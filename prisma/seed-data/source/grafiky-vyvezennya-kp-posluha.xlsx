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eres\Downloads\"/>
    </mc:Choice>
  </mc:AlternateContent>
  <xr:revisionPtr revIDLastSave="0" documentId="13_ncr:1_{7E37A6CE-474F-42DE-8BA8-A63E19E3DDB9}" xr6:coauthVersionLast="47" xr6:coauthVersionMax="47" xr10:uidLastSave="{00000000-0000-0000-0000-000000000000}"/>
  <bookViews>
    <workbookView xWindow="30612" yWindow="-108" windowWidth="23256" windowHeight="13176" tabRatio="820" activeTab="3" xr2:uid="{00000000-000D-0000-FFFF-FFFF00000000}"/>
  </bookViews>
  <sheets>
    <sheet name="Інструкція" sheetId="16" r:id="rId1"/>
    <sheet name="Зміст" sheetId="1" r:id="rId2"/>
    <sheet name="Дані_зв'язок" sheetId="13" r:id="rId3"/>
    <sheet name="Зведена_по_адресах" sheetId="12" r:id="rId4"/>
    <sheet name="Геокодування" sheetId="14" r:id="rId5"/>
    <sheet name="Координати майданчиків" sheetId="15" r:id="rId6"/>
    <sheet name="Зведена_детальна" sheetId="11" r:id="rId7"/>
    <sheet name="М5_МАЗ4381_0592" sheetId="2" r:id="rId8"/>
    <sheet name="М1_КАМАЗ55111_0591" sheetId="3" r:id="rId9"/>
    <sheet name="М3-4_ГАЗ3309_0590" sheetId="4" r:id="rId10"/>
    <sheet name="М2_ВГВ_РеноЛендер_0589" sheetId="5" r:id="rId11"/>
    <sheet name="М2_АТ4021-1120_0588" sheetId="6" r:id="rId12"/>
    <sheet name="М3_МАЗ4371_0587" sheetId="7" r:id="rId13"/>
    <sheet name="М6_АТ4021_0586" sheetId="8" r:id="rId14"/>
    <sheet name="М1-2_АТ4021-1120_0585" sheetId="9" r:id="rId15"/>
    <sheet name="М4_АТ4042ROD_0584" sheetId="10" r:id="rId16"/>
  </sheets>
  <definedNames>
    <definedName name="_xlnm._FilterDatabase" localSheetId="6" hidden="1">Зведена_детальна!$A$3:$I$1012</definedName>
    <definedName name="_xlnm._FilterDatabase" localSheetId="3" hidden="1">Зведена_по_адресах!$A$4:$M$468</definedName>
    <definedName name="_xlnm._FilterDatabase" localSheetId="5" hidden="1">'Координати майданчиків'!$A$3:$I$64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61" i="12" l="1"/>
  <c r="R361" i="12"/>
  <c r="S334" i="12"/>
  <c r="R334" i="12"/>
  <c r="S318" i="12"/>
  <c r="R318" i="12"/>
  <c r="S100" i="12"/>
  <c r="R100" i="12"/>
  <c r="S37" i="12"/>
  <c r="R37" i="12"/>
  <c r="R359" i="12"/>
  <c r="S359" i="12"/>
  <c r="S480" i="12"/>
  <c r="R480" i="12"/>
  <c r="S479" i="12"/>
  <c r="R479" i="12"/>
  <c r="S478" i="12"/>
  <c r="R478" i="12"/>
  <c r="S477" i="12"/>
  <c r="R477" i="12"/>
  <c r="S476" i="12"/>
  <c r="R476" i="12"/>
  <c r="S475" i="12"/>
  <c r="R475" i="12"/>
  <c r="S474" i="12"/>
  <c r="R474" i="12"/>
  <c r="S473" i="12"/>
  <c r="R473" i="12"/>
  <c r="S472" i="12"/>
  <c r="R472" i="12"/>
  <c r="S471" i="12"/>
  <c r="R471" i="12"/>
  <c r="S470" i="12"/>
  <c r="R470" i="12"/>
  <c r="S469" i="12"/>
  <c r="R469" i="12"/>
  <c r="S468" i="12"/>
  <c r="R468" i="12"/>
  <c r="S467" i="12"/>
  <c r="R467" i="12"/>
  <c r="S465" i="12"/>
  <c r="R465" i="12"/>
  <c r="S464" i="12"/>
  <c r="R464" i="12"/>
  <c r="S463" i="12"/>
  <c r="R463" i="12"/>
  <c r="S462" i="12"/>
  <c r="R462" i="12"/>
  <c r="S461" i="12"/>
  <c r="R461" i="12"/>
  <c r="S460" i="12"/>
  <c r="R460" i="12"/>
  <c r="S459" i="12"/>
  <c r="R459" i="12"/>
  <c r="S458" i="12"/>
  <c r="R458" i="12"/>
  <c r="S457" i="12"/>
  <c r="R457" i="12"/>
  <c r="S456" i="12"/>
  <c r="R456" i="12"/>
  <c r="S454" i="12"/>
  <c r="R454" i="12"/>
  <c r="S453" i="12"/>
  <c r="R453" i="12"/>
  <c r="S452" i="12"/>
  <c r="R452" i="12"/>
  <c r="S451" i="12"/>
  <c r="R451" i="12"/>
  <c r="S450" i="12"/>
  <c r="R450" i="12"/>
  <c r="S449" i="12"/>
  <c r="R449" i="12"/>
  <c r="S448" i="12"/>
  <c r="R448" i="12"/>
  <c r="S447" i="12"/>
  <c r="R447" i="12"/>
  <c r="S446" i="12"/>
  <c r="R446" i="12"/>
  <c r="S445" i="12"/>
  <c r="R445" i="12"/>
  <c r="S444" i="12"/>
  <c r="R444" i="12"/>
  <c r="S443" i="12"/>
  <c r="R443" i="12"/>
  <c r="S442" i="12"/>
  <c r="R442" i="12"/>
  <c r="S441" i="12"/>
  <c r="R441" i="12"/>
  <c r="S440" i="12"/>
  <c r="R440" i="12"/>
  <c r="S439" i="12"/>
  <c r="R439" i="12"/>
  <c r="S438" i="12"/>
  <c r="R438" i="12"/>
  <c r="S437" i="12"/>
  <c r="R437" i="12"/>
  <c r="S436" i="12"/>
  <c r="R436" i="12"/>
  <c r="S435" i="12"/>
  <c r="R435" i="12"/>
  <c r="S434" i="12"/>
  <c r="R434" i="12"/>
  <c r="S433" i="12"/>
  <c r="R433" i="12"/>
  <c r="S432" i="12"/>
  <c r="R432" i="12"/>
  <c r="S431" i="12"/>
  <c r="R431" i="12"/>
  <c r="S430" i="12"/>
  <c r="R430" i="12"/>
  <c r="S429" i="12"/>
  <c r="R429" i="12"/>
  <c r="S428" i="12"/>
  <c r="R428" i="12"/>
  <c r="S427" i="12"/>
  <c r="R427" i="12"/>
  <c r="S426" i="12"/>
  <c r="R426" i="12"/>
  <c r="S425" i="12"/>
  <c r="R425" i="12"/>
  <c r="S424" i="12"/>
  <c r="R424" i="12"/>
  <c r="S423" i="12"/>
  <c r="R423" i="12"/>
  <c r="S422" i="12"/>
  <c r="R422" i="12"/>
  <c r="S421" i="12"/>
  <c r="R421" i="12"/>
  <c r="S420" i="12"/>
  <c r="R420" i="12"/>
  <c r="S419" i="12"/>
  <c r="R419" i="12"/>
  <c r="S418" i="12"/>
  <c r="R418" i="12"/>
  <c r="S417" i="12"/>
  <c r="R417" i="12"/>
  <c r="S416" i="12"/>
  <c r="R416" i="12"/>
  <c r="S415" i="12"/>
  <c r="R415" i="12"/>
  <c r="S414" i="12"/>
  <c r="R414" i="12"/>
  <c r="S413" i="12"/>
  <c r="R413" i="12"/>
  <c r="S412" i="12"/>
  <c r="R412" i="12"/>
  <c r="S411" i="12"/>
  <c r="R411" i="12"/>
  <c r="S410" i="12"/>
  <c r="R410" i="12"/>
  <c r="S409" i="12"/>
  <c r="R409" i="12"/>
  <c r="S408" i="12"/>
  <c r="R408" i="12"/>
  <c r="S407" i="12"/>
  <c r="R407" i="12"/>
  <c r="S406" i="12"/>
  <c r="R406" i="12"/>
  <c r="S405" i="12"/>
  <c r="R405" i="12"/>
  <c r="S404" i="12"/>
  <c r="R404" i="12"/>
  <c r="S403" i="12"/>
  <c r="R403" i="12"/>
  <c r="S402" i="12"/>
  <c r="R402" i="12"/>
  <c r="S401" i="12"/>
  <c r="R401" i="12"/>
  <c r="S400" i="12"/>
  <c r="R400" i="12"/>
  <c r="S399" i="12"/>
  <c r="R399" i="12"/>
  <c r="S398" i="12"/>
  <c r="R398" i="12"/>
  <c r="S397" i="12"/>
  <c r="R397" i="12"/>
  <c r="S396" i="12"/>
  <c r="R396" i="12"/>
  <c r="S395" i="12"/>
  <c r="R395" i="12"/>
  <c r="S394" i="12"/>
  <c r="R394" i="12"/>
  <c r="S393" i="12"/>
  <c r="R393" i="12"/>
  <c r="S392" i="12"/>
  <c r="R392" i="12"/>
  <c r="S391" i="12"/>
  <c r="R391" i="12"/>
  <c r="S390" i="12"/>
  <c r="R390" i="12"/>
  <c r="S389" i="12"/>
  <c r="R389" i="12"/>
  <c r="S388" i="12"/>
  <c r="R388" i="12"/>
  <c r="S387" i="12"/>
  <c r="R387" i="12"/>
  <c r="S386" i="12"/>
  <c r="R386" i="12"/>
  <c r="S385" i="12"/>
  <c r="R385" i="12"/>
  <c r="S384" i="12"/>
  <c r="R384" i="12"/>
  <c r="S383" i="12"/>
  <c r="R383" i="12"/>
  <c r="S382" i="12"/>
  <c r="R382" i="12"/>
  <c r="S381" i="12"/>
  <c r="R381" i="12"/>
  <c r="S380" i="12"/>
  <c r="R380" i="12"/>
  <c r="S379" i="12"/>
  <c r="R379" i="12"/>
  <c r="S378" i="12"/>
  <c r="R378" i="12"/>
  <c r="S377" i="12"/>
  <c r="R377" i="12"/>
  <c r="S376" i="12"/>
  <c r="R376" i="12"/>
  <c r="S375" i="12"/>
  <c r="R375" i="12"/>
  <c r="S374" i="12"/>
  <c r="R374" i="12"/>
  <c r="S373" i="12"/>
  <c r="R373" i="12"/>
  <c r="S372" i="12"/>
  <c r="R372" i="12"/>
  <c r="S371" i="12"/>
  <c r="R371" i="12"/>
  <c r="S370" i="12"/>
  <c r="R370" i="12"/>
  <c r="S369" i="12"/>
  <c r="R369" i="12"/>
  <c r="S368" i="12"/>
  <c r="R368" i="12"/>
  <c r="S367" i="12"/>
  <c r="R367" i="12"/>
  <c r="S366" i="12"/>
  <c r="R366" i="12"/>
  <c r="S365" i="12"/>
  <c r="R365" i="12"/>
  <c r="S364" i="12"/>
  <c r="R364" i="12"/>
  <c r="S362" i="12"/>
  <c r="R362" i="12"/>
  <c r="S360" i="12"/>
  <c r="R360" i="12"/>
  <c r="S358" i="12"/>
  <c r="R358" i="12"/>
  <c r="S357" i="12"/>
  <c r="R357" i="12"/>
  <c r="S356" i="12"/>
  <c r="R356" i="12"/>
  <c r="S355" i="12"/>
  <c r="R355" i="12"/>
  <c r="S354" i="12"/>
  <c r="R354" i="12"/>
  <c r="S353" i="12"/>
  <c r="R353" i="12"/>
  <c r="S352" i="12"/>
  <c r="R352" i="12"/>
  <c r="S351" i="12"/>
  <c r="R351" i="12"/>
  <c r="S350" i="12"/>
  <c r="R350" i="12"/>
  <c r="S349" i="12"/>
  <c r="R349" i="12"/>
  <c r="S348" i="12"/>
  <c r="R348" i="12"/>
  <c r="S347" i="12"/>
  <c r="R347" i="12"/>
  <c r="S346" i="12"/>
  <c r="R346" i="12"/>
  <c r="S345" i="12"/>
  <c r="R345" i="12"/>
  <c r="S344" i="12"/>
  <c r="R344" i="12"/>
  <c r="S343" i="12"/>
  <c r="R343" i="12"/>
  <c r="S342" i="12"/>
  <c r="R342" i="12"/>
  <c r="S341" i="12"/>
  <c r="R341" i="12"/>
  <c r="S340" i="12"/>
  <c r="R340" i="12"/>
  <c r="S339" i="12"/>
  <c r="R339" i="12"/>
  <c r="S338" i="12"/>
  <c r="R338" i="12"/>
  <c r="S337" i="12"/>
  <c r="R337" i="12"/>
  <c r="S336" i="12"/>
  <c r="R336" i="12"/>
  <c r="S335" i="12"/>
  <c r="R335" i="12"/>
  <c r="S333" i="12"/>
  <c r="R333" i="12"/>
  <c r="S332" i="12"/>
  <c r="R332" i="12"/>
  <c r="S331" i="12"/>
  <c r="R331" i="12"/>
  <c r="S330" i="12"/>
  <c r="R330" i="12"/>
  <c r="S329" i="12"/>
  <c r="R329" i="12"/>
  <c r="S328" i="12"/>
  <c r="R328" i="12"/>
  <c r="S327" i="12"/>
  <c r="R327" i="12"/>
  <c r="S326" i="12"/>
  <c r="R326" i="12"/>
  <c r="S325" i="12"/>
  <c r="R325" i="12"/>
  <c r="S324" i="12"/>
  <c r="R324" i="12"/>
  <c r="S323" i="12"/>
  <c r="R323" i="12"/>
  <c r="S322" i="12"/>
  <c r="R322" i="12"/>
  <c r="S321" i="12"/>
  <c r="R321" i="12"/>
  <c r="S320" i="12"/>
  <c r="R320" i="12"/>
  <c r="S319" i="12"/>
  <c r="R319" i="12"/>
  <c r="S317" i="12"/>
  <c r="R317" i="12"/>
  <c r="S316" i="12"/>
  <c r="R316" i="12"/>
  <c r="S315" i="12"/>
  <c r="R315" i="12"/>
  <c r="S314" i="12"/>
  <c r="R314" i="12"/>
  <c r="S313" i="12"/>
  <c r="R313" i="12"/>
  <c r="S312" i="12"/>
  <c r="R312" i="12"/>
  <c r="S311" i="12"/>
  <c r="R311" i="12"/>
  <c r="S310" i="12"/>
  <c r="R310" i="12"/>
  <c r="S309" i="12"/>
  <c r="R309" i="12"/>
  <c r="S308" i="12"/>
  <c r="R308" i="12"/>
  <c r="S307" i="12"/>
  <c r="R307" i="12"/>
  <c r="S306" i="12"/>
  <c r="R306" i="12"/>
  <c r="S305" i="12"/>
  <c r="R305" i="12"/>
  <c r="S304" i="12"/>
  <c r="R304" i="12"/>
  <c r="S303" i="12"/>
  <c r="R303" i="12"/>
  <c r="S302" i="12"/>
  <c r="R302" i="12"/>
  <c r="S301" i="12"/>
  <c r="R301" i="12"/>
  <c r="S300" i="12"/>
  <c r="R300" i="12"/>
  <c r="S299" i="12"/>
  <c r="R299" i="12"/>
  <c r="S298" i="12"/>
  <c r="R298" i="12"/>
  <c r="S297" i="12"/>
  <c r="R297" i="12"/>
  <c r="S296" i="12"/>
  <c r="R296" i="12"/>
  <c r="S295" i="12"/>
  <c r="R295" i="12"/>
  <c r="S294" i="12"/>
  <c r="R294" i="12"/>
  <c r="S293" i="12"/>
  <c r="R293" i="12"/>
  <c r="S292" i="12"/>
  <c r="R292" i="12"/>
  <c r="S291" i="12"/>
  <c r="R291" i="12"/>
  <c r="S290" i="12"/>
  <c r="R290" i="12"/>
  <c r="S289" i="12"/>
  <c r="R289" i="12"/>
  <c r="S288" i="12"/>
  <c r="R288" i="12"/>
  <c r="S287" i="12"/>
  <c r="R287" i="12"/>
  <c r="S286" i="12"/>
  <c r="R286" i="12"/>
  <c r="S285" i="12"/>
  <c r="R285" i="12"/>
  <c r="S284" i="12"/>
  <c r="R284" i="12"/>
  <c r="S283" i="12"/>
  <c r="R283" i="12"/>
  <c r="S282" i="12"/>
  <c r="R282" i="12"/>
  <c r="S281" i="12"/>
  <c r="R281" i="12"/>
  <c r="S280" i="12"/>
  <c r="R280" i="12"/>
  <c r="S279" i="12"/>
  <c r="R279" i="12"/>
  <c r="S278" i="12"/>
  <c r="R278" i="12"/>
  <c r="S277" i="12"/>
  <c r="R277" i="12"/>
  <c r="S276" i="12"/>
  <c r="R276" i="12"/>
  <c r="S275" i="12"/>
  <c r="R275" i="12"/>
  <c r="S274" i="12"/>
  <c r="R274" i="12"/>
  <c r="S273" i="12"/>
  <c r="R273" i="12"/>
  <c r="S272" i="12"/>
  <c r="R272" i="12"/>
  <c r="S271" i="12"/>
  <c r="R271" i="12"/>
  <c r="S270" i="12"/>
  <c r="R270" i="12"/>
  <c r="S269" i="12"/>
  <c r="R269" i="12"/>
  <c r="S268" i="12"/>
  <c r="R268" i="12"/>
  <c r="S267" i="12"/>
  <c r="R267" i="12"/>
  <c r="S266" i="12"/>
  <c r="R266" i="12"/>
  <c r="S265" i="12"/>
  <c r="R265" i="12"/>
  <c r="S264" i="12"/>
  <c r="R264" i="12"/>
  <c r="S263" i="12"/>
  <c r="R263" i="12"/>
  <c r="S262" i="12"/>
  <c r="R262" i="12"/>
  <c r="S261" i="12"/>
  <c r="R261" i="12"/>
  <c r="S260" i="12"/>
  <c r="R260" i="12"/>
  <c r="S259" i="12"/>
  <c r="R259" i="12"/>
  <c r="S258" i="12"/>
  <c r="R258" i="12"/>
  <c r="S257" i="12"/>
  <c r="R257" i="12"/>
  <c r="S256" i="12"/>
  <c r="R256" i="12"/>
  <c r="S255" i="12"/>
  <c r="R255" i="12"/>
  <c r="S254" i="12"/>
  <c r="R254" i="12"/>
  <c r="S253" i="12"/>
  <c r="R253" i="12"/>
  <c r="S252" i="12"/>
  <c r="R252" i="12"/>
  <c r="S251" i="12"/>
  <c r="R251" i="12"/>
  <c r="S250" i="12"/>
  <c r="R250" i="12"/>
  <c r="S249" i="12"/>
  <c r="R249" i="12"/>
  <c r="S248" i="12"/>
  <c r="R248" i="12"/>
  <c r="S247" i="12"/>
  <c r="R247" i="12"/>
  <c r="S246" i="12"/>
  <c r="R246" i="12"/>
  <c r="S245" i="12"/>
  <c r="R245" i="12"/>
  <c r="S244" i="12"/>
  <c r="R244" i="12"/>
  <c r="S243" i="12"/>
  <c r="R243" i="12"/>
  <c r="S242" i="12"/>
  <c r="R242" i="12"/>
  <c r="S241" i="12"/>
  <c r="R241" i="12"/>
  <c r="S240" i="12"/>
  <c r="R240" i="12"/>
  <c r="S239" i="12"/>
  <c r="R239" i="12"/>
  <c r="S238" i="12"/>
  <c r="R238" i="12"/>
  <c r="S237" i="12"/>
  <c r="R237" i="12"/>
  <c r="S236" i="12"/>
  <c r="R236" i="12"/>
  <c r="S235" i="12"/>
  <c r="R235" i="12"/>
  <c r="S234" i="12"/>
  <c r="R234" i="12"/>
  <c r="S233" i="12"/>
  <c r="R233" i="12"/>
  <c r="S232" i="12"/>
  <c r="R232" i="12"/>
  <c r="S231" i="12"/>
  <c r="R231" i="12"/>
  <c r="S230" i="12"/>
  <c r="R230" i="12"/>
  <c r="S229" i="12"/>
  <c r="R229" i="12"/>
  <c r="S228" i="12"/>
  <c r="R228" i="12"/>
  <c r="S227" i="12"/>
  <c r="R227" i="12"/>
  <c r="S226" i="12"/>
  <c r="R226" i="12"/>
  <c r="S225" i="12"/>
  <c r="R225" i="12"/>
  <c r="S224" i="12"/>
  <c r="R224" i="12"/>
  <c r="S223" i="12"/>
  <c r="R223" i="12"/>
  <c r="S222" i="12"/>
  <c r="R222" i="12"/>
  <c r="S221" i="12"/>
  <c r="R221" i="12"/>
  <c r="S220" i="12"/>
  <c r="R220" i="12"/>
  <c r="S219" i="12"/>
  <c r="R219" i="12"/>
  <c r="S218" i="12"/>
  <c r="R218" i="12"/>
  <c r="S217" i="12"/>
  <c r="R217" i="12"/>
  <c r="S216" i="12"/>
  <c r="R216" i="12"/>
  <c r="S215" i="12"/>
  <c r="R215" i="12"/>
  <c r="S214" i="12"/>
  <c r="R214" i="12"/>
  <c r="S213" i="12"/>
  <c r="R213" i="12"/>
  <c r="S212" i="12"/>
  <c r="R212" i="12"/>
  <c r="S211" i="12"/>
  <c r="R211" i="12"/>
  <c r="S210" i="12"/>
  <c r="R210" i="12"/>
  <c r="S209" i="12"/>
  <c r="R209" i="12"/>
  <c r="S208" i="12"/>
  <c r="R208" i="12"/>
  <c r="S207" i="12"/>
  <c r="R207" i="12"/>
  <c r="S206" i="12"/>
  <c r="R206" i="12"/>
  <c r="S205" i="12"/>
  <c r="R205" i="12"/>
  <c r="S204" i="12"/>
  <c r="R204" i="12"/>
  <c r="S203" i="12"/>
  <c r="R203" i="12"/>
  <c r="S202" i="12"/>
  <c r="R202" i="12"/>
  <c r="S201" i="12"/>
  <c r="R201" i="12"/>
  <c r="S200" i="12"/>
  <c r="R200" i="12"/>
  <c r="S199" i="12"/>
  <c r="R199" i="12"/>
  <c r="S198" i="12"/>
  <c r="R198" i="12"/>
  <c r="S197" i="12"/>
  <c r="R197" i="12"/>
  <c r="S196" i="12"/>
  <c r="R196" i="12"/>
  <c r="S195" i="12"/>
  <c r="R195" i="12"/>
  <c r="S194" i="12"/>
  <c r="R194" i="12"/>
  <c r="S193" i="12"/>
  <c r="R193" i="12"/>
  <c r="S192" i="12"/>
  <c r="R192" i="12"/>
  <c r="S191" i="12"/>
  <c r="R191" i="12"/>
  <c r="S190" i="12"/>
  <c r="R190" i="12"/>
  <c r="S189" i="12"/>
  <c r="R189" i="12"/>
  <c r="S188" i="12"/>
  <c r="R188" i="12"/>
  <c r="S187" i="12"/>
  <c r="R187" i="12"/>
  <c r="S186" i="12"/>
  <c r="R186" i="12"/>
  <c r="S185" i="12"/>
  <c r="R185" i="12"/>
  <c r="S184" i="12"/>
  <c r="R184" i="12"/>
  <c r="S183" i="12"/>
  <c r="R183" i="12"/>
  <c r="S182" i="12"/>
  <c r="R182" i="12"/>
  <c r="S181" i="12"/>
  <c r="R181" i="12"/>
  <c r="S180" i="12"/>
  <c r="R180" i="12"/>
  <c r="S179" i="12"/>
  <c r="R179" i="12"/>
  <c r="S178" i="12"/>
  <c r="R178" i="12"/>
  <c r="S177" i="12"/>
  <c r="R177" i="12"/>
  <c r="S176" i="12"/>
  <c r="R176" i="12"/>
  <c r="S175" i="12"/>
  <c r="R175" i="12"/>
  <c r="S174" i="12"/>
  <c r="R174" i="12"/>
  <c r="S173" i="12"/>
  <c r="R173" i="12"/>
  <c r="S172" i="12"/>
  <c r="R172" i="12"/>
  <c r="S171" i="12"/>
  <c r="R171" i="12"/>
  <c r="S170" i="12"/>
  <c r="R170" i="12"/>
  <c r="S169" i="12"/>
  <c r="R169" i="12"/>
  <c r="S168" i="12"/>
  <c r="R168" i="12"/>
  <c r="S167" i="12"/>
  <c r="R167" i="12"/>
  <c r="S166" i="12"/>
  <c r="R166" i="12"/>
  <c r="S165" i="12"/>
  <c r="R165" i="12"/>
  <c r="S164" i="12"/>
  <c r="R164" i="12"/>
  <c r="S163" i="12"/>
  <c r="R163" i="12"/>
  <c r="S162" i="12"/>
  <c r="R162" i="12"/>
  <c r="S161" i="12"/>
  <c r="R161" i="12"/>
  <c r="S160" i="12"/>
  <c r="R160" i="12"/>
  <c r="S159" i="12"/>
  <c r="R159" i="12"/>
  <c r="S158" i="12"/>
  <c r="R158" i="12"/>
  <c r="S157" i="12"/>
  <c r="R157" i="12"/>
  <c r="S156" i="12"/>
  <c r="R156" i="12"/>
  <c r="S155" i="12"/>
  <c r="R155" i="12"/>
  <c r="S154" i="12"/>
  <c r="R154" i="12"/>
  <c r="S153" i="12"/>
  <c r="R153" i="12"/>
  <c r="S152" i="12"/>
  <c r="R152" i="12"/>
  <c r="S151" i="12"/>
  <c r="R151" i="12"/>
  <c r="S150" i="12"/>
  <c r="R150" i="12"/>
  <c r="S149" i="12"/>
  <c r="R149" i="12"/>
  <c r="S148" i="12"/>
  <c r="R148" i="12"/>
  <c r="S147" i="12"/>
  <c r="R147" i="12"/>
  <c r="S146" i="12"/>
  <c r="R146" i="12"/>
  <c r="S145" i="12"/>
  <c r="R145" i="12"/>
  <c r="S144" i="12"/>
  <c r="R144" i="12"/>
  <c r="S143" i="12"/>
  <c r="R143" i="12"/>
  <c r="S142" i="12"/>
  <c r="R142" i="12"/>
  <c r="S141" i="12"/>
  <c r="R141" i="12"/>
  <c r="S140" i="12"/>
  <c r="R140" i="12"/>
  <c r="S139" i="12"/>
  <c r="R139" i="12"/>
  <c r="S138" i="12"/>
  <c r="R138" i="12"/>
  <c r="S137" i="12"/>
  <c r="R137" i="12"/>
  <c r="S136" i="12"/>
  <c r="R136" i="12"/>
  <c r="S135" i="12"/>
  <c r="R135" i="12"/>
  <c r="S134" i="12"/>
  <c r="R134" i="12"/>
  <c r="S133" i="12"/>
  <c r="R133" i="12"/>
  <c r="S132" i="12"/>
  <c r="R132" i="12"/>
  <c r="S131" i="12"/>
  <c r="R131" i="12"/>
  <c r="S130" i="12"/>
  <c r="R130" i="12"/>
  <c r="S129" i="12"/>
  <c r="R129" i="12"/>
  <c r="S128" i="12"/>
  <c r="R128" i="12"/>
  <c r="S127" i="12"/>
  <c r="R127" i="12"/>
  <c r="S126" i="12"/>
  <c r="R126" i="12"/>
  <c r="S125" i="12"/>
  <c r="R125" i="12"/>
  <c r="S124" i="12"/>
  <c r="R124" i="12"/>
  <c r="S123" i="12"/>
  <c r="R123" i="12"/>
  <c r="S122" i="12"/>
  <c r="R122" i="12"/>
  <c r="S121" i="12"/>
  <c r="R121" i="12"/>
  <c r="S120" i="12"/>
  <c r="R120" i="12"/>
  <c r="S119" i="12"/>
  <c r="R119" i="12"/>
  <c r="S118" i="12"/>
  <c r="R118" i="12"/>
  <c r="S117" i="12"/>
  <c r="R117" i="12"/>
  <c r="S116" i="12"/>
  <c r="R116" i="12"/>
  <c r="S115" i="12"/>
  <c r="R115" i="12"/>
  <c r="S114" i="12"/>
  <c r="R114" i="12"/>
  <c r="S113" i="12"/>
  <c r="R113" i="12"/>
  <c r="S112" i="12"/>
  <c r="R112" i="12"/>
  <c r="S111" i="12"/>
  <c r="R111" i="12"/>
  <c r="S110" i="12"/>
  <c r="R110" i="12"/>
  <c r="S109" i="12"/>
  <c r="R109" i="12"/>
  <c r="S108" i="12"/>
  <c r="R108" i="12"/>
  <c r="S107" i="12"/>
  <c r="R107" i="12"/>
  <c r="S106" i="12"/>
  <c r="R106" i="12"/>
  <c r="S105" i="12"/>
  <c r="R105" i="12"/>
  <c r="S104" i="12"/>
  <c r="R104" i="12"/>
  <c r="S103" i="12"/>
  <c r="R103" i="12"/>
  <c r="S102" i="12"/>
  <c r="R102" i="12"/>
  <c r="S101" i="12"/>
  <c r="R101" i="12"/>
  <c r="S99" i="12"/>
  <c r="R99" i="12"/>
  <c r="S98" i="12"/>
  <c r="R98" i="12"/>
  <c r="S97" i="12"/>
  <c r="R97" i="12"/>
  <c r="S96" i="12"/>
  <c r="R96" i="12"/>
  <c r="S95" i="12"/>
  <c r="R95" i="12"/>
  <c r="S94" i="12"/>
  <c r="R94" i="12"/>
  <c r="S93" i="12"/>
  <c r="R93" i="12"/>
  <c r="S92" i="12"/>
  <c r="R92" i="12"/>
  <c r="S91" i="12"/>
  <c r="R91" i="12"/>
  <c r="S90" i="12"/>
  <c r="R90" i="12"/>
  <c r="S89" i="12"/>
  <c r="R89" i="12"/>
  <c r="S88" i="12"/>
  <c r="R88" i="12"/>
  <c r="S87" i="12"/>
  <c r="R87" i="12"/>
  <c r="S86" i="12"/>
  <c r="R86" i="12"/>
  <c r="S85" i="12"/>
  <c r="R85" i="12"/>
  <c r="S84" i="12"/>
  <c r="R84" i="12"/>
  <c r="S83" i="12"/>
  <c r="R83" i="12"/>
  <c r="S82" i="12"/>
  <c r="R82" i="12"/>
  <c r="S81" i="12"/>
  <c r="R81" i="12"/>
  <c r="S80" i="12"/>
  <c r="R80" i="12"/>
  <c r="S79" i="12"/>
  <c r="R79" i="12"/>
  <c r="S78" i="12"/>
  <c r="R78" i="12"/>
  <c r="S77" i="12"/>
  <c r="R77" i="12"/>
  <c r="S76" i="12"/>
  <c r="R76" i="12"/>
  <c r="S75" i="12"/>
  <c r="R75" i="12"/>
  <c r="S74" i="12"/>
  <c r="R74" i="12"/>
  <c r="S73" i="12"/>
  <c r="R73" i="12"/>
  <c r="S72" i="12"/>
  <c r="R72" i="12"/>
  <c r="S71" i="12"/>
  <c r="R71" i="12"/>
  <c r="S70" i="12"/>
  <c r="R70" i="12"/>
  <c r="S68" i="12"/>
  <c r="R68" i="12"/>
  <c r="S67" i="12"/>
  <c r="R67" i="12"/>
  <c r="S66" i="12"/>
  <c r="R66" i="12"/>
  <c r="S65" i="12"/>
  <c r="R65" i="12"/>
  <c r="S64" i="12"/>
  <c r="R64" i="12"/>
  <c r="S63" i="12"/>
  <c r="R63" i="12"/>
  <c r="S62" i="12"/>
  <c r="R62" i="12"/>
  <c r="S61" i="12"/>
  <c r="R61" i="12"/>
  <c r="S60" i="12"/>
  <c r="R60" i="12"/>
  <c r="S59" i="12"/>
  <c r="R59" i="12"/>
  <c r="S58" i="12"/>
  <c r="R58" i="12"/>
  <c r="S57" i="12"/>
  <c r="R57" i="12"/>
  <c r="S56" i="12"/>
  <c r="R56" i="12"/>
  <c r="S55" i="12"/>
  <c r="R55" i="12"/>
  <c r="S54" i="12"/>
  <c r="R54" i="12"/>
  <c r="S53" i="12"/>
  <c r="R53" i="12"/>
  <c r="S52" i="12"/>
  <c r="R52" i="12"/>
  <c r="S51" i="12"/>
  <c r="R51" i="12"/>
  <c r="S50" i="12"/>
  <c r="R50" i="12"/>
  <c r="S49" i="12"/>
  <c r="R49" i="12"/>
  <c r="S48" i="12"/>
  <c r="R48" i="12"/>
  <c r="S47" i="12"/>
  <c r="R47" i="12"/>
  <c r="S46" i="12"/>
  <c r="R46" i="12"/>
  <c r="S45" i="12"/>
  <c r="R45" i="12"/>
  <c r="S44" i="12"/>
  <c r="R44" i="12"/>
  <c r="S43" i="12"/>
  <c r="R43" i="12"/>
  <c r="S42" i="12"/>
  <c r="R42" i="12"/>
  <c r="S41" i="12"/>
  <c r="R41" i="12"/>
  <c r="S40" i="12"/>
  <c r="R40" i="12"/>
  <c r="S39" i="12"/>
  <c r="R39" i="12"/>
  <c r="S38" i="12"/>
  <c r="R38" i="12"/>
  <c r="S36" i="12"/>
  <c r="R36" i="12"/>
  <c r="S35" i="12"/>
  <c r="R35" i="12"/>
  <c r="S34" i="12"/>
  <c r="R34" i="12"/>
  <c r="S33" i="12"/>
  <c r="R33" i="12"/>
  <c r="S32" i="12"/>
  <c r="R32" i="12"/>
  <c r="S31" i="12"/>
  <c r="R31" i="12"/>
  <c r="S30" i="12"/>
  <c r="R30" i="12"/>
  <c r="S29" i="12"/>
  <c r="R29" i="12"/>
  <c r="S28" i="12"/>
  <c r="R28" i="12"/>
  <c r="S27" i="12"/>
  <c r="R27" i="12"/>
  <c r="S26" i="12"/>
  <c r="R26" i="12"/>
  <c r="S25" i="12"/>
  <c r="R25" i="12"/>
  <c r="S23" i="12"/>
  <c r="R23" i="12"/>
  <c r="S22" i="12"/>
  <c r="R22" i="12"/>
  <c r="S21" i="12"/>
  <c r="R21" i="12"/>
  <c r="S20" i="12"/>
  <c r="R20" i="12"/>
  <c r="S19" i="12"/>
  <c r="R19" i="12"/>
  <c r="S18" i="12"/>
  <c r="R18" i="12"/>
  <c r="S17" i="12"/>
  <c r="R17" i="12"/>
  <c r="S16" i="12"/>
  <c r="R16" i="12"/>
  <c r="S15" i="12"/>
  <c r="R15" i="12"/>
  <c r="S13" i="12"/>
  <c r="R13" i="12"/>
  <c r="S12" i="12"/>
  <c r="R12" i="12"/>
  <c r="S11" i="12"/>
  <c r="R11" i="12"/>
  <c r="S10" i="12"/>
  <c r="R10" i="12"/>
  <c r="S9" i="12"/>
  <c r="R9" i="12"/>
  <c r="S8" i="12"/>
  <c r="R8" i="12"/>
  <c r="S7" i="12"/>
  <c r="R7" i="12"/>
  <c r="S6" i="12"/>
  <c r="R6" i="12"/>
  <c r="T480" i="12"/>
  <c r="T479" i="12"/>
  <c r="T478" i="12"/>
  <c r="T477" i="12"/>
  <c r="T476" i="12"/>
  <c r="T475" i="12"/>
  <c r="T474" i="12"/>
  <c r="T473" i="12"/>
  <c r="T472" i="12"/>
  <c r="T471" i="12"/>
  <c r="T470" i="12"/>
  <c r="T469" i="12"/>
  <c r="T468" i="12"/>
  <c r="T467" i="12"/>
  <c r="T466" i="12"/>
  <c r="T465" i="12"/>
  <c r="T464" i="12"/>
  <c r="T463" i="12"/>
  <c r="T462" i="12"/>
  <c r="T461" i="12"/>
  <c r="T460" i="12"/>
  <c r="T459" i="12"/>
  <c r="T458" i="12"/>
  <c r="T457" i="12"/>
  <c r="T456" i="12"/>
  <c r="T455" i="12"/>
  <c r="T454" i="12"/>
  <c r="T453" i="12"/>
  <c r="T452" i="12"/>
  <c r="T451" i="12"/>
  <c r="T450" i="12"/>
  <c r="T449" i="12"/>
  <c r="T448" i="12"/>
  <c r="T447" i="12"/>
  <c r="T446" i="12"/>
  <c r="T445" i="12"/>
  <c r="T444" i="12"/>
  <c r="T443" i="12"/>
  <c r="T442" i="12"/>
  <c r="T441" i="12"/>
  <c r="T440" i="12"/>
  <c r="T439" i="12"/>
  <c r="T438" i="12"/>
  <c r="T437" i="12"/>
  <c r="T436" i="12"/>
  <c r="T435" i="12"/>
  <c r="T434" i="12"/>
  <c r="T433" i="12"/>
  <c r="T432" i="12"/>
  <c r="T431" i="12"/>
  <c r="T430" i="12"/>
  <c r="T429" i="12"/>
  <c r="T428" i="12"/>
  <c r="T427" i="12"/>
  <c r="T426" i="12"/>
  <c r="T425" i="12"/>
  <c r="T424" i="12"/>
  <c r="T423" i="12"/>
  <c r="T422" i="12"/>
  <c r="T421" i="12"/>
  <c r="T420" i="12"/>
  <c r="T419" i="12"/>
  <c r="T418" i="12"/>
  <c r="T417" i="12"/>
  <c r="T416" i="12"/>
  <c r="T415" i="12"/>
  <c r="T414" i="12"/>
  <c r="T413" i="12"/>
  <c r="T412" i="12"/>
  <c r="T411" i="12"/>
  <c r="T410" i="12"/>
  <c r="T409" i="12"/>
  <c r="T408" i="12"/>
  <c r="T407" i="12"/>
  <c r="T406" i="12"/>
  <c r="T405" i="12"/>
  <c r="T404" i="12"/>
  <c r="T403" i="12"/>
  <c r="T402" i="12"/>
  <c r="T401" i="12"/>
  <c r="T400" i="12"/>
  <c r="T399" i="12"/>
  <c r="T398" i="12"/>
  <c r="T397" i="12"/>
  <c r="T396" i="12"/>
  <c r="T395" i="12"/>
  <c r="T394" i="12"/>
  <c r="T393" i="12"/>
  <c r="T392" i="12"/>
  <c r="T391" i="12"/>
  <c r="T390" i="12"/>
  <c r="T389" i="12"/>
  <c r="T388" i="12"/>
  <c r="T387" i="12"/>
  <c r="T386" i="12"/>
  <c r="T385" i="12"/>
  <c r="T384" i="12"/>
  <c r="T383" i="12"/>
  <c r="T382" i="12"/>
  <c r="T381" i="12"/>
  <c r="T380" i="12"/>
  <c r="T379" i="12"/>
  <c r="T378" i="12"/>
  <c r="T377" i="12"/>
  <c r="T376" i="12"/>
  <c r="T375" i="12"/>
  <c r="T374" i="12"/>
  <c r="T373" i="12"/>
  <c r="T372" i="12"/>
  <c r="T371" i="12"/>
  <c r="T370" i="12"/>
  <c r="T369" i="12"/>
  <c r="T368" i="12"/>
  <c r="T367" i="12"/>
  <c r="T366" i="12"/>
  <c r="T365" i="12"/>
  <c r="T364" i="12"/>
  <c r="T363" i="12"/>
  <c r="T362" i="12"/>
  <c r="T361" i="12"/>
  <c r="T360" i="12"/>
  <c r="T359" i="12"/>
  <c r="T358" i="12"/>
  <c r="T357" i="12"/>
  <c r="T356" i="12"/>
  <c r="T355" i="12"/>
  <c r="T354" i="12"/>
  <c r="T353" i="12"/>
  <c r="T352" i="12"/>
  <c r="T351" i="12"/>
  <c r="T350" i="12"/>
  <c r="T349" i="12"/>
  <c r="T348" i="12"/>
  <c r="T347" i="12"/>
  <c r="T346" i="12"/>
  <c r="T345" i="12"/>
  <c r="T344" i="12"/>
  <c r="T343" i="12"/>
  <c r="T342" i="12"/>
  <c r="T341" i="12"/>
  <c r="T340" i="12"/>
  <c r="T339" i="12"/>
  <c r="T338" i="12"/>
  <c r="T337" i="12"/>
  <c r="T336" i="12"/>
  <c r="T335" i="12"/>
  <c r="T334" i="12"/>
  <c r="T333" i="12"/>
  <c r="T332" i="12"/>
  <c r="T331" i="12"/>
  <c r="T330" i="12"/>
  <c r="T329" i="12"/>
  <c r="T328" i="12"/>
  <c r="T327" i="12"/>
  <c r="T326" i="12"/>
  <c r="T325" i="12"/>
  <c r="T324" i="12"/>
  <c r="T323" i="12"/>
  <c r="T322" i="12"/>
  <c r="T321" i="12"/>
  <c r="T320" i="12"/>
  <c r="T319" i="12"/>
  <c r="T318" i="12"/>
  <c r="T317" i="12"/>
  <c r="T316" i="12"/>
  <c r="T315" i="12"/>
  <c r="T314" i="12"/>
  <c r="T313" i="12"/>
  <c r="T312" i="12"/>
  <c r="T311" i="12"/>
  <c r="T310" i="12"/>
  <c r="T309" i="12"/>
  <c r="T308" i="12"/>
  <c r="T307" i="12"/>
  <c r="T306" i="12"/>
  <c r="T305" i="12"/>
  <c r="T304" i="12"/>
  <c r="T303" i="12"/>
  <c r="T302" i="12"/>
  <c r="T301" i="12"/>
  <c r="T300" i="12"/>
  <c r="T299" i="12"/>
  <c r="T298" i="12"/>
  <c r="T297" i="12"/>
  <c r="T296" i="12"/>
  <c r="T295" i="12"/>
  <c r="T294" i="12"/>
  <c r="T293" i="12"/>
  <c r="T292" i="12"/>
  <c r="T291" i="12"/>
  <c r="T290" i="12"/>
  <c r="T289" i="12"/>
  <c r="T288" i="12"/>
  <c r="T287" i="12"/>
  <c r="T286" i="12"/>
  <c r="T285" i="12"/>
  <c r="T284" i="12"/>
  <c r="T283" i="12"/>
  <c r="T282" i="12"/>
  <c r="T281" i="12"/>
  <c r="T280" i="12"/>
  <c r="T279" i="12"/>
  <c r="T278" i="12"/>
  <c r="T277" i="12"/>
  <c r="T276" i="12"/>
  <c r="T275" i="12"/>
  <c r="T274" i="12"/>
  <c r="T273" i="12"/>
  <c r="T272" i="12"/>
  <c r="T271" i="12"/>
  <c r="T270" i="12"/>
  <c r="T269" i="12"/>
  <c r="T268" i="12"/>
  <c r="T267" i="12"/>
  <c r="T266" i="12"/>
  <c r="T265" i="12"/>
  <c r="T264" i="12"/>
  <c r="T263" i="12"/>
  <c r="T262" i="12"/>
  <c r="T261" i="12"/>
  <c r="T260" i="12"/>
  <c r="T259" i="12"/>
  <c r="T258" i="12"/>
  <c r="T257" i="12"/>
  <c r="T256" i="12"/>
  <c r="T255" i="12"/>
  <c r="T254" i="12"/>
  <c r="T253" i="12"/>
  <c r="T252" i="12"/>
  <c r="T251" i="12"/>
  <c r="T250" i="12"/>
  <c r="T249" i="12"/>
  <c r="T248" i="12"/>
  <c r="T247" i="12"/>
  <c r="T246" i="12"/>
  <c r="T245" i="12"/>
  <c r="T244" i="12"/>
  <c r="T243" i="12"/>
  <c r="T242" i="12"/>
  <c r="T241" i="12"/>
  <c r="T240" i="12"/>
  <c r="T239" i="12"/>
  <c r="T238" i="12"/>
  <c r="T237" i="12"/>
  <c r="T236" i="12"/>
  <c r="T235" i="12"/>
  <c r="T234" i="12"/>
  <c r="T233" i="12"/>
  <c r="T232" i="12"/>
  <c r="T231" i="12"/>
  <c r="T230" i="12"/>
  <c r="T229" i="12"/>
  <c r="T228" i="12"/>
  <c r="T227" i="12"/>
  <c r="T226" i="12"/>
  <c r="T225" i="12"/>
  <c r="T224" i="12"/>
  <c r="T223" i="12"/>
  <c r="T222" i="12"/>
  <c r="T221" i="12"/>
  <c r="T220" i="12"/>
  <c r="T219" i="12"/>
  <c r="T218" i="12"/>
  <c r="T217" i="12"/>
  <c r="T216" i="12"/>
  <c r="T215" i="12"/>
  <c r="T214" i="12"/>
  <c r="T213" i="12"/>
  <c r="T212" i="12"/>
  <c r="T211" i="12"/>
  <c r="T210" i="12"/>
  <c r="T209" i="12"/>
  <c r="T208" i="12"/>
  <c r="T207" i="12"/>
  <c r="T206" i="12"/>
  <c r="T205" i="12"/>
  <c r="T204" i="12"/>
  <c r="T203" i="12"/>
  <c r="T202" i="12"/>
  <c r="T201" i="12"/>
  <c r="T200" i="12"/>
  <c r="T199" i="12"/>
  <c r="T198" i="12"/>
  <c r="T197" i="12"/>
  <c r="T196" i="12"/>
  <c r="T195" i="12"/>
  <c r="T194" i="12"/>
  <c r="T193" i="12"/>
  <c r="T192" i="12"/>
  <c r="T191" i="12"/>
  <c r="T190" i="12"/>
  <c r="T189" i="12"/>
  <c r="T188" i="12"/>
  <c r="T187" i="12"/>
  <c r="T186" i="12"/>
  <c r="T185" i="12"/>
  <c r="T184" i="12"/>
  <c r="T183" i="12"/>
  <c r="T182" i="12"/>
  <c r="T181" i="12"/>
  <c r="T180" i="12"/>
  <c r="T179" i="12"/>
  <c r="T178" i="12"/>
  <c r="T177" i="12"/>
  <c r="T176" i="12"/>
  <c r="T175" i="12"/>
  <c r="T174" i="12"/>
  <c r="T173" i="12"/>
  <c r="T172" i="12"/>
  <c r="T171" i="12"/>
  <c r="T170" i="12"/>
  <c r="T169" i="12"/>
  <c r="T168" i="12"/>
  <c r="T167" i="12"/>
  <c r="T166" i="12"/>
  <c r="T165" i="12"/>
  <c r="T164" i="12"/>
  <c r="T163" i="12"/>
  <c r="T162" i="12"/>
  <c r="T161" i="12"/>
  <c r="T160" i="12"/>
  <c r="T159" i="12"/>
  <c r="T158" i="12"/>
  <c r="T157" i="12"/>
  <c r="T156" i="12"/>
  <c r="T155" i="12"/>
  <c r="T154" i="12"/>
  <c r="T153" i="12"/>
  <c r="T152" i="12"/>
  <c r="T151" i="12"/>
  <c r="T150" i="12"/>
  <c r="T149" i="12"/>
  <c r="T148" i="12"/>
  <c r="T147" i="12"/>
  <c r="T146" i="12"/>
  <c r="T145" i="12"/>
  <c r="T144" i="12"/>
  <c r="T143" i="12"/>
  <c r="T142" i="12"/>
  <c r="T141" i="12"/>
  <c r="T140" i="12"/>
  <c r="T139" i="12"/>
  <c r="T138" i="12"/>
  <c r="T137" i="12"/>
  <c r="T136" i="12"/>
  <c r="T135" i="12"/>
  <c r="T134" i="12"/>
  <c r="T133" i="12"/>
  <c r="T132" i="12"/>
  <c r="T131" i="12"/>
  <c r="T130" i="12"/>
  <c r="T129" i="12"/>
  <c r="T128" i="12"/>
  <c r="T127" i="12"/>
  <c r="T126" i="12"/>
  <c r="T125" i="12"/>
  <c r="T124" i="12"/>
  <c r="T123" i="12"/>
  <c r="T122" i="12"/>
  <c r="T121" i="12"/>
  <c r="T120" i="12"/>
  <c r="T119" i="12"/>
  <c r="T118" i="12"/>
  <c r="T117" i="12"/>
  <c r="T116" i="12"/>
  <c r="T115" i="12"/>
  <c r="T114" i="12"/>
  <c r="T113" i="12"/>
  <c r="T112" i="12"/>
  <c r="T111" i="12"/>
  <c r="T110" i="12"/>
  <c r="T109" i="12"/>
  <c r="T108" i="12"/>
  <c r="T107" i="12"/>
  <c r="T106" i="12"/>
  <c r="T105" i="12"/>
  <c r="T104" i="12"/>
  <c r="T103" i="12"/>
  <c r="T102" i="12"/>
  <c r="T101" i="12"/>
  <c r="T100" i="12"/>
  <c r="T99" i="12"/>
  <c r="T98" i="12"/>
  <c r="T97" i="12"/>
  <c r="T96" i="12"/>
  <c r="T95" i="12"/>
  <c r="T94" i="12"/>
  <c r="T93" i="12"/>
  <c r="T92" i="12"/>
  <c r="T91" i="12"/>
  <c r="T90" i="12"/>
  <c r="T89" i="12"/>
  <c r="T88" i="12"/>
  <c r="T87" i="12"/>
  <c r="T86" i="12"/>
  <c r="T85" i="12"/>
  <c r="T84" i="12"/>
  <c r="T83" i="12"/>
  <c r="T82" i="12"/>
  <c r="T81" i="12"/>
  <c r="T80" i="12"/>
  <c r="T79" i="12"/>
  <c r="T78" i="12"/>
  <c r="T77" i="12"/>
  <c r="T76" i="12"/>
  <c r="T75" i="12"/>
  <c r="T74" i="12"/>
  <c r="T73" i="12"/>
  <c r="T72" i="12"/>
  <c r="T71" i="12"/>
  <c r="T70" i="12"/>
  <c r="T69" i="12"/>
  <c r="T68" i="12"/>
  <c r="T67" i="12"/>
  <c r="T66" i="12"/>
  <c r="T65" i="12"/>
  <c r="T64" i="12"/>
  <c r="T63" i="12"/>
  <c r="T62" i="12"/>
  <c r="T61" i="12"/>
  <c r="T60" i="12"/>
  <c r="T59" i="12"/>
  <c r="T58" i="12"/>
  <c r="T57" i="12"/>
  <c r="T56" i="12"/>
  <c r="T55" i="12"/>
  <c r="T54" i="12"/>
  <c r="T53" i="12"/>
  <c r="T52" i="12"/>
  <c r="T51" i="12"/>
  <c r="T50" i="12"/>
  <c r="T49" i="12"/>
  <c r="T48" i="12"/>
  <c r="T47" i="12"/>
  <c r="T46" i="12"/>
  <c r="T45" i="12"/>
  <c r="T44" i="12"/>
  <c r="T43" i="12"/>
  <c r="T42" i="12"/>
  <c r="T41" i="12"/>
  <c r="T40" i="12"/>
  <c r="T39" i="12"/>
  <c r="T38" i="12"/>
  <c r="T37" i="12"/>
  <c r="T36" i="12"/>
  <c r="T35" i="12"/>
  <c r="T34" i="12"/>
  <c r="T33" i="12"/>
  <c r="T32" i="12"/>
  <c r="T31" i="12"/>
  <c r="T30" i="12"/>
  <c r="T29" i="12"/>
  <c r="T28" i="12"/>
  <c r="T27" i="12"/>
  <c r="T26" i="12"/>
  <c r="T25" i="12"/>
  <c r="T23" i="12"/>
  <c r="T22" i="12"/>
  <c r="T21" i="12"/>
  <c r="T20" i="12"/>
  <c r="T19" i="12"/>
  <c r="T18" i="12"/>
  <c r="T17" i="12"/>
  <c r="T16" i="12"/>
  <c r="T15" i="12"/>
  <c r="T13" i="12"/>
  <c r="T12" i="12"/>
  <c r="T11" i="12"/>
  <c r="T10" i="12"/>
  <c r="T9" i="12"/>
  <c r="T8" i="12"/>
  <c r="T7" i="12"/>
  <c r="T6" i="12"/>
  <c r="P480" i="12" a="1"/>
  <c r="P480" i="12" s="1"/>
  <c r="P479" i="12" a="1"/>
  <c r="P479" i="12" s="1"/>
  <c r="P478" i="12" a="1"/>
  <c r="P478" i="12" s="1"/>
  <c r="P477" i="12"/>
  <c r="P477" i="12" a="1"/>
  <c r="P476" i="12" a="1"/>
  <c r="P476" i="12" s="1"/>
  <c r="P475" i="12" a="1"/>
  <c r="P475" i="12" s="1"/>
  <c r="P474" i="12" a="1"/>
  <c r="P474" i="12" s="1"/>
  <c r="P473" i="12"/>
  <c r="P473" i="12" a="1"/>
  <c r="P472" i="12" a="1"/>
  <c r="P472" i="12" s="1"/>
  <c r="P471" i="12" a="1"/>
  <c r="P471" i="12" s="1"/>
  <c r="P470" i="12" a="1"/>
  <c r="P470" i="12" s="1"/>
  <c r="P469" i="12" a="1"/>
  <c r="P469" i="12" s="1"/>
  <c r="P468" i="12" a="1"/>
  <c r="P468" i="12" s="1"/>
  <c r="Q468" i="12" s="1"/>
  <c r="P467" i="12" a="1"/>
  <c r="P467" i="12" s="1"/>
  <c r="Q467" i="12" s="1"/>
  <c r="P466" i="12" a="1"/>
  <c r="P466" i="12" s="1"/>
  <c r="Q466" i="12" s="1"/>
  <c r="P465" i="12"/>
  <c r="Q465" i="12" s="1"/>
  <c r="P465" i="12" a="1"/>
  <c r="P464" i="12" a="1"/>
  <c r="P464" i="12" s="1"/>
  <c r="Q464" i="12" s="1"/>
  <c r="P463" i="12" a="1"/>
  <c r="P463" i="12" s="1"/>
  <c r="Q463" i="12" s="1"/>
  <c r="P462" i="12" a="1"/>
  <c r="P462" i="12" s="1"/>
  <c r="Q462" i="12" s="1"/>
  <c r="P461" i="12"/>
  <c r="Q461" i="12" s="1"/>
  <c r="P461" i="12" a="1"/>
  <c r="P460" i="12" a="1"/>
  <c r="P460" i="12" s="1"/>
  <c r="Q460" i="12" s="1"/>
  <c r="P459" i="12" a="1"/>
  <c r="P459" i="12" s="1"/>
  <c r="Q459" i="12" s="1"/>
  <c r="P458" i="12" a="1"/>
  <c r="P458" i="12" s="1"/>
  <c r="Q458" i="12" s="1"/>
  <c r="P457" i="12"/>
  <c r="P457" i="12" a="1"/>
  <c r="P456" i="12" a="1"/>
  <c r="P456" i="12" s="1"/>
  <c r="Q456" i="12" s="1"/>
  <c r="P455" i="12" a="1"/>
  <c r="P455" i="12" s="1"/>
  <c r="P454" i="12" a="1"/>
  <c r="P454" i="12" s="1"/>
  <c r="Q454" i="12" s="1"/>
  <c r="P453" i="12" a="1"/>
  <c r="P453" i="12" s="1"/>
  <c r="Q453" i="12" s="1"/>
  <c r="P452" i="12"/>
  <c r="P452" i="12" a="1"/>
  <c r="P451" i="12" a="1"/>
  <c r="P451" i="12" s="1"/>
  <c r="Q451" i="12" s="1"/>
  <c r="P450" i="12" a="1"/>
  <c r="P450" i="12" s="1"/>
  <c r="Q450" i="12" s="1"/>
  <c r="P449" i="12" a="1"/>
  <c r="P449" i="12" s="1"/>
  <c r="Q449" i="12" s="1"/>
  <c r="P448" i="12" a="1"/>
  <c r="P448" i="12" s="1"/>
  <c r="Q448" i="12" s="1"/>
  <c r="P447" i="12" a="1"/>
  <c r="P447" i="12" s="1"/>
  <c r="Q447" i="12" s="1"/>
  <c r="P446" i="12" a="1"/>
  <c r="P446" i="12" s="1"/>
  <c r="Q446" i="12" s="1"/>
  <c r="P445" i="12"/>
  <c r="Q445" i="12" s="1"/>
  <c r="P445" i="12" a="1"/>
  <c r="P444" i="12" a="1"/>
  <c r="P444" i="12" s="1"/>
  <c r="Q444" i="12" s="1"/>
  <c r="P443" i="12" a="1"/>
  <c r="P443" i="12" s="1"/>
  <c r="Q443" i="12" s="1"/>
  <c r="P442" i="12" a="1"/>
  <c r="P442" i="12" s="1"/>
  <c r="Q442" i="12" s="1"/>
  <c r="P441" i="12"/>
  <c r="P441" i="12" a="1"/>
  <c r="P440" i="12" a="1"/>
  <c r="P440" i="12" s="1"/>
  <c r="P439" i="12" a="1"/>
  <c r="P439" i="12" s="1"/>
  <c r="P438" i="12" a="1"/>
  <c r="P438" i="12" s="1"/>
  <c r="P437" i="12" a="1"/>
  <c r="P437" i="12" s="1"/>
  <c r="Q437" i="12" s="1"/>
  <c r="P436" i="12" a="1"/>
  <c r="P436" i="12" s="1"/>
  <c r="Q436" i="12" s="1"/>
  <c r="P435" i="12" a="1"/>
  <c r="P435" i="12" s="1"/>
  <c r="Q435" i="12" s="1"/>
  <c r="P434" i="12"/>
  <c r="P434" i="12" a="1"/>
  <c r="P433" i="12"/>
  <c r="P433" i="12" a="1"/>
  <c r="P432" i="12" a="1"/>
  <c r="P432" i="12" s="1"/>
  <c r="Q432" i="12" s="1"/>
  <c r="P431" i="12" a="1"/>
  <c r="P431" i="12" s="1"/>
  <c r="Q431" i="12" s="1"/>
  <c r="P430" i="12" a="1"/>
  <c r="P430" i="12" s="1"/>
  <c r="Q430" i="12" s="1"/>
  <c r="P429" i="12"/>
  <c r="Q429" i="12" s="1"/>
  <c r="P429" i="12" a="1"/>
  <c r="P428" i="12" a="1"/>
  <c r="P428" i="12" s="1"/>
  <c r="P427" i="12" a="1"/>
  <c r="P427" i="12" s="1"/>
  <c r="P426" i="12" a="1"/>
  <c r="P426" i="12" s="1"/>
  <c r="Q426" i="12" s="1"/>
  <c r="P425" i="12"/>
  <c r="P425" i="12" a="1"/>
  <c r="P424" i="12" a="1"/>
  <c r="P424" i="12" s="1"/>
  <c r="P423" i="12" a="1"/>
  <c r="P423" i="12" s="1"/>
  <c r="P422" i="12" a="1"/>
  <c r="P422" i="12" s="1"/>
  <c r="Q422" i="12" s="1"/>
  <c r="P421" i="12" a="1"/>
  <c r="P421" i="12" s="1"/>
  <c r="Q421" i="12" s="1"/>
  <c r="P420" i="12" a="1"/>
  <c r="P420" i="12" s="1"/>
  <c r="Q420" i="12" s="1"/>
  <c r="P419" i="12" a="1"/>
  <c r="P419" i="12" s="1"/>
  <c r="Q419" i="12" s="1"/>
  <c r="P418" i="12" a="1"/>
  <c r="P418" i="12" s="1"/>
  <c r="Q418" i="12" s="1"/>
  <c r="P417" i="12" a="1"/>
  <c r="P417" i="12" s="1"/>
  <c r="Q417" i="12" s="1"/>
  <c r="P416" i="12" a="1"/>
  <c r="P416" i="12" s="1"/>
  <c r="Q416" i="12" s="1"/>
  <c r="P415" i="12" a="1"/>
  <c r="P415" i="12" s="1"/>
  <c r="Q415" i="12" s="1"/>
  <c r="P414" i="12" a="1"/>
  <c r="P414" i="12" s="1"/>
  <c r="Q414" i="12" s="1"/>
  <c r="P413" i="12"/>
  <c r="P413" i="12" a="1"/>
  <c r="P412" i="12" a="1"/>
  <c r="P412" i="12" s="1"/>
  <c r="P411" i="12" a="1"/>
  <c r="P411" i="12" s="1"/>
  <c r="P410" i="12" a="1"/>
  <c r="P410" i="12" s="1"/>
  <c r="P409" i="12"/>
  <c r="P409" i="12" a="1"/>
  <c r="P408" i="12" a="1"/>
  <c r="P408" i="12" s="1"/>
  <c r="P407" i="12" a="1"/>
  <c r="P407" i="12" s="1"/>
  <c r="P406" i="12" a="1"/>
  <c r="P406" i="12" s="1"/>
  <c r="P405" i="12" a="1"/>
  <c r="P405" i="12" s="1"/>
  <c r="Q405" i="12" s="1"/>
  <c r="P404" i="12"/>
  <c r="Q404" i="12" s="1"/>
  <c r="P404" i="12" a="1"/>
  <c r="P403" i="12" a="1"/>
  <c r="P403" i="12" s="1"/>
  <c r="Q403" i="12" s="1"/>
  <c r="P402" i="12" a="1"/>
  <c r="P402" i="12" s="1"/>
  <c r="Q402" i="12" s="1"/>
  <c r="P401" i="12" a="1"/>
  <c r="P401" i="12" s="1"/>
  <c r="Q401" i="12" s="1"/>
  <c r="P400" i="12" a="1"/>
  <c r="P400" i="12" s="1"/>
  <c r="Q400" i="12" s="1"/>
  <c r="P399" i="12" a="1"/>
  <c r="P399" i="12" s="1"/>
  <c r="Q399" i="12" s="1"/>
  <c r="P398" i="12" a="1"/>
  <c r="P398" i="12" s="1"/>
  <c r="Q398" i="12" s="1"/>
  <c r="P397" i="12"/>
  <c r="Q397" i="12" s="1"/>
  <c r="P397" i="12" a="1"/>
  <c r="P396" i="12" a="1"/>
  <c r="P396" i="12" s="1"/>
  <c r="P395" i="12" a="1"/>
  <c r="P395" i="12" s="1"/>
  <c r="Q395" i="12" s="1"/>
  <c r="P394" i="12" a="1"/>
  <c r="P394" i="12" s="1"/>
  <c r="Q394" i="12" s="1"/>
  <c r="P393" i="12"/>
  <c r="Q393" i="12" s="1"/>
  <c r="P393" i="12" a="1"/>
  <c r="P392" i="12" a="1"/>
  <c r="P392" i="12" s="1"/>
  <c r="Q392" i="12" s="1"/>
  <c r="P391" i="12" a="1"/>
  <c r="P391" i="12" s="1"/>
  <c r="P390" i="12" a="1"/>
  <c r="P390" i="12" s="1"/>
  <c r="Q390" i="12" s="1"/>
  <c r="P389" i="12"/>
  <c r="Q389" i="12" s="1"/>
  <c r="P389" i="12" a="1"/>
  <c r="P388" i="12" a="1"/>
  <c r="P388" i="12" s="1"/>
  <c r="Q388" i="12" s="1"/>
  <c r="P387" i="12" a="1"/>
  <c r="P387" i="12" s="1"/>
  <c r="Q387" i="12" s="1"/>
  <c r="P386" i="12"/>
  <c r="Q386" i="12" s="1"/>
  <c r="P386" i="12" a="1"/>
  <c r="P385" i="12" a="1"/>
  <c r="P385" i="12" s="1"/>
  <c r="Q385" i="12" s="1"/>
  <c r="P384" i="12" a="1"/>
  <c r="P384" i="12" s="1"/>
  <c r="Q384" i="12" s="1"/>
  <c r="P383" i="12" a="1"/>
  <c r="P383" i="12" s="1"/>
  <c r="Q383" i="12" s="1"/>
  <c r="P382" i="12" a="1"/>
  <c r="P382" i="12" s="1"/>
  <c r="Q382" i="12" s="1"/>
  <c r="P381" i="12"/>
  <c r="P381" i="12" a="1"/>
  <c r="P380" i="12" a="1"/>
  <c r="P380" i="12" s="1"/>
  <c r="P379" i="12" a="1"/>
  <c r="P379" i="12" s="1"/>
  <c r="P378" i="12" a="1"/>
  <c r="P378" i="12" s="1"/>
  <c r="P377" i="12"/>
  <c r="Q377" i="12" s="1"/>
  <c r="P377" i="12" a="1"/>
  <c r="P376" i="12" a="1"/>
  <c r="P376" i="12" s="1"/>
  <c r="P375" i="12" a="1"/>
  <c r="P375" i="12" s="1"/>
  <c r="Q375" i="12" s="1"/>
  <c r="P374" i="12" a="1"/>
  <c r="P374" i="12" s="1"/>
  <c r="P373" i="12"/>
  <c r="Q373" i="12" s="1"/>
  <c r="P373" i="12" a="1"/>
  <c r="P372" i="12" a="1"/>
  <c r="P372" i="12" s="1"/>
  <c r="Q372" i="12" s="1"/>
  <c r="P371" i="12" a="1"/>
  <c r="P371" i="12" s="1"/>
  <c r="Q371" i="12" s="1"/>
  <c r="P370" i="12" a="1"/>
  <c r="P370" i="12" s="1"/>
  <c r="Q370" i="12" s="1"/>
  <c r="P369" i="12" a="1"/>
  <c r="P369" i="12" s="1"/>
  <c r="Q369" i="12" s="1"/>
  <c r="P368" i="12" a="1"/>
  <c r="P368" i="12" s="1"/>
  <c r="Q368" i="12" s="1"/>
  <c r="P367" i="12" a="1"/>
  <c r="P367" i="12" s="1"/>
  <c r="Q367" i="12" s="1"/>
  <c r="P366" i="12" a="1"/>
  <c r="P366" i="12" s="1"/>
  <c r="Q366" i="12" s="1"/>
  <c r="P365" i="12"/>
  <c r="Q365" i="12" s="1"/>
  <c r="P365" i="12" a="1"/>
  <c r="P364" i="12" a="1"/>
  <c r="P364" i="12" s="1"/>
  <c r="Q364" i="12" s="1"/>
  <c r="P363" i="12" a="1"/>
  <c r="P363" i="12" s="1"/>
  <c r="P362" i="12" a="1"/>
  <c r="P362" i="12" s="1"/>
  <c r="Q362" i="12" s="1"/>
  <c r="P361" i="12"/>
  <c r="P361" i="12" a="1"/>
  <c r="P360" i="12" a="1"/>
  <c r="P360" i="12" s="1"/>
  <c r="P359" i="12" a="1"/>
  <c r="P359" i="12" s="1"/>
  <c r="P358" i="12" a="1"/>
  <c r="P358" i="12" s="1"/>
  <c r="Q358" i="12" s="1"/>
  <c r="P357" i="12"/>
  <c r="Q357" i="12" s="1"/>
  <c r="P357" i="12" a="1"/>
  <c r="P356" i="12" a="1"/>
  <c r="P356" i="12" s="1"/>
  <c r="Q356" i="12" s="1"/>
  <c r="P355" i="12" a="1"/>
  <c r="P355" i="12" s="1"/>
  <c r="Q355" i="12" s="1"/>
  <c r="P354" i="12" a="1"/>
  <c r="P354" i="12" s="1"/>
  <c r="Q354" i="12" s="1"/>
  <c r="P353" i="12" a="1"/>
  <c r="P353" i="12" s="1"/>
  <c r="Q353" i="12" s="1"/>
  <c r="P352" i="12" a="1"/>
  <c r="P352" i="12" s="1"/>
  <c r="Q352" i="12" s="1"/>
  <c r="P351" i="12" a="1"/>
  <c r="P351" i="12" s="1"/>
  <c r="Q351" i="12" s="1"/>
  <c r="P350" i="12" a="1"/>
  <c r="P350" i="12" s="1"/>
  <c r="Q350" i="12" s="1"/>
  <c r="P349" i="12"/>
  <c r="Q349" i="12" s="1"/>
  <c r="P349" i="12" a="1"/>
  <c r="P348" i="12" a="1"/>
  <c r="P348" i="12" s="1"/>
  <c r="Q348" i="12" s="1"/>
  <c r="P347" i="12" a="1"/>
  <c r="P347" i="12" s="1"/>
  <c r="Q347" i="12" s="1"/>
  <c r="P346" i="12" a="1"/>
  <c r="P346" i="12" s="1"/>
  <c r="P345" i="12"/>
  <c r="Q345" i="12" s="1"/>
  <c r="P345" i="12" a="1"/>
  <c r="P344" i="12" a="1"/>
  <c r="P344" i="12" s="1"/>
  <c r="P343" i="12" a="1"/>
  <c r="P343" i="12" s="1"/>
  <c r="P342" i="12" a="1"/>
  <c r="P342" i="12" s="1"/>
  <c r="P341" i="12" a="1"/>
  <c r="P341" i="12" s="1"/>
  <c r="Q341" i="12" s="1"/>
  <c r="P340" i="12" a="1"/>
  <c r="P340" i="12" s="1"/>
  <c r="Q340" i="12" s="1"/>
  <c r="P339" i="12" a="1"/>
  <c r="P339" i="12" s="1"/>
  <c r="Q339" i="12" s="1"/>
  <c r="P338" i="12"/>
  <c r="P338" i="12" a="1"/>
  <c r="P337" i="12" a="1"/>
  <c r="P337" i="12" s="1"/>
  <c r="Q337" i="12" s="1"/>
  <c r="P336" i="12" a="1"/>
  <c r="P336" i="12" s="1"/>
  <c r="Q336" i="12" s="1"/>
  <c r="P335" i="12" a="1"/>
  <c r="P335" i="12" s="1"/>
  <c r="Q335" i="12" s="1"/>
  <c r="P334" i="12" a="1"/>
  <c r="P334" i="12" s="1"/>
  <c r="Q334" i="12" s="1"/>
  <c r="P333" i="12"/>
  <c r="Q333" i="12" s="1"/>
  <c r="P333" i="12" a="1"/>
  <c r="P332" i="12" a="1"/>
  <c r="P332" i="12" s="1"/>
  <c r="P331" i="12" a="1"/>
  <c r="P331" i="12" s="1"/>
  <c r="P330" i="12" a="1"/>
  <c r="P330" i="12" s="1"/>
  <c r="Q330" i="12" s="1"/>
  <c r="P329" i="12"/>
  <c r="P329" i="12" a="1"/>
  <c r="P328" i="12" a="1"/>
  <c r="P328" i="12" s="1"/>
  <c r="P327" i="12" a="1"/>
  <c r="P327" i="12" s="1"/>
  <c r="Q327" i="12" s="1"/>
  <c r="P326" i="12" a="1"/>
  <c r="P326" i="12" s="1"/>
  <c r="Q326" i="12" s="1"/>
  <c r="P325" i="12" a="1"/>
  <c r="P325" i="12" s="1"/>
  <c r="Q325" i="12" s="1"/>
  <c r="P324" i="12"/>
  <c r="Q324" i="12" s="1"/>
  <c r="P324" i="12" a="1"/>
  <c r="P323" i="12"/>
  <c r="Q323" i="12" s="1"/>
  <c r="P323" i="12" a="1"/>
  <c r="P322" i="12" a="1"/>
  <c r="P322" i="12" s="1"/>
  <c r="Q322" i="12" s="1"/>
  <c r="P321" i="12" a="1"/>
  <c r="P321" i="12" s="1"/>
  <c r="Q321" i="12" s="1"/>
  <c r="P320" i="12" a="1"/>
  <c r="P320" i="12" s="1"/>
  <c r="Q320" i="12" s="1"/>
  <c r="P319" i="12" a="1"/>
  <c r="P319" i="12" s="1"/>
  <c r="Q319" i="12" s="1"/>
  <c r="P318" i="12" a="1"/>
  <c r="P318" i="12" s="1"/>
  <c r="Q318" i="12" s="1"/>
  <c r="P317" i="12"/>
  <c r="P317" i="12" a="1"/>
  <c r="P316" i="12" a="1"/>
  <c r="P316" i="12" s="1"/>
  <c r="P315" i="12" a="1"/>
  <c r="P315" i="12" s="1"/>
  <c r="P314" i="12" a="1"/>
  <c r="P314" i="12" s="1"/>
  <c r="P313" i="12"/>
  <c r="P313" i="12" a="1"/>
  <c r="P312" i="12" a="1"/>
  <c r="P312" i="12" s="1"/>
  <c r="P311" i="12" a="1"/>
  <c r="P311" i="12" s="1"/>
  <c r="Q311" i="12" s="1"/>
  <c r="P310" i="12" a="1"/>
  <c r="P310" i="12" s="1"/>
  <c r="Q310" i="12" s="1"/>
  <c r="P309" i="12" a="1"/>
  <c r="P309" i="12" s="1"/>
  <c r="Q309" i="12" s="1"/>
  <c r="P308" i="12"/>
  <c r="Q308" i="12" s="1"/>
  <c r="P308" i="12" a="1"/>
  <c r="P307" i="12"/>
  <c r="Q307" i="12" s="1"/>
  <c r="P307" i="12" a="1"/>
  <c r="P306" i="12" a="1"/>
  <c r="P306" i="12" s="1"/>
  <c r="Q306" i="12" s="1"/>
  <c r="P305" i="12" a="1"/>
  <c r="P305" i="12" s="1"/>
  <c r="Q305" i="12" s="1"/>
  <c r="P304" i="12" a="1"/>
  <c r="P304" i="12" s="1"/>
  <c r="Q304" i="12" s="1"/>
  <c r="P303" i="12" a="1"/>
  <c r="P303" i="12" s="1"/>
  <c r="Q303" i="12" s="1"/>
  <c r="P302" i="12" a="1"/>
  <c r="P302" i="12" s="1"/>
  <c r="Q302" i="12" s="1"/>
  <c r="P301" i="12"/>
  <c r="Q301" i="12" s="1"/>
  <c r="P301" i="12" a="1"/>
  <c r="P300" i="12" a="1"/>
  <c r="P300" i="12" s="1"/>
  <c r="P299" i="12" a="1"/>
  <c r="P299" i="12" s="1"/>
  <c r="P298" i="12" a="1"/>
  <c r="P298" i="12" s="1"/>
  <c r="Q298" i="12" s="1"/>
  <c r="P297" i="12"/>
  <c r="P297" i="12" a="1"/>
  <c r="P296" i="12" a="1"/>
  <c r="P296" i="12" s="1"/>
  <c r="P295" i="12" a="1"/>
  <c r="P295" i="12" s="1"/>
  <c r="Q295" i="12" s="1"/>
  <c r="P294" i="12" a="1"/>
  <c r="P294" i="12" s="1"/>
  <c r="Q294" i="12" s="1"/>
  <c r="P293" i="12" a="1"/>
  <c r="P293" i="12" s="1"/>
  <c r="Q293" i="12" s="1"/>
  <c r="P292" i="12" a="1"/>
  <c r="P292" i="12" s="1"/>
  <c r="Q292" i="12" s="1"/>
  <c r="P291" i="12"/>
  <c r="Q291" i="12" s="1"/>
  <c r="P291" i="12" a="1"/>
  <c r="P290" i="12" a="1"/>
  <c r="P290" i="12" s="1"/>
  <c r="Q290" i="12" s="1"/>
  <c r="P289" i="12" a="1"/>
  <c r="P289" i="12" s="1"/>
  <c r="Q289" i="12" s="1"/>
  <c r="P288" i="12" a="1"/>
  <c r="P288" i="12" s="1"/>
  <c r="Q288" i="12" s="1"/>
  <c r="P287" i="12" a="1"/>
  <c r="P287" i="12" s="1"/>
  <c r="Q287" i="12" s="1"/>
  <c r="P286" i="12" a="1"/>
  <c r="P286" i="12" s="1"/>
  <c r="Q286" i="12" s="1"/>
  <c r="P285" i="12"/>
  <c r="Q285" i="12" s="1"/>
  <c r="P285" i="12" a="1"/>
  <c r="P284" i="12" a="1"/>
  <c r="P284" i="12" s="1"/>
  <c r="Q284" i="12" s="1"/>
  <c r="P283" i="12" a="1"/>
  <c r="P283" i="12" s="1"/>
  <c r="Q283" i="12" s="1"/>
  <c r="P282" i="12" a="1"/>
  <c r="P282" i="12" s="1"/>
  <c r="Q282" i="12" s="1"/>
  <c r="P281" i="12"/>
  <c r="Q281" i="12" s="1"/>
  <c r="P281" i="12" a="1"/>
  <c r="P280" i="12" a="1"/>
  <c r="P280" i="12" s="1"/>
  <c r="P279" i="12" a="1"/>
  <c r="P279" i="12" s="1"/>
  <c r="P278" i="12" a="1"/>
  <c r="P278" i="12" s="1"/>
  <c r="P277" i="12"/>
  <c r="P277" i="12" a="1"/>
  <c r="P276" i="12"/>
  <c r="P276" i="12" a="1"/>
  <c r="P275" i="12" a="1"/>
  <c r="P275" i="12" s="1"/>
  <c r="Q275" i="12" s="1"/>
  <c r="P274" i="12" a="1"/>
  <c r="P274" i="12" s="1"/>
  <c r="Q274" i="12" s="1"/>
  <c r="P273" i="12" a="1"/>
  <c r="P273" i="12" s="1"/>
  <c r="Q273" i="12" s="1"/>
  <c r="P272" i="12" a="1"/>
  <c r="P272" i="12" s="1"/>
  <c r="Q272" i="12" s="1"/>
  <c r="P271" i="12" a="1"/>
  <c r="P271" i="12" s="1"/>
  <c r="Q271" i="12" s="1"/>
  <c r="P270" i="12" a="1"/>
  <c r="P270" i="12" s="1"/>
  <c r="Q270" i="12" s="1"/>
  <c r="P269" i="12"/>
  <c r="Q269" i="12" s="1"/>
  <c r="P269" i="12" a="1"/>
  <c r="P268" i="12" a="1"/>
  <c r="P268" i="12" s="1"/>
  <c r="P267" i="12" a="1"/>
  <c r="P267" i="12" s="1"/>
  <c r="P266" i="12" a="1"/>
  <c r="P266" i="12" s="1"/>
  <c r="Q266" i="12" s="1"/>
  <c r="P265" i="12"/>
  <c r="P265" i="12" a="1"/>
  <c r="P264" i="12" a="1"/>
  <c r="P264" i="12" s="1"/>
  <c r="Q264" i="12" s="1"/>
  <c r="P263" i="12" a="1"/>
  <c r="P263" i="12" s="1"/>
  <c r="P262" i="12" a="1"/>
  <c r="P262" i="12" s="1"/>
  <c r="Q262" i="12" s="1"/>
  <c r="P261" i="12" a="1"/>
  <c r="P261" i="12" s="1"/>
  <c r="Q261" i="12" s="1"/>
  <c r="P260" i="12" a="1"/>
  <c r="P260" i="12" s="1"/>
  <c r="Q260" i="12" s="1"/>
  <c r="P259" i="12" a="1"/>
  <c r="P259" i="12" s="1"/>
  <c r="Q259" i="12" s="1"/>
  <c r="P258" i="12"/>
  <c r="Q258" i="12" s="1"/>
  <c r="P258" i="12" a="1"/>
  <c r="P257" i="12"/>
  <c r="Q257" i="12" s="1"/>
  <c r="P257" i="12" a="1"/>
  <c r="P256" i="12" a="1"/>
  <c r="P256" i="12" s="1"/>
  <c r="Q256" i="12" s="1"/>
  <c r="P255" i="12" a="1"/>
  <c r="P255" i="12" s="1"/>
  <c r="Q255" i="12" s="1"/>
  <c r="P254" i="12" a="1"/>
  <c r="P254" i="12" s="1"/>
  <c r="Q254" i="12" s="1"/>
  <c r="P253" i="12"/>
  <c r="P253" i="12" a="1"/>
  <c r="P252" i="12" a="1"/>
  <c r="P252" i="12" s="1"/>
  <c r="P251" i="12" a="1"/>
  <c r="P251" i="12" s="1"/>
  <c r="P250" i="12" a="1"/>
  <c r="P250" i="12" s="1"/>
  <c r="P249" i="12"/>
  <c r="P249" i="12" a="1"/>
  <c r="P248" i="12" a="1"/>
  <c r="P248" i="12" s="1"/>
  <c r="P247" i="12" a="1"/>
  <c r="P247" i="12" s="1"/>
  <c r="Q247" i="12" s="1"/>
  <c r="P246" i="12" a="1"/>
  <c r="P246" i="12" s="1"/>
  <c r="Q246" i="12" s="1"/>
  <c r="P245" i="12" a="1"/>
  <c r="P245" i="12" s="1"/>
  <c r="Q245" i="12" s="1"/>
  <c r="P244" i="12" a="1"/>
  <c r="P244" i="12" s="1"/>
  <c r="Q244" i="12" s="1"/>
  <c r="P243" i="12" a="1"/>
  <c r="P243" i="12" s="1"/>
  <c r="Q243" i="12" s="1"/>
  <c r="P242" i="12"/>
  <c r="Q242" i="12" s="1"/>
  <c r="P242" i="12" a="1"/>
  <c r="P241" i="12"/>
  <c r="Q241" i="12" s="1"/>
  <c r="P241" i="12" a="1"/>
  <c r="P240" i="12" a="1"/>
  <c r="P240" i="12" s="1"/>
  <c r="Q240" i="12" s="1"/>
  <c r="P239" i="12" a="1"/>
  <c r="P239" i="12" s="1"/>
  <c r="Q239" i="12" s="1"/>
  <c r="P238" i="12" a="1"/>
  <c r="P238" i="12" s="1"/>
  <c r="Q238" i="12" s="1"/>
  <c r="P237" i="12"/>
  <c r="Q237" i="12" s="1"/>
  <c r="P237" i="12" a="1"/>
  <c r="P236" i="12" a="1"/>
  <c r="P236" i="12" s="1"/>
  <c r="Q236" i="12" s="1"/>
  <c r="P235" i="12" a="1"/>
  <c r="P235" i="12" s="1"/>
  <c r="Q235" i="12" s="1"/>
  <c r="P234" i="12" a="1"/>
  <c r="P234" i="12" s="1"/>
  <c r="Q234" i="12" s="1"/>
  <c r="P233" i="12"/>
  <c r="P233" i="12" a="1"/>
  <c r="P232" i="12" a="1"/>
  <c r="P232" i="12" s="1"/>
  <c r="P231" i="12" a="1"/>
  <c r="P231" i="12" s="1"/>
  <c r="P230" i="12" a="1"/>
  <c r="P230" i="12" s="1"/>
  <c r="Q230" i="12" s="1"/>
  <c r="P229" i="12"/>
  <c r="Q229" i="12" s="1"/>
  <c r="P229" i="12" a="1"/>
  <c r="P228" i="12" a="1"/>
  <c r="P228" i="12" s="1"/>
  <c r="Q228" i="12" s="1"/>
  <c r="P227" i="12" a="1"/>
  <c r="P227" i="12" s="1"/>
  <c r="Q227" i="12" s="1"/>
  <c r="P226" i="12" a="1"/>
  <c r="P226" i="12" s="1"/>
  <c r="Q226" i="12" s="1"/>
  <c r="P225" i="12"/>
  <c r="Q225" i="12" s="1"/>
  <c r="P225" i="12" a="1"/>
  <c r="P224" i="12" a="1"/>
  <c r="P224" i="12" s="1"/>
  <c r="Q224" i="12" s="1"/>
  <c r="P223" i="12" a="1"/>
  <c r="P223" i="12" s="1"/>
  <c r="Q223" i="12" s="1"/>
  <c r="P222" i="12" a="1"/>
  <c r="P222" i="12" s="1"/>
  <c r="Q222" i="12" s="1"/>
  <c r="P221" i="12"/>
  <c r="P221" i="12" a="1"/>
  <c r="P220" i="12" a="1"/>
  <c r="P220" i="12" s="1"/>
  <c r="P219" i="12" a="1"/>
  <c r="P219" i="12" s="1"/>
  <c r="P218" i="12" a="1"/>
  <c r="P218" i="12" s="1"/>
  <c r="P217" i="12"/>
  <c r="P217" i="12" a="1"/>
  <c r="P216" i="12" a="1"/>
  <c r="P216" i="12" s="1"/>
  <c r="Q216" i="12" s="1"/>
  <c r="P215" i="12" a="1"/>
  <c r="P215" i="12" s="1"/>
  <c r="Q215" i="12" s="1"/>
  <c r="P214" i="12" a="1"/>
  <c r="P214" i="12" s="1"/>
  <c r="Q214" i="12" s="1"/>
  <c r="P213" i="12" a="1"/>
  <c r="P213" i="12" s="1"/>
  <c r="Q213" i="12" s="1"/>
  <c r="P212" i="12" a="1"/>
  <c r="P212" i="12" s="1"/>
  <c r="Q212" i="12" s="1"/>
  <c r="P211" i="12" a="1"/>
  <c r="P211" i="12" s="1"/>
  <c r="Q211" i="12" s="1"/>
  <c r="P210" i="12"/>
  <c r="P210" i="12" a="1"/>
  <c r="P209" i="12" a="1"/>
  <c r="P209" i="12" s="1"/>
  <c r="Q209" i="12" s="1"/>
  <c r="P208" i="12" a="1"/>
  <c r="P208" i="12" s="1"/>
  <c r="Q208" i="12" s="1"/>
  <c r="P207" i="12" a="1"/>
  <c r="P207" i="12" s="1"/>
  <c r="Q207" i="12" s="1"/>
  <c r="P206" i="12" a="1"/>
  <c r="P206" i="12" s="1"/>
  <c r="Q206" i="12" s="1"/>
  <c r="P205" i="12"/>
  <c r="Q205" i="12" s="1"/>
  <c r="P205" i="12" a="1"/>
  <c r="P204" i="12" a="1"/>
  <c r="P204" i="12" s="1"/>
  <c r="P203" i="12" a="1"/>
  <c r="P203" i="12" s="1"/>
  <c r="Q203" i="12" s="1"/>
  <c r="P202" i="12" a="1"/>
  <c r="P202" i="12" s="1"/>
  <c r="Q202" i="12" s="1"/>
  <c r="P201" i="12"/>
  <c r="P201" i="12" a="1"/>
  <c r="P200" i="12" a="1"/>
  <c r="P200" i="12" s="1"/>
  <c r="P199" i="12" a="1"/>
  <c r="P199" i="12" s="1"/>
  <c r="Q199" i="12" s="1"/>
  <c r="P198" i="12" a="1"/>
  <c r="P198" i="12" s="1"/>
  <c r="Q198" i="12" s="1"/>
  <c r="P197" i="12" a="1"/>
  <c r="P197" i="12" s="1"/>
  <c r="Q197" i="12" s="1"/>
  <c r="P196" i="12" a="1"/>
  <c r="P196" i="12" s="1"/>
  <c r="Q196" i="12" s="1"/>
  <c r="P195" i="12" a="1"/>
  <c r="P195" i="12" s="1"/>
  <c r="Q195" i="12" s="1"/>
  <c r="P194" i="12" a="1"/>
  <c r="P194" i="12" s="1"/>
  <c r="Q194" i="12" s="1"/>
  <c r="P193" i="12" a="1"/>
  <c r="P193" i="12" s="1"/>
  <c r="Q193" i="12" s="1"/>
  <c r="P192" i="12" a="1"/>
  <c r="P192" i="12" s="1"/>
  <c r="Q192" i="12" s="1"/>
  <c r="P191" i="12" a="1"/>
  <c r="P191" i="12" s="1"/>
  <c r="Q191" i="12" s="1"/>
  <c r="P190" i="12" a="1"/>
  <c r="P190" i="12" s="1"/>
  <c r="Q190" i="12" s="1"/>
  <c r="P189" i="12"/>
  <c r="P189" i="12" a="1"/>
  <c r="P188" i="12" a="1"/>
  <c r="P188" i="12" s="1"/>
  <c r="P187" i="12" a="1"/>
  <c r="P187" i="12" s="1"/>
  <c r="P186" i="12" a="1"/>
  <c r="P186" i="12" s="1"/>
  <c r="P185" i="12"/>
  <c r="P185" i="12" a="1"/>
  <c r="P184" i="12" a="1"/>
  <c r="P184" i="12" s="1"/>
  <c r="Q184" i="12" s="1"/>
  <c r="P183" i="12" a="1"/>
  <c r="P183" i="12" s="1"/>
  <c r="Q183" i="12" s="1"/>
  <c r="P182" i="12" a="1"/>
  <c r="P182" i="12" s="1"/>
  <c r="Q182" i="12" s="1"/>
  <c r="P181" i="12"/>
  <c r="Q181" i="12" s="1"/>
  <c r="P181" i="12" a="1"/>
  <c r="P180" i="12" a="1"/>
  <c r="P180" i="12" s="1"/>
  <c r="Q180" i="12" s="1"/>
  <c r="P179" i="12" a="1"/>
  <c r="P179" i="12" s="1"/>
  <c r="Q179" i="12" s="1"/>
  <c r="P178" i="12" a="1"/>
  <c r="P178" i="12" s="1"/>
  <c r="Q178" i="12" s="1"/>
  <c r="P177" i="12" a="1"/>
  <c r="P177" i="12" s="1"/>
  <c r="Q177" i="12" s="1"/>
  <c r="P176" i="12" a="1"/>
  <c r="P176" i="12" s="1"/>
  <c r="Q176" i="12" s="1"/>
  <c r="P175" i="12" a="1"/>
  <c r="P175" i="12" s="1"/>
  <c r="Q175" i="12" s="1"/>
  <c r="P174" i="12" a="1"/>
  <c r="P174" i="12" s="1"/>
  <c r="Q174" i="12" s="1"/>
  <c r="P173" i="12"/>
  <c r="Q173" i="12" s="1"/>
  <c r="P173" i="12" a="1"/>
  <c r="P172" i="12" a="1"/>
  <c r="P172" i="12" s="1"/>
  <c r="P171" i="12" a="1"/>
  <c r="P171" i="12" s="1"/>
  <c r="P170" i="12" a="1"/>
  <c r="P170" i="12" s="1"/>
  <c r="Q170" i="12" s="1"/>
  <c r="P169" i="12"/>
  <c r="Q169" i="12" s="1"/>
  <c r="P169" i="12" a="1"/>
  <c r="P168" i="12" a="1"/>
  <c r="P168" i="12" s="1"/>
  <c r="P167" i="12" a="1"/>
  <c r="P167" i="12" s="1"/>
  <c r="P166" i="12" a="1"/>
  <c r="P166" i="12" s="1"/>
  <c r="Q166" i="12" s="1"/>
  <c r="P165" i="12" a="1"/>
  <c r="P165" i="12" s="1"/>
  <c r="Q165" i="12" s="1"/>
  <c r="P164" i="12"/>
  <c r="P164" i="12" a="1"/>
  <c r="P163" i="12"/>
  <c r="Q163" i="12" s="1"/>
  <c r="P163" i="12" a="1"/>
  <c r="P162" i="12" a="1"/>
  <c r="P162" i="12" s="1"/>
  <c r="Q162" i="12" s="1"/>
  <c r="P161" i="12" a="1"/>
  <c r="P161" i="12" s="1"/>
  <c r="Q161" i="12" s="1"/>
  <c r="P160" i="12" a="1"/>
  <c r="P160" i="12" s="1"/>
  <c r="Q160" i="12" s="1"/>
  <c r="P159" i="12" a="1"/>
  <c r="P159" i="12" s="1"/>
  <c r="Q159" i="12" s="1"/>
  <c r="P158" i="12" a="1"/>
  <c r="P158" i="12" s="1"/>
  <c r="Q158" i="12" s="1"/>
  <c r="P157" i="12"/>
  <c r="P157" i="12" a="1"/>
  <c r="P156" i="12" a="1"/>
  <c r="P156" i="12" s="1"/>
  <c r="P155" i="12" a="1"/>
  <c r="P155" i="12" s="1"/>
  <c r="P154" i="12" a="1"/>
  <c r="P154" i="12" s="1"/>
  <c r="P153" i="12"/>
  <c r="Q153" i="12" s="1"/>
  <c r="P153" i="12" a="1"/>
  <c r="P152" i="12" a="1"/>
  <c r="P152" i="12" s="1"/>
  <c r="P151" i="12" a="1"/>
  <c r="P151" i="12" s="1"/>
  <c r="Q151" i="12" s="1"/>
  <c r="P150" i="12" a="1"/>
  <c r="P150" i="12" s="1"/>
  <c r="P149" i="12" a="1"/>
  <c r="P149" i="12" s="1"/>
  <c r="Q149" i="12" s="1"/>
  <c r="P148" i="12" a="1"/>
  <c r="P148" i="12" s="1"/>
  <c r="Q148" i="12" s="1"/>
  <c r="P147" i="12" a="1"/>
  <c r="P147" i="12" s="1"/>
  <c r="Q147" i="12" s="1"/>
  <c r="P146" i="12" a="1"/>
  <c r="P146" i="12" s="1"/>
  <c r="Q146" i="12" s="1"/>
  <c r="P145" i="12" a="1"/>
  <c r="P145" i="12" s="1"/>
  <c r="Q145" i="12" s="1"/>
  <c r="P144" i="12" a="1"/>
  <c r="P144" i="12" s="1"/>
  <c r="Q144" i="12" s="1"/>
  <c r="P143" i="12" a="1"/>
  <c r="P143" i="12" s="1"/>
  <c r="Q143" i="12" s="1"/>
  <c r="P142" i="12" a="1"/>
  <c r="P142" i="12" s="1"/>
  <c r="Q142" i="12" s="1"/>
  <c r="P141" i="12"/>
  <c r="Q141" i="12" s="1"/>
  <c r="P141" i="12" a="1"/>
  <c r="P140" i="12" a="1"/>
  <c r="P140" i="12" s="1"/>
  <c r="P139" i="12" a="1"/>
  <c r="P139" i="12" s="1"/>
  <c r="P138" i="12" a="1"/>
  <c r="P138" i="12" s="1"/>
  <c r="Q138" i="12" s="1"/>
  <c r="P137" i="12"/>
  <c r="Q137" i="12" s="1"/>
  <c r="P137" i="12" a="1"/>
  <c r="P136" i="12" a="1"/>
  <c r="P136" i="12" s="1"/>
  <c r="Q136" i="12" s="1"/>
  <c r="P135" i="12" a="1"/>
  <c r="P135" i="12" s="1"/>
  <c r="Q135" i="12" s="1"/>
  <c r="P134" i="12" a="1"/>
  <c r="P134" i="12" s="1"/>
  <c r="Q134" i="12" s="1"/>
  <c r="P133" i="12" a="1"/>
  <c r="P133" i="12" s="1"/>
  <c r="Q133" i="12" s="1"/>
  <c r="P132" i="12" a="1"/>
  <c r="P132" i="12" s="1"/>
  <c r="Q132" i="12" s="1"/>
  <c r="P131" i="12" a="1"/>
  <c r="P131" i="12" s="1"/>
  <c r="Q131" i="12" s="1"/>
  <c r="P130" i="12" a="1"/>
  <c r="P130" i="12" s="1"/>
  <c r="Q130" i="12" s="1"/>
  <c r="P129" i="12" a="1"/>
  <c r="P129" i="12" s="1"/>
  <c r="Q129" i="12" s="1"/>
  <c r="P128" i="12" a="1"/>
  <c r="P128" i="12" s="1"/>
  <c r="Q128" i="12" s="1"/>
  <c r="P127" i="12" a="1"/>
  <c r="P127" i="12" s="1"/>
  <c r="Q127" i="12" s="1"/>
  <c r="P126" i="12" a="1"/>
  <c r="P126" i="12" s="1"/>
  <c r="Q126" i="12" s="1"/>
  <c r="P125" i="12"/>
  <c r="Q125" i="12" s="1"/>
  <c r="P125" i="12" a="1"/>
  <c r="P124" i="12" a="1"/>
  <c r="P124" i="12" s="1"/>
  <c r="P123" i="12" a="1"/>
  <c r="P123" i="12" s="1"/>
  <c r="Q123" i="12" s="1"/>
  <c r="P122" i="12" a="1"/>
  <c r="P122" i="12" s="1"/>
  <c r="P121" i="12"/>
  <c r="P121" i="12" a="1"/>
  <c r="P120" i="12" a="1"/>
  <c r="P120" i="12" s="1"/>
  <c r="P119" i="12" a="1"/>
  <c r="P119" i="12" s="1"/>
  <c r="P118" i="12" a="1"/>
  <c r="P118" i="12" s="1"/>
  <c r="P117" i="12" a="1"/>
  <c r="P117" i="12" s="1"/>
  <c r="Q117" i="12" s="1"/>
  <c r="P116" i="12" a="1"/>
  <c r="P116" i="12" s="1"/>
  <c r="Q116" i="12" s="1"/>
  <c r="P115" i="12"/>
  <c r="P115" i="12" a="1"/>
  <c r="P114" i="12" a="1"/>
  <c r="P114" i="12" s="1"/>
  <c r="Q114" i="12" s="1"/>
  <c r="P113" i="12" a="1"/>
  <c r="P113" i="12" s="1"/>
  <c r="Q113" i="12" s="1"/>
  <c r="P112" i="12" a="1"/>
  <c r="P112" i="12" s="1"/>
  <c r="Q112" i="12" s="1"/>
  <c r="P111" i="12" a="1"/>
  <c r="P111" i="12" s="1"/>
  <c r="Q111" i="12" s="1"/>
  <c r="P110" i="12" a="1"/>
  <c r="P110" i="12" s="1"/>
  <c r="Q110" i="12" s="1"/>
  <c r="P109" i="12"/>
  <c r="Q109" i="12" s="1"/>
  <c r="P109" i="12" a="1"/>
  <c r="P108" i="12" a="1"/>
  <c r="P108" i="12" s="1"/>
  <c r="P107" i="12" a="1"/>
  <c r="P107" i="12" s="1"/>
  <c r="Q107" i="12" s="1"/>
  <c r="P106" i="12" a="1"/>
  <c r="P106" i="12" s="1"/>
  <c r="Q106" i="12" s="1"/>
  <c r="P105" i="12"/>
  <c r="P105" i="12" a="1"/>
  <c r="P104" i="12" a="1"/>
  <c r="P104" i="12" s="1"/>
  <c r="Q104" i="12" s="1"/>
  <c r="P103" i="12" a="1"/>
  <c r="P103" i="12" s="1"/>
  <c r="Q103" i="12" s="1"/>
  <c r="P102" i="12" a="1"/>
  <c r="P102" i="12" s="1"/>
  <c r="Q102" i="12" s="1"/>
  <c r="P101" i="12"/>
  <c r="Q101" i="12" s="1"/>
  <c r="P101" i="12" a="1"/>
  <c r="P100" i="12"/>
  <c r="P100" i="12" a="1"/>
  <c r="P99" i="12" a="1"/>
  <c r="P99" i="12" s="1"/>
  <c r="Q99" i="12" s="1"/>
  <c r="P98" i="12"/>
  <c r="Q98" i="12" s="1"/>
  <c r="P98" i="12" a="1"/>
  <c r="P97" i="12"/>
  <c r="Q97" i="12" s="1"/>
  <c r="P97" i="12" a="1"/>
  <c r="P96" i="12" a="1"/>
  <c r="P96" i="12" s="1"/>
  <c r="Q96" i="12" s="1"/>
  <c r="P95" i="12" a="1"/>
  <c r="P95" i="12" s="1"/>
  <c r="Q95" i="12" s="1"/>
  <c r="P94" i="12" a="1"/>
  <c r="P94" i="12" s="1"/>
  <c r="Q94" i="12" s="1"/>
  <c r="P93" i="12"/>
  <c r="P93" i="12" a="1"/>
  <c r="P92" i="12" a="1"/>
  <c r="P92" i="12" s="1"/>
  <c r="Q92" i="12" s="1"/>
  <c r="P91" i="12" a="1"/>
  <c r="P91" i="12" s="1"/>
  <c r="Q91" i="12" s="1"/>
  <c r="P90" i="12" a="1"/>
  <c r="P90" i="12" s="1"/>
  <c r="P89" i="12"/>
  <c r="P89" i="12" a="1"/>
  <c r="P88" i="12" a="1"/>
  <c r="P88" i="12" s="1"/>
  <c r="Q88" i="12" s="1"/>
  <c r="P87" i="12" a="1"/>
  <c r="P87" i="12" s="1"/>
  <c r="Q87" i="12" s="1"/>
  <c r="P86" i="12" a="1"/>
  <c r="P86" i="12" s="1"/>
  <c r="Q86" i="12" s="1"/>
  <c r="P85" i="12"/>
  <c r="Q85" i="12" s="1"/>
  <c r="P85" i="12" a="1"/>
  <c r="P84" i="12"/>
  <c r="Q84" i="12" s="1"/>
  <c r="P84" i="12" a="1"/>
  <c r="P83" i="12" a="1"/>
  <c r="P83" i="12" s="1"/>
  <c r="Q83" i="12" s="1"/>
  <c r="P82" i="12" a="1"/>
  <c r="P82" i="12" s="1"/>
  <c r="Q82" i="12" s="1"/>
  <c r="P81" i="12" a="1"/>
  <c r="P81" i="12" s="1"/>
  <c r="Q81" i="12" s="1"/>
  <c r="P80" i="12" a="1"/>
  <c r="P80" i="12" s="1"/>
  <c r="Q80" i="12" s="1"/>
  <c r="P79" i="12" a="1"/>
  <c r="P79" i="12" s="1"/>
  <c r="Q79" i="12" s="1"/>
  <c r="P78" i="12" a="1"/>
  <c r="P78" i="12" s="1"/>
  <c r="Q78" i="12" s="1"/>
  <c r="P77" i="12"/>
  <c r="Q77" i="12" s="1"/>
  <c r="P77" i="12" a="1"/>
  <c r="P76" i="12" a="1"/>
  <c r="P76" i="12" s="1"/>
  <c r="P75" i="12" a="1"/>
  <c r="P75" i="12" s="1"/>
  <c r="P74" i="12" a="1"/>
  <c r="P74" i="12" s="1"/>
  <c r="Q74" i="12" s="1"/>
  <c r="P73" i="12"/>
  <c r="P73" i="12" a="1"/>
  <c r="P72" i="12" a="1"/>
  <c r="P72" i="12" s="1"/>
  <c r="Q72" i="12" s="1"/>
  <c r="P71" i="12" a="1"/>
  <c r="P71" i="12" s="1"/>
  <c r="P70" i="12" a="1"/>
  <c r="P70" i="12" s="1"/>
  <c r="Q70" i="12" s="1"/>
  <c r="P69" i="12" a="1"/>
  <c r="P69" i="12" s="1"/>
  <c r="Q69" i="12" s="1"/>
  <c r="P68" i="12"/>
  <c r="Q68" i="12" s="1"/>
  <c r="P68" i="12" a="1"/>
  <c r="P67" i="12" a="1"/>
  <c r="P67" i="12" s="1"/>
  <c r="Q67" i="12" s="1"/>
  <c r="P66" i="12" a="1"/>
  <c r="P66" i="12" s="1"/>
  <c r="Q66" i="12" s="1"/>
  <c r="P65" i="12" a="1"/>
  <c r="P65" i="12" s="1"/>
  <c r="Q65" i="12" s="1"/>
  <c r="P64" i="12" a="1"/>
  <c r="P64" i="12" s="1"/>
  <c r="Q64" i="12" s="1"/>
  <c r="P63" i="12" a="1"/>
  <c r="P63" i="12" s="1"/>
  <c r="Q63" i="12" s="1"/>
  <c r="P62" i="12" a="1"/>
  <c r="P62" i="12" s="1"/>
  <c r="Q62" i="12" s="1"/>
  <c r="P61" i="12"/>
  <c r="P61" i="12" a="1"/>
  <c r="P60" i="12" a="1"/>
  <c r="P60" i="12" s="1"/>
  <c r="P59" i="12" a="1"/>
  <c r="P59" i="12" s="1"/>
  <c r="P58" i="12" a="1"/>
  <c r="P58" i="12" s="1"/>
  <c r="Q58" i="12" s="1"/>
  <c r="P57" i="12"/>
  <c r="Q57" i="12" s="1"/>
  <c r="P57" i="12" a="1"/>
  <c r="P56" i="12" a="1"/>
  <c r="P56" i="12" s="1"/>
  <c r="P55" i="12" a="1"/>
  <c r="P55" i="12" s="1"/>
  <c r="P54" i="12" a="1"/>
  <c r="P54" i="12" s="1"/>
  <c r="P53" i="12"/>
  <c r="P53" i="12" a="1"/>
  <c r="P52" i="12" a="1"/>
  <c r="P52" i="12" s="1"/>
  <c r="Q52" i="12" s="1"/>
  <c r="P51" i="12" a="1"/>
  <c r="P51" i="12" s="1"/>
  <c r="Q51" i="12" s="1"/>
  <c r="P50" i="12" a="1"/>
  <c r="P50" i="12" s="1"/>
  <c r="Q50" i="12" s="1"/>
  <c r="P49" i="12"/>
  <c r="P49" i="12" a="1"/>
  <c r="P48" i="12" a="1"/>
  <c r="P48" i="12" s="1"/>
  <c r="Q48" i="12" s="1"/>
  <c r="P47" i="12" a="1"/>
  <c r="P47" i="12" s="1"/>
  <c r="Q47" i="12" s="1"/>
  <c r="P46" i="12" a="1"/>
  <c r="P46" i="12" s="1"/>
  <c r="Q46" i="12" s="1"/>
  <c r="P45" i="12"/>
  <c r="Q45" i="12" s="1"/>
  <c r="P45" i="12" a="1"/>
  <c r="P44" i="12" a="1"/>
  <c r="P44" i="12" s="1"/>
  <c r="Q44" i="12" s="1"/>
  <c r="P43" i="12" a="1"/>
  <c r="P43" i="12" s="1"/>
  <c r="Q43" i="12" s="1"/>
  <c r="P42" i="12" a="1"/>
  <c r="P42" i="12" s="1"/>
  <c r="Q42" i="12" s="1"/>
  <c r="P41" i="12"/>
  <c r="Q41" i="12" s="1"/>
  <c r="P41" i="12" a="1"/>
  <c r="P40" i="12" a="1"/>
  <c r="P40" i="12" s="1"/>
  <c r="Q40" i="12" s="1"/>
  <c r="P39" i="12" a="1"/>
  <c r="P39" i="12" s="1"/>
  <c r="P38" i="12" a="1"/>
  <c r="P38" i="12" s="1"/>
  <c r="Q38" i="12" s="1"/>
  <c r="P37" i="12" a="1"/>
  <c r="P37" i="12" s="1"/>
  <c r="Q37" i="12" s="1"/>
  <c r="P36" i="12" a="1"/>
  <c r="P36" i="12" s="1"/>
  <c r="Q36" i="12" s="1"/>
  <c r="P35" i="12"/>
  <c r="Q35" i="12" s="1"/>
  <c r="P35" i="12" a="1"/>
  <c r="P34" i="12"/>
  <c r="Q34" i="12" s="1"/>
  <c r="P34" i="12" a="1"/>
  <c r="P33" i="12" a="1"/>
  <c r="P33" i="12" s="1"/>
  <c r="Q33" i="12" s="1"/>
  <c r="P32" i="12" a="1"/>
  <c r="P32" i="12" s="1"/>
  <c r="Q32" i="12" s="1"/>
  <c r="P31" i="12" a="1"/>
  <c r="P31" i="12" s="1"/>
  <c r="Q31" i="12" s="1"/>
  <c r="P30" i="12" a="1"/>
  <c r="P30" i="12" s="1"/>
  <c r="Q30" i="12" s="1"/>
  <c r="P29" i="12"/>
  <c r="P29" i="12" a="1"/>
  <c r="P28" i="12" a="1"/>
  <c r="P28" i="12" s="1"/>
  <c r="P27" i="12" a="1"/>
  <c r="P27" i="12" s="1"/>
  <c r="Q27" i="12" s="1"/>
  <c r="P26" i="12" a="1"/>
  <c r="P26" i="12" s="1"/>
  <c r="Q26" i="12" s="1"/>
  <c r="P25" i="12"/>
  <c r="Q25" i="12" s="1"/>
  <c r="P25" i="12" a="1"/>
  <c r="P24" i="12" a="1"/>
  <c r="P24" i="12" s="1"/>
  <c r="Q24" i="12" s="1"/>
  <c r="P23" i="12" a="1"/>
  <c r="P23" i="12" s="1"/>
  <c r="Q23" i="12" s="1"/>
  <c r="P22" i="12" a="1"/>
  <c r="P22" i="12" s="1"/>
  <c r="Q22" i="12" s="1"/>
  <c r="P21" i="12" a="1"/>
  <c r="P21" i="12" s="1"/>
  <c r="Q21" i="12" s="1"/>
  <c r="P20" i="12" a="1"/>
  <c r="P20" i="12" s="1"/>
  <c r="Q20" i="12" s="1"/>
  <c r="P19" i="12"/>
  <c r="Q19" i="12" s="1"/>
  <c r="P19" i="12" a="1"/>
  <c r="P18" i="12"/>
  <c r="Q18" i="12" s="1"/>
  <c r="P18" i="12" a="1"/>
  <c r="P17" i="12" a="1"/>
  <c r="P17" i="12" s="1"/>
  <c r="Q17" i="12" s="1"/>
  <c r="P16" i="12" a="1"/>
  <c r="P16" i="12" s="1"/>
  <c r="Q16" i="12" s="1"/>
  <c r="P15" i="12" a="1"/>
  <c r="P15" i="12" s="1"/>
  <c r="Q15" i="12" s="1"/>
  <c r="P14" i="12" a="1"/>
  <c r="P14" i="12" s="1"/>
  <c r="Q14" i="12" s="1"/>
  <c r="P13" i="12"/>
  <c r="Q13" i="12" s="1"/>
  <c r="P13" i="12" a="1"/>
  <c r="P12" i="12" a="1"/>
  <c r="P12" i="12" s="1"/>
  <c r="P11" i="12" a="1"/>
  <c r="P11" i="12" s="1"/>
  <c r="P10" i="12" a="1"/>
  <c r="P10" i="12" s="1"/>
  <c r="Q10" i="12" s="1"/>
  <c r="P9" i="12"/>
  <c r="P9" i="12" a="1"/>
  <c r="P8" i="12" a="1"/>
  <c r="P8" i="12" s="1"/>
  <c r="P7" i="12" a="1"/>
  <c r="P7" i="12" s="1"/>
  <c r="P6" i="12" a="1"/>
  <c r="P6" i="12" s="1"/>
  <c r="Q6" i="12" s="1"/>
  <c r="T5" i="12"/>
  <c r="P5" i="12" a="1"/>
  <c r="P5" i="12" s="1"/>
  <c r="A65" i="15"/>
  <c r="F65" i="15"/>
  <c r="E65" i="15"/>
  <c r="D65" i="15"/>
  <c r="Q7" i="12"/>
  <c r="Q8" i="12"/>
  <c r="Q9" i="12"/>
  <c r="Q11" i="12"/>
  <c r="Q12" i="12"/>
  <c r="Q28" i="12"/>
  <c r="Q29" i="12"/>
  <c r="Q39" i="12"/>
  <c r="Q49" i="12"/>
  <c r="Q53" i="12"/>
  <c r="Q54" i="12"/>
  <c r="Q55" i="12"/>
  <c r="Q56" i="12"/>
  <c r="Q59" i="12"/>
  <c r="Q60" i="12"/>
  <c r="Q61" i="12"/>
  <c r="Q71" i="12"/>
  <c r="Q73" i="12"/>
  <c r="Q75" i="12"/>
  <c r="Q76" i="12"/>
  <c r="Q89" i="12"/>
  <c r="Q90" i="12"/>
  <c r="Q93" i="12"/>
  <c r="Q100" i="12"/>
  <c r="Q105" i="12"/>
  <c r="Q108" i="12"/>
  <c r="Q115" i="12"/>
  <c r="Q118" i="12"/>
  <c r="Q119" i="12"/>
  <c r="Q120" i="12"/>
  <c r="Q121" i="12"/>
  <c r="Q122" i="12"/>
  <c r="Q124" i="12"/>
  <c r="Q139" i="12"/>
  <c r="Q140" i="12"/>
  <c r="Q150" i="12"/>
  <c r="Q152" i="12"/>
  <c r="Q154" i="12"/>
  <c r="Q155" i="12"/>
  <c r="Q156" i="12"/>
  <c r="Q157" i="12"/>
  <c r="Q164" i="12"/>
  <c r="Q167" i="12"/>
  <c r="Q168" i="12"/>
  <c r="Q171" i="12"/>
  <c r="Q172" i="12"/>
  <c r="Q185" i="12"/>
  <c r="Q186" i="12"/>
  <c r="Q187" i="12"/>
  <c r="Q188" i="12"/>
  <c r="Q189" i="12"/>
  <c r="Q200" i="12"/>
  <c r="Q201" i="12"/>
  <c r="Q204" i="12"/>
  <c r="Q210" i="12"/>
  <c r="Q217" i="12"/>
  <c r="Q218" i="12"/>
  <c r="Q219" i="12"/>
  <c r="Q220" i="12"/>
  <c r="Q221" i="12"/>
  <c r="Q231" i="12"/>
  <c r="Q232" i="12"/>
  <c r="Q233" i="12"/>
  <c r="Q248" i="12"/>
  <c r="Q249" i="12"/>
  <c r="Q250" i="12"/>
  <c r="Q251" i="12"/>
  <c r="Q252" i="12"/>
  <c r="Q253" i="12"/>
  <c r="Q263" i="12"/>
  <c r="Q265" i="12"/>
  <c r="Q267" i="12"/>
  <c r="Q268" i="12"/>
  <c r="Q276" i="12"/>
  <c r="Q277" i="12"/>
  <c r="Q278" i="12"/>
  <c r="Q279" i="12"/>
  <c r="Q280" i="12"/>
  <c r="Q296" i="12"/>
  <c r="Q297" i="12"/>
  <c r="Q299" i="12"/>
  <c r="Q300" i="12"/>
  <c r="Q312" i="12"/>
  <c r="Q313" i="12"/>
  <c r="Q314" i="12"/>
  <c r="Q315" i="12"/>
  <c r="Q316" i="12"/>
  <c r="Q317" i="12"/>
  <c r="Q328" i="12"/>
  <c r="Q329" i="12"/>
  <c r="Q331" i="12"/>
  <c r="Q332" i="12"/>
  <c r="Q338" i="12"/>
  <c r="Q342" i="12"/>
  <c r="Q343" i="12"/>
  <c r="Q344" i="12"/>
  <c r="Q346" i="12"/>
  <c r="Q359" i="12"/>
  <c r="Q360" i="12"/>
  <c r="Q361" i="12"/>
  <c r="Q363" i="12"/>
  <c r="Q374" i="12"/>
  <c r="Q376" i="12"/>
  <c r="Q378" i="12"/>
  <c r="Q379" i="12"/>
  <c r="Q380" i="12"/>
  <c r="Q381" i="12"/>
  <c r="Q391" i="12"/>
  <c r="Q396" i="12"/>
  <c r="Q406" i="12"/>
  <c r="Q407" i="12"/>
  <c r="Q408" i="12"/>
  <c r="Q409" i="12"/>
  <c r="Q410" i="12"/>
  <c r="Q411" i="12"/>
  <c r="Q412" i="12"/>
  <c r="Q413" i="12"/>
  <c r="Q423" i="12"/>
  <c r="Q424" i="12"/>
  <c r="Q425" i="12"/>
  <c r="Q427" i="12"/>
  <c r="Q428" i="12"/>
  <c r="Q433" i="12"/>
  <c r="Q434" i="12"/>
  <c r="Q438" i="12"/>
  <c r="Q439" i="12"/>
  <c r="Q440" i="12"/>
  <c r="Q441" i="12"/>
  <c r="Q452" i="12"/>
  <c r="Q455" i="12"/>
  <c r="Q457" i="12"/>
  <c r="A6" i="12"/>
  <c r="B6" i="12"/>
  <c r="C6" i="12" a="1"/>
  <c r="C6" i="12" s="1"/>
  <c r="D6" i="12" a="1"/>
  <c r="D6" i="12" s="1"/>
  <c r="E6" i="12" a="1"/>
  <c r="E6" i="12" s="1"/>
  <c r="F6" i="12" a="1"/>
  <c r="F6" i="12"/>
  <c r="G6" i="12" a="1"/>
  <c r="G6" i="12" s="1"/>
  <c r="H6" i="12" a="1"/>
  <c r="H6" i="12" s="1"/>
  <c r="I6" i="12" a="1"/>
  <c r="I6" i="12" s="1"/>
  <c r="K6" i="12" a="1"/>
  <c r="K6" i="12" s="1"/>
  <c r="L6" i="12" a="1"/>
  <c r="L6" i="12" s="1"/>
  <c r="M6" i="12" a="1"/>
  <c r="M6" i="12" s="1"/>
  <c r="A7" i="12"/>
  <c r="B7" i="12"/>
  <c r="C7" i="12" a="1"/>
  <c r="C7" i="12" s="1"/>
  <c r="D7" i="12" a="1"/>
  <c r="D7" i="12" s="1"/>
  <c r="E7" i="12" a="1"/>
  <c r="E7" i="12" s="1"/>
  <c r="F7" i="12" a="1"/>
  <c r="F7" i="12" s="1"/>
  <c r="G7" i="12" a="1"/>
  <c r="G7" i="12" s="1"/>
  <c r="H7" i="12" a="1"/>
  <c r="H7" i="12" s="1"/>
  <c r="I7" i="12" a="1"/>
  <c r="I7" i="12" s="1"/>
  <c r="K7" i="12" a="1"/>
  <c r="K7" i="12" s="1"/>
  <c r="L7" i="12" a="1"/>
  <c r="L7" i="12"/>
  <c r="M7" i="12" a="1"/>
  <c r="M7" i="12"/>
  <c r="A8" i="12"/>
  <c r="B8" i="12"/>
  <c r="C8" i="12" a="1"/>
  <c r="C8" i="12" s="1"/>
  <c r="J8" i="12" s="1" a="1"/>
  <c r="J8" i="12" s="1"/>
  <c r="D8" i="12" a="1"/>
  <c r="D8" i="12" s="1"/>
  <c r="E8" i="12" a="1"/>
  <c r="E8" i="12" s="1"/>
  <c r="F8" i="12" a="1"/>
  <c r="F8" i="12" s="1"/>
  <c r="G8" i="12" a="1"/>
  <c r="G8" i="12" s="1"/>
  <c r="H8" i="12" a="1"/>
  <c r="H8" i="12"/>
  <c r="I8" i="12" a="1"/>
  <c r="I8" i="12"/>
  <c r="K8" i="12" a="1"/>
  <c r="K8" i="12" s="1"/>
  <c r="L8" i="12" a="1"/>
  <c r="L8" i="12" s="1"/>
  <c r="M8" i="12" a="1"/>
  <c r="M8" i="12"/>
  <c r="A9" i="12"/>
  <c r="B9" i="12"/>
  <c r="C9" i="12" a="1"/>
  <c r="C9" i="12" s="1"/>
  <c r="D9" i="12" a="1"/>
  <c r="D9" i="12" s="1"/>
  <c r="E9" i="12" a="1"/>
  <c r="E9" i="12" s="1"/>
  <c r="F9" i="12" a="1"/>
  <c r="F9" i="12" s="1"/>
  <c r="G9" i="12" a="1"/>
  <c r="G9" i="12" s="1"/>
  <c r="H9" i="12" a="1"/>
  <c r="H9" i="12" s="1"/>
  <c r="I9" i="12" a="1"/>
  <c r="I9" i="12"/>
  <c r="K9" i="12" a="1"/>
  <c r="K9" i="12" s="1"/>
  <c r="L9" i="12" a="1"/>
  <c r="L9" i="12"/>
  <c r="M9" i="12" a="1"/>
  <c r="M9" i="12"/>
  <c r="A10" i="12"/>
  <c r="B10" i="12"/>
  <c r="C10" i="12" a="1"/>
  <c r="C10" i="12" s="1"/>
  <c r="D10" i="12" a="1"/>
  <c r="D10" i="12" s="1"/>
  <c r="E10" i="12" a="1"/>
  <c r="E10" i="12" s="1"/>
  <c r="F10" i="12" a="1"/>
  <c r="F10" i="12" s="1"/>
  <c r="G10" i="12" a="1"/>
  <c r="G10" i="12" s="1"/>
  <c r="H10" i="12" a="1"/>
  <c r="H10" i="12" s="1"/>
  <c r="I10" i="12" a="1"/>
  <c r="I10" i="12" s="1"/>
  <c r="K10" i="12" a="1"/>
  <c r="K10" i="12" s="1"/>
  <c r="L10" i="12" a="1"/>
  <c r="L10" i="12" s="1"/>
  <c r="M10" i="12" a="1"/>
  <c r="M10" i="12" s="1"/>
  <c r="A11" i="12"/>
  <c r="B11" i="12"/>
  <c r="C11" i="12" a="1"/>
  <c r="C11" i="12" s="1"/>
  <c r="D11" i="12" a="1"/>
  <c r="D11" i="12" s="1"/>
  <c r="E11" i="12" a="1"/>
  <c r="E11" i="12" s="1"/>
  <c r="F11" i="12" a="1"/>
  <c r="F11" i="12" s="1"/>
  <c r="G11" i="12" a="1"/>
  <c r="G11" i="12" s="1"/>
  <c r="H11" i="12" a="1"/>
  <c r="H11" i="12" s="1"/>
  <c r="I11" i="12" a="1"/>
  <c r="I11" i="12"/>
  <c r="K11" i="12" a="1"/>
  <c r="K11" i="12" s="1"/>
  <c r="L11" i="12" a="1"/>
  <c r="L11" i="12" s="1"/>
  <c r="M11" i="12" a="1"/>
  <c r="M11" i="12" s="1"/>
  <c r="A12" i="12"/>
  <c r="B12" i="12"/>
  <c r="C12" i="12" a="1"/>
  <c r="C12" i="12" s="1"/>
  <c r="D12" i="12" a="1"/>
  <c r="D12" i="12" s="1"/>
  <c r="E12" i="12" a="1"/>
  <c r="E12" i="12" s="1"/>
  <c r="F12" i="12" a="1"/>
  <c r="F12" i="12" s="1"/>
  <c r="G12" i="12" a="1"/>
  <c r="G12" i="12" s="1"/>
  <c r="H12" i="12" a="1"/>
  <c r="H12" i="12" s="1"/>
  <c r="I12" i="12" a="1"/>
  <c r="I12" i="12" s="1"/>
  <c r="K12" i="12" a="1"/>
  <c r="K12" i="12" s="1"/>
  <c r="L12" i="12" a="1"/>
  <c r="L12" i="12" s="1"/>
  <c r="M12" i="12" a="1"/>
  <c r="M12" i="12"/>
  <c r="A13" i="12"/>
  <c r="B13" i="12"/>
  <c r="C13" i="12" a="1"/>
  <c r="C13" i="12" s="1"/>
  <c r="J13" i="12" s="1" a="1"/>
  <c r="J13" i="12" s="1"/>
  <c r="D13" i="12" a="1"/>
  <c r="D13" i="12" s="1"/>
  <c r="E13" i="12" a="1"/>
  <c r="E13" i="12" s="1"/>
  <c r="F13" i="12" a="1"/>
  <c r="F13" i="12" s="1"/>
  <c r="G13" i="12" a="1"/>
  <c r="G13" i="12" s="1"/>
  <c r="H13" i="12" a="1"/>
  <c r="H13" i="12" s="1"/>
  <c r="I13" i="12" a="1"/>
  <c r="I13" i="12" s="1"/>
  <c r="K13" i="12" a="1"/>
  <c r="K13" i="12" s="1"/>
  <c r="L13" i="12" a="1"/>
  <c r="L13" i="12" s="1"/>
  <c r="M13" i="12" a="1"/>
  <c r="M13" i="12" s="1"/>
  <c r="A14" i="12"/>
  <c r="B14" i="12"/>
  <c r="C14" i="12" a="1"/>
  <c r="C14" i="12" s="1"/>
  <c r="D14" i="12" a="1"/>
  <c r="D14" i="12" s="1"/>
  <c r="E14" i="12" a="1"/>
  <c r="E14" i="12" s="1"/>
  <c r="F14" i="12" a="1"/>
  <c r="F14" i="12" s="1"/>
  <c r="G14" i="12" a="1"/>
  <c r="G14" i="12" s="1"/>
  <c r="H14" i="12" a="1"/>
  <c r="H14" i="12" s="1"/>
  <c r="I14" i="12" a="1"/>
  <c r="I14" i="12" s="1"/>
  <c r="K14" i="12" a="1"/>
  <c r="K14" i="12" s="1"/>
  <c r="L14" i="12" a="1"/>
  <c r="L14" i="12" s="1"/>
  <c r="M14" i="12" a="1"/>
  <c r="M14" i="12" s="1"/>
  <c r="A15" i="12"/>
  <c r="B15" i="12"/>
  <c r="C15" i="12" a="1"/>
  <c r="C15" i="12" s="1"/>
  <c r="D15" i="12" a="1"/>
  <c r="D15" i="12" s="1"/>
  <c r="E15" i="12" a="1"/>
  <c r="E15" i="12" s="1"/>
  <c r="F15" i="12" a="1"/>
  <c r="F15" i="12" s="1"/>
  <c r="G15" i="12" a="1"/>
  <c r="G15" i="12" s="1"/>
  <c r="H15" i="12" a="1"/>
  <c r="H15" i="12" s="1"/>
  <c r="I15" i="12" a="1"/>
  <c r="I15" i="12" s="1"/>
  <c r="K15" i="12" a="1"/>
  <c r="K15" i="12" s="1"/>
  <c r="L15" i="12" a="1"/>
  <c r="L15" i="12" s="1"/>
  <c r="M15" i="12" a="1"/>
  <c r="M15" i="12" s="1"/>
  <c r="A16" i="12"/>
  <c r="B16" i="12"/>
  <c r="C16" i="12" a="1"/>
  <c r="C16" i="12" s="1"/>
  <c r="D16" i="12" a="1"/>
  <c r="D16" i="12" s="1"/>
  <c r="E16" i="12" a="1"/>
  <c r="E16" i="12" s="1"/>
  <c r="F16" i="12" a="1"/>
  <c r="F16" i="12" s="1"/>
  <c r="G16" i="12" a="1"/>
  <c r="G16" i="12" s="1"/>
  <c r="H16" i="12" a="1"/>
  <c r="H16" i="12" s="1"/>
  <c r="I16" i="12" a="1"/>
  <c r="I16" i="12" s="1"/>
  <c r="K16" i="12" a="1"/>
  <c r="K16" i="12" s="1"/>
  <c r="L16" i="12" a="1"/>
  <c r="L16" i="12" s="1"/>
  <c r="M16" i="12" a="1"/>
  <c r="M16" i="12" s="1"/>
  <c r="A17" i="12"/>
  <c r="B17" i="12"/>
  <c r="C17" i="12" a="1"/>
  <c r="C17" i="12" s="1"/>
  <c r="D17" i="12" a="1"/>
  <c r="D17" i="12" s="1"/>
  <c r="J17" i="12" s="1" a="1"/>
  <c r="J17" i="12" s="1"/>
  <c r="E17" i="12" a="1"/>
  <c r="E17" i="12"/>
  <c r="F17" i="12" a="1"/>
  <c r="F17" i="12" s="1"/>
  <c r="G17" i="12" a="1"/>
  <c r="G17" i="12" s="1"/>
  <c r="H17" i="12" a="1"/>
  <c r="H17" i="12" s="1"/>
  <c r="I17" i="12" a="1"/>
  <c r="I17" i="12" s="1"/>
  <c r="K17" i="12" a="1"/>
  <c r="K17" i="12" s="1"/>
  <c r="L17" i="12" a="1"/>
  <c r="L17" i="12" s="1"/>
  <c r="M17" i="12" a="1"/>
  <c r="M17" i="12" s="1"/>
  <c r="A18" i="12"/>
  <c r="B18" i="12"/>
  <c r="C18" i="12" a="1"/>
  <c r="C18" i="12" s="1"/>
  <c r="D18" i="12" a="1"/>
  <c r="D18" i="12" s="1"/>
  <c r="J18" i="12" s="1" a="1"/>
  <c r="J18" i="12" s="1"/>
  <c r="E18" i="12" a="1"/>
  <c r="E18" i="12" s="1"/>
  <c r="F18" i="12" a="1"/>
  <c r="F18" i="12" s="1"/>
  <c r="G18" i="12" a="1"/>
  <c r="G18" i="12" s="1"/>
  <c r="H18" i="12" a="1"/>
  <c r="H18" i="12" s="1"/>
  <c r="I18" i="12" a="1"/>
  <c r="I18" i="12" s="1"/>
  <c r="K18" i="12" a="1"/>
  <c r="K18" i="12" s="1"/>
  <c r="L18" i="12" a="1"/>
  <c r="L18" i="12" s="1"/>
  <c r="M18" i="12" a="1"/>
  <c r="M18" i="12" s="1"/>
  <c r="A19" i="12"/>
  <c r="B19" i="12"/>
  <c r="C19" i="12" a="1"/>
  <c r="C19" i="12" s="1"/>
  <c r="D19" i="12" a="1"/>
  <c r="D19" i="12" s="1"/>
  <c r="E19" i="12" a="1"/>
  <c r="E19" i="12" s="1"/>
  <c r="F19" i="12" a="1"/>
  <c r="F19" i="12" s="1"/>
  <c r="G19" i="12" a="1"/>
  <c r="G19" i="12" s="1"/>
  <c r="H19" i="12" a="1"/>
  <c r="H19" i="12" s="1"/>
  <c r="I19" i="12" a="1"/>
  <c r="I19" i="12"/>
  <c r="J19" i="12" a="1"/>
  <c r="J19" i="12" s="1"/>
  <c r="K19" i="12" a="1"/>
  <c r="K19" i="12" s="1"/>
  <c r="L19" i="12" a="1"/>
  <c r="L19" i="12" s="1"/>
  <c r="M19" i="12" a="1"/>
  <c r="M19" i="12" s="1"/>
  <c r="A20" i="12"/>
  <c r="B20" i="12"/>
  <c r="C20" i="12" a="1"/>
  <c r="C20" i="12" s="1"/>
  <c r="D20" i="12" a="1"/>
  <c r="D20" i="12" s="1"/>
  <c r="E20" i="12" a="1"/>
  <c r="E20" i="12" s="1"/>
  <c r="F20" i="12" a="1"/>
  <c r="F20" i="12" s="1"/>
  <c r="G20" i="12" a="1"/>
  <c r="G20" i="12" s="1"/>
  <c r="H20" i="12" a="1"/>
  <c r="H20" i="12" s="1"/>
  <c r="I20" i="12" a="1"/>
  <c r="I20" i="12" s="1"/>
  <c r="K20" i="12" a="1"/>
  <c r="K20" i="12" s="1"/>
  <c r="L20" i="12" a="1"/>
  <c r="L20" i="12" s="1"/>
  <c r="M20" i="12" a="1"/>
  <c r="M20" i="12" s="1"/>
  <c r="A21" i="12"/>
  <c r="B21" i="12"/>
  <c r="C21" i="12" a="1"/>
  <c r="C21" i="12" s="1"/>
  <c r="D21" i="12" a="1"/>
  <c r="D21" i="12" s="1"/>
  <c r="E21" i="12" a="1"/>
  <c r="E21" i="12" s="1"/>
  <c r="F21" i="12" a="1"/>
  <c r="F21" i="12" s="1"/>
  <c r="G21" i="12" a="1"/>
  <c r="G21" i="12" s="1"/>
  <c r="H21" i="12" a="1"/>
  <c r="H21" i="12" s="1"/>
  <c r="I21" i="12" a="1"/>
  <c r="I21" i="12" s="1"/>
  <c r="K21" i="12" a="1"/>
  <c r="K21" i="12" s="1"/>
  <c r="L21" i="12" a="1"/>
  <c r="L21" i="12" s="1"/>
  <c r="M21" i="12" a="1"/>
  <c r="M21" i="12" s="1"/>
  <c r="A22" i="12"/>
  <c r="B22" i="12"/>
  <c r="C22" i="12" a="1"/>
  <c r="C22" i="12" s="1"/>
  <c r="D22" i="12" a="1"/>
  <c r="D22" i="12" s="1"/>
  <c r="E22" i="12" a="1"/>
  <c r="E22" i="12" s="1"/>
  <c r="F22" i="12" a="1"/>
  <c r="F22" i="12" s="1"/>
  <c r="G22" i="12" a="1"/>
  <c r="G22" i="12" s="1"/>
  <c r="H22" i="12" a="1"/>
  <c r="H22" i="12" s="1"/>
  <c r="I22" i="12" a="1"/>
  <c r="I22" i="12" s="1"/>
  <c r="K22" i="12" a="1"/>
  <c r="K22" i="12" s="1"/>
  <c r="L22" i="12" a="1"/>
  <c r="L22" i="12" s="1"/>
  <c r="M22" i="12" a="1"/>
  <c r="M22" i="12" s="1"/>
  <c r="A23" i="12"/>
  <c r="B23" i="12"/>
  <c r="C23" i="12" a="1"/>
  <c r="C23" i="12" s="1"/>
  <c r="J23" i="12" s="1" a="1"/>
  <c r="J23" i="12" s="1"/>
  <c r="D23" i="12" a="1"/>
  <c r="D23" i="12" s="1"/>
  <c r="E23" i="12" a="1"/>
  <c r="E23" i="12" s="1"/>
  <c r="F23" i="12" a="1"/>
  <c r="F23" i="12" s="1"/>
  <c r="G23" i="12" a="1"/>
  <c r="G23" i="12" s="1"/>
  <c r="H23" i="12" a="1"/>
  <c r="H23" i="12" s="1"/>
  <c r="I23" i="12" a="1"/>
  <c r="I23" i="12" s="1"/>
  <c r="K23" i="12" a="1"/>
  <c r="K23" i="12" s="1"/>
  <c r="L23" i="12" a="1"/>
  <c r="L23" i="12" s="1"/>
  <c r="M23" i="12" a="1"/>
  <c r="M23" i="12" s="1"/>
  <c r="A24" i="12"/>
  <c r="B24" i="12"/>
  <c r="C24" i="12" a="1"/>
  <c r="C24" i="12" s="1"/>
  <c r="D24" i="12" a="1"/>
  <c r="D24" i="12" s="1"/>
  <c r="E24" i="12" a="1"/>
  <c r="E24" i="12" s="1"/>
  <c r="F24" i="12" a="1"/>
  <c r="F24" i="12" s="1"/>
  <c r="G24" i="12" a="1"/>
  <c r="G24" i="12" s="1"/>
  <c r="H24" i="12" a="1"/>
  <c r="H24" i="12" s="1"/>
  <c r="I24" i="12" a="1"/>
  <c r="I24" i="12" s="1"/>
  <c r="K24" i="12" a="1"/>
  <c r="K24" i="12" s="1"/>
  <c r="L24" i="12" a="1"/>
  <c r="L24" i="12" s="1"/>
  <c r="M24" i="12" a="1"/>
  <c r="M24" i="12" s="1"/>
  <c r="A25" i="12"/>
  <c r="B25" i="12"/>
  <c r="C25" i="12" a="1"/>
  <c r="C25" i="12" s="1"/>
  <c r="D25" i="12" a="1"/>
  <c r="D25" i="12" s="1"/>
  <c r="E25" i="12" a="1"/>
  <c r="E25" i="12" s="1"/>
  <c r="J25" i="12" s="1" a="1"/>
  <c r="J25" i="12" s="1"/>
  <c r="F25" i="12" a="1"/>
  <c r="F25" i="12" s="1"/>
  <c r="G25" i="12" a="1"/>
  <c r="G25" i="12" s="1"/>
  <c r="H25" i="12" a="1"/>
  <c r="H25" i="12" s="1"/>
  <c r="I25" i="12" a="1"/>
  <c r="I25" i="12" s="1"/>
  <c r="K25" i="12" a="1"/>
  <c r="K25" i="12"/>
  <c r="L25" i="12" a="1"/>
  <c r="L25" i="12" s="1"/>
  <c r="M25" i="12" a="1"/>
  <c r="M25" i="12" s="1"/>
  <c r="A26" i="12"/>
  <c r="B26" i="12"/>
  <c r="C26" i="12" a="1"/>
  <c r="C26" i="12" s="1"/>
  <c r="J26" i="12" s="1" a="1"/>
  <c r="J26" i="12" s="1"/>
  <c r="D26" i="12" a="1"/>
  <c r="D26" i="12" s="1"/>
  <c r="E26" i="12" a="1"/>
  <c r="E26" i="12" s="1"/>
  <c r="F26" i="12" a="1"/>
  <c r="F26" i="12" s="1"/>
  <c r="G26" i="12" a="1"/>
  <c r="G26" i="12" s="1"/>
  <c r="H26" i="12" a="1"/>
  <c r="H26" i="12" s="1"/>
  <c r="I26" i="12" a="1"/>
  <c r="I26" i="12" s="1"/>
  <c r="K26" i="12" a="1"/>
  <c r="K26" i="12" s="1"/>
  <c r="L26" i="12" a="1"/>
  <c r="L26" i="12" s="1"/>
  <c r="M26" i="12" a="1"/>
  <c r="M26" i="12" s="1"/>
  <c r="A27" i="12"/>
  <c r="B27" i="12"/>
  <c r="C27" i="12" a="1"/>
  <c r="C27" i="12" s="1"/>
  <c r="D27" i="12" a="1"/>
  <c r="D27" i="12" s="1"/>
  <c r="E27" i="12" a="1"/>
  <c r="E27" i="12" s="1"/>
  <c r="F27" i="12" a="1"/>
  <c r="F27" i="12" s="1"/>
  <c r="G27" i="12" a="1"/>
  <c r="G27" i="12" s="1"/>
  <c r="H27" i="12" a="1"/>
  <c r="H27" i="12" s="1"/>
  <c r="I27" i="12" a="1"/>
  <c r="I27" i="12" s="1"/>
  <c r="K27" i="12" a="1"/>
  <c r="K27" i="12" s="1"/>
  <c r="L27" i="12" a="1"/>
  <c r="L27" i="12" s="1"/>
  <c r="M27" i="12" a="1"/>
  <c r="M27" i="12" s="1"/>
  <c r="A28" i="12"/>
  <c r="B28" i="12"/>
  <c r="C28" i="12" a="1"/>
  <c r="C28" i="12"/>
  <c r="J28" i="12" s="1" a="1"/>
  <c r="J28" i="12" s="1"/>
  <c r="D28" i="12" a="1"/>
  <c r="D28" i="12" s="1"/>
  <c r="E28" i="12" a="1"/>
  <c r="E28" i="12" s="1"/>
  <c r="F28" i="12" a="1"/>
  <c r="F28" i="12" s="1"/>
  <c r="G28" i="12" a="1"/>
  <c r="G28" i="12" s="1"/>
  <c r="H28" i="12" a="1"/>
  <c r="H28" i="12" s="1"/>
  <c r="I28" i="12" a="1"/>
  <c r="I28" i="12"/>
  <c r="K28" i="12" a="1"/>
  <c r="K28" i="12" s="1"/>
  <c r="L28" i="12" a="1"/>
  <c r="L28" i="12" s="1"/>
  <c r="M28" i="12" a="1"/>
  <c r="M28" i="12" s="1"/>
  <c r="A29" i="12"/>
  <c r="B29" i="12"/>
  <c r="C29" i="12" a="1"/>
  <c r="C29" i="12" s="1"/>
  <c r="D29" i="12" a="1"/>
  <c r="D29" i="12" s="1"/>
  <c r="E29" i="12" a="1"/>
  <c r="E29" i="12" s="1"/>
  <c r="F29" i="12" a="1"/>
  <c r="F29" i="12" s="1"/>
  <c r="G29" i="12" a="1"/>
  <c r="G29" i="12" s="1"/>
  <c r="H29" i="12" a="1"/>
  <c r="H29" i="12"/>
  <c r="I29" i="12" a="1"/>
  <c r="I29" i="12" s="1"/>
  <c r="K29" i="12" a="1"/>
  <c r="K29" i="12" s="1"/>
  <c r="L29" i="12" a="1"/>
  <c r="L29" i="12" s="1"/>
  <c r="M29" i="12" a="1"/>
  <c r="M29" i="12" s="1"/>
  <c r="A30" i="12"/>
  <c r="B30" i="12"/>
  <c r="C30" i="12" a="1"/>
  <c r="C30" i="12" s="1"/>
  <c r="J30" i="12" s="1" a="1"/>
  <c r="J30" i="12" s="1"/>
  <c r="D30" i="12" a="1"/>
  <c r="D30" i="12" s="1"/>
  <c r="E30" i="12" a="1"/>
  <c r="E30" i="12" s="1"/>
  <c r="F30" i="12" a="1"/>
  <c r="F30" i="12" s="1"/>
  <c r="G30" i="12" a="1"/>
  <c r="G30" i="12" s="1"/>
  <c r="H30" i="12" a="1"/>
  <c r="H30" i="12" s="1"/>
  <c r="I30" i="12" a="1"/>
  <c r="I30" i="12" s="1"/>
  <c r="K30" i="12" a="1"/>
  <c r="K30" i="12" s="1"/>
  <c r="L30" i="12" a="1"/>
  <c r="L30" i="12" s="1"/>
  <c r="M30" i="12" a="1"/>
  <c r="M30" i="12"/>
  <c r="A31" i="12"/>
  <c r="B31" i="12"/>
  <c r="C31" i="12" a="1"/>
  <c r="C31" i="12" s="1"/>
  <c r="D31" i="12" a="1"/>
  <c r="D31" i="12" s="1"/>
  <c r="E31" i="12" a="1"/>
  <c r="E31" i="12" s="1"/>
  <c r="F31" i="12" a="1"/>
  <c r="F31" i="12" s="1"/>
  <c r="G31" i="12" a="1"/>
  <c r="G31" i="12" s="1"/>
  <c r="H31" i="12" a="1"/>
  <c r="H31" i="12" s="1"/>
  <c r="I31" i="12" a="1"/>
  <c r="I31" i="12" s="1"/>
  <c r="J31" i="12" a="1"/>
  <c r="J31" i="12" s="1"/>
  <c r="K31" i="12" a="1"/>
  <c r="K31" i="12" s="1"/>
  <c r="L31" i="12" a="1"/>
  <c r="L31" i="12" s="1"/>
  <c r="M31" i="12" a="1"/>
  <c r="M31" i="12" s="1"/>
  <c r="A32" i="12"/>
  <c r="B32" i="12"/>
  <c r="C32" i="12" a="1"/>
  <c r="C32" i="12" s="1"/>
  <c r="D32" i="12" a="1"/>
  <c r="D32" i="12" s="1"/>
  <c r="J32" i="12" s="1" a="1"/>
  <c r="J32" i="12" s="1"/>
  <c r="E32" i="12" a="1"/>
  <c r="E32" i="12" s="1"/>
  <c r="F32" i="12" a="1"/>
  <c r="F32" i="12"/>
  <c r="G32" i="12" a="1"/>
  <c r="G32" i="12" s="1"/>
  <c r="H32" i="12" a="1"/>
  <c r="H32" i="12" s="1"/>
  <c r="I32" i="12" a="1"/>
  <c r="I32" i="12" s="1"/>
  <c r="K32" i="12" a="1"/>
  <c r="K32" i="12" s="1"/>
  <c r="L32" i="12" a="1"/>
  <c r="L32" i="12" s="1"/>
  <c r="M32" i="12" a="1"/>
  <c r="M32" i="12" s="1"/>
  <c r="A33" i="12"/>
  <c r="B33" i="12"/>
  <c r="C33" i="12" a="1"/>
  <c r="C33" i="12" s="1"/>
  <c r="J33" i="12" s="1" a="1"/>
  <c r="J33" i="12" s="1"/>
  <c r="D33" i="12" a="1"/>
  <c r="D33" i="12" s="1"/>
  <c r="E33" i="12" a="1"/>
  <c r="E33" i="12" s="1"/>
  <c r="F33" i="12" a="1"/>
  <c r="F33" i="12" s="1"/>
  <c r="G33" i="12" a="1"/>
  <c r="G33" i="12" s="1"/>
  <c r="H33" i="12" a="1"/>
  <c r="H33" i="12" s="1"/>
  <c r="I33" i="12" a="1"/>
  <c r="I33" i="12" s="1"/>
  <c r="K33" i="12" a="1"/>
  <c r="K33" i="12"/>
  <c r="L33" i="12" a="1"/>
  <c r="L33" i="12" s="1"/>
  <c r="M33" i="12" a="1"/>
  <c r="M33" i="12" s="1"/>
  <c r="A34" i="12"/>
  <c r="B34" i="12"/>
  <c r="C34" i="12" a="1"/>
  <c r="C34" i="12" s="1"/>
  <c r="D34" i="12" a="1"/>
  <c r="D34" i="12" s="1"/>
  <c r="E34" i="12" a="1"/>
  <c r="E34" i="12" s="1"/>
  <c r="F34" i="12" a="1"/>
  <c r="F34" i="12" s="1"/>
  <c r="G34" i="12" a="1"/>
  <c r="G34" i="12" s="1"/>
  <c r="H34" i="12" a="1"/>
  <c r="H34" i="12" s="1"/>
  <c r="I34" i="12" a="1"/>
  <c r="I34" i="12" s="1"/>
  <c r="K34" i="12" a="1"/>
  <c r="K34" i="12" s="1"/>
  <c r="L34" i="12" a="1"/>
  <c r="L34" i="12" s="1"/>
  <c r="M34" i="12" a="1"/>
  <c r="M34" i="12" s="1"/>
  <c r="A35" i="12"/>
  <c r="B35" i="12"/>
  <c r="C35" i="12" a="1"/>
  <c r="C35" i="12" s="1"/>
  <c r="D35" i="12" a="1"/>
  <c r="D35" i="12" s="1"/>
  <c r="J35" i="12" s="1" a="1"/>
  <c r="J35" i="12" s="1"/>
  <c r="E35" i="12" a="1"/>
  <c r="E35" i="12" s="1"/>
  <c r="F35" i="12" a="1"/>
  <c r="F35" i="12" s="1"/>
  <c r="G35" i="12" a="1"/>
  <c r="G35" i="12" s="1"/>
  <c r="H35" i="12" a="1"/>
  <c r="H35" i="12" s="1"/>
  <c r="I35" i="12" a="1"/>
  <c r="I35" i="12" s="1"/>
  <c r="K35" i="12" a="1"/>
  <c r="K35" i="12" s="1"/>
  <c r="L35" i="12" a="1"/>
  <c r="L35" i="12" s="1"/>
  <c r="M35" i="12" a="1"/>
  <c r="M35" i="12" s="1"/>
  <c r="A36" i="12"/>
  <c r="B36" i="12"/>
  <c r="C36" i="12" a="1"/>
  <c r="C36" i="12" s="1"/>
  <c r="D36" i="12" a="1"/>
  <c r="D36" i="12" s="1"/>
  <c r="J36" i="12" s="1" a="1"/>
  <c r="J36" i="12" s="1"/>
  <c r="E36" i="12" a="1"/>
  <c r="E36" i="12" s="1"/>
  <c r="F36" i="12" a="1"/>
  <c r="F36" i="12" s="1"/>
  <c r="G36" i="12" a="1"/>
  <c r="G36" i="12" s="1"/>
  <c r="H36" i="12" a="1"/>
  <c r="H36" i="12" s="1"/>
  <c r="I36" i="12" a="1"/>
  <c r="I36" i="12" s="1"/>
  <c r="K36" i="12" a="1"/>
  <c r="K36" i="12" s="1"/>
  <c r="L36" i="12" a="1"/>
  <c r="L36" i="12" s="1"/>
  <c r="M36" i="12" a="1"/>
  <c r="M36" i="12" s="1"/>
  <c r="A37" i="12"/>
  <c r="B37" i="12"/>
  <c r="C37" i="12" a="1"/>
  <c r="C37" i="12" s="1"/>
  <c r="J37" i="12" s="1" a="1"/>
  <c r="J37" i="12" s="1"/>
  <c r="D37" i="12" a="1"/>
  <c r="D37" i="12" s="1"/>
  <c r="E37" i="12" a="1"/>
  <c r="E37" i="12" s="1"/>
  <c r="F37" i="12" a="1"/>
  <c r="F37" i="12" s="1"/>
  <c r="G37" i="12" a="1"/>
  <c r="G37" i="12" s="1"/>
  <c r="H37" i="12" a="1"/>
  <c r="H37" i="12" s="1"/>
  <c r="I37" i="12" a="1"/>
  <c r="I37" i="12" s="1"/>
  <c r="K37" i="12" a="1"/>
  <c r="K37" i="12" s="1"/>
  <c r="L37" i="12" a="1"/>
  <c r="L37" i="12" s="1"/>
  <c r="M37" i="12" a="1"/>
  <c r="M37" i="12" s="1"/>
  <c r="A38" i="12"/>
  <c r="B38" i="12"/>
  <c r="C38" i="12" a="1"/>
  <c r="C38" i="12" s="1"/>
  <c r="D38" i="12" a="1"/>
  <c r="D38" i="12" s="1"/>
  <c r="E38" i="12" a="1"/>
  <c r="E38" i="12" s="1"/>
  <c r="J38" i="12" s="1" a="1"/>
  <c r="J38" i="12" s="1"/>
  <c r="F38" i="12" a="1"/>
  <c r="F38" i="12" s="1"/>
  <c r="G38" i="12" a="1"/>
  <c r="G38" i="12" s="1"/>
  <c r="H38" i="12" a="1"/>
  <c r="H38" i="12"/>
  <c r="I38" i="12" a="1"/>
  <c r="I38" i="12"/>
  <c r="K38" i="12" a="1"/>
  <c r="K38" i="12" s="1"/>
  <c r="L38" i="12" a="1"/>
  <c r="L38" i="12" s="1"/>
  <c r="M38" i="12" a="1"/>
  <c r="M38" i="12" s="1"/>
  <c r="A39" i="12"/>
  <c r="B39" i="12"/>
  <c r="C39" i="12" a="1"/>
  <c r="C39" i="12" s="1"/>
  <c r="D39" i="12" a="1"/>
  <c r="D39" i="12" s="1"/>
  <c r="E39" i="12" a="1"/>
  <c r="E39" i="12" s="1"/>
  <c r="J39" i="12" s="1" a="1"/>
  <c r="J39" i="12" s="1"/>
  <c r="F39" i="12" a="1"/>
  <c r="F39" i="12" s="1"/>
  <c r="G39" i="12" a="1"/>
  <c r="G39" i="12" s="1"/>
  <c r="H39" i="12" a="1"/>
  <c r="H39" i="12" s="1"/>
  <c r="I39" i="12" a="1"/>
  <c r="I39" i="12" s="1"/>
  <c r="K39" i="12" a="1"/>
  <c r="K39" i="12" s="1"/>
  <c r="L39" i="12" a="1"/>
  <c r="L39" i="12" s="1"/>
  <c r="M39" i="12" a="1"/>
  <c r="M39" i="12" s="1"/>
  <c r="A40" i="12"/>
  <c r="B40" i="12"/>
  <c r="C40" i="12" a="1"/>
  <c r="C40" i="12" s="1"/>
  <c r="D40" i="12" a="1"/>
  <c r="D40" i="12" s="1"/>
  <c r="E40" i="12" a="1"/>
  <c r="E40" i="12" s="1"/>
  <c r="F40" i="12" a="1"/>
  <c r="F40" i="12" s="1"/>
  <c r="G40" i="12" a="1"/>
  <c r="G40" i="12" s="1"/>
  <c r="H40" i="12" a="1"/>
  <c r="H40" i="12" s="1"/>
  <c r="I40" i="12" a="1"/>
  <c r="I40" i="12" s="1"/>
  <c r="K40" i="12" a="1"/>
  <c r="K40" i="12" s="1"/>
  <c r="L40" i="12" a="1"/>
  <c r="L40" i="12" s="1"/>
  <c r="M40" i="12" a="1"/>
  <c r="M40" i="12"/>
  <c r="A41" i="12"/>
  <c r="B41" i="12"/>
  <c r="C41" i="12" a="1"/>
  <c r="C41" i="12" s="1"/>
  <c r="J41" i="12" s="1" a="1"/>
  <c r="J41" i="12" s="1"/>
  <c r="D41" i="12" a="1"/>
  <c r="D41" i="12" s="1"/>
  <c r="E41" i="12" a="1"/>
  <c r="E41" i="12" s="1"/>
  <c r="F41" i="12" a="1"/>
  <c r="F41" i="12" s="1"/>
  <c r="G41" i="12" a="1"/>
  <c r="G41" i="12" s="1"/>
  <c r="H41" i="12" a="1"/>
  <c r="H41" i="12" s="1"/>
  <c r="I41" i="12" a="1"/>
  <c r="I41" i="12" s="1"/>
  <c r="K41" i="12" a="1"/>
  <c r="K41" i="12" s="1"/>
  <c r="L41" i="12" a="1"/>
  <c r="L41" i="12" s="1"/>
  <c r="M41" i="12" a="1"/>
  <c r="M41" i="12" s="1"/>
  <c r="A42" i="12"/>
  <c r="B42" i="12"/>
  <c r="C42" i="12" a="1"/>
  <c r="C42" i="12" s="1"/>
  <c r="D42" i="12" a="1"/>
  <c r="D42" i="12" s="1"/>
  <c r="E42" i="12" a="1"/>
  <c r="E42" i="12" s="1"/>
  <c r="F42" i="12" a="1"/>
  <c r="F42" i="12" s="1"/>
  <c r="J42" i="12" s="1" a="1"/>
  <c r="J42" i="12" s="1"/>
  <c r="G42" i="12" a="1"/>
  <c r="G42" i="12" s="1"/>
  <c r="H42" i="12" a="1"/>
  <c r="H42" i="12" s="1"/>
  <c r="I42" i="12" a="1"/>
  <c r="I42" i="12" s="1"/>
  <c r="K42" i="12" a="1"/>
  <c r="K42" i="12"/>
  <c r="L42" i="12" a="1"/>
  <c r="L42" i="12"/>
  <c r="M42" i="12" a="1"/>
  <c r="M42" i="12" s="1"/>
  <c r="A43" i="12"/>
  <c r="B43" i="12"/>
  <c r="C43" i="12" a="1"/>
  <c r="C43" i="12" s="1"/>
  <c r="D43" i="12" a="1"/>
  <c r="D43" i="12" s="1"/>
  <c r="J43" i="12" s="1" a="1"/>
  <c r="J43" i="12" s="1"/>
  <c r="E43" i="12" a="1"/>
  <c r="E43" i="12" s="1"/>
  <c r="F43" i="12" a="1"/>
  <c r="F43" i="12" s="1"/>
  <c r="G43" i="12" a="1"/>
  <c r="G43" i="12" s="1"/>
  <c r="H43" i="12" a="1"/>
  <c r="H43" i="12" s="1"/>
  <c r="I43" i="12" a="1"/>
  <c r="I43" i="12" s="1"/>
  <c r="K43" i="12" a="1"/>
  <c r="K43" i="12" s="1"/>
  <c r="L43" i="12" a="1"/>
  <c r="L43" i="12" s="1"/>
  <c r="M43" i="12" a="1"/>
  <c r="M43" i="12" s="1"/>
  <c r="A44" i="12"/>
  <c r="B44" i="12"/>
  <c r="C44" i="12" a="1"/>
  <c r="C44" i="12" s="1"/>
  <c r="D44" i="12" a="1"/>
  <c r="D44" i="12" s="1"/>
  <c r="J44" i="12" s="1" a="1"/>
  <c r="J44" i="12" s="1"/>
  <c r="E44" i="12" a="1"/>
  <c r="E44" i="12"/>
  <c r="F44" i="12" a="1"/>
  <c r="F44" i="12" s="1"/>
  <c r="G44" i="12" a="1"/>
  <c r="G44" i="12" s="1"/>
  <c r="H44" i="12" a="1"/>
  <c r="H44" i="12" s="1"/>
  <c r="I44" i="12" a="1"/>
  <c r="I44" i="12" s="1"/>
  <c r="K44" i="12" a="1"/>
  <c r="K44" i="12" s="1"/>
  <c r="L44" i="12" a="1"/>
  <c r="L44" i="12" s="1"/>
  <c r="M44" i="12" a="1"/>
  <c r="M44" i="12" s="1"/>
  <c r="A45" i="12"/>
  <c r="B45" i="12"/>
  <c r="C45" i="12" a="1"/>
  <c r="C45" i="12" s="1"/>
  <c r="D45" i="12" a="1"/>
  <c r="D45" i="12" s="1"/>
  <c r="J45" i="12" s="1" a="1"/>
  <c r="J45" i="12" s="1"/>
  <c r="E45" i="12" a="1"/>
  <c r="E45" i="12" s="1"/>
  <c r="F45" i="12" a="1"/>
  <c r="F45" i="12" s="1"/>
  <c r="G45" i="12" a="1"/>
  <c r="G45" i="12" s="1"/>
  <c r="H45" i="12" a="1"/>
  <c r="H45" i="12" s="1"/>
  <c r="I45" i="12" a="1"/>
  <c r="I45" i="12" s="1"/>
  <c r="K45" i="12" a="1"/>
  <c r="K45" i="12" s="1"/>
  <c r="L45" i="12" a="1"/>
  <c r="L45" i="12" s="1"/>
  <c r="M45" i="12" a="1"/>
  <c r="M45" i="12" s="1"/>
  <c r="A46" i="12"/>
  <c r="B46" i="12"/>
  <c r="C46" i="12" a="1"/>
  <c r="C46" i="12" s="1"/>
  <c r="J46" i="12" s="1" a="1"/>
  <c r="J46" i="12" s="1"/>
  <c r="D46" i="12" a="1"/>
  <c r="D46" i="12" s="1"/>
  <c r="E46" i="12" a="1"/>
  <c r="E46" i="12" s="1"/>
  <c r="F46" i="12" a="1"/>
  <c r="F46" i="12" s="1"/>
  <c r="G46" i="12" a="1"/>
  <c r="G46" i="12" s="1"/>
  <c r="H46" i="12" a="1"/>
  <c r="H46" i="12" s="1"/>
  <c r="I46" i="12" a="1"/>
  <c r="I46" i="12" s="1"/>
  <c r="K46" i="12" a="1"/>
  <c r="K46" i="12" s="1"/>
  <c r="L46" i="12" a="1"/>
  <c r="L46" i="12" s="1"/>
  <c r="M46" i="12" a="1"/>
  <c r="M46" i="12" s="1"/>
  <c r="A47" i="12"/>
  <c r="B47" i="12"/>
  <c r="C47" i="12" a="1"/>
  <c r="C47" i="12"/>
  <c r="J47" i="12" s="1" a="1"/>
  <c r="J47" i="12" s="1"/>
  <c r="D47" i="12" a="1"/>
  <c r="D47" i="12" s="1"/>
  <c r="E47" i="12" a="1"/>
  <c r="E47" i="12" s="1"/>
  <c r="F47" i="12" a="1"/>
  <c r="F47" i="12" s="1"/>
  <c r="G47" i="12" a="1"/>
  <c r="G47" i="12" s="1"/>
  <c r="H47" i="12" a="1"/>
  <c r="H47" i="12" s="1"/>
  <c r="I47" i="12" a="1"/>
  <c r="I47" i="12" s="1"/>
  <c r="K47" i="12" a="1"/>
  <c r="K47" i="12" s="1"/>
  <c r="L47" i="12" a="1"/>
  <c r="L47" i="12" s="1"/>
  <c r="M47" i="12" a="1"/>
  <c r="M47" i="12" s="1"/>
  <c r="A48" i="12"/>
  <c r="B48" i="12"/>
  <c r="C48" i="12" a="1"/>
  <c r="C48" i="12" s="1"/>
  <c r="D48" i="12" a="1"/>
  <c r="D48" i="12" s="1"/>
  <c r="E48" i="12" a="1"/>
  <c r="E48" i="12" s="1"/>
  <c r="F48" i="12" a="1"/>
  <c r="F48" i="12" s="1"/>
  <c r="G48" i="12" a="1"/>
  <c r="G48" i="12" s="1"/>
  <c r="H48" i="12" a="1"/>
  <c r="H48" i="12" s="1"/>
  <c r="I48" i="12" a="1"/>
  <c r="I48" i="12" s="1"/>
  <c r="K48" i="12" a="1"/>
  <c r="K48" i="12" s="1"/>
  <c r="L48" i="12" a="1"/>
  <c r="L48" i="12" s="1"/>
  <c r="M48" i="12" a="1"/>
  <c r="M48" i="12" s="1"/>
  <c r="A49" i="12"/>
  <c r="B49" i="12"/>
  <c r="C49" i="12" a="1"/>
  <c r="C49" i="12" s="1"/>
  <c r="J49" i="12" s="1" a="1"/>
  <c r="J49" i="12" s="1"/>
  <c r="D49" i="12" a="1"/>
  <c r="D49" i="12" s="1"/>
  <c r="E49" i="12" a="1"/>
  <c r="E49" i="12" s="1"/>
  <c r="F49" i="12" a="1"/>
  <c r="F49" i="12" s="1"/>
  <c r="G49" i="12" a="1"/>
  <c r="G49" i="12" s="1"/>
  <c r="H49" i="12" a="1"/>
  <c r="H49" i="12" s="1"/>
  <c r="I49" i="12" a="1"/>
  <c r="I49" i="12" s="1"/>
  <c r="K49" i="12" a="1"/>
  <c r="K49" i="12" s="1"/>
  <c r="L49" i="12" a="1"/>
  <c r="L49" i="12" s="1"/>
  <c r="M49" i="12" a="1"/>
  <c r="M49" i="12" s="1"/>
  <c r="A50" i="12"/>
  <c r="B50" i="12"/>
  <c r="C50" i="12" a="1"/>
  <c r="C50" i="12" s="1"/>
  <c r="D50" i="12" a="1"/>
  <c r="D50" i="12" s="1"/>
  <c r="E50" i="12" a="1"/>
  <c r="E50" i="12" s="1"/>
  <c r="F50" i="12" a="1"/>
  <c r="F50" i="12" s="1"/>
  <c r="G50" i="12" a="1"/>
  <c r="G50" i="12" s="1"/>
  <c r="H50" i="12" a="1"/>
  <c r="H50" i="12" s="1"/>
  <c r="I50" i="12" a="1"/>
  <c r="I50" i="12" s="1"/>
  <c r="J50" i="12" a="1"/>
  <c r="J50" i="12" s="1"/>
  <c r="K50" i="12" a="1"/>
  <c r="K50" i="12" s="1"/>
  <c r="L50" i="12" a="1"/>
  <c r="L50" i="12" s="1"/>
  <c r="M50" i="12" a="1"/>
  <c r="M50" i="12" s="1"/>
  <c r="A51" i="12"/>
  <c r="B51" i="12"/>
  <c r="C51" i="12" a="1"/>
  <c r="C51" i="12" s="1"/>
  <c r="D51" i="12" a="1"/>
  <c r="D51" i="12" s="1"/>
  <c r="E51" i="12" a="1"/>
  <c r="E51" i="12" s="1"/>
  <c r="F51" i="12" a="1"/>
  <c r="F51" i="12" s="1"/>
  <c r="G51" i="12" a="1"/>
  <c r="G51" i="12" s="1"/>
  <c r="H51" i="12" a="1"/>
  <c r="H51" i="12" s="1"/>
  <c r="I51" i="12" a="1"/>
  <c r="I51" i="12" s="1"/>
  <c r="K51" i="12" a="1"/>
  <c r="K51" i="12" s="1"/>
  <c r="L51" i="12" a="1"/>
  <c r="L51" i="12" s="1"/>
  <c r="M51" i="12" a="1"/>
  <c r="M51" i="12" s="1"/>
  <c r="A52" i="12"/>
  <c r="B52" i="12"/>
  <c r="C52" i="12" a="1"/>
  <c r="C52" i="12" s="1"/>
  <c r="D52" i="12" a="1"/>
  <c r="D52" i="12" s="1"/>
  <c r="E52" i="12" a="1"/>
  <c r="E52" i="12" s="1"/>
  <c r="J52" i="12" s="1" a="1"/>
  <c r="J52" i="12" s="1"/>
  <c r="F52" i="12" a="1"/>
  <c r="F52" i="12" s="1"/>
  <c r="G52" i="12" a="1"/>
  <c r="G52" i="12" s="1"/>
  <c r="H52" i="12" a="1"/>
  <c r="H52" i="12" s="1"/>
  <c r="I52" i="12" a="1"/>
  <c r="I52" i="12" s="1"/>
  <c r="K52" i="12" a="1"/>
  <c r="K52" i="12" s="1"/>
  <c r="L52" i="12" a="1"/>
  <c r="L52" i="12" s="1"/>
  <c r="M52" i="12" a="1"/>
  <c r="M52" i="12" s="1"/>
  <c r="A53" i="12"/>
  <c r="B53" i="12"/>
  <c r="C53" i="12" a="1"/>
  <c r="C53" i="12" s="1"/>
  <c r="D53" i="12" a="1"/>
  <c r="D53" i="12" s="1"/>
  <c r="E53" i="12" a="1"/>
  <c r="E53" i="12" s="1"/>
  <c r="F53" i="12" a="1"/>
  <c r="F53" i="12" s="1"/>
  <c r="G53" i="12" a="1"/>
  <c r="G53" i="12" s="1"/>
  <c r="H53" i="12" a="1"/>
  <c r="H53" i="12" s="1"/>
  <c r="I53" i="12" a="1"/>
  <c r="I53" i="12" s="1"/>
  <c r="K53" i="12" a="1"/>
  <c r="K53" i="12" s="1"/>
  <c r="L53" i="12" a="1"/>
  <c r="L53" i="12" s="1"/>
  <c r="M53" i="12" a="1"/>
  <c r="M53" i="12" s="1"/>
  <c r="A54" i="12"/>
  <c r="B54" i="12"/>
  <c r="C54" i="12" a="1"/>
  <c r="C54" i="12" s="1"/>
  <c r="J54" i="12" s="1" a="1"/>
  <c r="J54" i="12" s="1"/>
  <c r="D54" i="12" a="1"/>
  <c r="D54" i="12" s="1"/>
  <c r="E54" i="12" a="1"/>
  <c r="E54" i="12" s="1"/>
  <c r="F54" i="12" a="1"/>
  <c r="F54" i="12" s="1"/>
  <c r="G54" i="12" a="1"/>
  <c r="G54" i="12" s="1"/>
  <c r="H54" i="12" a="1"/>
  <c r="H54" i="12" s="1"/>
  <c r="I54" i="12" a="1"/>
  <c r="I54" i="12" s="1"/>
  <c r="K54" i="12" a="1"/>
  <c r="K54" i="12" s="1"/>
  <c r="L54" i="12" a="1"/>
  <c r="L54" i="12" s="1"/>
  <c r="M54" i="12" a="1"/>
  <c r="M54" i="12" s="1"/>
  <c r="A55" i="12"/>
  <c r="B55" i="12"/>
  <c r="C55" i="12" a="1"/>
  <c r="C55" i="12"/>
  <c r="J55" i="12" s="1" a="1"/>
  <c r="J55" i="12" s="1"/>
  <c r="D55" i="12" a="1"/>
  <c r="D55" i="12" s="1"/>
  <c r="E55" i="12" a="1"/>
  <c r="E55" i="12" s="1"/>
  <c r="F55" i="12" a="1"/>
  <c r="F55" i="12" s="1"/>
  <c r="G55" i="12" a="1"/>
  <c r="G55" i="12" s="1"/>
  <c r="H55" i="12" a="1"/>
  <c r="H55" i="12" s="1"/>
  <c r="I55" i="12" a="1"/>
  <c r="I55" i="12"/>
  <c r="K55" i="12" a="1"/>
  <c r="K55" i="12" s="1"/>
  <c r="L55" i="12" a="1"/>
  <c r="L55" i="12" s="1"/>
  <c r="M55" i="12" a="1"/>
  <c r="M55" i="12" s="1"/>
  <c r="A56" i="12"/>
  <c r="B56" i="12"/>
  <c r="C56" i="12" a="1"/>
  <c r="C56" i="12" s="1"/>
  <c r="J56" i="12" s="1" a="1"/>
  <c r="J56" i="12" s="1"/>
  <c r="D56" i="12" a="1"/>
  <c r="D56" i="12" s="1"/>
  <c r="E56" i="12" a="1"/>
  <c r="E56" i="12" s="1"/>
  <c r="F56" i="12" a="1"/>
  <c r="F56" i="12" s="1"/>
  <c r="G56" i="12" a="1"/>
  <c r="G56" i="12" s="1"/>
  <c r="H56" i="12" a="1"/>
  <c r="H56" i="12"/>
  <c r="I56" i="12" a="1"/>
  <c r="I56" i="12" s="1"/>
  <c r="K56" i="12" a="1"/>
  <c r="K56" i="12" s="1"/>
  <c r="L56" i="12" a="1"/>
  <c r="L56" i="12" s="1"/>
  <c r="M56" i="12" a="1"/>
  <c r="M56" i="12" s="1"/>
  <c r="A57" i="12"/>
  <c r="B57" i="12"/>
  <c r="C57" i="12" a="1"/>
  <c r="C57" i="12"/>
  <c r="J57" i="12" s="1" a="1"/>
  <c r="J57" i="12" s="1"/>
  <c r="D57" i="12" a="1"/>
  <c r="D57" i="12" s="1"/>
  <c r="E57" i="12" a="1"/>
  <c r="E57" i="12" s="1"/>
  <c r="F57" i="12" a="1"/>
  <c r="F57" i="12" s="1"/>
  <c r="G57" i="12" a="1"/>
  <c r="G57" i="12" s="1"/>
  <c r="H57" i="12" a="1"/>
  <c r="H57" i="12" s="1"/>
  <c r="I57" i="12" a="1"/>
  <c r="I57" i="12" s="1"/>
  <c r="K57" i="12" a="1"/>
  <c r="K57" i="12" s="1"/>
  <c r="L57" i="12" a="1"/>
  <c r="L57" i="12" s="1"/>
  <c r="M57" i="12" a="1"/>
  <c r="M57" i="12"/>
  <c r="A58" i="12"/>
  <c r="B58" i="12"/>
  <c r="C58" i="12" a="1"/>
  <c r="C58" i="12" s="1"/>
  <c r="D58" i="12" a="1"/>
  <c r="D58" i="12" s="1"/>
  <c r="E58" i="12" a="1"/>
  <c r="E58" i="12" s="1"/>
  <c r="F58" i="12" a="1"/>
  <c r="F58" i="12" s="1"/>
  <c r="G58" i="12" a="1"/>
  <c r="G58" i="12"/>
  <c r="J58" i="12" s="1" a="1"/>
  <c r="J58" i="12" s="1"/>
  <c r="H58" i="12" a="1"/>
  <c r="H58" i="12"/>
  <c r="I58" i="12" a="1"/>
  <c r="I58" i="12" s="1"/>
  <c r="K58" i="12" a="1"/>
  <c r="K58" i="12" s="1"/>
  <c r="L58" i="12" a="1"/>
  <c r="L58" i="12" s="1"/>
  <c r="M58" i="12" a="1"/>
  <c r="M58" i="12" s="1"/>
  <c r="A59" i="12"/>
  <c r="B59" i="12"/>
  <c r="C59" i="12" a="1"/>
  <c r="C59" i="12" s="1"/>
  <c r="J59" i="12" s="1" a="1"/>
  <c r="J59" i="12" s="1"/>
  <c r="D59" i="12" a="1"/>
  <c r="D59" i="12" s="1"/>
  <c r="E59" i="12" a="1"/>
  <c r="E59" i="12" s="1"/>
  <c r="F59" i="12" a="1"/>
  <c r="F59" i="12" s="1"/>
  <c r="G59" i="12" a="1"/>
  <c r="G59" i="12" s="1"/>
  <c r="H59" i="12" a="1"/>
  <c r="H59" i="12" s="1"/>
  <c r="I59" i="12" a="1"/>
  <c r="I59" i="12" s="1"/>
  <c r="K59" i="12" a="1"/>
  <c r="K59" i="12" s="1"/>
  <c r="L59" i="12" a="1"/>
  <c r="L59" i="12"/>
  <c r="M59" i="12" a="1"/>
  <c r="M59" i="12" s="1"/>
  <c r="A60" i="12"/>
  <c r="B60" i="12"/>
  <c r="C60" i="12" a="1"/>
  <c r="C60" i="12" s="1"/>
  <c r="J60" i="12" s="1" a="1"/>
  <c r="J60" i="12" s="1"/>
  <c r="D60" i="12" a="1"/>
  <c r="D60" i="12" s="1"/>
  <c r="E60" i="12" a="1"/>
  <c r="E60" i="12" s="1"/>
  <c r="F60" i="12" a="1"/>
  <c r="F60" i="12" s="1"/>
  <c r="G60" i="12" a="1"/>
  <c r="G60" i="12" s="1"/>
  <c r="H60" i="12" a="1"/>
  <c r="H60" i="12" s="1"/>
  <c r="I60" i="12" a="1"/>
  <c r="I60" i="12" s="1"/>
  <c r="K60" i="12" a="1"/>
  <c r="K60" i="12" s="1"/>
  <c r="L60" i="12" a="1"/>
  <c r="L60" i="12" s="1"/>
  <c r="M60" i="12" a="1"/>
  <c r="M60" i="12" s="1"/>
  <c r="A61" i="12"/>
  <c r="B61" i="12"/>
  <c r="C61" i="12" a="1"/>
  <c r="C61" i="12" s="1"/>
  <c r="D61" i="12" a="1"/>
  <c r="D61" i="12" s="1"/>
  <c r="E61" i="12" a="1"/>
  <c r="E61" i="12"/>
  <c r="F61" i="12" a="1"/>
  <c r="F61" i="12" s="1"/>
  <c r="G61" i="12" a="1"/>
  <c r="G61" i="12" s="1"/>
  <c r="H61" i="12" a="1"/>
  <c r="H61" i="12" s="1"/>
  <c r="I61" i="12" a="1"/>
  <c r="I61" i="12" s="1"/>
  <c r="K61" i="12" a="1"/>
  <c r="K61" i="12" s="1"/>
  <c r="L61" i="12" a="1"/>
  <c r="L61" i="12" s="1"/>
  <c r="M61" i="12" a="1"/>
  <c r="M61" i="12" s="1"/>
  <c r="A62" i="12"/>
  <c r="B62" i="12"/>
  <c r="C62" i="12" a="1"/>
  <c r="C62" i="12" s="1"/>
  <c r="J62" i="12" s="1" a="1"/>
  <c r="J62" i="12" s="1"/>
  <c r="D62" i="12" a="1"/>
  <c r="D62" i="12" s="1"/>
  <c r="E62" i="12" a="1"/>
  <c r="E62" i="12" s="1"/>
  <c r="F62" i="12" a="1"/>
  <c r="F62" i="12" s="1"/>
  <c r="G62" i="12" a="1"/>
  <c r="G62" i="12" s="1"/>
  <c r="H62" i="12" a="1"/>
  <c r="H62" i="12" s="1"/>
  <c r="I62" i="12" a="1"/>
  <c r="I62" i="12" s="1"/>
  <c r="K62" i="12" a="1"/>
  <c r="K62" i="12" s="1"/>
  <c r="L62" i="12" a="1"/>
  <c r="L62" i="12" s="1"/>
  <c r="M62" i="12" a="1"/>
  <c r="M62" i="12" s="1"/>
  <c r="A63" i="12"/>
  <c r="B63" i="12"/>
  <c r="C63" i="12" a="1"/>
  <c r="C63" i="12" s="1"/>
  <c r="D63" i="12" a="1"/>
  <c r="D63" i="12" s="1"/>
  <c r="E63" i="12" a="1"/>
  <c r="E63" i="12" s="1"/>
  <c r="F63" i="12" a="1"/>
  <c r="F63" i="12" s="1"/>
  <c r="G63" i="12" a="1"/>
  <c r="G63" i="12" s="1"/>
  <c r="H63" i="12" a="1"/>
  <c r="H63" i="12" s="1"/>
  <c r="I63" i="12" a="1"/>
  <c r="I63" i="12" s="1"/>
  <c r="J63" i="12" a="1"/>
  <c r="J63" i="12" s="1"/>
  <c r="K63" i="12" a="1"/>
  <c r="K63" i="12" s="1"/>
  <c r="L63" i="12" a="1"/>
  <c r="L63" i="12" s="1"/>
  <c r="M63" i="12" a="1"/>
  <c r="M63" i="12" s="1"/>
  <c r="A64" i="12"/>
  <c r="B64" i="12"/>
  <c r="C64" i="12" a="1"/>
  <c r="C64" i="12"/>
  <c r="D64" i="12" a="1"/>
  <c r="D64" i="12" s="1"/>
  <c r="E64" i="12" a="1"/>
  <c r="E64" i="12" s="1"/>
  <c r="F64" i="12" a="1"/>
  <c r="F64" i="12" s="1"/>
  <c r="G64" i="12" a="1"/>
  <c r="G64" i="12" s="1"/>
  <c r="H64" i="12" a="1"/>
  <c r="H64" i="12" s="1"/>
  <c r="I64" i="12" a="1"/>
  <c r="I64" i="12" s="1"/>
  <c r="K64" i="12" a="1"/>
  <c r="K64" i="12" s="1"/>
  <c r="L64" i="12" a="1"/>
  <c r="L64" i="12" s="1"/>
  <c r="M64" i="12" a="1"/>
  <c r="M64" i="12" s="1"/>
  <c r="A65" i="12"/>
  <c r="B65" i="12"/>
  <c r="C65" i="12" a="1"/>
  <c r="C65" i="12"/>
  <c r="D65" i="12" a="1"/>
  <c r="D65" i="12" s="1"/>
  <c r="E65" i="12" a="1"/>
  <c r="E65" i="12" s="1"/>
  <c r="F65" i="12" a="1"/>
  <c r="F65" i="12" s="1"/>
  <c r="G65" i="12" a="1"/>
  <c r="G65" i="12" s="1"/>
  <c r="H65" i="12" a="1"/>
  <c r="H65" i="12" s="1"/>
  <c r="I65" i="12" a="1"/>
  <c r="I65" i="12" s="1"/>
  <c r="K65" i="12" a="1"/>
  <c r="K65" i="12" s="1"/>
  <c r="L65" i="12" a="1"/>
  <c r="L65" i="12" s="1"/>
  <c r="M65" i="12" a="1"/>
  <c r="M65" i="12" s="1"/>
  <c r="A66" i="12"/>
  <c r="B66" i="12"/>
  <c r="C66" i="12" a="1"/>
  <c r="C66" i="12" s="1"/>
  <c r="D66" i="12" a="1"/>
  <c r="D66" i="12" s="1"/>
  <c r="E66" i="12" a="1"/>
  <c r="E66" i="12" s="1"/>
  <c r="J66" i="12" s="1" a="1"/>
  <c r="J66" i="12" s="1"/>
  <c r="F66" i="12" a="1"/>
  <c r="F66" i="12" s="1"/>
  <c r="G66" i="12" a="1"/>
  <c r="G66" i="12" s="1"/>
  <c r="H66" i="12" a="1"/>
  <c r="H66" i="12" s="1"/>
  <c r="I66" i="12" a="1"/>
  <c r="I66" i="12" s="1"/>
  <c r="K66" i="12" a="1"/>
  <c r="K66" i="12" s="1"/>
  <c r="L66" i="12" a="1"/>
  <c r="L66" i="12" s="1"/>
  <c r="M66" i="12" a="1"/>
  <c r="M66" i="12"/>
  <c r="A67" i="12"/>
  <c r="B67" i="12"/>
  <c r="C67" i="12" a="1"/>
  <c r="C67" i="12" s="1"/>
  <c r="D67" i="12" a="1"/>
  <c r="D67" i="12" s="1"/>
  <c r="E67" i="12" a="1"/>
  <c r="E67" i="12" s="1"/>
  <c r="J67" i="12" s="1" a="1"/>
  <c r="J67" i="12" s="1"/>
  <c r="F67" i="12" a="1"/>
  <c r="F67" i="12" s="1"/>
  <c r="G67" i="12" a="1"/>
  <c r="G67" i="12" s="1"/>
  <c r="H67" i="12" a="1"/>
  <c r="H67" i="12" s="1"/>
  <c r="I67" i="12" a="1"/>
  <c r="I67" i="12" s="1"/>
  <c r="K67" i="12" a="1"/>
  <c r="K67" i="12" s="1"/>
  <c r="L67" i="12" a="1"/>
  <c r="L67" i="12" s="1"/>
  <c r="M67" i="12" a="1"/>
  <c r="M67" i="12"/>
  <c r="A68" i="12"/>
  <c r="B68" i="12"/>
  <c r="C68" i="12" a="1"/>
  <c r="C68" i="12" s="1"/>
  <c r="D68" i="12" a="1"/>
  <c r="D68" i="12" s="1"/>
  <c r="E68" i="12" a="1"/>
  <c r="E68" i="12" s="1"/>
  <c r="F68" i="12" a="1"/>
  <c r="F68" i="12" s="1"/>
  <c r="G68" i="12" a="1"/>
  <c r="G68" i="12"/>
  <c r="H68" i="12" a="1"/>
  <c r="H68" i="12" s="1"/>
  <c r="I68" i="12" a="1"/>
  <c r="I68" i="12" s="1"/>
  <c r="K68" i="12" a="1"/>
  <c r="K68" i="12" s="1"/>
  <c r="L68" i="12" a="1"/>
  <c r="L68" i="12" s="1"/>
  <c r="M68" i="12" a="1"/>
  <c r="M68" i="12" s="1"/>
  <c r="A69" i="12"/>
  <c r="B69" i="12"/>
  <c r="C69" i="12" a="1"/>
  <c r="C69" i="12" s="1"/>
  <c r="D69" i="12" a="1"/>
  <c r="D69" i="12" s="1"/>
  <c r="J69" i="12" s="1" a="1"/>
  <c r="J69" i="12" s="1"/>
  <c r="E69" i="12" a="1"/>
  <c r="E69" i="12" s="1"/>
  <c r="F69" i="12" a="1"/>
  <c r="F69" i="12" s="1"/>
  <c r="G69" i="12" a="1"/>
  <c r="G69" i="12" s="1"/>
  <c r="H69" i="12" a="1"/>
  <c r="H69" i="12" s="1"/>
  <c r="I69" i="12" a="1"/>
  <c r="I69" i="12" s="1"/>
  <c r="K69" i="12" a="1"/>
  <c r="K69" i="12"/>
  <c r="L69" i="12" a="1"/>
  <c r="L69" i="12"/>
  <c r="M69" i="12" a="1"/>
  <c r="M69" i="12" s="1"/>
  <c r="A70" i="12"/>
  <c r="B70" i="12"/>
  <c r="C70" i="12" a="1"/>
  <c r="C70" i="12" s="1"/>
  <c r="D70" i="12" a="1"/>
  <c r="D70" i="12" s="1"/>
  <c r="E70" i="12" a="1"/>
  <c r="E70" i="12" s="1"/>
  <c r="F70" i="12" a="1"/>
  <c r="F70" i="12" s="1"/>
  <c r="G70" i="12" a="1"/>
  <c r="G70" i="12" s="1"/>
  <c r="H70" i="12" a="1"/>
  <c r="H70" i="12" s="1"/>
  <c r="I70" i="12" a="1"/>
  <c r="I70" i="12" s="1"/>
  <c r="J70" i="12" a="1"/>
  <c r="J70" i="12" s="1"/>
  <c r="K70" i="12" a="1"/>
  <c r="K70" i="12"/>
  <c r="L70" i="12" a="1"/>
  <c r="L70" i="12" s="1"/>
  <c r="M70" i="12" a="1"/>
  <c r="M70" i="12" s="1"/>
  <c r="A71" i="12"/>
  <c r="B71" i="12"/>
  <c r="C71" i="12" a="1"/>
  <c r="C71" i="12" s="1"/>
  <c r="D71" i="12" a="1"/>
  <c r="D71" i="12"/>
  <c r="J71" i="12" s="1" a="1"/>
  <c r="J71" i="12" s="1"/>
  <c r="E71" i="12" a="1"/>
  <c r="E71" i="12" s="1"/>
  <c r="F71" i="12" a="1"/>
  <c r="F71" i="12" s="1"/>
  <c r="G71" i="12" a="1"/>
  <c r="G71" i="12" s="1"/>
  <c r="H71" i="12" a="1"/>
  <c r="H71" i="12" s="1"/>
  <c r="I71" i="12" a="1"/>
  <c r="I71" i="12" s="1"/>
  <c r="K71" i="12" a="1"/>
  <c r="K71" i="12" s="1"/>
  <c r="L71" i="12" a="1"/>
  <c r="L71" i="12" s="1"/>
  <c r="M71" i="12" a="1"/>
  <c r="M71" i="12" s="1"/>
  <c r="A72" i="12"/>
  <c r="B72" i="12"/>
  <c r="C72" i="12" a="1"/>
  <c r="C72" i="12" s="1"/>
  <c r="D72" i="12" a="1"/>
  <c r="D72" i="12" s="1"/>
  <c r="J72" i="12" s="1" a="1"/>
  <c r="J72" i="12" s="1"/>
  <c r="E72" i="12" a="1"/>
  <c r="E72" i="12" s="1"/>
  <c r="F72" i="12" a="1"/>
  <c r="F72" i="12" s="1"/>
  <c r="G72" i="12" a="1"/>
  <c r="G72" i="12" s="1"/>
  <c r="H72" i="12" a="1"/>
  <c r="H72" i="12" s="1"/>
  <c r="I72" i="12" a="1"/>
  <c r="I72" i="12" s="1"/>
  <c r="K72" i="12" a="1"/>
  <c r="K72" i="12" s="1"/>
  <c r="L72" i="12" a="1"/>
  <c r="L72" i="12" s="1"/>
  <c r="M72" i="12" a="1"/>
  <c r="M72" i="12"/>
  <c r="A73" i="12"/>
  <c r="B73" i="12"/>
  <c r="C73" i="12" a="1"/>
  <c r="C73" i="12" s="1"/>
  <c r="D73" i="12" a="1"/>
  <c r="D73" i="12" s="1"/>
  <c r="E73" i="12" a="1"/>
  <c r="E73" i="12" s="1"/>
  <c r="F73" i="12" a="1"/>
  <c r="F73" i="12" s="1"/>
  <c r="J73" i="12" s="1" a="1"/>
  <c r="J73" i="12" s="1"/>
  <c r="G73" i="12" a="1"/>
  <c r="G73" i="12" s="1"/>
  <c r="H73" i="12" a="1"/>
  <c r="H73" i="12" s="1"/>
  <c r="I73" i="12" a="1"/>
  <c r="I73" i="12"/>
  <c r="K73" i="12" a="1"/>
  <c r="K73" i="12" s="1"/>
  <c r="L73" i="12" a="1"/>
  <c r="L73" i="12" s="1"/>
  <c r="M73" i="12" a="1"/>
  <c r="M73" i="12" s="1"/>
  <c r="A74" i="12"/>
  <c r="B74" i="12"/>
  <c r="C74" i="12" a="1"/>
  <c r="C74" i="12" s="1"/>
  <c r="D74" i="12" a="1"/>
  <c r="D74" i="12" s="1"/>
  <c r="E74" i="12" a="1"/>
  <c r="E74" i="12" s="1"/>
  <c r="F74" i="12" a="1"/>
  <c r="F74" i="12"/>
  <c r="G74" i="12" a="1"/>
  <c r="G74" i="12" s="1"/>
  <c r="H74" i="12" a="1"/>
  <c r="H74" i="12" s="1"/>
  <c r="I74" i="12" a="1"/>
  <c r="I74" i="12" s="1"/>
  <c r="K74" i="12" a="1"/>
  <c r="K74" i="12" s="1"/>
  <c r="L74" i="12" a="1"/>
  <c r="L74" i="12" s="1"/>
  <c r="M74" i="12" a="1"/>
  <c r="M74" i="12" s="1"/>
  <c r="A75" i="12"/>
  <c r="B75" i="12"/>
  <c r="C75" i="12" a="1"/>
  <c r="C75" i="12" s="1"/>
  <c r="J75" i="12" s="1" a="1"/>
  <c r="J75" i="12" s="1"/>
  <c r="D75" i="12" a="1"/>
  <c r="D75" i="12" s="1"/>
  <c r="E75" i="12" a="1"/>
  <c r="E75" i="12" s="1"/>
  <c r="F75" i="12" a="1"/>
  <c r="F75" i="12" s="1"/>
  <c r="G75" i="12" a="1"/>
  <c r="G75" i="12" s="1"/>
  <c r="H75" i="12" a="1"/>
  <c r="H75" i="12" s="1"/>
  <c r="I75" i="12" a="1"/>
  <c r="I75" i="12"/>
  <c r="K75" i="12" a="1"/>
  <c r="K75" i="12" s="1"/>
  <c r="L75" i="12" a="1"/>
  <c r="L75" i="12" s="1"/>
  <c r="M75" i="12" a="1"/>
  <c r="M75" i="12" s="1"/>
  <c r="A76" i="12"/>
  <c r="B76" i="12"/>
  <c r="C76" i="12" a="1"/>
  <c r="C76" i="12" s="1"/>
  <c r="D76" i="12" a="1"/>
  <c r="D76" i="12" s="1"/>
  <c r="E76" i="12" a="1"/>
  <c r="E76" i="12" s="1"/>
  <c r="F76" i="12" a="1"/>
  <c r="F76" i="12" s="1"/>
  <c r="G76" i="12" a="1"/>
  <c r="G76" i="12"/>
  <c r="H76" i="12" a="1"/>
  <c r="H76" i="12" s="1"/>
  <c r="I76" i="12" a="1"/>
  <c r="I76" i="12" s="1"/>
  <c r="K76" i="12" a="1"/>
  <c r="K76" i="12" s="1"/>
  <c r="L76" i="12" a="1"/>
  <c r="L76" i="12" s="1"/>
  <c r="M76" i="12" a="1"/>
  <c r="M76" i="12" s="1"/>
  <c r="A77" i="12"/>
  <c r="B77" i="12"/>
  <c r="C77" i="12" a="1"/>
  <c r="C77" i="12" s="1"/>
  <c r="D77" i="12" a="1"/>
  <c r="D77" i="12" s="1"/>
  <c r="J77" i="12" s="1" a="1"/>
  <c r="J77" i="12" s="1"/>
  <c r="E77" i="12" a="1"/>
  <c r="E77" i="12" s="1"/>
  <c r="F77" i="12" a="1"/>
  <c r="F77" i="12" s="1"/>
  <c r="G77" i="12" a="1"/>
  <c r="G77" i="12" s="1"/>
  <c r="H77" i="12" a="1"/>
  <c r="H77" i="12" s="1"/>
  <c r="I77" i="12" a="1"/>
  <c r="I77" i="12" s="1"/>
  <c r="K77" i="12" a="1"/>
  <c r="K77" i="12" s="1"/>
  <c r="L77" i="12" a="1"/>
  <c r="L77" i="12"/>
  <c r="M77" i="12" a="1"/>
  <c r="M77" i="12" s="1"/>
  <c r="A78" i="12"/>
  <c r="B78" i="12"/>
  <c r="C78" i="12" a="1"/>
  <c r="C78" i="12" s="1"/>
  <c r="D78" i="12" a="1"/>
  <c r="D78" i="12" s="1"/>
  <c r="E78" i="12" a="1"/>
  <c r="E78" i="12" s="1"/>
  <c r="F78" i="12" a="1"/>
  <c r="F78" i="12" s="1"/>
  <c r="G78" i="12" a="1"/>
  <c r="G78" i="12" s="1"/>
  <c r="H78" i="12" a="1"/>
  <c r="H78" i="12" s="1"/>
  <c r="I78" i="12" a="1"/>
  <c r="I78" i="12"/>
  <c r="K78" i="12" a="1"/>
  <c r="K78" i="12" s="1"/>
  <c r="L78" i="12" a="1"/>
  <c r="L78" i="12" s="1"/>
  <c r="M78" i="12" a="1"/>
  <c r="M78" i="12" s="1"/>
  <c r="A79" i="12"/>
  <c r="B79" i="12"/>
  <c r="C79" i="12" a="1"/>
  <c r="C79" i="12" s="1"/>
  <c r="D79" i="12" a="1"/>
  <c r="D79" i="12" s="1"/>
  <c r="E79" i="12" a="1"/>
  <c r="E79" i="12" s="1"/>
  <c r="F79" i="12" a="1"/>
  <c r="F79" i="12" s="1"/>
  <c r="G79" i="12" a="1"/>
  <c r="G79" i="12" s="1"/>
  <c r="H79" i="12" a="1"/>
  <c r="H79" i="12" s="1"/>
  <c r="I79" i="12" a="1"/>
  <c r="I79" i="12"/>
  <c r="K79" i="12" a="1"/>
  <c r="K79" i="12" s="1"/>
  <c r="L79" i="12" a="1"/>
  <c r="L79" i="12" s="1"/>
  <c r="M79" i="12" a="1"/>
  <c r="M79" i="12" s="1"/>
  <c r="A80" i="12"/>
  <c r="B80" i="12"/>
  <c r="C80" i="12" a="1"/>
  <c r="C80" i="12" s="1"/>
  <c r="D80" i="12" a="1"/>
  <c r="D80" i="12" s="1"/>
  <c r="E80" i="12" a="1"/>
  <c r="E80" i="12" s="1"/>
  <c r="F80" i="12" a="1"/>
  <c r="F80" i="12" s="1"/>
  <c r="G80" i="12" a="1"/>
  <c r="G80" i="12" s="1"/>
  <c r="H80" i="12" a="1"/>
  <c r="H80" i="12" s="1"/>
  <c r="I80" i="12" a="1"/>
  <c r="I80" i="12" s="1"/>
  <c r="K80" i="12" a="1"/>
  <c r="K80" i="12" s="1"/>
  <c r="L80" i="12" a="1"/>
  <c r="L80" i="12" s="1"/>
  <c r="M80" i="12" a="1"/>
  <c r="M80" i="12"/>
  <c r="A81" i="12"/>
  <c r="B81" i="12"/>
  <c r="C81" i="12" a="1"/>
  <c r="C81" i="12" s="1"/>
  <c r="J81" i="12" s="1" a="1"/>
  <c r="J81" i="12" s="1"/>
  <c r="D81" i="12" a="1"/>
  <c r="D81" i="12"/>
  <c r="E81" i="12" a="1"/>
  <c r="E81" i="12"/>
  <c r="F81" i="12" a="1"/>
  <c r="F81" i="12" s="1"/>
  <c r="G81" i="12" a="1"/>
  <c r="G81" i="12" s="1"/>
  <c r="H81" i="12" a="1"/>
  <c r="H81" i="12" s="1"/>
  <c r="I81" i="12" a="1"/>
  <c r="I81" i="12" s="1"/>
  <c r="K81" i="12" a="1"/>
  <c r="K81" i="12" s="1"/>
  <c r="L81" i="12" a="1"/>
  <c r="L81" i="12" s="1"/>
  <c r="M81" i="12" a="1"/>
  <c r="M81" i="12" s="1"/>
  <c r="A82" i="12"/>
  <c r="B82" i="12"/>
  <c r="C82" i="12" a="1"/>
  <c r="C82" i="12" s="1"/>
  <c r="D82" i="12" a="1"/>
  <c r="D82" i="12" s="1"/>
  <c r="E82" i="12" a="1"/>
  <c r="E82" i="12" s="1"/>
  <c r="F82" i="12" a="1"/>
  <c r="F82" i="12" s="1"/>
  <c r="G82" i="12" a="1"/>
  <c r="G82" i="12" s="1"/>
  <c r="H82" i="12" a="1"/>
  <c r="H82" i="12" s="1"/>
  <c r="I82" i="12" a="1"/>
  <c r="I82" i="12"/>
  <c r="K82" i="12" a="1"/>
  <c r="K82" i="12" s="1"/>
  <c r="L82" i="12" a="1"/>
  <c r="L82" i="12" s="1"/>
  <c r="M82" i="12" a="1"/>
  <c r="M82" i="12" s="1"/>
  <c r="A83" i="12"/>
  <c r="B83" i="12"/>
  <c r="C83" i="12" a="1"/>
  <c r="C83" i="12" s="1"/>
  <c r="D83" i="12" a="1"/>
  <c r="D83" i="12" s="1"/>
  <c r="E83" i="12" a="1"/>
  <c r="E83" i="12" s="1"/>
  <c r="J83" i="12" s="1" a="1"/>
  <c r="J83" i="12" s="1"/>
  <c r="F83" i="12" a="1"/>
  <c r="F83" i="12" s="1"/>
  <c r="G83" i="12" a="1"/>
  <c r="G83" i="12" s="1"/>
  <c r="H83" i="12" a="1"/>
  <c r="H83" i="12" s="1"/>
  <c r="I83" i="12" a="1"/>
  <c r="I83" i="12"/>
  <c r="K83" i="12" a="1"/>
  <c r="K83" i="12"/>
  <c r="L83" i="12" a="1"/>
  <c r="L83" i="12"/>
  <c r="M83" i="12" a="1"/>
  <c r="M83" i="12" s="1"/>
  <c r="A84" i="12"/>
  <c r="B84" i="12"/>
  <c r="C84" i="12" a="1"/>
  <c r="C84" i="12"/>
  <c r="D84" i="12" a="1"/>
  <c r="D84" i="12" s="1"/>
  <c r="E84" i="12" a="1"/>
  <c r="E84" i="12" s="1"/>
  <c r="F84" i="12" a="1"/>
  <c r="F84" i="12" s="1"/>
  <c r="G84" i="12" a="1"/>
  <c r="G84" i="12" s="1"/>
  <c r="H84" i="12" a="1"/>
  <c r="H84" i="12" s="1"/>
  <c r="I84" i="12" a="1"/>
  <c r="I84" i="12" s="1"/>
  <c r="K84" i="12" a="1"/>
  <c r="K84" i="12" s="1"/>
  <c r="L84" i="12" a="1"/>
  <c r="L84" i="12" s="1"/>
  <c r="M84" i="12" a="1"/>
  <c r="M84" i="12"/>
  <c r="A85" i="12"/>
  <c r="B85" i="12"/>
  <c r="C85" i="12" a="1"/>
  <c r="C85" i="12" s="1"/>
  <c r="D85" i="12" a="1"/>
  <c r="D85" i="12"/>
  <c r="E85" i="12" a="1"/>
  <c r="E85" i="12"/>
  <c r="F85" i="12" a="1"/>
  <c r="F85" i="12" s="1"/>
  <c r="G85" i="12" a="1"/>
  <c r="G85" i="12" s="1"/>
  <c r="H85" i="12" a="1"/>
  <c r="H85" i="12" s="1"/>
  <c r="I85" i="12" a="1"/>
  <c r="I85" i="12" s="1"/>
  <c r="K85" i="12" a="1"/>
  <c r="K85" i="12" s="1"/>
  <c r="L85" i="12" a="1"/>
  <c r="L85" i="12" s="1"/>
  <c r="M85" i="12" a="1"/>
  <c r="M85" i="12" s="1"/>
  <c r="A86" i="12"/>
  <c r="B86" i="12"/>
  <c r="C86" i="12" a="1"/>
  <c r="C86" i="12" s="1"/>
  <c r="D86" i="12" a="1"/>
  <c r="D86" i="12" s="1"/>
  <c r="E86" i="12" a="1"/>
  <c r="E86" i="12" s="1"/>
  <c r="F86" i="12" a="1"/>
  <c r="F86" i="12" s="1"/>
  <c r="G86" i="12" a="1"/>
  <c r="G86" i="12" s="1"/>
  <c r="H86" i="12" a="1"/>
  <c r="H86" i="12" s="1"/>
  <c r="I86" i="12" a="1"/>
  <c r="I86" i="12"/>
  <c r="K86" i="12" a="1"/>
  <c r="K86" i="12" s="1"/>
  <c r="L86" i="12" a="1"/>
  <c r="L86" i="12"/>
  <c r="M86" i="12" a="1"/>
  <c r="M86" i="12"/>
  <c r="A87" i="12"/>
  <c r="B87" i="12"/>
  <c r="C87" i="12" a="1"/>
  <c r="C87" i="12"/>
  <c r="J87" i="12" s="1" a="1"/>
  <c r="J87" i="12" s="1"/>
  <c r="D87" i="12" a="1"/>
  <c r="D87" i="12" s="1"/>
  <c r="E87" i="12" a="1"/>
  <c r="E87" i="12" s="1"/>
  <c r="F87" i="12" a="1"/>
  <c r="F87" i="12" s="1"/>
  <c r="G87" i="12" a="1"/>
  <c r="G87" i="12" s="1"/>
  <c r="H87" i="12" a="1"/>
  <c r="H87" i="12" s="1"/>
  <c r="I87" i="12" a="1"/>
  <c r="I87" i="12" s="1"/>
  <c r="K87" i="12" a="1"/>
  <c r="K87" i="12"/>
  <c r="L87" i="12" a="1"/>
  <c r="L87" i="12"/>
  <c r="M87" i="12" a="1"/>
  <c r="M87" i="12" s="1"/>
  <c r="A88" i="12"/>
  <c r="B88" i="12"/>
  <c r="C88" i="12" a="1"/>
  <c r="C88" i="12" s="1"/>
  <c r="J88" i="12" s="1" a="1"/>
  <c r="J88" i="12" s="1"/>
  <c r="D88" i="12" a="1"/>
  <c r="D88" i="12" s="1"/>
  <c r="E88" i="12" a="1"/>
  <c r="E88" i="12"/>
  <c r="F88" i="12" a="1"/>
  <c r="F88" i="12"/>
  <c r="G88" i="12" a="1"/>
  <c r="G88" i="12" s="1"/>
  <c r="H88" i="12" a="1"/>
  <c r="H88" i="12"/>
  <c r="I88" i="12" a="1"/>
  <c r="I88" i="12" s="1"/>
  <c r="K88" i="12" a="1"/>
  <c r="K88" i="12" s="1"/>
  <c r="L88" i="12" a="1"/>
  <c r="L88" i="12" s="1"/>
  <c r="M88" i="12" a="1"/>
  <c r="M88" i="12" s="1"/>
  <c r="A89" i="12"/>
  <c r="B89" i="12"/>
  <c r="C89" i="12" a="1"/>
  <c r="C89" i="12" s="1"/>
  <c r="D89" i="12" a="1"/>
  <c r="D89" i="12"/>
  <c r="E89" i="12" a="1"/>
  <c r="E89" i="12"/>
  <c r="F89" i="12" a="1"/>
  <c r="F89" i="12" s="1"/>
  <c r="G89" i="12" a="1"/>
  <c r="G89" i="12" s="1"/>
  <c r="H89" i="12" a="1"/>
  <c r="H89" i="12"/>
  <c r="I89" i="12" a="1"/>
  <c r="I89" i="12" s="1"/>
  <c r="K89" i="12" a="1"/>
  <c r="K89" i="12" s="1"/>
  <c r="L89" i="12" a="1"/>
  <c r="L89" i="12" s="1"/>
  <c r="M89" i="12" a="1"/>
  <c r="M89" i="12"/>
  <c r="A90" i="12"/>
  <c r="B90" i="12"/>
  <c r="C90" i="12" a="1"/>
  <c r="C90" i="12" s="1"/>
  <c r="D90" i="12" a="1"/>
  <c r="D90" i="12" s="1"/>
  <c r="E90" i="12" a="1"/>
  <c r="E90" i="12" s="1"/>
  <c r="F90" i="12" a="1"/>
  <c r="F90" i="12" s="1"/>
  <c r="G90" i="12" a="1"/>
  <c r="G90" i="12" s="1"/>
  <c r="J90" i="12" s="1" a="1"/>
  <c r="J90" i="12" s="1"/>
  <c r="H90" i="12" a="1"/>
  <c r="H90" i="12" s="1"/>
  <c r="I90" i="12" a="1"/>
  <c r="I90" i="12" s="1"/>
  <c r="K90" i="12" a="1"/>
  <c r="K90" i="12" s="1"/>
  <c r="L90" i="12" a="1"/>
  <c r="L90" i="12"/>
  <c r="M90" i="12" a="1"/>
  <c r="M90" i="12"/>
  <c r="A91" i="12"/>
  <c r="B91" i="12"/>
  <c r="C91" i="12" a="1"/>
  <c r="C91" i="12"/>
  <c r="D91" i="12" a="1"/>
  <c r="D91" i="12" s="1"/>
  <c r="E91" i="12" a="1"/>
  <c r="E91" i="12" s="1"/>
  <c r="F91" i="12" a="1"/>
  <c r="F91" i="12" s="1"/>
  <c r="G91" i="12" a="1"/>
  <c r="G91" i="12" s="1"/>
  <c r="H91" i="12" a="1"/>
  <c r="H91" i="12" s="1"/>
  <c r="I91" i="12" a="1"/>
  <c r="I91" i="12" s="1"/>
  <c r="J91" i="12" a="1"/>
  <c r="J91" i="12" s="1"/>
  <c r="K91" i="12" a="1"/>
  <c r="K91" i="12" s="1"/>
  <c r="L91" i="12" a="1"/>
  <c r="L91" i="12" s="1"/>
  <c r="M91" i="12" a="1"/>
  <c r="M91" i="12" s="1"/>
  <c r="A92" i="12"/>
  <c r="B92" i="12"/>
  <c r="C92" i="12" a="1"/>
  <c r="C92" i="12" s="1"/>
  <c r="D92" i="12" a="1"/>
  <c r="D92" i="12" s="1"/>
  <c r="E92" i="12" a="1"/>
  <c r="E92" i="12" s="1"/>
  <c r="F92" i="12" a="1"/>
  <c r="F92" i="12" s="1"/>
  <c r="G92" i="12" a="1"/>
  <c r="G92" i="12" s="1"/>
  <c r="H92" i="12" a="1"/>
  <c r="H92" i="12" s="1"/>
  <c r="I92" i="12" a="1"/>
  <c r="I92" i="12"/>
  <c r="K92" i="12" a="1"/>
  <c r="K92" i="12" s="1"/>
  <c r="L92" i="12" a="1"/>
  <c r="L92" i="12" s="1"/>
  <c r="M92" i="12" a="1"/>
  <c r="M92" i="12" s="1"/>
  <c r="A93" i="12"/>
  <c r="B93" i="12"/>
  <c r="C93" i="12" a="1"/>
  <c r="C93" i="12" s="1"/>
  <c r="D93" i="12" a="1"/>
  <c r="D93" i="12" s="1"/>
  <c r="E93" i="12" a="1"/>
  <c r="E93" i="12" s="1"/>
  <c r="F93" i="12" a="1"/>
  <c r="F93" i="12" s="1"/>
  <c r="G93" i="12" a="1"/>
  <c r="G93" i="12"/>
  <c r="H93" i="12" a="1"/>
  <c r="H93" i="12"/>
  <c r="I93" i="12" a="1"/>
  <c r="I93" i="12" s="1"/>
  <c r="K93" i="12" a="1"/>
  <c r="K93" i="12" s="1"/>
  <c r="L93" i="12" a="1"/>
  <c r="L93" i="12" s="1"/>
  <c r="M93" i="12" a="1"/>
  <c r="M93" i="12"/>
  <c r="A94" i="12"/>
  <c r="B94" i="12"/>
  <c r="C94" i="12" a="1"/>
  <c r="C94" i="12" s="1"/>
  <c r="D94" i="12" a="1"/>
  <c r="D94" i="12" s="1"/>
  <c r="E94" i="12" a="1"/>
  <c r="E94" i="12" s="1"/>
  <c r="F94" i="12" a="1"/>
  <c r="F94" i="12" s="1"/>
  <c r="G94" i="12" a="1"/>
  <c r="G94" i="12" s="1"/>
  <c r="H94" i="12" a="1"/>
  <c r="H94" i="12" s="1"/>
  <c r="I94" i="12" a="1"/>
  <c r="I94" i="12" s="1"/>
  <c r="K94" i="12" a="1"/>
  <c r="K94" i="12" s="1"/>
  <c r="L94" i="12" a="1"/>
  <c r="L94" i="12"/>
  <c r="M94" i="12" a="1"/>
  <c r="M94" i="12" s="1"/>
  <c r="A95" i="12"/>
  <c r="B95" i="12"/>
  <c r="C95" i="12" a="1"/>
  <c r="C95" i="12" s="1"/>
  <c r="J95" i="12" s="1" a="1"/>
  <c r="J95" i="12" s="1"/>
  <c r="D95" i="12" a="1"/>
  <c r="D95" i="12" s="1"/>
  <c r="E95" i="12" a="1"/>
  <c r="E95" i="12" s="1"/>
  <c r="F95" i="12" a="1"/>
  <c r="F95" i="12"/>
  <c r="G95" i="12" a="1"/>
  <c r="G95" i="12" s="1"/>
  <c r="H95" i="12" a="1"/>
  <c r="H95" i="12" s="1"/>
  <c r="I95" i="12" a="1"/>
  <c r="I95" i="12"/>
  <c r="K95" i="12" a="1"/>
  <c r="K95" i="12" s="1"/>
  <c r="L95" i="12" a="1"/>
  <c r="L95" i="12" s="1"/>
  <c r="M95" i="12" a="1"/>
  <c r="M95" i="12" s="1"/>
  <c r="A96" i="12"/>
  <c r="B96" i="12"/>
  <c r="C96" i="12" a="1"/>
  <c r="C96" i="12" s="1"/>
  <c r="D96" i="12" a="1"/>
  <c r="D96" i="12" s="1"/>
  <c r="E96" i="12" a="1"/>
  <c r="E96" i="12" s="1"/>
  <c r="F96" i="12" a="1"/>
  <c r="F96" i="12" s="1"/>
  <c r="G96" i="12" a="1"/>
  <c r="G96" i="12" s="1"/>
  <c r="H96" i="12" a="1"/>
  <c r="H96" i="12"/>
  <c r="I96" i="12" a="1"/>
  <c r="I96" i="12" s="1"/>
  <c r="K96" i="12" a="1"/>
  <c r="K96" i="12" s="1"/>
  <c r="L96" i="12" a="1"/>
  <c r="L96" i="12" s="1"/>
  <c r="M96" i="12" a="1"/>
  <c r="M96" i="12"/>
  <c r="A97" i="12"/>
  <c r="B97" i="12"/>
  <c r="C97" i="12" a="1"/>
  <c r="C97" i="12"/>
  <c r="D97" i="12" a="1"/>
  <c r="D97" i="12"/>
  <c r="E97" i="12" a="1"/>
  <c r="E97" i="12" s="1"/>
  <c r="F97" i="12" a="1"/>
  <c r="F97" i="12" s="1"/>
  <c r="G97" i="12" a="1"/>
  <c r="G97" i="12" s="1"/>
  <c r="H97" i="12" a="1"/>
  <c r="H97" i="12" s="1"/>
  <c r="I97" i="12" a="1"/>
  <c r="I97" i="12" s="1"/>
  <c r="K97" i="12" a="1"/>
  <c r="K97" i="12"/>
  <c r="L97" i="12" a="1"/>
  <c r="L97" i="12" s="1"/>
  <c r="M97" i="12" a="1"/>
  <c r="M97" i="12" s="1"/>
  <c r="A98" i="12"/>
  <c r="B98" i="12"/>
  <c r="C98" i="12" a="1"/>
  <c r="C98" i="12" s="1"/>
  <c r="D98" i="12" a="1"/>
  <c r="D98" i="12" s="1"/>
  <c r="E98" i="12" a="1"/>
  <c r="E98" i="12" s="1"/>
  <c r="F98" i="12" a="1"/>
  <c r="F98" i="12"/>
  <c r="G98" i="12" a="1"/>
  <c r="G98" i="12" s="1"/>
  <c r="H98" i="12" a="1"/>
  <c r="H98" i="12"/>
  <c r="I98" i="12" a="1"/>
  <c r="I98" i="12"/>
  <c r="K98" i="12" a="1"/>
  <c r="K98" i="12" s="1"/>
  <c r="L98" i="12" a="1"/>
  <c r="L98" i="12" s="1"/>
  <c r="M98" i="12" a="1"/>
  <c r="M98" i="12" s="1"/>
  <c r="A99" i="12"/>
  <c r="B99" i="12"/>
  <c r="C99" i="12" a="1"/>
  <c r="C99" i="12" s="1"/>
  <c r="J99" i="12" s="1" a="1"/>
  <c r="J99" i="12" s="1"/>
  <c r="D99" i="12" a="1"/>
  <c r="D99" i="12"/>
  <c r="E99" i="12" a="1"/>
  <c r="E99" i="12" s="1"/>
  <c r="F99" i="12" a="1"/>
  <c r="F99" i="12"/>
  <c r="G99" i="12" a="1"/>
  <c r="G99" i="12" s="1"/>
  <c r="H99" i="12" a="1"/>
  <c r="H99" i="12" s="1"/>
  <c r="I99" i="12" a="1"/>
  <c r="I99" i="12"/>
  <c r="K99" i="12" a="1"/>
  <c r="K99" i="12"/>
  <c r="L99" i="12" a="1"/>
  <c r="L99" i="12"/>
  <c r="M99" i="12" a="1"/>
  <c r="M99" i="12"/>
  <c r="A100" i="12"/>
  <c r="B100" i="12"/>
  <c r="C100" i="12" a="1"/>
  <c r="C100" i="12" s="1"/>
  <c r="D100" i="12" a="1"/>
  <c r="D100" i="12" s="1"/>
  <c r="E100" i="12" a="1"/>
  <c r="E100" i="12" s="1"/>
  <c r="F100" i="12" a="1"/>
  <c r="F100" i="12" s="1"/>
  <c r="G100" i="12" a="1"/>
  <c r="G100" i="12" s="1"/>
  <c r="H100" i="12" a="1"/>
  <c r="H100" i="12"/>
  <c r="I100" i="12" a="1"/>
  <c r="I100" i="12"/>
  <c r="K100" i="12" a="1"/>
  <c r="K100" i="12" s="1"/>
  <c r="L100" i="12" a="1"/>
  <c r="L100" i="12" s="1"/>
  <c r="M100" i="12" a="1"/>
  <c r="M100" i="12" s="1"/>
  <c r="A101" i="12"/>
  <c r="B101" i="12"/>
  <c r="C101" i="12" a="1"/>
  <c r="C101" i="12"/>
  <c r="D101" i="12" a="1"/>
  <c r="D101" i="12"/>
  <c r="E101" i="12" a="1"/>
  <c r="E101" i="12"/>
  <c r="F101" i="12" a="1"/>
  <c r="F101" i="12"/>
  <c r="G101" i="12" a="1"/>
  <c r="G101" i="12"/>
  <c r="H101" i="12" a="1"/>
  <c r="H101" i="12" s="1"/>
  <c r="I101" i="12" a="1"/>
  <c r="I101" i="12" s="1"/>
  <c r="K101" i="12" a="1"/>
  <c r="K101" i="12" s="1"/>
  <c r="L101" i="12" a="1"/>
  <c r="L101" i="12" s="1"/>
  <c r="M101" i="12" a="1"/>
  <c r="M101" i="12" s="1"/>
  <c r="A102" i="12"/>
  <c r="B102" i="12"/>
  <c r="C102" i="12" a="1"/>
  <c r="C102" i="12" s="1"/>
  <c r="J102" i="12" s="1" a="1"/>
  <c r="J102" i="12" s="1"/>
  <c r="D102" i="12" a="1"/>
  <c r="D102" i="12" s="1"/>
  <c r="E102" i="12" a="1"/>
  <c r="E102" i="12"/>
  <c r="F102" i="12" a="1"/>
  <c r="F102" i="12" s="1"/>
  <c r="G102" i="12" a="1"/>
  <c r="G102" i="12"/>
  <c r="H102" i="12" a="1"/>
  <c r="H102" i="12" s="1"/>
  <c r="I102" i="12" a="1"/>
  <c r="I102" i="12"/>
  <c r="K102" i="12" a="1"/>
  <c r="K102" i="12" s="1"/>
  <c r="L102" i="12" a="1"/>
  <c r="L102" i="12"/>
  <c r="M102" i="12" a="1"/>
  <c r="M102" i="12" s="1"/>
  <c r="A103" i="12"/>
  <c r="B103" i="12"/>
  <c r="C103" i="12" a="1"/>
  <c r="C103" i="12" s="1"/>
  <c r="J103" i="12" s="1" a="1"/>
  <c r="J103" i="12" s="1"/>
  <c r="D103" i="12" a="1"/>
  <c r="D103" i="12" s="1"/>
  <c r="E103" i="12" a="1"/>
  <c r="E103" i="12" s="1"/>
  <c r="F103" i="12" a="1"/>
  <c r="F103" i="12" s="1"/>
  <c r="G103" i="12" a="1"/>
  <c r="G103" i="12" s="1"/>
  <c r="H103" i="12" a="1"/>
  <c r="H103" i="12" s="1"/>
  <c r="I103" i="12" a="1"/>
  <c r="I103" i="12" s="1"/>
  <c r="K103" i="12" a="1"/>
  <c r="K103" i="12" s="1"/>
  <c r="L103" i="12" a="1"/>
  <c r="L103" i="12"/>
  <c r="M103" i="12" a="1"/>
  <c r="M103" i="12" s="1"/>
  <c r="A104" i="12"/>
  <c r="B104" i="12"/>
  <c r="C104" i="12" a="1"/>
  <c r="C104" i="12" s="1"/>
  <c r="J104" i="12" s="1" a="1"/>
  <c r="J104" i="12" s="1"/>
  <c r="D104" i="12" a="1"/>
  <c r="D104" i="12"/>
  <c r="E104" i="12" a="1"/>
  <c r="E104" i="12" s="1"/>
  <c r="F104" i="12" a="1"/>
  <c r="F104" i="12" s="1"/>
  <c r="G104" i="12" a="1"/>
  <c r="G104" i="12" s="1"/>
  <c r="H104" i="12" a="1"/>
  <c r="H104" i="12" s="1"/>
  <c r="I104" i="12" a="1"/>
  <c r="I104" i="12" s="1"/>
  <c r="K104" i="12" a="1"/>
  <c r="K104" i="12" s="1"/>
  <c r="L104" i="12" a="1"/>
  <c r="L104" i="12" s="1"/>
  <c r="M104" i="12" a="1"/>
  <c r="M104" i="12"/>
  <c r="A105" i="12"/>
  <c r="B105" i="12"/>
  <c r="C105" i="12" a="1"/>
  <c r="C105" i="12"/>
  <c r="D105" i="12" a="1"/>
  <c r="D105" i="12" s="1"/>
  <c r="E105" i="12" a="1"/>
  <c r="E105" i="12"/>
  <c r="F105" i="12" a="1"/>
  <c r="F105" i="12"/>
  <c r="G105" i="12" a="1"/>
  <c r="G105" i="12"/>
  <c r="H105" i="12" a="1"/>
  <c r="H105" i="12" s="1"/>
  <c r="I105" i="12" a="1"/>
  <c r="I105" i="12" s="1"/>
  <c r="K105" i="12" a="1"/>
  <c r="K105" i="12" s="1"/>
  <c r="L105" i="12" a="1"/>
  <c r="L105" i="12" s="1"/>
  <c r="M105" i="12" a="1"/>
  <c r="M105" i="12" s="1"/>
  <c r="A106" i="12"/>
  <c r="B106" i="12"/>
  <c r="C106" i="12" a="1"/>
  <c r="C106" i="12" s="1"/>
  <c r="D106" i="12" a="1"/>
  <c r="D106" i="12" s="1"/>
  <c r="E106" i="12" a="1"/>
  <c r="E106" i="12" s="1"/>
  <c r="F106" i="12" a="1"/>
  <c r="F106" i="12" s="1"/>
  <c r="G106" i="12" a="1"/>
  <c r="G106" i="12"/>
  <c r="H106" i="12" a="1"/>
  <c r="H106" i="12" s="1"/>
  <c r="I106" i="12" a="1"/>
  <c r="I106" i="12" s="1"/>
  <c r="K106" i="12" a="1"/>
  <c r="K106" i="12" s="1"/>
  <c r="L106" i="12" a="1"/>
  <c r="L106" i="12" s="1"/>
  <c r="M106" i="12" a="1"/>
  <c r="M106" i="12" s="1"/>
  <c r="A107" i="12"/>
  <c r="B107" i="12"/>
  <c r="C107" i="12" a="1"/>
  <c r="C107" i="12" s="1"/>
  <c r="J107" i="12" s="1" a="1"/>
  <c r="J107" i="12" s="1"/>
  <c r="D107" i="12" a="1"/>
  <c r="D107" i="12" s="1"/>
  <c r="E107" i="12" a="1"/>
  <c r="E107" i="12" s="1"/>
  <c r="F107" i="12" a="1"/>
  <c r="F107" i="12" s="1"/>
  <c r="G107" i="12" a="1"/>
  <c r="G107" i="12" s="1"/>
  <c r="H107" i="12" a="1"/>
  <c r="H107" i="12" s="1"/>
  <c r="I107" i="12" a="1"/>
  <c r="I107" i="12"/>
  <c r="K107" i="12" a="1"/>
  <c r="K107" i="12"/>
  <c r="L107" i="12" a="1"/>
  <c r="L107" i="12"/>
  <c r="M107" i="12" a="1"/>
  <c r="M107" i="12"/>
  <c r="A108" i="12"/>
  <c r="B108" i="12"/>
  <c r="C108" i="12" a="1"/>
  <c r="C108" i="12"/>
  <c r="D108" i="12" a="1"/>
  <c r="D108" i="12"/>
  <c r="E108" i="12" a="1"/>
  <c r="E108" i="12"/>
  <c r="F108" i="12" a="1"/>
  <c r="F108" i="12"/>
  <c r="G108" i="12" a="1"/>
  <c r="G108" i="12" s="1"/>
  <c r="H108" i="12" a="1"/>
  <c r="H108" i="12"/>
  <c r="I108" i="12" a="1"/>
  <c r="I108" i="12" s="1"/>
  <c r="K108" i="12" a="1"/>
  <c r="K108" i="12" s="1"/>
  <c r="L108" i="12" a="1"/>
  <c r="L108" i="12" s="1"/>
  <c r="M108" i="12" a="1"/>
  <c r="M108" i="12"/>
  <c r="A109" i="12"/>
  <c r="B109" i="12"/>
  <c r="C109" i="12" a="1"/>
  <c r="C109" i="12"/>
  <c r="D109" i="12" a="1"/>
  <c r="D109" i="12"/>
  <c r="E109" i="12" a="1"/>
  <c r="E109" i="12"/>
  <c r="F109" i="12" a="1"/>
  <c r="F109" i="12" s="1"/>
  <c r="G109" i="12" a="1"/>
  <c r="G109" i="12"/>
  <c r="H109" i="12" a="1"/>
  <c r="H109" i="12"/>
  <c r="I109" i="12" a="1"/>
  <c r="I109" i="12"/>
  <c r="K109" i="12" a="1"/>
  <c r="K109" i="12"/>
  <c r="L109" i="12" a="1"/>
  <c r="L109" i="12" s="1"/>
  <c r="M109" i="12" a="1"/>
  <c r="M109" i="12" s="1"/>
  <c r="A110" i="12"/>
  <c r="B110" i="12"/>
  <c r="C110" i="12" a="1"/>
  <c r="C110" i="12" s="1"/>
  <c r="J110" i="12" s="1" a="1"/>
  <c r="J110" i="12" s="1"/>
  <c r="D110" i="12" a="1"/>
  <c r="D110" i="12" s="1"/>
  <c r="E110" i="12" a="1"/>
  <c r="E110" i="12" s="1"/>
  <c r="F110" i="12" a="1"/>
  <c r="F110" i="12"/>
  <c r="G110" i="12" a="1"/>
  <c r="G110" i="12" s="1"/>
  <c r="H110" i="12" a="1"/>
  <c r="H110" i="12"/>
  <c r="I110" i="12" a="1"/>
  <c r="I110" i="12" s="1"/>
  <c r="K110" i="12" a="1"/>
  <c r="K110" i="12" s="1"/>
  <c r="L110" i="12" a="1"/>
  <c r="L110" i="12" s="1"/>
  <c r="M110" i="12" a="1"/>
  <c r="M110" i="12" s="1"/>
  <c r="A111" i="12"/>
  <c r="B111" i="12"/>
  <c r="C111" i="12" a="1"/>
  <c r="C111" i="12" s="1"/>
  <c r="D111" i="12" a="1"/>
  <c r="D111" i="12"/>
  <c r="E111" i="12" a="1"/>
  <c r="E111" i="12"/>
  <c r="F111" i="12" a="1"/>
  <c r="F111" i="12" s="1"/>
  <c r="G111" i="12" a="1"/>
  <c r="G111" i="12" s="1"/>
  <c r="H111" i="12" a="1"/>
  <c r="H111" i="12" s="1"/>
  <c r="I111" i="12" a="1"/>
  <c r="I111" i="12"/>
  <c r="K111" i="12" a="1"/>
  <c r="K111" i="12" s="1"/>
  <c r="L111" i="12" a="1"/>
  <c r="L111" i="12"/>
  <c r="M111" i="12" a="1"/>
  <c r="M111" i="12"/>
  <c r="A112" i="12"/>
  <c r="B112" i="12"/>
  <c r="C112" i="12" a="1"/>
  <c r="C112" i="12"/>
  <c r="D112" i="12" a="1"/>
  <c r="D112" i="12"/>
  <c r="J112" i="12" s="1" a="1"/>
  <c r="J112" i="12" s="1"/>
  <c r="E112" i="12" a="1"/>
  <c r="E112" i="12"/>
  <c r="F112" i="12" a="1"/>
  <c r="F112" i="12" s="1"/>
  <c r="G112" i="12" a="1"/>
  <c r="G112" i="12" s="1"/>
  <c r="H112" i="12" a="1"/>
  <c r="H112" i="12"/>
  <c r="I112" i="12" a="1"/>
  <c r="I112" i="12"/>
  <c r="K112" i="12" a="1"/>
  <c r="K112" i="12" s="1"/>
  <c r="L112" i="12" a="1"/>
  <c r="L112" i="12" s="1"/>
  <c r="M112" i="12" a="1"/>
  <c r="M112" i="12" s="1"/>
  <c r="A113" i="12"/>
  <c r="B113" i="12"/>
  <c r="C113" i="12" a="1"/>
  <c r="C113" i="12" s="1"/>
  <c r="J113" i="12" s="1" a="1"/>
  <c r="J113" i="12" s="1"/>
  <c r="D113" i="12" a="1"/>
  <c r="D113" i="12" s="1"/>
  <c r="E113" i="12" a="1"/>
  <c r="E113" i="12"/>
  <c r="F113" i="12" a="1"/>
  <c r="F113" i="12" s="1"/>
  <c r="G113" i="12" a="1"/>
  <c r="G113" i="12"/>
  <c r="H113" i="12" a="1"/>
  <c r="H113" i="12" s="1"/>
  <c r="I113" i="12" a="1"/>
  <c r="I113" i="12" s="1"/>
  <c r="K113" i="12" a="1"/>
  <c r="K113" i="12"/>
  <c r="L113" i="12" a="1"/>
  <c r="L113" i="12" s="1"/>
  <c r="M113" i="12" a="1"/>
  <c r="M113" i="12" s="1"/>
  <c r="A114" i="12"/>
  <c r="B114" i="12"/>
  <c r="C114" i="12" a="1"/>
  <c r="C114" i="12" s="1"/>
  <c r="D114" i="12" a="1"/>
  <c r="D114" i="12" s="1"/>
  <c r="E114" i="12" a="1"/>
  <c r="E114" i="12" s="1"/>
  <c r="F114" i="12" a="1"/>
  <c r="F114" i="12" s="1"/>
  <c r="G114" i="12" a="1"/>
  <c r="G114" i="12" s="1"/>
  <c r="H114" i="12" a="1"/>
  <c r="H114" i="12" s="1"/>
  <c r="I114" i="12" a="1"/>
  <c r="I114" i="12" s="1"/>
  <c r="K114" i="12" a="1"/>
  <c r="K114" i="12"/>
  <c r="L114" i="12" a="1"/>
  <c r="L114" i="12"/>
  <c r="M114" i="12" a="1"/>
  <c r="M114" i="12" s="1"/>
  <c r="A115" i="12"/>
  <c r="B115" i="12"/>
  <c r="C115" i="12" a="1"/>
  <c r="C115" i="12"/>
  <c r="J115" i="12" s="1" a="1"/>
  <c r="J115" i="12" s="1"/>
  <c r="D115" i="12" a="1"/>
  <c r="D115" i="12" s="1"/>
  <c r="E115" i="12" a="1"/>
  <c r="E115" i="12" s="1"/>
  <c r="F115" i="12" a="1"/>
  <c r="F115" i="12" s="1"/>
  <c r="G115" i="12" a="1"/>
  <c r="G115" i="12" s="1"/>
  <c r="H115" i="12" a="1"/>
  <c r="H115" i="12" s="1"/>
  <c r="I115" i="12" a="1"/>
  <c r="I115" i="12"/>
  <c r="K115" i="12" a="1"/>
  <c r="K115" i="12" s="1"/>
  <c r="L115" i="12" a="1"/>
  <c r="L115" i="12" s="1"/>
  <c r="M115" i="12" a="1"/>
  <c r="M115" i="12" s="1"/>
  <c r="A116" i="12"/>
  <c r="B116" i="12"/>
  <c r="C116" i="12" a="1"/>
  <c r="C116" i="12" s="1"/>
  <c r="D116" i="12" a="1"/>
  <c r="D116" i="12"/>
  <c r="E116" i="12" a="1"/>
  <c r="E116" i="12" s="1"/>
  <c r="J116" i="12" s="1" a="1"/>
  <c r="J116" i="12" s="1"/>
  <c r="F116" i="12" a="1"/>
  <c r="F116" i="12"/>
  <c r="G116" i="12" a="1"/>
  <c r="G116" i="12" s="1"/>
  <c r="H116" i="12" a="1"/>
  <c r="H116" i="12" s="1"/>
  <c r="I116" i="12" a="1"/>
  <c r="I116" i="12"/>
  <c r="K116" i="12" a="1"/>
  <c r="K116" i="12" s="1"/>
  <c r="L116" i="12" a="1"/>
  <c r="L116" i="12" s="1"/>
  <c r="M116" i="12" a="1"/>
  <c r="M116" i="12" s="1"/>
  <c r="A117" i="12"/>
  <c r="B117" i="12"/>
  <c r="C117" i="12" a="1"/>
  <c r="C117" i="12" s="1"/>
  <c r="D117" i="12" a="1"/>
  <c r="D117" i="12"/>
  <c r="E117" i="12" a="1"/>
  <c r="E117" i="12" s="1"/>
  <c r="F117" i="12" a="1"/>
  <c r="F117" i="12" s="1"/>
  <c r="G117" i="12" a="1"/>
  <c r="G117" i="12"/>
  <c r="H117" i="12" a="1"/>
  <c r="H117" i="12" s="1"/>
  <c r="I117" i="12" a="1"/>
  <c r="I117" i="12" s="1"/>
  <c r="K117" i="12" a="1"/>
  <c r="K117" i="12"/>
  <c r="L117" i="12" a="1"/>
  <c r="L117" i="12" s="1"/>
  <c r="M117" i="12" a="1"/>
  <c r="M117" i="12"/>
  <c r="A118" i="12"/>
  <c r="B118" i="12"/>
  <c r="C118" i="12" a="1"/>
  <c r="C118" i="12" s="1"/>
  <c r="D118" i="12" a="1"/>
  <c r="D118" i="12" s="1"/>
  <c r="E118" i="12" a="1"/>
  <c r="E118" i="12" s="1"/>
  <c r="F118" i="12" a="1"/>
  <c r="F118" i="12" s="1"/>
  <c r="G118" i="12" a="1"/>
  <c r="G118" i="12"/>
  <c r="H118" i="12" a="1"/>
  <c r="H118" i="12"/>
  <c r="I118" i="12" a="1"/>
  <c r="I118" i="12" s="1"/>
  <c r="K118" i="12" a="1"/>
  <c r="K118" i="12" s="1"/>
  <c r="L118" i="12" a="1"/>
  <c r="L118" i="12" s="1"/>
  <c r="M118" i="12" a="1"/>
  <c r="M118" i="12"/>
  <c r="A119" i="12"/>
  <c r="B119" i="12"/>
  <c r="C119" i="12" a="1"/>
  <c r="C119" i="12" s="1"/>
  <c r="J119" i="12" s="1" a="1"/>
  <c r="J119" i="12" s="1"/>
  <c r="D119" i="12" a="1"/>
  <c r="D119" i="12" s="1"/>
  <c r="E119" i="12" a="1"/>
  <c r="E119" i="12"/>
  <c r="F119" i="12" a="1"/>
  <c r="F119" i="12" s="1"/>
  <c r="G119" i="12" a="1"/>
  <c r="G119" i="12" s="1"/>
  <c r="H119" i="12" a="1"/>
  <c r="H119" i="12"/>
  <c r="I119" i="12" a="1"/>
  <c r="I119" i="12"/>
  <c r="K119" i="12" a="1"/>
  <c r="K119" i="12" s="1"/>
  <c r="L119" i="12" a="1"/>
  <c r="L119" i="12" s="1"/>
  <c r="M119" i="12" a="1"/>
  <c r="M119" i="12"/>
  <c r="A120" i="12"/>
  <c r="B120" i="12"/>
  <c r="C120" i="12" a="1"/>
  <c r="C120" i="12" s="1"/>
  <c r="J120" i="12" s="1" a="1"/>
  <c r="J120" i="12" s="1"/>
  <c r="D120" i="12" a="1"/>
  <c r="D120" i="12" s="1"/>
  <c r="E120" i="12" a="1"/>
  <c r="E120" i="12" s="1"/>
  <c r="F120" i="12" a="1"/>
  <c r="F120" i="12" s="1"/>
  <c r="G120" i="12" a="1"/>
  <c r="G120" i="12"/>
  <c r="H120" i="12" a="1"/>
  <c r="H120" i="12"/>
  <c r="I120" i="12" a="1"/>
  <c r="I120" i="12"/>
  <c r="K120" i="12" a="1"/>
  <c r="K120" i="12"/>
  <c r="L120" i="12" a="1"/>
  <c r="L120" i="12"/>
  <c r="M120" i="12" a="1"/>
  <c r="M120" i="12"/>
  <c r="A121" i="12"/>
  <c r="B121" i="12"/>
  <c r="C121" i="12" a="1"/>
  <c r="C121" i="12"/>
  <c r="J121" i="12" s="1" a="1"/>
  <c r="J121" i="12" s="1"/>
  <c r="D121" i="12" a="1"/>
  <c r="D121" i="12"/>
  <c r="E121" i="12" a="1"/>
  <c r="E121" i="12"/>
  <c r="F121" i="12" a="1"/>
  <c r="F121" i="12" s="1"/>
  <c r="G121" i="12" a="1"/>
  <c r="G121" i="12" s="1"/>
  <c r="H121" i="12" a="1"/>
  <c r="H121" i="12"/>
  <c r="I121" i="12" a="1"/>
  <c r="I121" i="12" s="1"/>
  <c r="K121" i="12" a="1"/>
  <c r="K121" i="12"/>
  <c r="L121" i="12" a="1"/>
  <c r="L121" i="12"/>
  <c r="M121" i="12" a="1"/>
  <c r="M121" i="12" s="1"/>
  <c r="A122" i="12"/>
  <c r="B122" i="12"/>
  <c r="C122" i="12" a="1"/>
  <c r="C122" i="12" s="1"/>
  <c r="D122" i="12" a="1"/>
  <c r="D122" i="12" s="1"/>
  <c r="E122" i="12" a="1"/>
  <c r="E122" i="12" s="1"/>
  <c r="F122" i="12" a="1"/>
  <c r="F122" i="12" s="1"/>
  <c r="G122" i="12" a="1"/>
  <c r="G122" i="12" s="1"/>
  <c r="H122" i="12" a="1"/>
  <c r="H122" i="12" s="1"/>
  <c r="I122" i="12" a="1"/>
  <c r="I122" i="12"/>
  <c r="K122" i="12" a="1"/>
  <c r="K122" i="12" s="1"/>
  <c r="L122" i="12" a="1"/>
  <c r="L122" i="12" s="1"/>
  <c r="M122" i="12" a="1"/>
  <c r="M122" i="12" s="1"/>
  <c r="A123" i="12"/>
  <c r="B123" i="12"/>
  <c r="C123" i="12" a="1"/>
  <c r="C123" i="12" s="1"/>
  <c r="D123" i="12" a="1"/>
  <c r="D123" i="12" s="1"/>
  <c r="E123" i="12" a="1"/>
  <c r="E123" i="12" s="1"/>
  <c r="F123" i="12" a="1"/>
  <c r="F123" i="12"/>
  <c r="G123" i="12" a="1"/>
  <c r="G123" i="12" s="1"/>
  <c r="H123" i="12" a="1"/>
  <c r="H123" i="12"/>
  <c r="I123" i="12" a="1"/>
  <c r="I123" i="12" s="1"/>
  <c r="K123" i="12" a="1"/>
  <c r="K123" i="12" s="1"/>
  <c r="L123" i="12" a="1"/>
  <c r="L123" i="12" s="1"/>
  <c r="M123" i="12" a="1"/>
  <c r="M123" i="12"/>
  <c r="A124" i="12"/>
  <c r="B124" i="12"/>
  <c r="C124" i="12" a="1"/>
  <c r="C124" i="12" s="1"/>
  <c r="J124" i="12" s="1" a="1"/>
  <c r="J124" i="12" s="1"/>
  <c r="D124" i="12" a="1"/>
  <c r="D124" i="12"/>
  <c r="E124" i="12" a="1"/>
  <c r="E124" i="12" s="1"/>
  <c r="F124" i="12" a="1"/>
  <c r="F124" i="12"/>
  <c r="G124" i="12" a="1"/>
  <c r="G124" i="12"/>
  <c r="H124" i="12" a="1"/>
  <c r="H124" i="12"/>
  <c r="I124" i="12" a="1"/>
  <c r="I124" i="12"/>
  <c r="K124" i="12" a="1"/>
  <c r="K124" i="12"/>
  <c r="L124" i="12" a="1"/>
  <c r="L124" i="12" s="1"/>
  <c r="M124" i="12" a="1"/>
  <c r="M124" i="12"/>
  <c r="A125" i="12"/>
  <c r="B125" i="12"/>
  <c r="C125" i="12" a="1"/>
  <c r="C125" i="12"/>
  <c r="D125" i="12" a="1"/>
  <c r="D125" i="12"/>
  <c r="E125" i="12" a="1"/>
  <c r="E125" i="12" s="1"/>
  <c r="F125" i="12" a="1"/>
  <c r="F125" i="12"/>
  <c r="G125" i="12" a="1"/>
  <c r="G125" i="12" s="1"/>
  <c r="H125" i="12" a="1"/>
  <c r="H125" i="12" s="1"/>
  <c r="I125" i="12" a="1"/>
  <c r="I125" i="12"/>
  <c r="K125" i="12" a="1"/>
  <c r="K125" i="12"/>
  <c r="L125" i="12" a="1"/>
  <c r="L125" i="12"/>
  <c r="M125" i="12" a="1"/>
  <c r="M125" i="12"/>
  <c r="A126" i="12"/>
  <c r="B126" i="12"/>
  <c r="C126" i="12" a="1"/>
  <c r="C126" i="12"/>
  <c r="D126" i="12" a="1"/>
  <c r="D126" i="12" s="1"/>
  <c r="E126" i="12" a="1"/>
  <c r="E126" i="12" s="1"/>
  <c r="F126" i="12" a="1"/>
  <c r="F126" i="12" s="1"/>
  <c r="G126" i="12" a="1"/>
  <c r="G126" i="12"/>
  <c r="H126" i="12" a="1"/>
  <c r="H126" i="12"/>
  <c r="I126" i="12" a="1"/>
  <c r="I126" i="12"/>
  <c r="K126" i="12" a="1"/>
  <c r="K126" i="12" s="1"/>
  <c r="L126" i="12" a="1"/>
  <c r="L126" i="12"/>
  <c r="M126" i="12" a="1"/>
  <c r="M126" i="12" s="1"/>
  <c r="A127" i="12"/>
  <c r="B127" i="12"/>
  <c r="C127" i="12" a="1"/>
  <c r="C127" i="12" s="1"/>
  <c r="D127" i="12" a="1"/>
  <c r="D127" i="12" s="1"/>
  <c r="E127" i="12" a="1"/>
  <c r="E127" i="12"/>
  <c r="F127" i="12" a="1"/>
  <c r="F127" i="12"/>
  <c r="G127" i="12" a="1"/>
  <c r="G127" i="12"/>
  <c r="H127" i="12" a="1"/>
  <c r="H127" i="12"/>
  <c r="I127" i="12" a="1"/>
  <c r="I127" i="12" s="1"/>
  <c r="K127" i="12" a="1"/>
  <c r="K127" i="12" s="1"/>
  <c r="L127" i="12" a="1"/>
  <c r="L127" i="12"/>
  <c r="M127" i="12" a="1"/>
  <c r="M127" i="12"/>
  <c r="A128" i="12"/>
  <c r="B128" i="12"/>
  <c r="C128" i="12" a="1"/>
  <c r="C128" i="12" s="1"/>
  <c r="D128" i="12" a="1"/>
  <c r="D128" i="12"/>
  <c r="E128" i="12" a="1"/>
  <c r="E128" i="12" s="1"/>
  <c r="F128" i="12" a="1"/>
  <c r="F128" i="12"/>
  <c r="G128" i="12" a="1"/>
  <c r="G128" i="12" s="1"/>
  <c r="H128" i="12" a="1"/>
  <c r="H128" i="12" s="1"/>
  <c r="I128" i="12" a="1"/>
  <c r="I128" i="12"/>
  <c r="K128" i="12" a="1"/>
  <c r="K128" i="12" s="1"/>
  <c r="L128" i="12" a="1"/>
  <c r="L128" i="12" s="1"/>
  <c r="M128" i="12" a="1"/>
  <c r="M128" i="12"/>
  <c r="A129" i="12"/>
  <c r="B129" i="12"/>
  <c r="C129" i="12" a="1"/>
  <c r="C129" i="12"/>
  <c r="J129" i="12" s="1" a="1"/>
  <c r="J129" i="12" s="1"/>
  <c r="D129" i="12" a="1"/>
  <c r="D129" i="12" s="1"/>
  <c r="E129" i="12" a="1"/>
  <c r="E129" i="12" s="1"/>
  <c r="F129" i="12" a="1"/>
  <c r="F129" i="12" s="1"/>
  <c r="G129" i="12" a="1"/>
  <c r="G129" i="12" s="1"/>
  <c r="H129" i="12" a="1"/>
  <c r="H129" i="12"/>
  <c r="I129" i="12" a="1"/>
  <c r="I129" i="12"/>
  <c r="K129" i="12" a="1"/>
  <c r="K129" i="12"/>
  <c r="L129" i="12" a="1"/>
  <c r="L129" i="12" s="1"/>
  <c r="M129" i="12" a="1"/>
  <c r="M129" i="12" s="1"/>
  <c r="A130" i="12"/>
  <c r="B130" i="12"/>
  <c r="C130" i="12" a="1"/>
  <c r="C130" i="12"/>
  <c r="D130" i="12" a="1"/>
  <c r="D130" i="12"/>
  <c r="E130" i="12" a="1"/>
  <c r="E130" i="12"/>
  <c r="F130" i="12" a="1"/>
  <c r="F130" i="12" s="1"/>
  <c r="G130" i="12" a="1"/>
  <c r="G130" i="12" s="1"/>
  <c r="H130" i="12" a="1"/>
  <c r="H130" i="12" s="1"/>
  <c r="I130" i="12" a="1"/>
  <c r="I130" i="12"/>
  <c r="K130" i="12" a="1"/>
  <c r="K130" i="12" s="1"/>
  <c r="L130" i="12" a="1"/>
  <c r="L130" i="12"/>
  <c r="M130" i="12" a="1"/>
  <c r="M130" i="12"/>
  <c r="A131" i="12"/>
  <c r="B131" i="12"/>
  <c r="C131" i="12" a="1"/>
  <c r="C131" i="12"/>
  <c r="D131" i="12" a="1"/>
  <c r="D131" i="12" s="1"/>
  <c r="E131" i="12" a="1"/>
  <c r="E131" i="12" s="1"/>
  <c r="F131" i="12" a="1"/>
  <c r="F131" i="12"/>
  <c r="G131" i="12" a="1"/>
  <c r="G131" i="12" s="1"/>
  <c r="H131" i="12" a="1"/>
  <c r="H131" i="12" s="1"/>
  <c r="I131" i="12" a="1"/>
  <c r="I131" i="12" s="1"/>
  <c r="K131" i="12" a="1"/>
  <c r="K131" i="12"/>
  <c r="L131" i="12" a="1"/>
  <c r="L131" i="12"/>
  <c r="M131" i="12" a="1"/>
  <c r="M131" i="12" s="1"/>
  <c r="A132" i="12"/>
  <c r="B132" i="12"/>
  <c r="C132" i="12" a="1"/>
  <c r="C132" i="12" s="1"/>
  <c r="D132" i="12" a="1"/>
  <c r="D132" i="12" s="1"/>
  <c r="E132" i="12" a="1"/>
  <c r="E132" i="12" s="1"/>
  <c r="F132" i="12" a="1"/>
  <c r="F132" i="12"/>
  <c r="G132" i="12" a="1"/>
  <c r="G132" i="12" s="1"/>
  <c r="H132" i="12" a="1"/>
  <c r="H132" i="12"/>
  <c r="I132" i="12" a="1"/>
  <c r="I132" i="12" s="1"/>
  <c r="K132" i="12" a="1"/>
  <c r="K132" i="12"/>
  <c r="L132" i="12" a="1"/>
  <c r="L132" i="12" s="1"/>
  <c r="M132" i="12" a="1"/>
  <c r="M132" i="12" s="1"/>
  <c r="A133" i="12"/>
  <c r="B133" i="12"/>
  <c r="C133" i="12" a="1"/>
  <c r="C133" i="12"/>
  <c r="D133" i="12" a="1"/>
  <c r="D133" i="12" s="1"/>
  <c r="E133" i="12" a="1"/>
  <c r="E133" i="12"/>
  <c r="F133" i="12" a="1"/>
  <c r="F133" i="12" s="1"/>
  <c r="G133" i="12" a="1"/>
  <c r="G133" i="12" s="1"/>
  <c r="H133" i="12" a="1"/>
  <c r="H133" i="12"/>
  <c r="I133" i="12" a="1"/>
  <c r="I133" i="12"/>
  <c r="K133" i="12" a="1"/>
  <c r="K133" i="12"/>
  <c r="L133" i="12" a="1"/>
  <c r="L133" i="12"/>
  <c r="M133" i="12" a="1"/>
  <c r="M133" i="12"/>
  <c r="A134" i="12"/>
  <c r="B134" i="12"/>
  <c r="C134" i="12" a="1"/>
  <c r="C134" i="12"/>
  <c r="D134" i="12" a="1"/>
  <c r="D134" i="12"/>
  <c r="J134" i="12" s="1" a="1"/>
  <c r="J134" i="12" s="1"/>
  <c r="E134" i="12" a="1"/>
  <c r="E134" i="12" s="1"/>
  <c r="F134" i="12" a="1"/>
  <c r="F134" i="12"/>
  <c r="G134" i="12" a="1"/>
  <c r="G134" i="12"/>
  <c r="H134" i="12" a="1"/>
  <c r="H134" i="12" s="1"/>
  <c r="I134" i="12" a="1"/>
  <c r="I134" i="12" s="1"/>
  <c r="K134" i="12" a="1"/>
  <c r="K134" i="12" s="1"/>
  <c r="L134" i="12" a="1"/>
  <c r="L134" i="12" s="1"/>
  <c r="M134" i="12" a="1"/>
  <c r="M134" i="12" s="1"/>
  <c r="A135" i="12"/>
  <c r="B135" i="12"/>
  <c r="C135" i="12" a="1"/>
  <c r="C135" i="12"/>
  <c r="D135" i="12" a="1"/>
  <c r="D135" i="12"/>
  <c r="E135" i="12" a="1"/>
  <c r="E135" i="12"/>
  <c r="F135" i="12" a="1"/>
  <c r="F135" i="12"/>
  <c r="G135" i="12" a="1"/>
  <c r="G135" i="12" s="1"/>
  <c r="H135" i="12" a="1"/>
  <c r="H135" i="12" s="1"/>
  <c r="I135" i="12" a="1"/>
  <c r="I135" i="12" s="1"/>
  <c r="K135" i="12" a="1"/>
  <c r="K135" i="12"/>
  <c r="L135" i="12" a="1"/>
  <c r="L135" i="12"/>
  <c r="M135" i="12" a="1"/>
  <c r="M135" i="12" s="1"/>
  <c r="A136" i="12"/>
  <c r="B136" i="12"/>
  <c r="C136" i="12" a="1"/>
  <c r="C136" i="12" s="1"/>
  <c r="J136" i="12" s="1" a="1"/>
  <c r="J136" i="12" s="1"/>
  <c r="D136" i="12" a="1"/>
  <c r="D136" i="12" s="1"/>
  <c r="E136" i="12" a="1"/>
  <c r="E136" i="12" s="1"/>
  <c r="F136" i="12" a="1"/>
  <c r="F136" i="12"/>
  <c r="G136" i="12" a="1"/>
  <c r="G136" i="12" s="1"/>
  <c r="H136" i="12" a="1"/>
  <c r="H136" i="12"/>
  <c r="I136" i="12" a="1"/>
  <c r="I136" i="12" s="1"/>
  <c r="K136" i="12" a="1"/>
  <c r="K136" i="12" s="1"/>
  <c r="L136" i="12" a="1"/>
  <c r="L136" i="12" s="1"/>
  <c r="M136" i="12" a="1"/>
  <c r="M136" i="12"/>
  <c r="A137" i="12"/>
  <c r="B137" i="12"/>
  <c r="C137" i="12" a="1"/>
  <c r="C137" i="12" s="1"/>
  <c r="D137" i="12" a="1"/>
  <c r="D137" i="12" s="1"/>
  <c r="E137" i="12" a="1"/>
  <c r="E137" i="12"/>
  <c r="F137" i="12" a="1"/>
  <c r="F137" i="12" s="1"/>
  <c r="G137" i="12" a="1"/>
  <c r="G137" i="12" s="1"/>
  <c r="H137" i="12" a="1"/>
  <c r="H137" i="12" s="1"/>
  <c r="I137" i="12" a="1"/>
  <c r="I137" i="12"/>
  <c r="K137" i="12" a="1"/>
  <c r="K137" i="12" s="1"/>
  <c r="L137" i="12" a="1"/>
  <c r="L137" i="12" s="1"/>
  <c r="M137" i="12" a="1"/>
  <c r="M137" i="12"/>
  <c r="A138" i="12"/>
  <c r="B138" i="12"/>
  <c r="C138" i="12" a="1"/>
  <c r="C138" i="12"/>
  <c r="D138" i="12" a="1"/>
  <c r="D138" i="12" s="1"/>
  <c r="E138" i="12" a="1"/>
  <c r="E138" i="12" s="1"/>
  <c r="F138" i="12" a="1"/>
  <c r="F138" i="12"/>
  <c r="G138" i="12" a="1"/>
  <c r="G138" i="12" s="1"/>
  <c r="H138" i="12" a="1"/>
  <c r="H138" i="12" s="1"/>
  <c r="I138" i="12" a="1"/>
  <c r="I138" i="12" s="1"/>
  <c r="K138" i="12" a="1"/>
  <c r="K138" i="12" s="1"/>
  <c r="L138" i="12" a="1"/>
  <c r="L138" i="12"/>
  <c r="M138" i="12" a="1"/>
  <c r="M138" i="12" s="1"/>
  <c r="A139" i="12"/>
  <c r="B139" i="12"/>
  <c r="C139" i="12" a="1"/>
  <c r="C139" i="12"/>
  <c r="D139" i="12" a="1"/>
  <c r="D139" i="12"/>
  <c r="E139" i="12" a="1"/>
  <c r="E139" i="12"/>
  <c r="F139" i="12" a="1"/>
  <c r="F139" i="12"/>
  <c r="G139" i="12" a="1"/>
  <c r="G139" i="12"/>
  <c r="H139" i="12" a="1"/>
  <c r="H139" i="12"/>
  <c r="I139" i="12" a="1"/>
  <c r="I139" i="12" s="1"/>
  <c r="K139" i="12" a="1"/>
  <c r="K139" i="12"/>
  <c r="L139" i="12" a="1"/>
  <c r="L139" i="12"/>
  <c r="M139" i="12" a="1"/>
  <c r="M139" i="12"/>
  <c r="A140" i="12"/>
  <c r="B140" i="12"/>
  <c r="C140" i="12" a="1"/>
  <c r="C140" i="12" s="1"/>
  <c r="D140" i="12" a="1"/>
  <c r="D140" i="12" s="1"/>
  <c r="E140" i="12" a="1"/>
  <c r="E140" i="12"/>
  <c r="F140" i="12" a="1"/>
  <c r="F140" i="12" s="1"/>
  <c r="G140" i="12" a="1"/>
  <c r="G140" i="12" s="1"/>
  <c r="H140" i="12" a="1"/>
  <c r="H140" i="12"/>
  <c r="I140" i="12" a="1"/>
  <c r="I140" i="12"/>
  <c r="K140" i="12" a="1"/>
  <c r="K140" i="12"/>
  <c r="L140" i="12" a="1"/>
  <c r="L140" i="12"/>
  <c r="M140" i="12" a="1"/>
  <c r="M140" i="12"/>
  <c r="A141" i="12"/>
  <c r="B141" i="12"/>
  <c r="C141" i="12" a="1"/>
  <c r="C141" i="12" s="1"/>
  <c r="D141" i="12" a="1"/>
  <c r="D141" i="12" s="1"/>
  <c r="E141" i="12" a="1"/>
  <c r="E141" i="12" s="1"/>
  <c r="F141" i="12" a="1"/>
  <c r="F141" i="12"/>
  <c r="G141" i="12" a="1"/>
  <c r="G141" i="12" s="1"/>
  <c r="H141" i="12" a="1"/>
  <c r="H141" i="12"/>
  <c r="I141" i="12" a="1"/>
  <c r="I141" i="12" s="1"/>
  <c r="K141" i="12" a="1"/>
  <c r="K141" i="12" s="1"/>
  <c r="L141" i="12" a="1"/>
  <c r="L141" i="12"/>
  <c r="M141" i="12" a="1"/>
  <c r="M141" i="12" s="1"/>
  <c r="A142" i="12"/>
  <c r="B142" i="12"/>
  <c r="C142" i="12" a="1"/>
  <c r="C142" i="12"/>
  <c r="J142" i="12" s="1" a="1"/>
  <c r="J142" i="12" s="1"/>
  <c r="D142" i="12" a="1"/>
  <c r="D142" i="12" s="1"/>
  <c r="E142" i="12" a="1"/>
  <c r="E142" i="12"/>
  <c r="F142" i="12" a="1"/>
  <c r="F142" i="12" s="1"/>
  <c r="G142" i="12" a="1"/>
  <c r="G142" i="12" s="1"/>
  <c r="H142" i="12" a="1"/>
  <c r="H142" i="12"/>
  <c r="I142" i="12" a="1"/>
  <c r="I142" i="12"/>
  <c r="K142" i="12" a="1"/>
  <c r="K142" i="12" s="1"/>
  <c r="L142" i="12" a="1"/>
  <c r="L142" i="12"/>
  <c r="M142" i="12" a="1"/>
  <c r="M142" i="12" s="1"/>
  <c r="A143" i="12"/>
  <c r="B143" i="12"/>
  <c r="C143" i="12" a="1"/>
  <c r="C143" i="12" s="1"/>
  <c r="D143" i="12" a="1"/>
  <c r="D143" i="12" s="1"/>
  <c r="E143" i="12" a="1"/>
  <c r="E143" i="12" s="1"/>
  <c r="F143" i="12" a="1"/>
  <c r="F143" i="12" s="1"/>
  <c r="G143" i="12" a="1"/>
  <c r="G143" i="12" s="1"/>
  <c r="H143" i="12" a="1"/>
  <c r="H143" i="12"/>
  <c r="I143" i="12" a="1"/>
  <c r="I143" i="12" s="1"/>
  <c r="K143" i="12" a="1"/>
  <c r="K143" i="12" s="1"/>
  <c r="L143" i="12" a="1"/>
  <c r="L143" i="12" s="1"/>
  <c r="M143" i="12" a="1"/>
  <c r="M143" i="12"/>
  <c r="A144" i="12"/>
  <c r="B144" i="12"/>
  <c r="C144" i="12" a="1"/>
  <c r="C144" i="12" s="1"/>
  <c r="D144" i="12" a="1"/>
  <c r="D144" i="12" s="1"/>
  <c r="E144" i="12" a="1"/>
  <c r="E144" i="12"/>
  <c r="F144" i="12" a="1"/>
  <c r="F144" i="12" s="1"/>
  <c r="G144" i="12" a="1"/>
  <c r="G144" i="12"/>
  <c r="H144" i="12" a="1"/>
  <c r="H144" i="12" s="1"/>
  <c r="I144" i="12" a="1"/>
  <c r="I144" i="12"/>
  <c r="K144" i="12" a="1"/>
  <c r="K144" i="12"/>
  <c r="L144" i="12" a="1"/>
  <c r="L144" i="12"/>
  <c r="M144" i="12" a="1"/>
  <c r="M144" i="12"/>
  <c r="A145" i="12"/>
  <c r="B145" i="12"/>
  <c r="C145" i="12" a="1"/>
  <c r="C145" i="12"/>
  <c r="D145" i="12" a="1"/>
  <c r="D145" i="12" s="1"/>
  <c r="E145" i="12" a="1"/>
  <c r="E145" i="12"/>
  <c r="F145" i="12" a="1"/>
  <c r="F145" i="12" s="1"/>
  <c r="G145" i="12" a="1"/>
  <c r="G145" i="12" s="1"/>
  <c r="H145" i="12" a="1"/>
  <c r="H145" i="12"/>
  <c r="I145" i="12" a="1"/>
  <c r="I145" i="12"/>
  <c r="K145" i="12" a="1"/>
  <c r="K145" i="12"/>
  <c r="L145" i="12" a="1"/>
  <c r="L145" i="12" s="1"/>
  <c r="M145" i="12" a="1"/>
  <c r="M145" i="12" s="1"/>
  <c r="A146" i="12"/>
  <c r="B146" i="12"/>
  <c r="C146" i="12" a="1"/>
  <c r="C146" i="12" s="1"/>
  <c r="D146" i="12" a="1"/>
  <c r="D146" i="12" s="1"/>
  <c r="E146" i="12" a="1"/>
  <c r="E146" i="12"/>
  <c r="F146" i="12" a="1"/>
  <c r="F146" i="12" s="1"/>
  <c r="G146" i="12" a="1"/>
  <c r="G146" i="12"/>
  <c r="H146" i="12" a="1"/>
  <c r="H146" i="12" s="1"/>
  <c r="I146" i="12" a="1"/>
  <c r="I146" i="12" s="1"/>
  <c r="K146" i="12" a="1"/>
  <c r="K146" i="12"/>
  <c r="L146" i="12" a="1"/>
  <c r="L146" i="12" s="1"/>
  <c r="M146" i="12" a="1"/>
  <c r="M146" i="12" s="1"/>
  <c r="A147" i="12"/>
  <c r="B147" i="12"/>
  <c r="C147" i="12" a="1"/>
  <c r="C147" i="12" s="1"/>
  <c r="D147" i="12" a="1"/>
  <c r="D147" i="12" s="1"/>
  <c r="E147" i="12" a="1"/>
  <c r="E147" i="12" s="1"/>
  <c r="F147" i="12" a="1"/>
  <c r="F147" i="12"/>
  <c r="G147" i="12" a="1"/>
  <c r="G147" i="12"/>
  <c r="H147" i="12" a="1"/>
  <c r="H147" i="12"/>
  <c r="I147" i="12" a="1"/>
  <c r="I147" i="12"/>
  <c r="K147" i="12" a="1"/>
  <c r="K147" i="12"/>
  <c r="L147" i="12" a="1"/>
  <c r="L147" i="12"/>
  <c r="M147" i="12" a="1"/>
  <c r="M147" i="12" s="1"/>
  <c r="A148" i="12"/>
  <c r="B148" i="12"/>
  <c r="C148" i="12" a="1"/>
  <c r="C148" i="12" s="1"/>
  <c r="J148" i="12" s="1" a="1"/>
  <c r="J148" i="12" s="1"/>
  <c r="D148" i="12" a="1"/>
  <c r="D148" i="12" s="1"/>
  <c r="E148" i="12" a="1"/>
  <c r="E148" i="12"/>
  <c r="F148" i="12" a="1"/>
  <c r="F148" i="12" s="1"/>
  <c r="G148" i="12" a="1"/>
  <c r="G148" i="12" s="1"/>
  <c r="H148" i="12" a="1"/>
  <c r="H148" i="12" s="1"/>
  <c r="I148" i="12" a="1"/>
  <c r="I148" i="12" s="1"/>
  <c r="K148" i="12" a="1"/>
  <c r="K148" i="12" s="1"/>
  <c r="L148" i="12" a="1"/>
  <c r="L148" i="12" s="1"/>
  <c r="M148" i="12" a="1"/>
  <c r="M148" i="12" s="1"/>
  <c r="A149" i="12"/>
  <c r="B149" i="12"/>
  <c r="C149" i="12" a="1"/>
  <c r="C149" i="12" s="1"/>
  <c r="D149" i="12" a="1"/>
  <c r="D149" i="12"/>
  <c r="E149" i="12" a="1"/>
  <c r="E149" i="12" s="1"/>
  <c r="F149" i="12" a="1"/>
  <c r="F149" i="12" s="1"/>
  <c r="G149" i="12" a="1"/>
  <c r="G149" i="12" s="1"/>
  <c r="H149" i="12" a="1"/>
  <c r="H149" i="12"/>
  <c r="I149" i="12" a="1"/>
  <c r="I149" i="12" s="1"/>
  <c r="K149" i="12" a="1"/>
  <c r="K149" i="12"/>
  <c r="L149" i="12" a="1"/>
  <c r="L149" i="12" s="1"/>
  <c r="M149" i="12" a="1"/>
  <c r="M149" i="12"/>
  <c r="A150" i="12"/>
  <c r="B150" i="12"/>
  <c r="C150" i="12" a="1"/>
  <c r="C150" i="12"/>
  <c r="J150" i="12" s="1" a="1"/>
  <c r="J150" i="12" s="1"/>
  <c r="D150" i="12" a="1"/>
  <c r="D150" i="12"/>
  <c r="E150" i="12" a="1"/>
  <c r="E150" i="12" s="1"/>
  <c r="F150" i="12" a="1"/>
  <c r="F150" i="12"/>
  <c r="G150" i="12" a="1"/>
  <c r="G150" i="12"/>
  <c r="H150" i="12" a="1"/>
  <c r="H150" i="12"/>
  <c r="I150" i="12" a="1"/>
  <c r="I150" i="12"/>
  <c r="K150" i="12" a="1"/>
  <c r="K150" i="12"/>
  <c r="L150" i="12" a="1"/>
  <c r="L150" i="12" s="1"/>
  <c r="M150" i="12" a="1"/>
  <c r="M150" i="12" s="1"/>
  <c r="A151" i="12"/>
  <c r="B151" i="12"/>
  <c r="C151" i="12" a="1"/>
  <c r="C151" i="12" s="1"/>
  <c r="J151" i="12" s="1" a="1"/>
  <c r="J151" i="12" s="1"/>
  <c r="D151" i="12" a="1"/>
  <c r="D151" i="12" s="1"/>
  <c r="E151" i="12" a="1"/>
  <c r="E151" i="12" s="1"/>
  <c r="F151" i="12" a="1"/>
  <c r="F151" i="12" s="1"/>
  <c r="G151" i="12" a="1"/>
  <c r="G151" i="12" s="1"/>
  <c r="H151" i="12" a="1"/>
  <c r="H151" i="12" s="1"/>
  <c r="I151" i="12" a="1"/>
  <c r="I151" i="12"/>
  <c r="K151" i="12" a="1"/>
  <c r="K151" i="12"/>
  <c r="L151" i="12" a="1"/>
  <c r="L151" i="12" s="1"/>
  <c r="M151" i="12" a="1"/>
  <c r="M151" i="12"/>
  <c r="A152" i="12"/>
  <c r="B152" i="12"/>
  <c r="C152" i="12" a="1"/>
  <c r="C152" i="12" s="1"/>
  <c r="D152" i="12" a="1"/>
  <c r="D152" i="12" s="1"/>
  <c r="E152" i="12" a="1"/>
  <c r="E152" i="12"/>
  <c r="F152" i="12" a="1"/>
  <c r="F152" i="12" s="1"/>
  <c r="G152" i="12" a="1"/>
  <c r="G152" i="12" s="1"/>
  <c r="H152" i="12" a="1"/>
  <c r="H152" i="12" s="1"/>
  <c r="I152" i="12" a="1"/>
  <c r="I152" i="12" s="1"/>
  <c r="K152" i="12" a="1"/>
  <c r="K152" i="12"/>
  <c r="L152" i="12" a="1"/>
  <c r="L152" i="12"/>
  <c r="M152" i="12" a="1"/>
  <c r="M152" i="12"/>
  <c r="A153" i="12"/>
  <c r="B153" i="12"/>
  <c r="C153" i="12" a="1"/>
  <c r="C153" i="12"/>
  <c r="D153" i="12" a="1"/>
  <c r="D153" i="12"/>
  <c r="J153" i="12" s="1" a="1"/>
  <c r="J153" i="12" s="1"/>
  <c r="E153" i="12" a="1"/>
  <c r="E153" i="12"/>
  <c r="F153" i="12" a="1"/>
  <c r="F153" i="12"/>
  <c r="G153" i="12" a="1"/>
  <c r="G153" i="12"/>
  <c r="H153" i="12" a="1"/>
  <c r="H153" i="12"/>
  <c r="I153" i="12" a="1"/>
  <c r="I153" i="12" s="1"/>
  <c r="K153" i="12" a="1"/>
  <c r="K153" i="12"/>
  <c r="L153" i="12" a="1"/>
  <c r="L153" i="12" s="1"/>
  <c r="M153" i="12" a="1"/>
  <c r="M153" i="12"/>
  <c r="A154" i="12"/>
  <c r="B154" i="12"/>
  <c r="C154" i="12" a="1"/>
  <c r="C154" i="12" s="1"/>
  <c r="D154" i="12" a="1"/>
  <c r="D154" i="12" s="1"/>
  <c r="E154" i="12" a="1"/>
  <c r="E154" i="12" s="1"/>
  <c r="F154" i="12" a="1"/>
  <c r="F154" i="12"/>
  <c r="G154" i="12" a="1"/>
  <c r="G154" i="12" s="1"/>
  <c r="H154" i="12" a="1"/>
  <c r="H154" i="12"/>
  <c r="I154" i="12" a="1"/>
  <c r="I154" i="12" s="1"/>
  <c r="K154" i="12" a="1"/>
  <c r="K154" i="12" s="1"/>
  <c r="L154" i="12" a="1"/>
  <c r="L154" i="12" s="1"/>
  <c r="M154" i="12" a="1"/>
  <c r="M154" i="12" s="1"/>
  <c r="A155" i="12"/>
  <c r="B155" i="12"/>
  <c r="C155" i="12" a="1"/>
  <c r="C155" i="12" s="1"/>
  <c r="J155" i="12" s="1" a="1"/>
  <c r="J155" i="12" s="1"/>
  <c r="D155" i="12" a="1"/>
  <c r="D155" i="12" s="1"/>
  <c r="E155" i="12" a="1"/>
  <c r="E155" i="12" s="1"/>
  <c r="F155" i="12" a="1"/>
  <c r="F155" i="12" s="1"/>
  <c r="G155" i="12" a="1"/>
  <c r="G155" i="12"/>
  <c r="H155" i="12" a="1"/>
  <c r="H155" i="12"/>
  <c r="I155" i="12" a="1"/>
  <c r="I155" i="12"/>
  <c r="K155" i="12" a="1"/>
  <c r="K155" i="12" s="1"/>
  <c r="L155" i="12" a="1"/>
  <c r="L155" i="12"/>
  <c r="M155" i="12" a="1"/>
  <c r="M155" i="12"/>
  <c r="A156" i="12"/>
  <c r="B156" i="12"/>
  <c r="C156" i="12" a="1"/>
  <c r="C156" i="12"/>
  <c r="D156" i="12" a="1"/>
  <c r="D156" i="12"/>
  <c r="E156" i="12" a="1"/>
  <c r="E156" i="12"/>
  <c r="F156" i="12" a="1"/>
  <c r="F156" i="12" s="1"/>
  <c r="G156" i="12" a="1"/>
  <c r="G156" i="12" s="1"/>
  <c r="H156" i="12" a="1"/>
  <c r="H156" i="12" s="1"/>
  <c r="I156" i="12" a="1"/>
  <c r="I156" i="12" s="1"/>
  <c r="K156" i="12" a="1"/>
  <c r="K156" i="12" s="1"/>
  <c r="L156" i="12" a="1"/>
  <c r="L156" i="12" s="1"/>
  <c r="M156" i="12" a="1"/>
  <c r="M156" i="12" s="1"/>
  <c r="A157" i="12"/>
  <c r="B157" i="12"/>
  <c r="C157" i="12" a="1"/>
  <c r="C157" i="12"/>
  <c r="D157" i="12" a="1"/>
  <c r="D157" i="12" s="1"/>
  <c r="E157" i="12" a="1"/>
  <c r="E157" i="12"/>
  <c r="F157" i="12" a="1"/>
  <c r="F157" i="12" s="1"/>
  <c r="G157" i="12" a="1"/>
  <c r="G157" i="12"/>
  <c r="H157" i="12" a="1"/>
  <c r="H157" i="12" s="1"/>
  <c r="I157" i="12" a="1"/>
  <c r="I157" i="12" s="1"/>
  <c r="K157" i="12" a="1"/>
  <c r="K157" i="12"/>
  <c r="L157" i="12" a="1"/>
  <c r="L157" i="12" s="1"/>
  <c r="M157" i="12" a="1"/>
  <c r="M157" i="12"/>
  <c r="A158" i="12"/>
  <c r="B158" i="12"/>
  <c r="C158" i="12" a="1"/>
  <c r="C158" i="12" s="1"/>
  <c r="D158" i="12" a="1"/>
  <c r="D158" i="12"/>
  <c r="E158" i="12" a="1"/>
  <c r="E158" i="12"/>
  <c r="F158" i="12" a="1"/>
  <c r="F158" i="12"/>
  <c r="G158" i="12" a="1"/>
  <c r="G158" i="12"/>
  <c r="H158" i="12" a="1"/>
  <c r="H158" i="12" s="1"/>
  <c r="I158" i="12" a="1"/>
  <c r="I158" i="12"/>
  <c r="K158" i="12" a="1"/>
  <c r="K158" i="12"/>
  <c r="L158" i="12" a="1"/>
  <c r="L158" i="12"/>
  <c r="M158" i="12" a="1"/>
  <c r="M158" i="12"/>
  <c r="A159" i="12"/>
  <c r="B159" i="12"/>
  <c r="C159" i="12" a="1"/>
  <c r="C159" i="12" s="1"/>
  <c r="D159" i="12" a="1"/>
  <c r="D159" i="12" s="1"/>
  <c r="E159" i="12" a="1"/>
  <c r="E159" i="12" s="1"/>
  <c r="F159" i="12" a="1"/>
  <c r="F159" i="12" s="1"/>
  <c r="G159" i="12" a="1"/>
  <c r="G159" i="12"/>
  <c r="H159" i="12" a="1"/>
  <c r="H159" i="12" s="1"/>
  <c r="I159" i="12" a="1"/>
  <c r="I159" i="12" s="1"/>
  <c r="K159" i="12" a="1"/>
  <c r="K159" i="12" s="1"/>
  <c r="L159" i="12" a="1"/>
  <c r="L159" i="12"/>
  <c r="M159" i="12" a="1"/>
  <c r="M159" i="12" s="1"/>
  <c r="A160" i="12"/>
  <c r="B160" i="12"/>
  <c r="C160" i="12" a="1"/>
  <c r="C160" i="12" s="1"/>
  <c r="D160" i="12" a="1"/>
  <c r="D160" i="12"/>
  <c r="E160" i="12" a="1"/>
  <c r="E160" i="12" s="1"/>
  <c r="F160" i="12" a="1"/>
  <c r="F160" i="12" s="1"/>
  <c r="G160" i="12" a="1"/>
  <c r="G160" i="12" s="1"/>
  <c r="H160" i="12" a="1"/>
  <c r="H160" i="12" s="1"/>
  <c r="I160" i="12" a="1"/>
  <c r="I160" i="12" s="1"/>
  <c r="K160" i="12" a="1"/>
  <c r="K160" i="12" s="1"/>
  <c r="L160" i="12" a="1"/>
  <c r="L160" i="12" s="1"/>
  <c r="M160" i="12" a="1"/>
  <c r="M160" i="12"/>
  <c r="A161" i="12"/>
  <c r="B161" i="12"/>
  <c r="C161" i="12" a="1"/>
  <c r="C161" i="12"/>
  <c r="D161" i="12" a="1"/>
  <c r="D161" i="12"/>
  <c r="E161" i="12" a="1"/>
  <c r="E161" i="12" s="1"/>
  <c r="F161" i="12" a="1"/>
  <c r="F161" i="12"/>
  <c r="G161" i="12" a="1"/>
  <c r="G161" i="12"/>
  <c r="H161" i="12" a="1"/>
  <c r="H161" i="12"/>
  <c r="I161" i="12" a="1"/>
  <c r="I161" i="12"/>
  <c r="K161" i="12" a="1"/>
  <c r="K161" i="12"/>
  <c r="L161" i="12" a="1"/>
  <c r="L161" i="12" s="1"/>
  <c r="M161" i="12" a="1"/>
  <c r="M161" i="12"/>
  <c r="A162" i="12"/>
  <c r="B162" i="12"/>
  <c r="C162" i="12" a="1"/>
  <c r="C162" i="12" s="1"/>
  <c r="D162" i="12" a="1"/>
  <c r="D162" i="12"/>
  <c r="E162" i="12" a="1"/>
  <c r="E162" i="12" s="1"/>
  <c r="F162" i="12" a="1"/>
  <c r="F162" i="12" s="1"/>
  <c r="G162" i="12" a="1"/>
  <c r="G162" i="12" s="1"/>
  <c r="H162" i="12" a="1"/>
  <c r="H162" i="12" s="1"/>
  <c r="I162" i="12" a="1"/>
  <c r="I162" i="12"/>
  <c r="K162" i="12" a="1"/>
  <c r="K162" i="12"/>
  <c r="L162" i="12" a="1"/>
  <c r="L162" i="12" s="1"/>
  <c r="M162" i="12" a="1"/>
  <c r="M162" i="12"/>
  <c r="A163" i="12"/>
  <c r="B163" i="12"/>
  <c r="C163" i="12" a="1"/>
  <c r="C163" i="12" s="1"/>
  <c r="D163" i="12" a="1"/>
  <c r="D163" i="12" s="1"/>
  <c r="E163" i="12" a="1"/>
  <c r="E163" i="12" s="1"/>
  <c r="F163" i="12" a="1"/>
  <c r="F163" i="12" s="1"/>
  <c r="G163" i="12" a="1"/>
  <c r="G163" i="12"/>
  <c r="H163" i="12" a="1"/>
  <c r="H163" i="12" s="1"/>
  <c r="I163" i="12" a="1"/>
  <c r="I163" i="12" s="1"/>
  <c r="K163" i="12" a="1"/>
  <c r="K163" i="12"/>
  <c r="L163" i="12" a="1"/>
  <c r="L163" i="12"/>
  <c r="M163" i="12" a="1"/>
  <c r="M163" i="12"/>
  <c r="A164" i="12"/>
  <c r="B164" i="12"/>
  <c r="C164" i="12" a="1"/>
  <c r="C164" i="12"/>
  <c r="D164" i="12" a="1"/>
  <c r="D164" i="12"/>
  <c r="E164" i="12" a="1"/>
  <c r="E164" i="12"/>
  <c r="F164" i="12" a="1"/>
  <c r="F164" i="12"/>
  <c r="G164" i="12" a="1"/>
  <c r="G164" i="12"/>
  <c r="H164" i="12" a="1"/>
  <c r="H164" i="12" s="1"/>
  <c r="I164" i="12" a="1"/>
  <c r="I164" i="12" s="1"/>
  <c r="K164" i="12" a="1"/>
  <c r="K164" i="12" s="1"/>
  <c r="L164" i="12" a="1"/>
  <c r="L164" i="12" s="1"/>
  <c r="M164" i="12" a="1"/>
  <c r="M164" i="12"/>
  <c r="A165" i="12"/>
  <c r="B165" i="12"/>
  <c r="C165" i="12" a="1"/>
  <c r="C165" i="12" s="1"/>
  <c r="D165" i="12" a="1"/>
  <c r="D165" i="12" s="1"/>
  <c r="E165" i="12" a="1"/>
  <c r="E165" i="12" s="1"/>
  <c r="F165" i="12" a="1"/>
  <c r="F165" i="12"/>
  <c r="G165" i="12" a="1"/>
  <c r="G165" i="12" s="1"/>
  <c r="H165" i="12" a="1"/>
  <c r="H165" i="12"/>
  <c r="I165" i="12" a="1"/>
  <c r="I165" i="12" s="1"/>
  <c r="K165" i="12" a="1"/>
  <c r="K165" i="12" s="1"/>
  <c r="L165" i="12" a="1"/>
  <c r="L165" i="12" s="1"/>
  <c r="M165" i="12" a="1"/>
  <c r="M165" i="12"/>
  <c r="A166" i="12"/>
  <c r="B166" i="12"/>
  <c r="C166" i="12" a="1"/>
  <c r="C166" i="12" s="1"/>
  <c r="J166" i="12" s="1" a="1"/>
  <c r="J166" i="12" s="1"/>
  <c r="D166" i="12" a="1"/>
  <c r="D166" i="12"/>
  <c r="E166" i="12" a="1"/>
  <c r="E166" i="12" s="1"/>
  <c r="F166" i="12" a="1"/>
  <c r="F166" i="12" s="1"/>
  <c r="G166" i="12" a="1"/>
  <c r="G166" i="12"/>
  <c r="H166" i="12" a="1"/>
  <c r="H166" i="12"/>
  <c r="I166" i="12" a="1"/>
  <c r="I166" i="12"/>
  <c r="K166" i="12" a="1"/>
  <c r="K166" i="12" s="1"/>
  <c r="L166" i="12" a="1"/>
  <c r="L166" i="12"/>
  <c r="M166" i="12" a="1"/>
  <c r="M166" i="12"/>
  <c r="A167" i="12"/>
  <c r="B167" i="12"/>
  <c r="C167" i="12" a="1"/>
  <c r="C167" i="12"/>
  <c r="J167" i="12" s="1" a="1"/>
  <c r="J167" i="12" s="1"/>
  <c r="D167" i="12" a="1"/>
  <c r="D167" i="12" s="1"/>
  <c r="E167" i="12" a="1"/>
  <c r="E167" i="12" s="1"/>
  <c r="F167" i="12" a="1"/>
  <c r="F167" i="12" s="1"/>
  <c r="G167" i="12" a="1"/>
  <c r="G167" i="12"/>
  <c r="H167" i="12" a="1"/>
  <c r="H167" i="12" s="1"/>
  <c r="I167" i="12" a="1"/>
  <c r="I167" i="12" s="1"/>
  <c r="K167" i="12" a="1"/>
  <c r="K167" i="12" s="1"/>
  <c r="L167" i="12" a="1"/>
  <c r="L167" i="12" s="1"/>
  <c r="M167" i="12" a="1"/>
  <c r="M167" i="12" s="1"/>
  <c r="A168" i="12"/>
  <c r="B168" i="12"/>
  <c r="C168" i="12" a="1"/>
  <c r="C168" i="12"/>
  <c r="D168" i="12" a="1"/>
  <c r="D168" i="12" s="1"/>
  <c r="E168" i="12" a="1"/>
  <c r="E168" i="12"/>
  <c r="F168" i="12" a="1"/>
  <c r="F168" i="12" s="1"/>
  <c r="G168" i="12" a="1"/>
  <c r="G168" i="12"/>
  <c r="H168" i="12" a="1"/>
  <c r="H168" i="12" s="1"/>
  <c r="I168" i="12" a="1"/>
  <c r="I168" i="12"/>
  <c r="K168" i="12" a="1"/>
  <c r="K168" i="12" s="1"/>
  <c r="L168" i="12" a="1"/>
  <c r="L168" i="12" s="1"/>
  <c r="M168" i="12" a="1"/>
  <c r="M168" i="12"/>
  <c r="A169" i="12"/>
  <c r="B169" i="12"/>
  <c r="C169" i="12" a="1"/>
  <c r="C169" i="12" s="1"/>
  <c r="J169" i="12" s="1" a="1"/>
  <c r="J169" i="12" s="1"/>
  <c r="D169" i="12" a="1"/>
  <c r="D169" i="12"/>
  <c r="E169" i="12" a="1"/>
  <c r="E169" i="12"/>
  <c r="F169" i="12" a="1"/>
  <c r="F169" i="12"/>
  <c r="G169" i="12" a="1"/>
  <c r="G169" i="12"/>
  <c r="H169" i="12" a="1"/>
  <c r="H169" i="12" s="1"/>
  <c r="I169" i="12" a="1"/>
  <c r="I169" i="12"/>
  <c r="K169" i="12" a="1"/>
  <c r="K169" i="12"/>
  <c r="L169" i="12" a="1"/>
  <c r="L169" i="12" s="1"/>
  <c r="M169" i="12" a="1"/>
  <c r="M169" i="12" s="1"/>
  <c r="A170" i="12"/>
  <c r="B170" i="12"/>
  <c r="C170" i="12" a="1"/>
  <c r="C170" i="12" s="1"/>
  <c r="D170" i="12" a="1"/>
  <c r="D170" i="12"/>
  <c r="E170" i="12" a="1"/>
  <c r="E170" i="12" s="1"/>
  <c r="F170" i="12" a="1"/>
  <c r="F170" i="12" s="1"/>
  <c r="G170" i="12" a="1"/>
  <c r="G170" i="12"/>
  <c r="H170" i="12" a="1"/>
  <c r="H170" i="12" s="1"/>
  <c r="I170" i="12" a="1"/>
  <c r="I170" i="12" s="1"/>
  <c r="K170" i="12" a="1"/>
  <c r="K170" i="12" s="1"/>
  <c r="L170" i="12" a="1"/>
  <c r="L170" i="12"/>
  <c r="M170" i="12" a="1"/>
  <c r="M170" i="12" s="1"/>
  <c r="A171" i="12"/>
  <c r="B171" i="12"/>
  <c r="C171" i="12" a="1"/>
  <c r="C171" i="12" s="1"/>
  <c r="J171" i="12" s="1" a="1"/>
  <c r="J171" i="12" s="1"/>
  <c r="D171" i="12" a="1"/>
  <c r="D171" i="12" s="1"/>
  <c r="E171" i="12" a="1"/>
  <c r="E171" i="12"/>
  <c r="F171" i="12" a="1"/>
  <c r="F171" i="12" s="1"/>
  <c r="G171" i="12" a="1"/>
  <c r="G171" i="12"/>
  <c r="H171" i="12" a="1"/>
  <c r="H171" i="12" s="1"/>
  <c r="I171" i="12" a="1"/>
  <c r="I171" i="12" s="1"/>
  <c r="K171" i="12" a="1"/>
  <c r="K171" i="12" s="1"/>
  <c r="L171" i="12" a="1"/>
  <c r="L171" i="12" s="1"/>
  <c r="M171" i="12" a="1"/>
  <c r="M171" i="12"/>
  <c r="A172" i="12"/>
  <c r="B172" i="12"/>
  <c r="C172" i="12" a="1"/>
  <c r="C172" i="12"/>
  <c r="D172" i="12" a="1"/>
  <c r="D172" i="12"/>
  <c r="E172" i="12" a="1"/>
  <c r="E172" i="12" s="1"/>
  <c r="F172" i="12" a="1"/>
  <c r="F172" i="12"/>
  <c r="G172" i="12" a="1"/>
  <c r="G172" i="12"/>
  <c r="J172" i="12" s="1" a="1"/>
  <c r="J172" i="12" s="1"/>
  <c r="H172" i="12" a="1"/>
  <c r="H172" i="12" s="1"/>
  <c r="I172" i="12" a="1"/>
  <c r="I172" i="12"/>
  <c r="K172" i="12" a="1"/>
  <c r="K172" i="12" s="1"/>
  <c r="L172" i="12" a="1"/>
  <c r="L172" i="12" s="1"/>
  <c r="M172" i="12" a="1"/>
  <c r="M172" i="12"/>
  <c r="A173" i="12"/>
  <c r="B173" i="12"/>
  <c r="C173" i="12" a="1"/>
  <c r="C173" i="12" s="1"/>
  <c r="J173" i="12" s="1" a="1"/>
  <c r="J173" i="12" s="1"/>
  <c r="D173" i="12" a="1"/>
  <c r="D173" i="12"/>
  <c r="E173" i="12" a="1"/>
  <c r="E173" i="12" s="1"/>
  <c r="F173" i="12" a="1"/>
  <c r="F173" i="12" s="1"/>
  <c r="G173" i="12" a="1"/>
  <c r="G173" i="12" s="1"/>
  <c r="H173" i="12" a="1"/>
  <c r="H173" i="12" s="1"/>
  <c r="I173" i="12" a="1"/>
  <c r="I173" i="12" s="1"/>
  <c r="K173" i="12" a="1"/>
  <c r="K173" i="12"/>
  <c r="L173" i="12" a="1"/>
  <c r="L173" i="12" s="1"/>
  <c r="M173" i="12" a="1"/>
  <c r="M173" i="12"/>
  <c r="A174" i="12"/>
  <c r="B174" i="12"/>
  <c r="C174" i="12" a="1"/>
  <c r="C174" i="12"/>
  <c r="D174" i="12" a="1"/>
  <c r="D174" i="12"/>
  <c r="E174" i="12" a="1"/>
  <c r="E174" i="12" s="1"/>
  <c r="F174" i="12" a="1"/>
  <c r="F174" i="12" s="1"/>
  <c r="G174" i="12" a="1"/>
  <c r="G174" i="12"/>
  <c r="H174" i="12" a="1"/>
  <c r="H174" i="12" s="1"/>
  <c r="I174" i="12" a="1"/>
  <c r="I174" i="12" s="1"/>
  <c r="K174" i="12" a="1"/>
  <c r="K174" i="12"/>
  <c r="L174" i="12" a="1"/>
  <c r="L174" i="12"/>
  <c r="M174" i="12" a="1"/>
  <c r="M174" i="12"/>
  <c r="A175" i="12"/>
  <c r="B175" i="12"/>
  <c r="C175" i="12" a="1"/>
  <c r="C175" i="12"/>
  <c r="J175" i="12" s="1" a="1"/>
  <c r="J175" i="12" s="1"/>
  <c r="D175" i="12" a="1"/>
  <c r="D175" i="12" s="1"/>
  <c r="E175" i="12" a="1"/>
  <c r="E175" i="12" s="1"/>
  <c r="F175" i="12" a="1"/>
  <c r="F175" i="12"/>
  <c r="G175" i="12" a="1"/>
  <c r="G175" i="12" s="1"/>
  <c r="H175" i="12" a="1"/>
  <c r="H175" i="12" s="1"/>
  <c r="I175" i="12" a="1"/>
  <c r="I175" i="12" s="1"/>
  <c r="K175" i="12" a="1"/>
  <c r="K175" i="12" s="1"/>
  <c r="L175" i="12" a="1"/>
  <c r="L175" i="12" s="1"/>
  <c r="M175" i="12" a="1"/>
  <c r="M175" i="12"/>
  <c r="A176" i="12"/>
  <c r="B176" i="12"/>
  <c r="C176" i="12" a="1"/>
  <c r="C176" i="12" s="1"/>
  <c r="D176" i="12" a="1"/>
  <c r="D176" i="12" s="1"/>
  <c r="E176" i="12" a="1"/>
  <c r="E176" i="12" s="1"/>
  <c r="F176" i="12" a="1"/>
  <c r="F176" i="12" s="1"/>
  <c r="G176" i="12" a="1"/>
  <c r="G176" i="12" s="1"/>
  <c r="H176" i="12" a="1"/>
  <c r="H176" i="12" s="1"/>
  <c r="I176" i="12" a="1"/>
  <c r="I176" i="12" s="1"/>
  <c r="K176" i="12" a="1"/>
  <c r="K176" i="12"/>
  <c r="L176" i="12" a="1"/>
  <c r="L176" i="12"/>
  <c r="M176" i="12" a="1"/>
  <c r="M176" i="12"/>
  <c r="A177" i="12"/>
  <c r="B177" i="12"/>
  <c r="C177" i="12" a="1"/>
  <c r="C177" i="12" s="1"/>
  <c r="J177" i="12" s="1" a="1"/>
  <c r="J177" i="12" s="1"/>
  <c r="D177" i="12" a="1"/>
  <c r="D177" i="12"/>
  <c r="E177" i="12" a="1"/>
  <c r="E177" i="12" s="1"/>
  <c r="F177" i="12" a="1"/>
  <c r="F177" i="12" s="1"/>
  <c r="G177" i="12" a="1"/>
  <c r="G177" i="12"/>
  <c r="H177" i="12" a="1"/>
  <c r="H177" i="12"/>
  <c r="I177" i="12" a="1"/>
  <c r="I177" i="12"/>
  <c r="K177" i="12" a="1"/>
  <c r="K177" i="12" s="1"/>
  <c r="L177" i="12" a="1"/>
  <c r="L177" i="12" s="1"/>
  <c r="M177" i="12" a="1"/>
  <c r="M177" i="12"/>
  <c r="A178" i="12"/>
  <c r="B178" i="12"/>
  <c r="C178" i="12" a="1"/>
  <c r="C178" i="12"/>
  <c r="D178" i="12" a="1"/>
  <c r="D178" i="12" s="1"/>
  <c r="E178" i="12" a="1"/>
  <c r="E178" i="12" s="1"/>
  <c r="F178" i="12" a="1"/>
  <c r="F178" i="12" s="1"/>
  <c r="G178" i="12" a="1"/>
  <c r="G178" i="12"/>
  <c r="H178" i="12" a="1"/>
  <c r="H178" i="12" s="1"/>
  <c r="I178" i="12" a="1"/>
  <c r="I178" i="12" s="1"/>
  <c r="K178" i="12" a="1"/>
  <c r="K178" i="12" s="1"/>
  <c r="L178" i="12" a="1"/>
  <c r="L178" i="12" s="1"/>
  <c r="M178" i="12" a="1"/>
  <c r="M178" i="12" s="1"/>
  <c r="A179" i="12"/>
  <c r="B179" i="12"/>
  <c r="C179" i="12" a="1"/>
  <c r="C179" i="12" s="1"/>
  <c r="D179" i="12" a="1"/>
  <c r="D179" i="12" s="1"/>
  <c r="E179" i="12" a="1"/>
  <c r="E179" i="12"/>
  <c r="F179" i="12" a="1"/>
  <c r="F179" i="12" s="1"/>
  <c r="G179" i="12" a="1"/>
  <c r="G179" i="12"/>
  <c r="H179" i="12" a="1"/>
  <c r="H179" i="12" s="1"/>
  <c r="I179" i="12" a="1"/>
  <c r="I179" i="12"/>
  <c r="K179" i="12" a="1"/>
  <c r="K179" i="12" s="1"/>
  <c r="L179" i="12" a="1"/>
  <c r="L179" i="12" s="1"/>
  <c r="M179" i="12" a="1"/>
  <c r="M179" i="12"/>
  <c r="A180" i="12"/>
  <c r="B180" i="12"/>
  <c r="C180" i="12" a="1"/>
  <c r="C180" i="12" s="1"/>
  <c r="D180" i="12" a="1"/>
  <c r="D180" i="12"/>
  <c r="E180" i="12" a="1"/>
  <c r="E180" i="12"/>
  <c r="F180" i="12" a="1"/>
  <c r="F180" i="12" s="1"/>
  <c r="G180" i="12" a="1"/>
  <c r="G180" i="12"/>
  <c r="H180" i="12" a="1"/>
  <c r="H180" i="12" s="1"/>
  <c r="I180" i="12" a="1"/>
  <c r="I180" i="12" s="1"/>
  <c r="K180" i="12" a="1"/>
  <c r="K180" i="12" s="1"/>
  <c r="L180" i="12" a="1"/>
  <c r="L180" i="12"/>
  <c r="M180" i="12" a="1"/>
  <c r="M180" i="12" s="1"/>
  <c r="A181" i="12"/>
  <c r="B181" i="12"/>
  <c r="C181" i="12" a="1"/>
  <c r="C181" i="12" s="1"/>
  <c r="J181" i="12" s="1" a="1"/>
  <c r="J181" i="12" s="1"/>
  <c r="D181" i="12" a="1"/>
  <c r="D181" i="12"/>
  <c r="E181" i="12" a="1"/>
  <c r="E181" i="12" s="1"/>
  <c r="F181" i="12" a="1"/>
  <c r="F181" i="12" s="1"/>
  <c r="G181" i="12" a="1"/>
  <c r="G181" i="12"/>
  <c r="H181" i="12" a="1"/>
  <c r="H181" i="12" s="1"/>
  <c r="I181" i="12" a="1"/>
  <c r="I181" i="12" s="1"/>
  <c r="K181" i="12" a="1"/>
  <c r="K181" i="12" s="1"/>
  <c r="L181" i="12" a="1"/>
  <c r="L181" i="12" s="1"/>
  <c r="M181" i="12" a="1"/>
  <c r="M181" i="12" s="1"/>
  <c r="A182" i="12"/>
  <c r="B182" i="12"/>
  <c r="C182" i="12" a="1"/>
  <c r="C182" i="12" s="1"/>
  <c r="D182" i="12" a="1"/>
  <c r="D182" i="12"/>
  <c r="E182" i="12" a="1"/>
  <c r="E182" i="12" s="1"/>
  <c r="F182" i="12" a="1"/>
  <c r="F182" i="12"/>
  <c r="G182" i="12" a="1"/>
  <c r="G182" i="12"/>
  <c r="H182" i="12" a="1"/>
  <c r="H182" i="12" s="1"/>
  <c r="I182" i="12" a="1"/>
  <c r="I182" i="12" s="1"/>
  <c r="K182" i="12" a="1"/>
  <c r="K182" i="12" s="1"/>
  <c r="L182" i="12" a="1"/>
  <c r="L182" i="12" s="1"/>
  <c r="M182" i="12" a="1"/>
  <c r="M182" i="12"/>
  <c r="A183" i="12"/>
  <c r="B183" i="12"/>
  <c r="C183" i="12" a="1"/>
  <c r="C183" i="12" s="1"/>
  <c r="J183" i="12" s="1" a="1"/>
  <c r="J183" i="12" s="1"/>
  <c r="D183" i="12" a="1"/>
  <c r="D183" i="12" s="1"/>
  <c r="E183" i="12" a="1"/>
  <c r="E183" i="12" s="1"/>
  <c r="F183" i="12" a="1"/>
  <c r="F183" i="12" s="1"/>
  <c r="G183" i="12" a="1"/>
  <c r="G183" i="12"/>
  <c r="H183" i="12" a="1"/>
  <c r="H183" i="12" s="1"/>
  <c r="I183" i="12" a="1"/>
  <c r="I183" i="12"/>
  <c r="K183" i="12" a="1"/>
  <c r="K183" i="12" s="1"/>
  <c r="L183" i="12" a="1"/>
  <c r="L183" i="12" s="1"/>
  <c r="M183" i="12" a="1"/>
  <c r="M183" i="12"/>
  <c r="A184" i="12"/>
  <c r="B184" i="12"/>
  <c r="C184" i="12" a="1"/>
  <c r="C184" i="12" s="1"/>
  <c r="D184" i="12" a="1"/>
  <c r="D184" i="12"/>
  <c r="E184" i="12" a="1"/>
  <c r="E184" i="12" s="1"/>
  <c r="F184" i="12" a="1"/>
  <c r="F184" i="12" s="1"/>
  <c r="G184" i="12" a="1"/>
  <c r="G184" i="12" s="1"/>
  <c r="H184" i="12" a="1"/>
  <c r="H184" i="12" s="1"/>
  <c r="I184" i="12" a="1"/>
  <c r="I184" i="12"/>
  <c r="K184" i="12" a="1"/>
  <c r="K184" i="12"/>
  <c r="L184" i="12" a="1"/>
  <c r="L184" i="12" s="1"/>
  <c r="M184" i="12" a="1"/>
  <c r="M184" i="12"/>
  <c r="A185" i="12"/>
  <c r="B185" i="12"/>
  <c r="C185" i="12" a="1"/>
  <c r="C185" i="12"/>
  <c r="J185" i="12" s="1" a="1"/>
  <c r="J185" i="12" s="1"/>
  <c r="D185" i="12" a="1"/>
  <c r="D185" i="12"/>
  <c r="E185" i="12" a="1"/>
  <c r="E185" i="12" s="1"/>
  <c r="F185" i="12" a="1"/>
  <c r="F185" i="12" s="1"/>
  <c r="G185" i="12" a="1"/>
  <c r="G185" i="12"/>
  <c r="H185" i="12" a="1"/>
  <c r="H185" i="12"/>
  <c r="I185" i="12" a="1"/>
  <c r="I185" i="12" s="1"/>
  <c r="K185" i="12" a="1"/>
  <c r="K185" i="12"/>
  <c r="L185" i="12" a="1"/>
  <c r="L185" i="12" s="1"/>
  <c r="M185" i="12" a="1"/>
  <c r="M185" i="12" s="1"/>
  <c r="A186" i="12"/>
  <c r="B186" i="12"/>
  <c r="C186" i="12" a="1"/>
  <c r="C186" i="12" s="1"/>
  <c r="D186" i="12" a="1"/>
  <c r="D186" i="12"/>
  <c r="E186" i="12" a="1"/>
  <c r="E186" i="12" s="1"/>
  <c r="F186" i="12" a="1"/>
  <c r="F186" i="12"/>
  <c r="G186" i="12" a="1"/>
  <c r="G186" i="12" s="1"/>
  <c r="H186" i="12" a="1"/>
  <c r="H186" i="12" s="1"/>
  <c r="I186" i="12" a="1"/>
  <c r="I186" i="12" s="1"/>
  <c r="K186" i="12" a="1"/>
  <c r="K186" i="12" s="1"/>
  <c r="L186" i="12" a="1"/>
  <c r="L186" i="12" s="1"/>
  <c r="M186" i="12" a="1"/>
  <c r="M186" i="12"/>
  <c r="A187" i="12"/>
  <c r="B187" i="12"/>
  <c r="C187" i="12" a="1"/>
  <c r="C187" i="12" s="1"/>
  <c r="D187" i="12" a="1"/>
  <c r="D187" i="12" s="1"/>
  <c r="E187" i="12" a="1"/>
  <c r="E187" i="12" s="1"/>
  <c r="F187" i="12" a="1"/>
  <c r="F187" i="12"/>
  <c r="G187" i="12" a="1"/>
  <c r="G187" i="12" s="1"/>
  <c r="H187" i="12" a="1"/>
  <c r="H187" i="12"/>
  <c r="I187" i="12" a="1"/>
  <c r="I187" i="12" s="1"/>
  <c r="K187" i="12" a="1"/>
  <c r="K187" i="12" s="1"/>
  <c r="L187" i="12" a="1"/>
  <c r="L187" i="12"/>
  <c r="M187" i="12" a="1"/>
  <c r="M187" i="12"/>
  <c r="A188" i="12"/>
  <c r="B188" i="12"/>
  <c r="C188" i="12" a="1"/>
  <c r="C188" i="12" s="1"/>
  <c r="D188" i="12" a="1"/>
  <c r="D188" i="12"/>
  <c r="E188" i="12" a="1"/>
  <c r="E188" i="12" s="1"/>
  <c r="F188" i="12" a="1"/>
  <c r="F188" i="12" s="1"/>
  <c r="G188" i="12" a="1"/>
  <c r="G188" i="12"/>
  <c r="H188" i="12" a="1"/>
  <c r="H188" i="12" s="1"/>
  <c r="I188" i="12" a="1"/>
  <c r="I188" i="12" s="1"/>
  <c r="K188" i="12" a="1"/>
  <c r="K188" i="12"/>
  <c r="L188" i="12" a="1"/>
  <c r="L188" i="12" s="1"/>
  <c r="M188" i="12" a="1"/>
  <c r="M188" i="12"/>
  <c r="A189" i="12"/>
  <c r="B189" i="12"/>
  <c r="C189" i="12" a="1"/>
  <c r="C189" i="12"/>
  <c r="D189" i="12" a="1"/>
  <c r="D189" i="12" s="1"/>
  <c r="E189" i="12" a="1"/>
  <c r="E189" i="12" s="1"/>
  <c r="F189" i="12" a="1"/>
  <c r="F189" i="12" s="1"/>
  <c r="G189" i="12" a="1"/>
  <c r="G189" i="12"/>
  <c r="H189" i="12" a="1"/>
  <c r="H189" i="12" s="1"/>
  <c r="I189" i="12" a="1"/>
  <c r="I189" i="12" s="1"/>
  <c r="K189" i="12" a="1"/>
  <c r="K189" i="12" s="1"/>
  <c r="L189" i="12" a="1"/>
  <c r="L189" i="12" s="1"/>
  <c r="M189" i="12" a="1"/>
  <c r="M189" i="12"/>
  <c r="A190" i="12"/>
  <c r="B190" i="12"/>
  <c r="C190" i="12" a="1"/>
  <c r="C190" i="12"/>
  <c r="D190" i="12" a="1"/>
  <c r="D190" i="12" s="1"/>
  <c r="E190" i="12" a="1"/>
  <c r="E190" i="12"/>
  <c r="F190" i="12" a="1"/>
  <c r="F190" i="12" s="1"/>
  <c r="G190" i="12" a="1"/>
  <c r="G190" i="12"/>
  <c r="H190" i="12" a="1"/>
  <c r="H190" i="12" s="1"/>
  <c r="I190" i="12" a="1"/>
  <c r="I190" i="12"/>
  <c r="K190" i="12" a="1"/>
  <c r="K190" i="12" s="1"/>
  <c r="L190" i="12" a="1"/>
  <c r="L190" i="12" s="1"/>
  <c r="M190" i="12" a="1"/>
  <c r="M190" i="12"/>
  <c r="A191" i="12"/>
  <c r="B191" i="12"/>
  <c r="C191" i="12" a="1"/>
  <c r="C191" i="12" s="1"/>
  <c r="J191" i="12" s="1" a="1"/>
  <c r="J191" i="12" s="1"/>
  <c r="D191" i="12" a="1"/>
  <c r="D191" i="12" s="1"/>
  <c r="E191" i="12" a="1"/>
  <c r="E191" i="12" s="1"/>
  <c r="F191" i="12" a="1"/>
  <c r="F191" i="12" s="1"/>
  <c r="G191" i="12" a="1"/>
  <c r="G191" i="12" s="1"/>
  <c r="H191" i="12" a="1"/>
  <c r="H191" i="12"/>
  <c r="I191" i="12" a="1"/>
  <c r="I191" i="12" s="1"/>
  <c r="K191" i="12" a="1"/>
  <c r="K191" i="12" s="1"/>
  <c r="L191" i="12" a="1"/>
  <c r="L191" i="12"/>
  <c r="M191" i="12" a="1"/>
  <c r="M191" i="12" s="1"/>
  <c r="A192" i="12"/>
  <c r="B192" i="12"/>
  <c r="C192" i="12" a="1"/>
  <c r="C192" i="12" s="1"/>
  <c r="D192" i="12" a="1"/>
  <c r="D192" i="12"/>
  <c r="E192" i="12" a="1"/>
  <c r="E192" i="12" s="1"/>
  <c r="F192" i="12" a="1"/>
  <c r="F192" i="12" s="1"/>
  <c r="G192" i="12" a="1"/>
  <c r="G192" i="12"/>
  <c r="H192" i="12" a="1"/>
  <c r="H192" i="12" s="1"/>
  <c r="I192" i="12" a="1"/>
  <c r="I192" i="12"/>
  <c r="K192" i="12" a="1"/>
  <c r="K192" i="12" s="1"/>
  <c r="L192" i="12" a="1"/>
  <c r="L192" i="12"/>
  <c r="M192" i="12" a="1"/>
  <c r="M192" i="12" s="1"/>
  <c r="A193" i="12"/>
  <c r="B193" i="12"/>
  <c r="C193" i="12" a="1"/>
  <c r="C193" i="12" s="1"/>
  <c r="J193" i="12" s="1" a="1"/>
  <c r="J193" i="12" s="1"/>
  <c r="D193" i="12" a="1"/>
  <c r="D193" i="12"/>
  <c r="E193" i="12" a="1"/>
  <c r="E193" i="12" s="1"/>
  <c r="F193" i="12" a="1"/>
  <c r="F193" i="12"/>
  <c r="G193" i="12" a="1"/>
  <c r="G193" i="12"/>
  <c r="H193" i="12" a="1"/>
  <c r="H193" i="12" s="1"/>
  <c r="I193" i="12" a="1"/>
  <c r="I193" i="12" s="1"/>
  <c r="K193" i="12" a="1"/>
  <c r="K193" i="12"/>
  <c r="L193" i="12" a="1"/>
  <c r="L193" i="12" s="1"/>
  <c r="M193" i="12" a="1"/>
  <c r="M193" i="12"/>
  <c r="A194" i="12"/>
  <c r="B194" i="12"/>
  <c r="C194" i="12" a="1"/>
  <c r="C194" i="12" s="1"/>
  <c r="J194" i="12" s="1" a="1"/>
  <c r="J194" i="12" s="1"/>
  <c r="D194" i="12" a="1"/>
  <c r="D194" i="12" s="1"/>
  <c r="E194" i="12" a="1"/>
  <c r="E194" i="12"/>
  <c r="F194" i="12" a="1"/>
  <c r="F194" i="12" s="1"/>
  <c r="G194" i="12" a="1"/>
  <c r="G194" i="12"/>
  <c r="H194" i="12" a="1"/>
  <c r="H194" i="12" s="1"/>
  <c r="I194" i="12" a="1"/>
  <c r="I194" i="12"/>
  <c r="K194" i="12" a="1"/>
  <c r="K194" i="12" s="1"/>
  <c r="L194" i="12" a="1"/>
  <c r="L194" i="12" s="1"/>
  <c r="M194" i="12" a="1"/>
  <c r="M194" i="12"/>
  <c r="A195" i="12"/>
  <c r="B195" i="12"/>
  <c r="C195" i="12" a="1"/>
  <c r="C195" i="12" s="1"/>
  <c r="D195" i="12" a="1"/>
  <c r="D195" i="12" s="1"/>
  <c r="E195" i="12" a="1"/>
  <c r="E195" i="12" s="1"/>
  <c r="J195" i="12" s="1" a="1"/>
  <c r="J195" i="12" s="1"/>
  <c r="F195" i="12" a="1"/>
  <c r="F195" i="12"/>
  <c r="G195" i="12" a="1"/>
  <c r="G195" i="12"/>
  <c r="H195" i="12" a="1"/>
  <c r="H195" i="12" s="1"/>
  <c r="I195" i="12" a="1"/>
  <c r="I195" i="12"/>
  <c r="K195" i="12" a="1"/>
  <c r="K195" i="12"/>
  <c r="L195" i="12" a="1"/>
  <c r="L195" i="12" s="1"/>
  <c r="M195" i="12" a="1"/>
  <c r="M195" i="12"/>
  <c r="A196" i="12"/>
  <c r="B196" i="12"/>
  <c r="C196" i="12" a="1"/>
  <c r="C196" i="12"/>
  <c r="J196" i="12" s="1" a="1"/>
  <c r="J196" i="12" s="1"/>
  <c r="D196" i="12" a="1"/>
  <c r="D196" i="12"/>
  <c r="E196" i="12" a="1"/>
  <c r="E196" i="12" s="1"/>
  <c r="F196" i="12" a="1"/>
  <c r="F196" i="12" s="1"/>
  <c r="G196" i="12" a="1"/>
  <c r="G196" i="12"/>
  <c r="H196" i="12" a="1"/>
  <c r="H196" i="12" s="1"/>
  <c r="I196" i="12" a="1"/>
  <c r="I196" i="12"/>
  <c r="K196" i="12" a="1"/>
  <c r="K196" i="12" s="1"/>
  <c r="L196" i="12" a="1"/>
  <c r="L196" i="12" s="1"/>
  <c r="M196" i="12" a="1"/>
  <c r="M196" i="12" s="1"/>
  <c r="A197" i="12"/>
  <c r="B197" i="12"/>
  <c r="C197" i="12" a="1"/>
  <c r="C197" i="12" s="1"/>
  <c r="D197" i="12" a="1"/>
  <c r="D197" i="12"/>
  <c r="E197" i="12" a="1"/>
  <c r="E197" i="12" s="1"/>
  <c r="F197" i="12" a="1"/>
  <c r="F197" i="12"/>
  <c r="G197" i="12" a="1"/>
  <c r="G197" i="12" s="1"/>
  <c r="H197" i="12" a="1"/>
  <c r="H197" i="12" s="1"/>
  <c r="I197" i="12" a="1"/>
  <c r="I197" i="12" s="1"/>
  <c r="K197" i="12" a="1"/>
  <c r="K197" i="12" s="1"/>
  <c r="L197" i="12" a="1"/>
  <c r="L197" i="12" s="1"/>
  <c r="M197" i="12" a="1"/>
  <c r="M197" i="12"/>
  <c r="A198" i="12"/>
  <c r="B198" i="12"/>
  <c r="C198" i="12" a="1"/>
  <c r="C198" i="12"/>
  <c r="D198" i="12" a="1"/>
  <c r="D198" i="12"/>
  <c r="E198" i="12" a="1"/>
  <c r="E198" i="12" s="1"/>
  <c r="F198" i="12" a="1"/>
  <c r="F198" i="12"/>
  <c r="G198" i="12" a="1"/>
  <c r="G198" i="12" s="1"/>
  <c r="H198" i="12" a="1"/>
  <c r="H198" i="12"/>
  <c r="I198" i="12" a="1"/>
  <c r="I198" i="12" s="1"/>
  <c r="K198" i="12" a="1"/>
  <c r="K198" i="12"/>
  <c r="L198" i="12" a="1"/>
  <c r="L198" i="12"/>
  <c r="M198" i="12" a="1"/>
  <c r="M198" i="12"/>
  <c r="A199" i="12"/>
  <c r="B199" i="12"/>
  <c r="C199" i="12" a="1"/>
  <c r="C199" i="12" s="1"/>
  <c r="D199" i="12" a="1"/>
  <c r="D199" i="12" s="1"/>
  <c r="E199" i="12" a="1"/>
  <c r="E199" i="12" s="1"/>
  <c r="F199" i="12" a="1"/>
  <c r="F199" i="12"/>
  <c r="G199" i="12" a="1"/>
  <c r="G199" i="12"/>
  <c r="H199" i="12" a="1"/>
  <c r="H199" i="12" s="1"/>
  <c r="I199" i="12" a="1"/>
  <c r="I199" i="12" s="1"/>
  <c r="K199" i="12" a="1"/>
  <c r="K199" i="12"/>
  <c r="L199" i="12" a="1"/>
  <c r="L199" i="12" s="1"/>
  <c r="M199" i="12" a="1"/>
  <c r="M199" i="12"/>
  <c r="A200" i="12"/>
  <c r="B200" i="12"/>
  <c r="C200" i="12" a="1"/>
  <c r="C200" i="12"/>
  <c r="D200" i="12" a="1"/>
  <c r="D200" i="12" s="1"/>
  <c r="E200" i="12" a="1"/>
  <c r="E200" i="12" s="1"/>
  <c r="F200" i="12" a="1"/>
  <c r="F200" i="12" s="1"/>
  <c r="G200" i="12" a="1"/>
  <c r="G200" i="12"/>
  <c r="H200" i="12" a="1"/>
  <c r="H200" i="12" s="1"/>
  <c r="I200" i="12" a="1"/>
  <c r="I200" i="12"/>
  <c r="K200" i="12" a="1"/>
  <c r="K200" i="12" s="1"/>
  <c r="L200" i="12" a="1"/>
  <c r="L200" i="12"/>
  <c r="M200" i="12" a="1"/>
  <c r="M200" i="12"/>
  <c r="A201" i="12"/>
  <c r="B201" i="12"/>
  <c r="C201" i="12" a="1"/>
  <c r="C201" i="12"/>
  <c r="D201" i="12" a="1"/>
  <c r="D201" i="12" s="1"/>
  <c r="E201" i="12" a="1"/>
  <c r="E201" i="12"/>
  <c r="F201" i="12" a="1"/>
  <c r="F201" i="12" s="1"/>
  <c r="G201" i="12" a="1"/>
  <c r="G201" i="12"/>
  <c r="H201" i="12" a="1"/>
  <c r="H201" i="12" s="1"/>
  <c r="I201" i="12" a="1"/>
  <c r="I201" i="12"/>
  <c r="K201" i="12" a="1"/>
  <c r="K201" i="12"/>
  <c r="L201" i="12" a="1"/>
  <c r="L201" i="12" s="1"/>
  <c r="M201" i="12" a="1"/>
  <c r="M201" i="12" s="1"/>
  <c r="A202" i="12"/>
  <c r="B202" i="12"/>
  <c r="C202" i="12" a="1"/>
  <c r="C202" i="12"/>
  <c r="D202" i="12" a="1"/>
  <c r="D202" i="12"/>
  <c r="E202" i="12" a="1"/>
  <c r="E202" i="12" s="1"/>
  <c r="F202" i="12" a="1"/>
  <c r="F202" i="12" s="1"/>
  <c r="G202" i="12" a="1"/>
  <c r="G202" i="12" s="1"/>
  <c r="H202" i="12" a="1"/>
  <c r="H202" i="12"/>
  <c r="I202" i="12" a="1"/>
  <c r="I202" i="12" s="1"/>
  <c r="K202" i="12" a="1"/>
  <c r="K202" i="12" s="1"/>
  <c r="L202" i="12" a="1"/>
  <c r="L202" i="12"/>
  <c r="M202" i="12" a="1"/>
  <c r="M202" i="12" s="1"/>
  <c r="A203" i="12"/>
  <c r="B203" i="12"/>
  <c r="C203" i="12" a="1"/>
  <c r="C203" i="12" s="1"/>
  <c r="D203" i="12" a="1"/>
  <c r="D203" i="12" s="1"/>
  <c r="E203" i="12" a="1"/>
  <c r="E203" i="12" s="1"/>
  <c r="F203" i="12" a="1"/>
  <c r="F203" i="12"/>
  <c r="G203" i="12" a="1"/>
  <c r="G203" i="12"/>
  <c r="H203" i="12" a="1"/>
  <c r="H203" i="12" s="1"/>
  <c r="I203" i="12" a="1"/>
  <c r="I203" i="12"/>
  <c r="K203" i="12" a="1"/>
  <c r="K203" i="12"/>
  <c r="L203" i="12" a="1"/>
  <c r="L203" i="12"/>
  <c r="M203" i="12" a="1"/>
  <c r="M203" i="12" s="1"/>
  <c r="A204" i="12"/>
  <c r="B204" i="12"/>
  <c r="C204" i="12" a="1"/>
  <c r="C204" i="12" s="1"/>
  <c r="J204" i="12" s="1" a="1"/>
  <c r="J204" i="12" s="1"/>
  <c r="D204" i="12" a="1"/>
  <c r="D204" i="12"/>
  <c r="E204" i="12" a="1"/>
  <c r="E204" i="12"/>
  <c r="F204" i="12" a="1"/>
  <c r="F204" i="12"/>
  <c r="G204" i="12" a="1"/>
  <c r="G204" i="12"/>
  <c r="H204" i="12" a="1"/>
  <c r="H204" i="12" s="1"/>
  <c r="I204" i="12" a="1"/>
  <c r="I204" i="12"/>
  <c r="K204" i="12" a="1"/>
  <c r="K204" i="12" s="1"/>
  <c r="L204" i="12" a="1"/>
  <c r="L204" i="12"/>
  <c r="M204" i="12" a="1"/>
  <c r="M204" i="12"/>
  <c r="A205" i="12"/>
  <c r="B205" i="12"/>
  <c r="C205" i="12" a="1"/>
  <c r="C205" i="12" s="1"/>
  <c r="J205" i="12" s="1" a="1"/>
  <c r="J205" i="12" s="1"/>
  <c r="D205" i="12" a="1"/>
  <c r="D205" i="12" s="1"/>
  <c r="E205" i="12" a="1"/>
  <c r="E205" i="12"/>
  <c r="F205" i="12" a="1"/>
  <c r="F205" i="12" s="1"/>
  <c r="G205" i="12" a="1"/>
  <c r="G205" i="12"/>
  <c r="H205" i="12" a="1"/>
  <c r="H205" i="12" s="1"/>
  <c r="I205" i="12" a="1"/>
  <c r="I205" i="12"/>
  <c r="K205" i="12" a="1"/>
  <c r="K205" i="12" s="1"/>
  <c r="L205" i="12" a="1"/>
  <c r="L205" i="12" s="1"/>
  <c r="M205" i="12" a="1"/>
  <c r="M205" i="12"/>
  <c r="A206" i="12"/>
  <c r="B206" i="12"/>
  <c r="C206" i="12" a="1"/>
  <c r="C206" i="12"/>
  <c r="J206" i="12" s="1" a="1"/>
  <c r="J206" i="12" s="1"/>
  <c r="D206" i="12" a="1"/>
  <c r="D206" i="12"/>
  <c r="E206" i="12" a="1"/>
  <c r="E206" i="12" s="1"/>
  <c r="F206" i="12" a="1"/>
  <c r="F206" i="12"/>
  <c r="G206" i="12" a="1"/>
  <c r="G206" i="12"/>
  <c r="H206" i="12" a="1"/>
  <c r="H206" i="12"/>
  <c r="I206" i="12" a="1"/>
  <c r="I206" i="12"/>
  <c r="K206" i="12" a="1"/>
  <c r="K206" i="12"/>
  <c r="L206" i="12" a="1"/>
  <c r="L206" i="12" s="1"/>
  <c r="M206" i="12" a="1"/>
  <c r="M206" i="12"/>
  <c r="A207" i="12"/>
  <c r="B207" i="12"/>
  <c r="C207" i="12" a="1"/>
  <c r="C207" i="12"/>
  <c r="D207" i="12" a="1"/>
  <c r="D207" i="12" s="1"/>
  <c r="E207" i="12" a="1"/>
  <c r="E207" i="12" s="1"/>
  <c r="F207" i="12" a="1"/>
  <c r="F207" i="12"/>
  <c r="G207" i="12" a="1"/>
  <c r="G207" i="12" s="1"/>
  <c r="H207" i="12" a="1"/>
  <c r="H207" i="12" s="1"/>
  <c r="I207" i="12" a="1"/>
  <c r="I207" i="12"/>
  <c r="K207" i="12" a="1"/>
  <c r="K207" i="12" s="1"/>
  <c r="L207" i="12" a="1"/>
  <c r="L207" i="12" s="1"/>
  <c r="M207" i="12" a="1"/>
  <c r="M207" i="12" s="1"/>
  <c r="A208" i="12"/>
  <c r="B208" i="12"/>
  <c r="C208" i="12" a="1"/>
  <c r="C208" i="12" s="1"/>
  <c r="D208" i="12" a="1"/>
  <c r="D208" i="12"/>
  <c r="E208" i="12" a="1"/>
  <c r="E208" i="12" s="1"/>
  <c r="F208" i="12" a="1"/>
  <c r="F208" i="12"/>
  <c r="G208" i="12" a="1"/>
  <c r="G208" i="12"/>
  <c r="H208" i="12" a="1"/>
  <c r="H208" i="12" s="1"/>
  <c r="I208" i="12" a="1"/>
  <c r="I208" i="12"/>
  <c r="K208" i="12" a="1"/>
  <c r="K208" i="12" s="1"/>
  <c r="L208" i="12" a="1"/>
  <c r="L208" i="12"/>
  <c r="M208" i="12" a="1"/>
  <c r="M208" i="12"/>
  <c r="A209" i="12"/>
  <c r="B209" i="12"/>
  <c r="C209" i="12" a="1"/>
  <c r="C209" i="12"/>
  <c r="D209" i="12" a="1"/>
  <c r="D209" i="12"/>
  <c r="E209" i="12" a="1"/>
  <c r="E209" i="12" s="1"/>
  <c r="F209" i="12" a="1"/>
  <c r="F209" i="12"/>
  <c r="G209" i="12" a="1"/>
  <c r="G209" i="12" s="1"/>
  <c r="H209" i="12" a="1"/>
  <c r="H209" i="12"/>
  <c r="I209" i="12" a="1"/>
  <c r="I209" i="12" s="1"/>
  <c r="K209" i="12" a="1"/>
  <c r="K209" i="12"/>
  <c r="L209" i="12" a="1"/>
  <c r="L209" i="12" s="1"/>
  <c r="M209" i="12" a="1"/>
  <c r="M209" i="12" s="1"/>
  <c r="A210" i="12"/>
  <c r="B210" i="12"/>
  <c r="C210" i="12" a="1"/>
  <c r="C210" i="12"/>
  <c r="D210" i="12" a="1"/>
  <c r="D210" i="12" s="1"/>
  <c r="E210" i="12" a="1"/>
  <c r="E210" i="12" s="1"/>
  <c r="F210" i="12" a="1"/>
  <c r="F210" i="12"/>
  <c r="G210" i="12" a="1"/>
  <c r="G210" i="12"/>
  <c r="H210" i="12" a="1"/>
  <c r="H210" i="12" s="1"/>
  <c r="I210" i="12" a="1"/>
  <c r="I210" i="12" s="1"/>
  <c r="K210" i="12" a="1"/>
  <c r="K210" i="12" s="1"/>
  <c r="L210" i="12" a="1"/>
  <c r="L210" i="12" s="1"/>
  <c r="M210" i="12" a="1"/>
  <c r="M210" i="12"/>
  <c r="A211" i="12"/>
  <c r="B211" i="12"/>
  <c r="C211" i="12" a="1"/>
  <c r="C211" i="12" s="1"/>
  <c r="D211" i="12" a="1"/>
  <c r="D211" i="12" s="1"/>
  <c r="E211" i="12" a="1"/>
  <c r="E211" i="12" s="1"/>
  <c r="F211" i="12" a="1"/>
  <c r="F211" i="12"/>
  <c r="G211" i="12" a="1"/>
  <c r="G211" i="12"/>
  <c r="H211" i="12" a="1"/>
  <c r="H211" i="12" s="1"/>
  <c r="I211" i="12" a="1"/>
  <c r="I211" i="12"/>
  <c r="K211" i="12" a="1"/>
  <c r="K211" i="12" s="1"/>
  <c r="L211" i="12" a="1"/>
  <c r="L211" i="12" s="1"/>
  <c r="M211" i="12" a="1"/>
  <c r="M211" i="12"/>
  <c r="A212" i="12"/>
  <c r="B212" i="12"/>
  <c r="C212" i="12" a="1"/>
  <c r="C212" i="12"/>
  <c r="D212" i="12" a="1"/>
  <c r="D212" i="12" s="1"/>
  <c r="J212" i="12" s="1" a="1"/>
  <c r="J212" i="12" s="1"/>
  <c r="E212" i="12" a="1"/>
  <c r="E212" i="12"/>
  <c r="F212" i="12" a="1"/>
  <c r="F212" i="12" s="1"/>
  <c r="G212" i="12" a="1"/>
  <c r="G212" i="12"/>
  <c r="H212" i="12" a="1"/>
  <c r="H212" i="12" s="1"/>
  <c r="I212" i="12" a="1"/>
  <c r="I212" i="12"/>
  <c r="K212" i="12" a="1"/>
  <c r="K212" i="12" s="1"/>
  <c r="L212" i="12" a="1"/>
  <c r="L212" i="12"/>
  <c r="M212" i="12" a="1"/>
  <c r="M212" i="12" s="1"/>
  <c r="A213" i="12"/>
  <c r="B213" i="12"/>
  <c r="C213" i="12" a="1"/>
  <c r="C213" i="12"/>
  <c r="D213" i="12" a="1"/>
  <c r="D213" i="12"/>
  <c r="E213" i="12" a="1"/>
  <c r="E213" i="12" s="1"/>
  <c r="F213" i="12" a="1"/>
  <c r="F213" i="12"/>
  <c r="G213" i="12" a="1"/>
  <c r="G213" i="12" s="1"/>
  <c r="H213" i="12" a="1"/>
  <c r="H213" i="12" s="1"/>
  <c r="I213" i="12" a="1"/>
  <c r="I213" i="12" s="1"/>
  <c r="K213" i="12" a="1"/>
  <c r="K213" i="12" s="1"/>
  <c r="L213" i="12" a="1"/>
  <c r="L213" i="12" s="1"/>
  <c r="M213" i="12" a="1"/>
  <c r="M213" i="12" s="1"/>
  <c r="A214" i="12"/>
  <c r="B214" i="12"/>
  <c r="C214" i="12" a="1"/>
  <c r="C214" i="12"/>
  <c r="D214" i="12" a="1"/>
  <c r="D214" i="12"/>
  <c r="E214" i="12" a="1"/>
  <c r="E214" i="12" s="1"/>
  <c r="F214" i="12" a="1"/>
  <c r="F214" i="12"/>
  <c r="G214" i="12" a="1"/>
  <c r="G214" i="12"/>
  <c r="H214" i="12" a="1"/>
  <c r="H214" i="12" s="1"/>
  <c r="I214" i="12" a="1"/>
  <c r="I214" i="12" s="1"/>
  <c r="K214" i="12" a="1"/>
  <c r="K214" i="12" s="1"/>
  <c r="L214" i="12" a="1"/>
  <c r="L214" i="12"/>
  <c r="M214" i="12" a="1"/>
  <c r="M214" i="12" s="1"/>
  <c r="A215" i="12"/>
  <c r="B215" i="12"/>
  <c r="C215" i="12" a="1"/>
  <c r="C215" i="12" s="1"/>
  <c r="D215" i="12" a="1"/>
  <c r="D215" i="12" s="1"/>
  <c r="E215" i="12" a="1"/>
  <c r="E215" i="12" s="1"/>
  <c r="F215" i="12" a="1"/>
  <c r="F215" i="12" s="1"/>
  <c r="G215" i="12" a="1"/>
  <c r="G215" i="12" s="1"/>
  <c r="H215" i="12" a="1"/>
  <c r="H215" i="12" s="1"/>
  <c r="I215" i="12" a="1"/>
  <c r="I215" i="12"/>
  <c r="K215" i="12" a="1"/>
  <c r="K215" i="12" s="1"/>
  <c r="L215" i="12" a="1"/>
  <c r="L215" i="12"/>
  <c r="M215" i="12" a="1"/>
  <c r="M215" i="12"/>
  <c r="A216" i="12"/>
  <c r="B216" i="12"/>
  <c r="C216" i="12" a="1"/>
  <c r="C216" i="12" s="1"/>
  <c r="J216" i="12" s="1" a="1"/>
  <c r="J216" i="12" s="1"/>
  <c r="D216" i="12" a="1"/>
  <c r="D216" i="12" s="1"/>
  <c r="E216" i="12" a="1"/>
  <c r="E216" i="12" s="1"/>
  <c r="F216" i="12" a="1"/>
  <c r="F216" i="12" s="1"/>
  <c r="G216" i="12" a="1"/>
  <c r="G216" i="12"/>
  <c r="H216" i="12" a="1"/>
  <c r="H216" i="12" s="1"/>
  <c r="I216" i="12" a="1"/>
  <c r="I216" i="12"/>
  <c r="K216" i="12" a="1"/>
  <c r="K216" i="12" s="1"/>
  <c r="L216" i="12" a="1"/>
  <c r="L216" i="12"/>
  <c r="M216" i="12" a="1"/>
  <c r="M216" i="12"/>
  <c r="A217" i="12"/>
  <c r="B217" i="12"/>
  <c r="C217" i="12" a="1"/>
  <c r="C217" i="12"/>
  <c r="D217" i="12" a="1"/>
  <c r="D217" i="12"/>
  <c r="E217" i="12" a="1"/>
  <c r="E217" i="12" s="1"/>
  <c r="J217" i="12" s="1" a="1"/>
  <c r="J217" i="12" s="1"/>
  <c r="F217" i="12" a="1"/>
  <c r="F217" i="12"/>
  <c r="G217" i="12" a="1"/>
  <c r="G217" i="12"/>
  <c r="H217" i="12" a="1"/>
  <c r="H217" i="12"/>
  <c r="I217" i="12" a="1"/>
  <c r="I217" i="12"/>
  <c r="K217" i="12" a="1"/>
  <c r="K217" i="12"/>
  <c r="L217" i="12" a="1"/>
  <c r="L217" i="12" s="1"/>
  <c r="M217" i="12" a="1"/>
  <c r="M217" i="12" s="1"/>
  <c r="A218" i="12"/>
  <c r="B218" i="12"/>
  <c r="C218" i="12" a="1"/>
  <c r="C218" i="12" s="1"/>
  <c r="D218" i="12" a="1"/>
  <c r="D218" i="12" s="1"/>
  <c r="E218" i="12" a="1"/>
  <c r="E218" i="12" s="1"/>
  <c r="F218" i="12" a="1"/>
  <c r="F218" i="12" s="1"/>
  <c r="G218" i="12" a="1"/>
  <c r="G218" i="12" s="1"/>
  <c r="H218" i="12" a="1"/>
  <c r="H218" i="12" s="1"/>
  <c r="I218" i="12" a="1"/>
  <c r="I218" i="12"/>
  <c r="K218" i="12" a="1"/>
  <c r="K218" i="12" s="1"/>
  <c r="L218" i="12" a="1"/>
  <c r="L218" i="12" s="1"/>
  <c r="M218" i="12" a="1"/>
  <c r="M218" i="12" s="1"/>
  <c r="A219" i="12"/>
  <c r="B219" i="12"/>
  <c r="C219" i="12" a="1"/>
  <c r="C219" i="12" s="1"/>
  <c r="D219" i="12" a="1"/>
  <c r="D219" i="12" s="1"/>
  <c r="E219" i="12" a="1"/>
  <c r="E219" i="12"/>
  <c r="F219" i="12" a="1"/>
  <c r="F219" i="12"/>
  <c r="G219" i="12" a="1"/>
  <c r="G219" i="12" s="1"/>
  <c r="H219" i="12" a="1"/>
  <c r="H219" i="12" s="1"/>
  <c r="I219" i="12" a="1"/>
  <c r="I219" i="12"/>
  <c r="K219" i="12" a="1"/>
  <c r="K219" i="12" s="1"/>
  <c r="L219" i="12" a="1"/>
  <c r="L219" i="12"/>
  <c r="M219" i="12" a="1"/>
  <c r="M219" i="12"/>
  <c r="A220" i="12"/>
  <c r="B220" i="12"/>
  <c r="C220" i="12" a="1"/>
  <c r="C220" i="12"/>
  <c r="J220" i="12" s="1" a="1"/>
  <c r="J220" i="12" s="1"/>
  <c r="D220" i="12" a="1"/>
  <c r="D220" i="12"/>
  <c r="E220" i="12" a="1"/>
  <c r="E220" i="12"/>
  <c r="F220" i="12" a="1"/>
  <c r="F220" i="12"/>
  <c r="G220" i="12" a="1"/>
  <c r="G220" i="12"/>
  <c r="H220" i="12" a="1"/>
  <c r="H220" i="12" s="1"/>
  <c r="I220" i="12" a="1"/>
  <c r="I220" i="12" s="1"/>
  <c r="K220" i="12" a="1"/>
  <c r="K220" i="12"/>
  <c r="L220" i="12" a="1"/>
  <c r="L220" i="12" s="1"/>
  <c r="M220" i="12" a="1"/>
  <c r="M220" i="12" s="1"/>
  <c r="A221" i="12"/>
  <c r="B221" i="12"/>
  <c r="C221" i="12" a="1"/>
  <c r="C221" i="12"/>
  <c r="J221" i="12" s="1" a="1"/>
  <c r="J221" i="12" s="1"/>
  <c r="D221" i="12" a="1"/>
  <c r="D221" i="12" s="1"/>
  <c r="E221" i="12" a="1"/>
  <c r="E221" i="12" s="1"/>
  <c r="F221" i="12" a="1"/>
  <c r="F221" i="12"/>
  <c r="G221" i="12" a="1"/>
  <c r="G221" i="12"/>
  <c r="H221" i="12" a="1"/>
  <c r="H221" i="12" s="1"/>
  <c r="I221" i="12" a="1"/>
  <c r="I221" i="12" s="1"/>
  <c r="K221" i="12" a="1"/>
  <c r="K221" i="12" s="1"/>
  <c r="L221" i="12" a="1"/>
  <c r="L221" i="12" s="1"/>
  <c r="M221" i="12" a="1"/>
  <c r="M221" i="12"/>
  <c r="A222" i="12"/>
  <c r="B222" i="12"/>
  <c r="C222" i="12" a="1"/>
  <c r="C222" i="12"/>
  <c r="D222" i="12" a="1"/>
  <c r="D222" i="12"/>
  <c r="E222" i="12" a="1"/>
  <c r="E222" i="12" s="1"/>
  <c r="F222" i="12" a="1"/>
  <c r="F222" i="12"/>
  <c r="G222" i="12" a="1"/>
  <c r="G222" i="12"/>
  <c r="H222" i="12" a="1"/>
  <c r="H222" i="12"/>
  <c r="I222" i="12" a="1"/>
  <c r="I222" i="12"/>
  <c r="K222" i="12" a="1"/>
  <c r="K222" i="12" s="1"/>
  <c r="L222" i="12" a="1"/>
  <c r="L222" i="12" s="1"/>
  <c r="M222" i="12" a="1"/>
  <c r="M222" i="12"/>
  <c r="A223" i="12"/>
  <c r="B223" i="12"/>
  <c r="C223" i="12" a="1"/>
  <c r="C223" i="12"/>
  <c r="D223" i="12" a="1"/>
  <c r="D223" i="12" s="1"/>
  <c r="E223" i="12" a="1"/>
  <c r="E223" i="12" s="1"/>
  <c r="F223" i="12" a="1"/>
  <c r="F223" i="12"/>
  <c r="G223" i="12" a="1"/>
  <c r="G223" i="12" s="1"/>
  <c r="H223" i="12" a="1"/>
  <c r="H223" i="12" s="1"/>
  <c r="I223" i="12" a="1"/>
  <c r="I223" i="12"/>
  <c r="K223" i="12" a="1"/>
  <c r="K223" i="12" s="1"/>
  <c r="L223" i="12" a="1"/>
  <c r="L223" i="12"/>
  <c r="M223" i="12" a="1"/>
  <c r="M223" i="12" s="1"/>
  <c r="A224" i="12"/>
  <c r="B224" i="12"/>
  <c r="C224" i="12" a="1"/>
  <c r="C224" i="12"/>
  <c r="D224" i="12" a="1"/>
  <c r="D224" i="12"/>
  <c r="E224" i="12" a="1"/>
  <c r="E224" i="12" s="1"/>
  <c r="F224" i="12" a="1"/>
  <c r="F224" i="12"/>
  <c r="G224" i="12" a="1"/>
  <c r="G224" i="12" s="1"/>
  <c r="H224" i="12" a="1"/>
  <c r="H224" i="12" s="1"/>
  <c r="I224" i="12" a="1"/>
  <c r="I224" i="12"/>
  <c r="K224" i="12" a="1"/>
  <c r="K224" i="12" s="1"/>
  <c r="L224" i="12" a="1"/>
  <c r="L224" i="12"/>
  <c r="M224" i="12" a="1"/>
  <c r="M224" i="12"/>
  <c r="A225" i="12"/>
  <c r="B225" i="12"/>
  <c r="C225" i="12" a="1"/>
  <c r="C225" i="12" s="1"/>
  <c r="D225" i="12" a="1"/>
  <c r="D225" i="12"/>
  <c r="E225" i="12" a="1"/>
  <c r="E225" i="12"/>
  <c r="F225" i="12" a="1"/>
  <c r="F225" i="12"/>
  <c r="G225" i="12" a="1"/>
  <c r="G225" i="12"/>
  <c r="H225" i="12" a="1"/>
  <c r="H225" i="12" s="1"/>
  <c r="I225" i="12" a="1"/>
  <c r="I225" i="12"/>
  <c r="K225" i="12" a="1"/>
  <c r="K225" i="12"/>
  <c r="L225" i="12" a="1"/>
  <c r="L225" i="12"/>
  <c r="M225" i="12" a="1"/>
  <c r="M225" i="12" s="1"/>
  <c r="A226" i="12"/>
  <c r="B226" i="12"/>
  <c r="C226" i="12" a="1"/>
  <c r="C226" i="12" s="1"/>
  <c r="D226" i="12" a="1"/>
  <c r="D226" i="12" s="1"/>
  <c r="E226" i="12" a="1"/>
  <c r="E226" i="12" s="1"/>
  <c r="F226" i="12" a="1"/>
  <c r="F226" i="12" s="1"/>
  <c r="G226" i="12" a="1"/>
  <c r="G226" i="12" s="1"/>
  <c r="H226" i="12" a="1"/>
  <c r="H226" i="12"/>
  <c r="I226" i="12" a="1"/>
  <c r="I226" i="12" s="1"/>
  <c r="K226" i="12" a="1"/>
  <c r="K226" i="12"/>
  <c r="L226" i="12" a="1"/>
  <c r="L226" i="12"/>
  <c r="M226" i="12" a="1"/>
  <c r="M226" i="12" s="1"/>
  <c r="A227" i="12"/>
  <c r="B227" i="12"/>
  <c r="C227" i="12" a="1"/>
  <c r="C227" i="12"/>
  <c r="D227" i="12" a="1"/>
  <c r="D227" i="12"/>
  <c r="E227" i="12" a="1"/>
  <c r="E227" i="12" s="1"/>
  <c r="F227" i="12" a="1"/>
  <c r="F227" i="12"/>
  <c r="G227" i="12" a="1"/>
  <c r="G227" i="12"/>
  <c r="H227" i="12" a="1"/>
  <c r="H227" i="12"/>
  <c r="I227" i="12" a="1"/>
  <c r="I227" i="12"/>
  <c r="K227" i="12" a="1"/>
  <c r="K227" i="12"/>
  <c r="L227" i="12" a="1"/>
  <c r="L227" i="12" s="1"/>
  <c r="M227" i="12" a="1"/>
  <c r="M227" i="12"/>
  <c r="A228" i="12"/>
  <c r="B228" i="12"/>
  <c r="C228" i="12" a="1"/>
  <c r="C228" i="12"/>
  <c r="D228" i="12" a="1"/>
  <c r="D228" i="12"/>
  <c r="E228" i="12" a="1"/>
  <c r="E228" i="12" s="1"/>
  <c r="F228" i="12" a="1"/>
  <c r="F228" i="12"/>
  <c r="G228" i="12" a="1"/>
  <c r="G228" i="12" s="1"/>
  <c r="H228" i="12" a="1"/>
  <c r="H228" i="12" s="1"/>
  <c r="I228" i="12" a="1"/>
  <c r="I228" i="12" s="1"/>
  <c r="K228" i="12" a="1"/>
  <c r="K228" i="12"/>
  <c r="L228" i="12" a="1"/>
  <c r="L228" i="12" s="1"/>
  <c r="M228" i="12" a="1"/>
  <c r="M228" i="12" s="1"/>
  <c r="A229" i="12"/>
  <c r="B229" i="12"/>
  <c r="C229" i="12" a="1"/>
  <c r="C229" i="12" s="1"/>
  <c r="D229" i="12" a="1"/>
  <c r="D229" i="12" s="1"/>
  <c r="E229" i="12" a="1"/>
  <c r="E229" i="12"/>
  <c r="F229" i="12" a="1"/>
  <c r="F229" i="12"/>
  <c r="G229" i="12" a="1"/>
  <c r="G229" i="12"/>
  <c r="H229" i="12" a="1"/>
  <c r="H229" i="12"/>
  <c r="I229" i="12" a="1"/>
  <c r="I229" i="12"/>
  <c r="K229" i="12" a="1"/>
  <c r="K229" i="12" s="1"/>
  <c r="L229" i="12" a="1"/>
  <c r="L229" i="12"/>
  <c r="M229" i="12" a="1"/>
  <c r="M229" i="12"/>
  <c r="A230" i="12"/>
  <c r="B230" i="12"/>
  <c r="C230" i="12" a="1"/>
  <c r="C230" i="12"/>
  <c r="D230" i="12" a="1"/>
  <c r="D230" i="12" s="1"/>
  <c r="E230" i="12" a="1"/>
  <c r="E230" i="12" s="1"/>
  <c r="F230" i="12" a="1"/>
  <c r="F230" i="12" s="1"/>
  <c r="G230" i="12" a="1"/>
  <c r="G230" i="12" s="1"/>
  <c r="H230" i="12" a="1"/>
  <c r="H230" i="12" s="1"/>
  <c r="I230" i="12" a="1"/>
  <c r="I230" i="12"/>
  <c r="K230" i="12" a="1"/>
  <c r="K230" i="12" s="1"/>
  <c r="L230" i="12" a="1"/>
  <c r="L230" i="12"/>
  <c r="M230" i="12" a="1"/>
  <c r="M230" i="12"/>
  <c r="A231" i="12"/>
  <c r="B231" i="12"/>
  <c r="C231" i="12" a="1"/>
  <c r="C231" i="12"/>
  <c r="D231" i="12" a="1"/>
  <c r="D231" i="12" s="1"/>
  <c r="E231" i="12" a="1"/>
  <c r="E231" i="12" s="1"/>
  <c r="F231" i="12" a="1"/>
  <c r="F231" i="12"/>
  <c r="G231" i="12" a="1"/>
  <c r="G231" i="12" s="1"/>
  <c r="H231" i="12" a="1"/>
  <c r="H231" i="12"/>
  <c r="I231" i="12" a="1"/>
  <c r="I231" i="12"/>
  <c r="K231" i="12" a="1"/>
  <c r="K231" i="12"/>
  <c r="L231" i="12" a="1"/>
  <c r="L231" i="12"/>
  <c r="M231" i="12" a="1"/>
  <c r="M231" i="12" s="1"/>
  <c r="A232" i="12"/>
  <c r="B232" i="12"/>
  <c r="C232" i="12" a="1"/>
  <c r="C232" i="12" s="1"/>
  <c r="D232" i="12" a="1"/>
  <c r="D232" i="12" s="1"/>
  <c r="E232" i="12" a="1"/>
  <c r="E232" i="12"/>
  <c r="F232" i="12" a="1"/>
  <c r="F232" i="12"/>
  <c r="G232" i="12" a="1"/>
  <c r="G232" i="12" s="1"/>
  <c r="H232" i="12" a="1"/>
  <c r="H232" i="12" s="1"/>
  <c r="I232" i="12" a="1"/>
  <c r="I232" i="12"/>
  <c r="K232" i="12" a="1"/>
  <c r="K232" i="12" s="1"/>
  <c r="L232" i="12" a="1"/>
  <c r="L232" i="12" s="1"/>
  <c r="M232" i="12" a="1"/>
  <c r="M232" i="12"/>
  <c r="A233" i="12"/>
  <c r="B233" i="12"/>
  <c r="C233" i="12" a="1"/>
  <c r="C233" i="12"/>
  <c r="D233" i="12" a="1"/>
  <c r="D233" i="12"/>
  <c r="E233" i="12" a="1"/>
  <c r="E233" i="12"/>
  <c r="F233" i="12" a="1"/>
  <c r="F233" i="12" s="1"/>
  <c r="G233" i="12" a="1"/>
  <c r="G233" i="12" s="1"/>
  <c r="H233" i="12" a="1"/>
  <c r="H233" i="12" s="1"/>
  <c r="I233" i="12" a="1"/>
  <c r="I233" i="12" s="1"/>
  <c r="K233" i="12" a="1"/>
  <c r="K233" i="12"/>
  <c r="L233" i="12" a="1"/>
  <c r="L233" i="12" s="1"/>
  <c r="M233" i="12" a="1"/>
  <c r="M233" i="12" s="1"/>
  <c r="A234" i="12"/>
  <c r="B234" i="12"/>
  <c r="C234" i="12" a="1"/>
  <c r="C234" i="12"/>
  <c r="J234" i="12" s="1" a="1"/>
  <c r="J234" i="12" s="1"/>
  <c r="D234" i="12" a="1"/>
  <c r="D234" i="12" s="1"/>
  <c r="E234" i="12" a="1"/>
  <c r="E234" i="12"/>
  <c r="F234" i="12" a="1"/>
  <c r="F234" i="12" s="1"/>
  <c r="G234" i="12" a="1"/>
  <c r="G234" i="12" s="1"/>
  <c r="H234" i="12" a="1"/>
  <c r="H234" i="12" s="1"/>
  <c r="I234" i="12" a="1"/>
  <c r="I234" i="12" s="1"/>
  <c r="K234" i="12" a="1"/>
  <c r="K234" i="12" s="1"/>
  <c r="L234" i="12" a="1"/>
  <c r="L234" i="12"/>
  <c r="M234" i="12" a="1"/>
  <c r="M234" i="12"/>
  <c r="A235" i="12"/>
  <c r="B235" i="12"/>
  <c r="C235" i="12" a="1"/>
  <c r="C235" i="12"/>
  <c r="D235" i="12" a="1"/>
  <c r="D235" i="12" s="1"/>
  <c r="E235" i="12" a="1"/>
  <c r="E235" i="12"/>
  <c r="F235" i="12" a="1"/>
  <c r="F235" i="12"/>
  <c r="G235" i="12" a="1"/>
  <c r="G235" i="12" s="1"/>
  <c r="H235" i="12" a="1"/>
  <c r="H235" i="12"/>
  <c r="I235" i="12" a="1"/>
  <c r="I235" i="12" s="1"/>
  <c r="K235" i="12" a="1"/>
  <c r="K235" i="12"/>
  <c r="L235" i="12" a="1"/>
  <c r="L235" i="12"/>
  <c r="M235" i="12" a="1"/>
  <c r="M235" i="12"/>
  <c r="A236" i="12"/>
  <c r="B236" i="12"/>
  <c r="C236" i="12" a="1"/>
  <c r="C236" i="12" s="1"/>
  <c r="D236" i="12" a="1"/>
  <c r="D236" i="12"/>
  <c r="E236" i="12" a="1"/>
  <c r="E236" i="12" s="1"/>
  <c r="F236" i="12" a="1"/>
  <c r="F236" i="12" s="1"/>
  <c r="G236" i="12" a="1"/>
  <c r="G236" i="12"/>
  <c r="H236" i="12" a="1"/>
  <c r="H236" i="12"/>
  <c r="I236" i="12" a="1"/>
  <c r="I236" i="12" s="1"/>
  <c r="K236" i="12" a="1"/>
  <c r="K236" i="12" s="1"/>
  <c r="L236" i="12" a="1"/>
  <c r="L236" i="12" s="1"/>
  <c r="M236" i="12" a="1"/>
  <c r="M236" i="12" s="1"/>
  <c r="A237" i="12"/>
  <c r="B237" i="12"/>
  <c r="C237" i="12" a="1"/>
  <c r="C237" i="12"/>
  <c r="J237" i="12" s="1" a="1"/>
  <c r="J237" i="12" s="1"/>
  <c r="D237" i="12" a="1"/>
  <c r="D237" i="12"/>
  <c r="E237" i="12" a="1"/>
  <c r="E237" i="12"/>
  <c r="F237" i="12" a="1"/>
  <c r="F237" i="12"/>
  <c r="G237" i="12" a="1"/>
  <c r="G237" i="12" s="1"/>
  <c r="H237" i="12" a="1"/>
  <c r="H237" i="12" s="1"/>
  <c r="I237" i="12" a="1"/>
  <c r="I237" i="12"/>
  <c r="K237" i="12" a="1"/>
  <c r="K237" i="12" s="1"/>
  <c r="L237" i="12" a="1"/>
  <c r="L237" i="12"/>
  <c r="M237" i="12" a="1"/>
  <c r="M237" i="12"/>
  <c r="A238" i="12"/>
  <c r="B238" i="12"/>
  <c r="C238" i="12" a="1"/>
  <c r="C238" i="12" s="1"/>
  <c r="D238" i="12" a="1"/>
  <c r="D238" i="12"/>
  <c r="E238" i="12" a="1"/>
  <c r="E238" i="12"/>
  <c r="F238" i="12" a="1"/>
  <c r="F238" i="12" s="1"/>
  <c r="G238" i="12" a="1"/>
  <c r="G238" i="12"/>
  <c r="H238" i="12" a="1"/>
  <c r="H238" i="12" s="1"/>
  <c r="I238" i="12" a="1"/>
  <c r="I238" i="12" s="1"/>
  <c r="K238" i="12" a="1"/>
  <c r="K238" i="12" s="1"/>
  <c r="L238" i="12" a="1"/>
  <c r="L238" i="12"/>
  <c r="M238" i="12" a="1"/>
  <c r="M238" i="12" s="1"/>
  <c r="A239" i="12"/>
  <c r="B239" i="12"/>
  <c r="C239" i="12" a="1"/>
  <c r="C239" i="12"/>
  <c r="D239" i="12" a="1"/>
  <c r="D239" i="12"/>
  <c r="E239" i="12" a="1"/>
  <c r="E239" i="12"/>
  <c r="F239" i="12" a="1"/>
  <c r="F239" i="12"/>
  <c r="G239" i="12" a="1"/>
  <c r="G239" i="12"/>
  <c r="H239" i="12" a="1"/>
  <c r="H239" i="12" s="1"/>
  <c r="I239" i="12" a="1"/>
  <c r="I239" i="12" s="1"/>
  <c r="J239" i="12" s="1" a="1"/>
  <c r="J239" i="12" s="1"/>
  <c r="K239" i="12" a="1"/>
  <c r="K239" i="12" s="1"/>
  <c r="L239" i="12" a="1"/>
  <c r="L239" i="12"/>
  <c r="M239" i="12" a="1"/>
  <c r="M239" i="12"/>
  <c r="A240" i="12"/>
  <c r="B240" i="12"/>
  <c r="C240" i="12" a="1"/>
  <c r="C240" i="12" s="1"/>
  <c r="D240" i="12" a="1"/>
  <c r="D240" i="12" s="1"/>
  <c r="E240" i="12" a="1"/>
  <c r="E240" i="12" s="1"/>
  <c r="F240" i="12" a="1"/>
  <c r="F240" i="12"/>
  <c r="G240" i="12" a="1"/>
  <c r="G240" i="12" s="1"/>
  <c r="H240" i="12" a="1"/>
  <c r="H240" i="12" s="1"/>
  <c r="I240" i="12" a="1"/>
  <c r="I240" i="12"/>
  <c r="K240" i="12" a="1"/>
  <c r="K240" i="12"/>
  <c r="L240" i="12" a="1"/>
  <c r="L240" i="12" s="1"/>
  <c r="M240" i="12" a="1"/>
  <c r="M240" i="12"/>
  <c r="A241" i="12"/>
  <c r="B241" i="12"/>
  <c r="C241" i="12" a="1"/>
  <c r="C241" i="12" s="1"/>
  <c r="J241" i="12" s="1" a="1"/>
  <c r="J241" i="12" s="1"/>
  <c r="D241" i="12" a="1"/>
  <c r="D241" i="12"/>
  <c r="E241" i="12" a="1"/>
  <c r="E241" i="12" s="1"/>
  <c r="F241" i="12" a="1"/>
  <c r="F241" i="12" s="1"/>
  <c r="G241" i="12" a="1"/>
  <c r="G241" i="12" s="1"/>
  <c r="H241" i="12" a="1"/>
  <c r="H241" i="12"/>
  <c r="I241" i="12" a="1"/>
  <c r="I241" i="12"/>
  <c r="K241" i="12" a="1"/>
  <c r="K241" i="12"/>
  <c r="L241" i="12" a="1"/>
  <c r="L241" i="12"/>
  <c r="M241" i="12" a="1"/>
  <c r="M241" i="12"/>
  <c r="A242" i="12"/>
  <c r="B242" i="12"/>
  <c r="C242" i="12" a="1"/>
  <c r="C242" i="12" s="1"/>
  <c r="D242" i="12" a="1"/>
  <c r="D242" i="12"/>
  <c r="E242" i="12" a="1"/>
  <c r="E242" i="12" s="1"/>
  <c r="F242" i="12" a="1"/>
  <c r="F242" i="12" s="1"/>
  <c r="G242" i="12" a="1"/>
  <c r="G242" i="12"/>
  <c r="H242" i="12" a="1"/>
  <c r="H242" i="12" s="1"/>
  <c r="I242" i="12" a="1"/>
  <c r="I242" i="12"/>
  <c r="K242" i="12" a="1"/>
  <c r="K242" i="12" s="1"/>
  <c r="L242" i="12" a="1"/>
  <c r="L242" i="12" s="1"/>
  <c r="M242" i="12" a="1"/>
  <c r="M242" i="12" s="1"/>
  <c r="A243" i="12"/>
  <c r="B243" i="12"/>
  <c r="C243" i="12" a="1"/>
  <c r="C243" i="12"/>
  <c r="D243" i="12" a="1"/>
  <c r="D243" i="12" s="1"/>
  <c r="E243" i="12" a="1"/>
  <c r="E243" i="12" s="1"/>
  <c r="F243" i="12" a="1"/>
  <c r="F243" i="12"/>
  <c r="G243" i="12" a="1"/>
  <c r="G243" i="12"/>
  <c r="H243" i="12" a="1"/>
  <c r="H243" i="12"/>
  <c r="I243" i="12" a="1"/>
  <c r="I243" i="12" s="1"/>
  <c r="K243" i="12" a="1"/>
  <c r="K243" i="12"/>
  <c r="L243" i="12" a="1"/>
  <c r="L243" i="12" s="1"/>
  <c r="M243" i="12" a="1"/>
  <c r="M243" i="12"/>
  <c r="A244" i="12"/>
  <c r="B244" i="12"/>
  <c r="C244" i="12" a="1"/>
  <c r="C244" i="12" s="1"/>
  <c r="J244" i="12" s="1" a="1"/>
  <c r="J244" i="12" s="1"/>
  <c r="D244" i="12" a="1"/>
  <c r="D244" i="12"/>
  <c r="E244" i="12" a="1"/>
  <c r="E244" i="12"/>
  <c r="F244" i="12" a="1"/>
  <c r="F244" i="12"/>
  <c r="G244" i="12" a="1"/>
  <c r="G244" i="12" s="1"/>
  <c r="H244" i="12" a="1"/>
  <c r="H244" i="12"/>
  <c r="I244" i="12" a="1"/>
  <c r="I244" i="12"/>
  <c r="K244" i="12" a="1"/>
  <c r="K244" i="12"/>
  <c r="L244" i="12" a="1"/>
  <c r="L244" i="12" s="1"/>
  <c r="M244" i="12" a="1"/>
  <c r="M244" i="12"/>
  <c r="A245" i="12"/>
  <c r="B245" i="12"/>
  <c r="C245" i="12" a="1"/>
  <c r="C245" i="12" s="1"/>
  <c r="D245" i="12" a="1"/>
  <c r="D245" i="12" s="1"/>
  <c r="E245" i="12" a="1"/>
  <c r="E245" i="12" s="1"/>
  <c r="F245" i="12" a="1"/>
  <c r="F245" i="12"/>
  <c r="G245" i="12" a="1"/>
  <c r="G245" i="12" s="1"/>
  <c r="H245" i="12" a="1"/>
  <c r="H245" i="12" s="1"/>
  <c r="I245" i="12" a="1"/>
  <c r="I245" i="12" s="1"/>
  <c r="K245" i="12" a="1"/>
  <c r="K245" i="12" s="1"/>
  <c r="L245" i="12" a="1"/>
  <c r="L245" i="12"/>
  <c r="M245" i="12" a="1"/>
  <c r="M245" i="12" s="1"/>
  <c r="A246" i="12"/>
  <c r="B246" i="12"/>
  <c r="C246" i="12" a="1"/>
  <c r="C246" i="12"/>
  <c r="D246" i="12" a="1"/>
  <c r="D246" i="12"/>
  <c r="E246" i="12" a="1"/>
  <c r="E246" i="12" s="1"/>
  <c r="F246" i="12" a="1"/>
  <c r="F246" i="12" s="1"/>
  <c r="G246" i="12" a="1"/>
  <c r="G246" i="12"/>
  <c r="H246" i="12" a="1"/>
  <c r="H246" i="12"/>
  <c r="I246" i="12" a="1"/>
  <c r="I246" i="12" s="1"/>
  <c r="K246" i="12" a="1"/>
  <c r="K246" i="12" s="1"/>
  <c r="L246" i="12" a="1"/>
  <c r="L246" i="12"/>
  <c r="M246" i="12" a="1"/>
  <c r="M246" i="12"/>
  <c r="A247" i="12"/>
  <c r="B247" i="12"/>
  <c r="C247" i="12" a="1"/>
  <c r="C247" i="12"/>
  <c r="D247" i="12" a="1"/>
  <c r="D247" i="12" s="1"/>
  <c r="J247" i="12" s="1" a="1"/>
  <c r="J247" i="12" s="1"/>
  <c r="E247" i="12" a="1"/>
  <c r="E247" i="12"/>
  <c r="F247" i="12" a="1"/>
  <c r="F247" i="12"/>
  <c r="G247" i="12" a="1"/>
  <c r="G247" i="12"/>
  <c r="H247" i="12" a="1"/>
  <c r="H247" i="12"/>
  <c r="I247" i="12" a="1"/>
  <c r="I247" i="12" s="1"/>
  <c r="K247" i="12" a="1"/>
  <c r="K247" i="12"/>
  <c r="L247" i="12" a="1"/>
  <c r="L247" i="12" s="1"/>
  <c r="M247" i="12" a="1"/>
  <c r="M247" i="12" s="1"/>
  <c r="A248" i="12"/>
  <c r="B248" i="12"/>
  <c r="C248" i="12" a="1"/>
  <c r="C248" i="12" s="1"/>
  <c r="J248" i="12" s="1" a="1"/>
  <c r="J248" i="12" s="1"/>
  <c r="D248" i="12" a="1"/>
  <c r="D248" i="12" s="1"/>
  <c r="E248" i="12" a="1"/>
  <c r="E248" i="12" s="1"/>
  <c r="F248" i="12" a="1"/>
  <c r="F248" i="12" s="1"/>
  <c r="G248" i="12" a="1"/>
  <c r="G248" i="12" s="1"/>
  <c r="H248" i="12" a="1"/>
  <c r="H248" i="12" s="1"/>
  <c r="I248" i="12" a="1"/>
  <c r="I248" i="12"/>
  <c r="K248" i="12" a="1"/>
  <c r="K248" i="12" s="1"/>
  <c r="L248" i="12" a="1"/>
  <c r="L248" i="12"/>
  <c r="M248" i="12" a="1"/>
  <c r="M248" i="12"/>
  <c r="A249" i="12"/>
  <c r="B249" i="12"/>
  <c r="C249" i="12" a="1"/>
  <c r="C249" i="12" s="1"/>
  <c r="D249" i="12" a="1"/>
  <c r="D249" i="12"/>
  <c r="E249" i="12" a="1"/>
  <c r="E249" i="12"/>
  <c r="F249" i="12" a="1"/>
  <c r="F249" i="12" s="1"/>
  <c r="G249" i="12" a="1"/>
  <c r="G249" i="12" s="1"/>
  <c r="H249" i="12" a="1"/>
  <c r="H249" i="12"/>
  <c r="I249" i="12" a="1"/>
  <c r="I249" i="12"/>
  <c r="K249" i="12" a="1"/>
  <c r="K249" i="12"/>
  <c r="L249" i="12" a="1"/>
  <c r="L249" i="12"/>
  <c r="M249" i="12" a="1"/>
  <c r="M249" i="12" s="1"/>
  <c r="A250" i="12"/>
  <c r="B250" i="12"/>
  <c r="C250" i="12" a="1"/>
  <c r="C250" i="12"/>
  <c r="D250" i="12" a="1"/>
  <c r="D250" i="12"/>
  <c r="E250" i="12" a="1"/>
  <c r="E250" i="12"/>
  <c r="F250" i="12" a="1"/>
  <c r="F250" i="12" s="1"/>
  <c r="G250" i="12" a="1"/>
  <c r="G250" i="12"/>
  <c r="H250" i="12" a="1"/>
  <c r="H250" i="12"/>
  <c r="I250" i="12" a="1"/>
  <c r="I250" i="12" s="1"/>
  <c r="J250" i="12" a="1"/>
  <c r="J250" i="12" s="1"/>
  <c r="K250" i="12" a="1"/>
  <c r="K250" i="12" s="1"/>
  <c r="L250" i="12" a="1"/>
  <c r="L250" i="12"/>
  <c r="M250" i="12" a="1"/>
  <c r="M250" i="12" s="1"/>
  <c r="A251" i="12"/>
  <c r="B251" i="12"/>
  <c r="C251" i="12" a="1"/>
  <c r="C251" i="12" s="1"/>
  <c r="J251" i="12" s="1" a="1"/>
  <c r="J251" i="12" s="1"/>
  <c r="D251" i="12" a="1"/>
  <c r="D251" i="12" s="1"/>
  <c r="E251" i="12" a="1"/>
  <c r="E251" i="12" s="1"/>
  <c r="F251" i="12" a="1"/>
  <c r="F251" i="12"/>
  <c r="G251" i="12" a="1"/>
  <c r="G251" i="12" s="1"/>
  <c r="H251" i="12" a="1"/>
  <c r="H251" i="12" s="1"/>
  <c r="I251" i="12" a="1"/>
  <c r="I251" i="12"/>
  <c r="K251" i="12" a="1"/>
  <c r="K251" i="12"/>
  <c r="L251" i="12" a="1"/>
  <c r="L251" i="12" s="1"/>
  <c r="M251" i="12" a="1"/>
  <c r="M251" i="12"/>
  <c r="A252" i="12"/>
  <c r="B252" i="12"/>
  <c r="C252" i="12" a="1"/>
  <c r="C252" i="12" s="1"/>
  <c r="J252" i="12" s="1" a="1"/>
  <c r="J252" i="12" s="1"/>
  <c r="D252" i="12" a="1"/>
  <c r="D252" i="12" s="1"/>
  <c r="E252" i="12" a="1"/>
  <c r="E252" i="12"/>
  <c r="F252" i="12" a="1"/>
  <c r="F252" i="12"/>
  <c r="G252" i="12" a="1"/>
  <c r="G252" i="12"/>
  <c r="H252" i="12" a="1"/>
  <c r="H252" i="12"/>
  <c r="I252" i="12" a="1"/>
  <c r="I252" i="12"/>
  <c r="K252" i="12" a="1"/>
  <c r="K252" i="12"/>
  <c r="L252" i="12" a="1"/>
  <c r="L252" i="12"/>
  <c r="M252" i="12" a="1"/>
  <c r="M252" i="12"/>
  <c r="A253" i="12"/>
  <c r="B253" i="12"/>
  <c r="C253" i="12" a="1"/>
  <c r="C253" i="12" s="1"/>
  <c r="D253" i="12" a="1"/>
  <c r="D253" i="12"/>
  <c r="E253" i="12" a="1"/>
  <c r="E253" i="12"/>
  <c r="F253" i="12" a="1"/>
  <c r="F253" i="12" s="1"/>
  <c r="G253" i="12" a="1"/>
  <c r="G253" i="12" s="1"/>
  <c r="H253" i="12" a="1"/>
  <c r="H253" i="12" s="1"/>
  <c r="I253" i="12" a="1"/>
  <c r="I253" i="12"/>
  <c r="K253" i="12" a="1"/>
  <c r="K253" i="12" s="1"/>
  <c r="L253" i="12" a="1"/>
  <c r="L253" i="12" s="1"/>
  <c r="M253" i="12" a="1"/>
  <c r="M253" i="12" s="1"/>
  <c r="A254" i="12"/>
  <c r="B254" i="12"/>
  <c r="C254" i="12" a="1"/>
  <c r="C254" i="12"/>
  <c r="D254" i="12" a="1"/>
  <c r="D254" i="12" s="1"/>
  <c r="E254" i="12" a="1"/>
  <c r="E254" i="12" s="1"/>
  <c r="F254" i="12" a="1"/>
  <c r="F254" i="12"/>
  <c r="G254" i="12" a="1"/>
  <c r="G254" i="12"/>
  <c r="H254" i="12" a="1"/>
  <c r="H254" i="12"/>
  <c r="I254" i="12" a="1"/>
  <c r="I254" i="12" s="1"/>
  <c r="K254" i="12" a="1"/>
  <c r="K254" i="12" s="1"/>
  <c r="L254" i="12" a="1"/>
  <c r="L254" i="12" s="1"/>
  <c r="M254" i="12" a="1"/>
  <c r="M254" i="12" s="1"/>
  <c r="A255" i="12"/>
  <c r="B255" i="12"/>
  <c r="C255" i="12" a="1"/>
  <c r="C255" i="12"/>
  <c r="D255" i="12" a="1"/>
  <c r="D255" i="12"/>
  <c r="E255" i="12" a="1"/>
  <c r="E255" i="12"/>
  <c r="F255" i="12" a="1"/>
  <c r="F255" i="12"/>
  <c r="G255" i="12" a="1"/>
  <c r="G255" i="12" s="1"/>
  <c r="H255" i="12" a="1"/>
  <c r="H255" i="12"/>
  <c r="I255" i="12" a="1"/>
  <c r="I255" i="12"/>
  <c r="K255" i="12" a="1"/>
  <c r="K255" i="12"/>
  <c r="L255" i="12" a="1"/>
  <c r="L255" i="12" s="1"/>
  <c r="M255" i="12" a="1"/>
  <c r="M255" i="12"/>
  <c r="A256" i="12"/>
  <c r="B256" i="12"/>
  <c r="C256" i="12" a="1"/>
  <c r="C256" i="12" s="1"/>
  <c r="D256" i="12" a="1"/>
  <c r="D256" i="12"/>
  <c r="E256" i="12" a="1"/>
  <c r="E256" i="12" s="1"/>
  <c r="F256" i="12" a="1"/>
  <c r="F256" i="12"/>
  <c r="G256" i="12" a="1"/>
  <c r="G256" i="12" s="1"/>
  <c r="H256" i="12" a="1"/>
  <c r="H256" i="12" s="1"/>
  <c r="I256" i="12" a="1"/>
  <c r="I256" i="12" s="1"/>
  <c r="K256" i="12" a="1"/>
  <c r="K256" i="12" s="1"/>
  <c r="L256" i="12" a="1"/>
  <c r="L256" i="12"/>
  <c r="M256" i="12" a="1"/>
  <c r="M256" i="12" s="1"/>
  <c r="A257" i="12"/>
  <c r="B257" i="12"/>
  <c r="C257" i="12" a="1"/>
  <c r="C257" i="12"/>
  <c r="D257" i="12" a="1"/>
  <c r="D257" i="12"/>
  <c r="E257" i="12" a="1"/>
  <c r="E257" i="12" s="1"/>
  <c r="F257" i="12" a="1"/>
  <c r="F257" i="12" s="1"/>
  <c r="G257" i="12" a="1"/>
  <c r="G257" i="12" s="1"/>
  <c r="H257" i="12" a="1"/>
  <c r="H257" i="12" s="1"/>
  <c r="I257" i="12" a="1"/>
  <c r="I257" i="12"/>
  <c r="K257" i="12" a="1"/>
  <c r="K257" i="12"/>
  <c r="L257" i="12" a="1"/>
  <c r="L257" i="12"/>
  <c r="M257" i="12" a="1"/>
  <c r="M257" i="12"/>
  <c r="A258" i="12"/>
  <c r="B258" i="12"/>
  <c r="C258" i="12" a="1"/>
  <c r="C258" i="12"/>
  <c r="D258" i="12" a="1"/>
  <c r="D258" i="12" s="1"/>
  <c r="E258" i="12" a="1"/>
  <c r="E258" i="12"/>
  <c r="F258" i="12" a="1"/>
  <c r="F258" i="12"/>
  <c r="G258" i="12" a="1"/>
  <c r="G258" i="12"/>
  <c r="H258" i="12" a="1"/>
  <c r="H258" i="12"/>
  <c r="I258" i="12" a="1"/>
  <c r="I258" i="12" s="1"/>
  <c r="K258" i="12" a="1"/>
  <c r="K258" i="12" s="1"/>
  <c r="L258" i="12" a="1"/>
  <c r="L258" i="12"/>
  <c r="M258" i="12" a="1"/>
  <c r="M258" i="12"/>
  <c r="A259" i="12"/>
  <c r="B259" i="12"/>
  <c r="C259" i="12" a="1"/>
  <c r="C259" i="12"/>
  <c r="D259" i="12" a="1"/>
  <c r="D259" i="12" s="1"/>
  <c r="E259" i="12" a="1"/>
  <c r="E259" i="12" s="1"/>
  <c r="F259" i="12" a="1"/>
  <c r="F259" i="12" s="1"/>
  <c r="G259" i="12" a="1"/>
  <c r="G259" i="12" s="1"/>
  <c r="H259" i="12" a="1"/>
  <c r="H259" i="12" s="1"/>
  <c r="I259" i="12" a="1"/>
  <c r="I259" i="12"/>
  <c r="K259" i="12" a="1"/>
  <c r="K259" i="12" s="1"/>
  <c r="L259" i="12" a="1"/>
  <c r="L259" i="12"/>
  <c r="M259" i="12" a="1"/>
  <c r="M259" i="12"/>
  <c r="A260" i="12"/>
  <c r="B260" i="12"/>
  <c r="C260" i="12" a="1"/>
  <c r="C260" i="12" s="1"/>
  <c r="D260" i="12" a="1"/>
  <c r="D260" i="12"/>
  <c r="E260" i="12" a="1"/>
  <c r="E260" i="12" s="1"/>
  <c r="F260" i="12" a="1"/>
  <c r="F260" i="12" s="1"/>
  <c r="G260" i="12" a="1"/>
  <c r="G260" i="12" s="1"/>
  <c r="H260" i="12" a="1"/>
  <c r="H260" i="12"/>
  <c r="I260" i="12" a="1"/>
  <c r="I260" i="12"/>
  <c r="K260" i="12" a="1"/>
  <c r="K260" i="12"/>
  <c r="L260" i="12" a="1"/>
  <c r="L260" i="12"/>
  <c r="M260" i="12" a="1"/>
  <c r="M260" i="12" s="1"/>
  <c r="A261" i="12"/>
  <c r="B261" i="12"/>
  <c r="C261" i="12" a="1"/>
  <c r="C261" i="12"/>
  <c r="J261" i="12" s="1" a="1"/>
  <c r="J261" i="12" s="1"/>
  <c r="D261" i="12" a="1"/>
  <c r="D261" i="12"/>
  <c r="E261" i="12" a="1"/>
  <c r="E261" i="12"/>
  <c r="F261" i="12" a="1"/>
  <c r="F261" i="12" s="1"/>
  <c r="G261" i="12" a="1"/>
  <c r="G261" i="12" s="1"/>
  <c r="H261" i="12" a="1"/>
  <c r="H261" i="12" s="1"/>
  <c r="I261" i="12" a="1"/>
  <c r="I261" i="12"/>
  <c r="K261" i="12" a="1"/>
  <c r="K261" i="12" s="1"/>
  <c r="L261" i="12" a="1"/>
  <c r="L261" i="12"/>
  <c r="M261" i="12" a="1"/>
  <c r="M261" i="12" s="1"/>
  <c r="A262" i="12"/>
  <c r="B262" i="12"/>
  <c r="C262" i="12" a="1"/>
  <c r="C262" i="12" s="1"/>
  <c r="J262" i="12" s="1" a="1"/>
  <c r="J262" i="12" s="1"/>
  <c r="D262" i="12" a="1"/>
  <c r="D262" i="12" s="1"/>
  <c r="E262" i="12" a="1"/>
  <c r="E262" i="12" s="1"/>
  <c r="F262" i="12" a="1"/>
  <c r="F262" i="12"/>
  <c r="G262" i="12" a="1"/>
  <c r="G262" i="12" s="1"/>
  <c r="H262" i="12" a="1"/>
  <c r="H262" i="12" s="1"/>
  <c r="I262" i="12" a="1"/>
  <c r="I262" i="12"/>
  <c r="K262" i="12" a="1"/>
  <c r="K262" i="12" s="1"/>
  <c r="L262" i="12" a="1"/>
  <c r="L262" i="12"/>
  <c r="M262" i="12" a="1"/>
  <c r="M262" i="12"/>
  <c r="A263" i="12"/>
  <c r="B263" i="12"/>
  <c r="C263" i="12" a="1"/>
  <c r="C263" i="12" s="1"/>
  <c r="J263" i="12" s="1" a="1"/>
  <c r="J263" i="12" s="1"/>
  <c r="D263" i="12" a="1"/>
  <c r="D263" i="12" s="1"/>
  <c r="E263" i="12" a="1"/>
  <c r="E263" i="12"/>
  <c r="F263" i="12" a="1"/>
  <c r="F263" i="12"/>
  <c r="G263" i="12" a="1"/>
  <c r="G263" i="12"/>
  <c r="H263" i="12" a="1"/>
  <c r="H263" i="12"/>
  <c r="I263" i="12" a="1"/>
  <c r="I263" i="12" s="1"/>
  <c r="K263" i="12" a="1"/>
  <c r="K263" i="12"/>
  <c r="L263" i="12" a="1"/>
  <c r="L263" i="12"/>
  <c r="M263" i="12" a="1"/>
  <c r="M263" i="12"/>
  <c r="A264" i="12"/>
  <c r="B264" i="12"/>
  <c r="C264" i="12" a="1"/>
  <c r="C264" i="12" s="1"/>
  <c r="D264" i="12" a="1"/>
  <c r="D264" i="12"/>
  <c r="E264" i="12" a="1"/>
  <c r="E264" i="12" s="1"/>
  <c r="F264" i="12" a="1"/>
  <c r="F264" i="12"/>
  <c r="G264" i="12" a="1"/>
  <c r="G264" i="12"/>
  <c r="H264" i="12" a="1"/>
  <c r="H264" i="12" s="1"/>
  <c r="I264" i="12" a="1"/>
  <c r="I264" i="12"/>
  <c r="K264" i="12" a="1"/>
  <c r="K264" i="12" s="1"/>
  <c r="L264" i="12" a="1"/>
  <c r="L264" i="12" s="1"/>
  <c r="M264" i="12" a="1"/>
  <c r="M264" i="12"/>
  <c r="A265" i="12"/>
  <c r="B265" i="12"/>
  <c r="C265" i="12" a="1"/>
  <c r="C265" i="12" s="1"/>
  <c r="D265" i="12" a="1"/>
  <c r="D265" i="12" s="1"/>
  <c r="E265" i="12" a="1"/>
  <c r="E265" i="12" s="1"/>
  <c r="F265" i="12" a="1"/>
  <c r="F265" i="12"/>
  <c r="G265" i="12" a="1"/>
  <c r="G265" i="12" s="1"/>
  <c r="H265" i="12" a="1"/>
  <c r="H265" i="12" s="1"/>
  <c r="I265" i="12" a="1"/>
  <c r="I265" i="12"/>
  <c r="K265" i="12" a="1"/>
  <c r="K265" i="12" s="1"/>
  <c r="L265" i="12" a="1"/>
  <c r="L265" i="12" s="1"/>
  <c r="M265" i="12" a="1"/>
  <c r="M265" i="12" s="1"/>
  <c r="A266" i="12"/>
  <c r="B266" i="12"/>
  <c r="C266" i="12" a="1"/>
  <c r="C266" i="12"/>
  <c r="D266" i="12" a="1"/>
  <c r="D266" i="12"/>
  <c r="E266" i="12" a="1"/>
  <c r="E266" i="12"/>
  <c r="F266" i="12" a="1"/>
  <c r="F266" i="12" s="1"/>
  <c r="G266" i="12" a="1"/>
  <c r="G266" i="12"/>
  <c r="H266" i="12" a="1"/>
  <c r="H266" i="12"/>
  <c r="I266" i="12" a="1"/>
  <c r="I266" i="12"/>
  <c r="K266" i="12" a="1"/>
  <c r="K266" i="12" s="1"/>
  <c r="L266" i="12" a="1"/>
  <c r="L266" i="12"/>
  <c r="M266" i="12" a="1"/>
  <c r="M266" i="12"/>
  <c r="A267" i="12"/>
  <c r="B267" i="12"/>
  <c r="C267" i="12" a="1"/>
  <c r="C267" i="12"/>
  <c r="D267" i="12" a="1"/>
  <c r="D267" i="12"/>
  <c r="J267" i="12" s="1" a="1"/>
  <c r="J267" i="12" s="1"/>
  <c r="E267" i="12" a="1"/>
  <c r="E267" i="12" s="1"/>
  <c r="F267" i="12" a="1"/>
  <c r="F267" i="12"/>
  <c r="G267" i="12" a="1"/>
  <c r="G267" i="12"/>
  <c r="H267" i="12" a="1"/>
  <c r="H267" i="12" s="1"/>
  <c r="I267" i="12" a="1"/>
  <c r="I267" i="12" s="1"/>
  <c r="K267" i="12" a="1"/>
  <c r="K267" i="12" s="1"/>
  <c r="L267" i="12" a="1"/>
  <c r="L267" i="12"/>
  <c r="M267" i="12" a="1"/>
  <c r="M267" i="12" s="1"/>
  <c r="A268" i="12"/>
  <c r="B268" i="12"/>
  <c r="C268" i="12" a="1"/>
  <c r="C268" i="12" s="1"/>
  <c r="D268" i="12" a="1"/>
  <c r="D268" i="12" s="1"/>
  <c r="E268" i="12" a="1"/>
  <c r="E268" i="12" s="1"/>
  <c r="F268" i="12" a="1"/>
  <c r="F268" i="12"/>
  <c r="G268" i="12" a="1"/>
  <c r="G268" i="12"/>
  <c r="H268" i="12" a="1"/>
  <c r="H268" i="12" s="1"/>
  <c r="I268" i="12" a="1"/>
  <c r="I268" i="12" s="1"/>
  <c r="K268" i="12" a="1"/>
  <c r="K268" i="12"/>
  <c r="L268" i="12" a="1"/>
  <c r="L268" i="12"/>
  <c r="M268" i="12" a="1"/>
  <c r="M268" i="12"/>
  <c r="A269" i="12"/>
  <c r="B269" i="12"/>
  <c r="C269" i="12" a="1"/>
  <c r="C269" i="12" s="1"/>
  <c r="D269" i="12" a="1"/>
  <c r="D269" i="12" s="1"/>
  <c r="E269" i="12" a="1"/>
  <c r="E269" i="12"/>
  <c r="F269" i="12" a="1"/>
  <c r="F269" i="12" s="1"/>
  <c r="G269" i="12" a="1"/>
  <c r="G269" i="12" s="1"/>
  <c r="H269" i="12" a="1"/>
  <c r="H269" i="12"/>
  <c r="I269" i="12" a="1"/>
  <c r="I269" i="12"/>
  <c r="K269" i="12" a="1"/>
  <c r="K269" i="12" s="1"/>
  <c r="L269" i="12" a="1"/>
  <c r="L269" i="12"/>
  <c r="M269" i="12" a="1"/>
  <c r="M269" i="12"/>
  <c r="A270" i="12"/>
  <c r="B270" i="12"/>
  <c r="C270" i="12" a="1"/>
  <c r="C270" i="12" s="1"/>
  <c r="D270" i="12" a="1"/>
  <c r="D270" i="12"/>
  <c r="E270" i="12" a="1"/>
  <c r="E270" i="12" s="1"/>
  <c r="F270" i="12" a="1"/>
  <c r="F270" i="12" s="1"/>
  <c r="G270" i="12" a="1"/>
  <c r="G270" i="12"/>
  <c r="H270" i="12" a="1"/>
  <c r="H270" i="12" s="1"/>
  <c r="I270" i="12" a="1"/>
  <c r="I270" i="12"/>
  <c r="K270" i="12" a="1"/>
  <c r="K270" i="12" s="1"/>
  <c r="L270" i="12" a="1"/>
  <c r="L270" i="12"/>
  <c r="M270" i="12" a="1"/>
  <c r="M270" i="12" s="1"/>
  <c r="A271" i="12"/>
  <c r="B271" i="12"/>
  <c r="C271" i="12" a="1"/>
  <c r="C271" i="12"/>
  <c r="D271" i="12" a="1"/>
  <c r="D271" i="12"/>
  <c r="E271" i="12" a="1"/>
  <c r="E271" i="12" s="1"/>
  <c r="F271" i="12" a="1"/>
  <c r="F271" i="12" s="1"/>
  <c r="G271" i="12" a="1"/>
  <c r="G271" i="12" s="1"/>
  <c r="H271" i="12" a="1"/>
  <c r="H271" i="12"/>
  <c r="I271" i="12" a="1"/>
  <c r="I271" i="12" s="1"/>
  <c r="K271" i="12" a="1"/>
  <c r="K271" i="12"/>
  <c r="L271" i="12" a="1"/>
  <c r="L271" i="12" s="1"/>
  <c r="M271" i="12" a="1"/>
  <c r="M271" i="12"/>
  <c r="A272" i="12"/>
  <c r="B272" i="12"/>
  <c r="C272" i="12" a="1"/>
  <c r="C272" i="12" s="1"/>
  <c r="D272" i="12" a="1"/>
  <c r="D272" i="12" s="1"/>
  <c r="E272" i="12" a="1"/>
  <c r="E272" i="12" s="1"/>
  <c r="F272" i="12" a="1"/>
  <c r="F272" i="12"/>
  <c r="G272" i="12" a="1"/>
  <c r="G272" i="12"/>
  <c r="H272" i="12" a="1"/>
  <c r="H272" i="12" s="1"/>
  <c r="I272" i="12" a="1"/>
  <c r="I272" i="12"/>
  <c r="K272" i="12" a="1"/>
  <c r="K272" i="12" s="1"/>
  <c r="L272" i="12" a="1"/>
  <c r="L272" i="12" s="1"/>
  <c r="M272" i="12" a="1"/>
  <c r="M272" i="12" s="1"/>
  <c r="A273" i="12"/>
  <c r="B273" i="12"/>
  <c r="C273" i="12" a="1"/>
  <c r="C273" i="12" s="1"/>
  <c r="D273" i="12" a="1"/>
  <c r="D273" i="12" s="1"/>
  <c r="J273" i="12" s="1" a="1"/>
  <c r="J273" i="12" s="1"/>
  <c r="E273" i="12" a="1"/>
  <c r="E273" i="12" s="1"/>
  <c r="F273" i="12" a="1"/>
  <c r="F273" i="12" s="1"/>
  <c r="G273" i="12" a="1"/>
  <c r="G273" i="12" s="1"/>
  <c r="H273" i="12" a="1"/>
  <c r="H273" i="12" s="1"/>
  <c r="I273" i="12" a="1"/>
  <c r="I273" i="12"/>
  <c r="K273" i="12" a="1"/>
  <c r="K273" i="12" s="1"/>
  <c r="L273" i="12" a="1"/>
  <c r="L273" i="12"/>
  <c r="M273" i="12" a="1"/>
  <c r="M273" i="12"/>
  <c r="A274" i="12"/>
  <c r="B274" i="12"/>
  <c r="C274" i="12" a="1"/>
  <c r="C274" i="12" s="1"/>
  <c r="D274" i="12" a="1"/>
  <c r="D274" i="12" s="1"/>
  <c r="E274" i="12" a="1"/>
  <c r="E274" i="12"/>
  <c r="F274" i="12" a="1"/>
  <c r="F274" i="12" s="1"/>
  <c r="G274" i="12" a="1"/>
  <c r="G274" i="12"/>
  <c r="H274" i="12" a="1"/>
  <c r="H274" i="12"/>
  <c r="I274" i="12" a="1"/>
  <c r="I274" i="12" s="1"/>
  <c r="K274" i="12" a="1"/>
  <c r="K274" i="12" s="1"/>
  <c r="L274" i="12" a="1"/>
  <c r="L274" i="12" s="1"/>
  <c r="M274" i="12" a="1"/>
  <c r="M274" i="12" s="1"/>
  <c r="A275" i="12"/>
  <c r="B275" i="12"/>
  <c r="C275" i="12" a="1"/>
  <c r="C275" i="12" s="1"/>
  <c r="J275" i="12" s="1" a="1"/>
  <c r="J275" i="12" s="1"/>
  <c r="D275" i="12" a="1"/>
  <c r="D275" i="12"/>
  <c r="E275" i="12" a="1"/>
  <c r="E275" i="12" s="1"/>
  <c r="F275" i="12" a="1"/>
  <c r="F275" i="12"/>
  <c r="G275" i="12" a="1"/>
  <c r="G275" i="12"/>
  <c r="H275" i="12" a="1"/>
  <c r="H275" i="12" s="1"/>
  <c r="I275" i="12" a="1"/>
  <c r="I275" i="12" s="1"/>
  <c r="K275" i="12" a="1"/>
  <c r="K275" i="12" s="1"/>
  <c r="L275" i="12" a="1"/>
  <c r="L275" i="12" s="1"/>
  <c r="M275" i="12" a="1"/>
  <c r="M275" i="12" s="1"/>
  <c r="A276" i="12"/>
  <c r="B276" i="12"/>
  <c r="C276" i="12" a="1"/>
  <c r="C276" i="12" s="1"/>
  <c r="D276" i="12" a="1"/>
  <c r="D276" i="12"/>
  <c r="E276" i="12" a="1"/>
  <c r="E276" i="12" s="1"/>
  <c r="F276" i="12" a="1"/>
  <c r="F276" i="12"/>
  <c r="G276" i="12" a="1"/>
  <c r="G276" i="12" s="1"/>
  <c r="H276" i="12" a="1"/>
  <c r="H276" i="12" s="1"/>
  <c r="I276" i="12" a="1"/>
  <c r="I276" i="12"/>
  <c r="K276" i="12" a="1"/>
  <c r="K276" i="12" s="1"/>
  <c r="L276" i="12" a="1"/>
  <c r="L276" i="12"/>
  <c r="M276" i="12" a="1"/>
  <c r="M276" i="12" s="1"/>
  <c r="A277" i="12"/>
  <c r="B277" i="12"/>
  <c r="C277" i="12" a="1"/>
  <c r="C277" i="12" s="1"/>
  <c r="J277" i="12" s="1" a="1"/>
  <c r="J277" i="12" s="1"/>
  <c r="D277" i="12" a="1"/>
  <c r="D277" i="12"/>
  <c r="E277" i="12" a="1"/>
  <c r="E277" i="12"/>
  <c r="F277" i="12" a="1"/>
  <c r="F277" i="12" s="1"/>
  <c r="G277" i="12" a="1"/>
  <c r="G277" i="12" s="1"/>
  <c r="H277" i="12" a="1"/>
  <c r="H277" i="12" s="1"/>
  <c r="I277" i="12" a="1"/>
  <c r="I277" i="12" s="1"/>
  <c r="K277" i="12" a="1"/>
  <c r="K277" i="12" s="1"/>
  <c r="L277" i="12" a="1"/>
  <c r="L277" i="12" s="1"/>
  <c r="M277" i="12" a="1"/>
  <c r="M277" i="12"/>
  <c r="A278" i="12"/>
  <c r="B278" i="12"/>
  <c r="C278" i="12" a="1"/>
  <c r="C278" i="12"/>
  <c r="D278" i="12" a="1"/>
  <c r="D278" i="12"/>
  <c r="E278" i="12" a="1"/>
  <c r="E278" i="12" s="1"/>
  <c r="J278" i="12" s="1" a="1"/>
  <c r="J278" i="12" s="1"/>
  <c r="F278" i="12" a="1"/>
  <c r="F278" i="12" s="1"/>
  <c r="G278" i="12" a="1"/>
  <c r="G278" i="12" s="1"/>
  <c r="H278" i="12" a="1"/>
  <c r="H278" i="12" s="1"/>
  <c r="I278" i="12" a="1"/>
  <c r="I278" i="12" s="1"/>
  <c r="K278" i="12" a="1"/>
  <c r="K278" i="12" s="1"/>
  <c r="L278" i="12" a="1"/>
  <c r="L278" i="12"/>
  <c r="M278" i="12" a="1"/>
  <c r="M278" i="12"/>
  <c r="A279" i="12"/>
  <c r="B279" i="12"/>
  <c r="C279" i="12" a="1"/>
  <c r="C279" i="12"/>
  <c r="J279" i="12" s="1" a="1"/>
  <c r="J279" i="12" s="1"/>
  <c r="D279" i="12" a="1"/>
  <c r="D279" i="12"/>
  <c r="E279" i="12" a="1"/>
  <c r="E279" i="12" s="1"/>
  <c r="F279" i="12" a="1"/>
  <c r="F279" i="12"/>
  <c r="G279" i="12" a="1"/>
  <c r="G279" i="12"/>
  <c r="H279" i="12" a="1"/>
  <c r="H279" i="12" s="1"/>
  <c r="I279" i="12" a="1"/>
  <c r="I279" i="12" s="1"/>
  <c r="K279" i="12" a="1"/>
  <c r="K279" i="12"/>
  <c r="L279" i="12" a="1"/>
  <c r="L279" i="12" s="1"/>
  <c r="M279" i="12" a="1"/>
  <c r="M279" i="12"/>
  <c r="A280" i="12"/>
  <c r="B280" i="12"/>
  <c r="C280" i="12" a="1"/>
  <c r="C280" i="12" s="1"/>
  <c r="D280" i="12" a="1"/>
  <c r="D280" i="12" s="1"/>
  <c r="E280" i="12" a="1"/>
  <c r="E280" i="12" s="1"/>
  <c r="F280" i="12" a="1"/>
  <c r="F280" i="12" s="1"/>
  <c r="G280" i="12" a="1"/>
  <c r="G280" i="12" s="1"/>
  <c r="H280" i="12" a="1"/>
  <c r="H280" i="12" s="1"/>
  <c r="I280" i="12" a="1"/>
  <c r="I280" i="12"/>
  <c r="K280" i="12" a="1"/>
  <c r="K280" i="12" s="1"/>
  <c r="L280" i="12" a="1"/>
  <c r="L280" i="12"/>
  <c r="M280" i="12" a="1"/>
  <c r="M280" i="12"/>
  <c r="A281" i="12"/>
  <c r="B281" i="12"/>
  <c r="C281" i="12" a="1"/>
  <c r="C281" i="12" s="1"/>
  <c r="D281" i="12" a="1"/>
  <c r="D281" i="12" s="1"/>
  <c r="E281" i="12" a="1"/>
  <c r="E281" i="12" s="1"/>
  <c r="F281" i="12" a="1"/>
  <c r="F281" i="12" s="1"/>
  <c r="G281" i="12" a="1"/>
  <c r="G281" i="12" s="1"/>
  <c r="H281" i="12" a="1"/>
  <c r="H281" i="12" s="1"/>
  <c r="I281" i="12" a="1"/>
  <c r="I281" i="12"/>
  <c r="K281" i="12" a="1"/>
  <c r="K281" i="12" s="1"/>
  <c r="L281" i="12" a="1"/>
  <c r="L281" i="12"/>
  <c r="M281" i="12" a="1"/>
  <c r="M281" i="12" s="1"/>
  <c r="A282" i="12"/>
  <c r="B282" i="12"/>
  <c r="C282" i="12" a="1"/>
  <c r="C282" i="12" s="1"/>
  <c r="D282" i="12" a="1"/>
  <c r="D282" i="12"/>
  <c r="E282" i="12" a="1"/>
  <c r="E282" i="12" s="1"/>
  <c r="F282" i="12" a="1"/>
  <c r="F282" i="12" s="1"/>
  <c r="G282" i="12" a="1"/>
  <c r="G282" i="12" s="1"/>
  <c r="H282" i="12" a="1"/>
  <c r="H282" i="12"/>
  <c r="I282" i="12" a="1"/>
  <c r="I282" i="12" s="1"/>
  <c r="K282" i="12" a="1"/>
  <c r="K282" i="12" s="1"/>
  <c r="L282" i="12" a="1"/>
  <c r="L282" i="12" s="1"/>
  <c r="M282" i="12" a="1"/>
  <c r="M282" i="12" s="1"/>
  <c r="A283" i="12"/>
  <c r="B283" i="12"/>
  <c r="C283" i="12" a="1"/>
  <c r="C283" i="12" s="1"/>
  <c r="D283" i="12" a="1"/>
  <c r="D283" i="12" s="1"/>
  <c r="E283" i="12" a="1"/>
  <c r="E283" i="12"/>
  <c r="F283" i="12" a="1"/>
  <c r="F283" i="12"/>
  <c r="G283" i="12" a="1"/>
  <c r="G283" i="12"/>
  <c r="H283" i="12" a="1"/>
  <c r="H283" i="12" s="1"/>
  <c r="I283" i="12" a="1"/>
  <c r="I283" i="12"/>
  <c r="K283" i="12" a="1"/>
  <c r="K283" i="12" s="1"/>
  <c r="L283" i="12" a="1"/>
  <c r="L283" i="12" s="1"/>
  <c r="M283" i="12" a="1"/>
  <c r="M283" i="12"/>
  <c r="A284" i="12"/>
  <c r="B284" i="12"/>
  <c r="C284" i="12" a="1"/>
  <c r="C284" i="12" s="1"/>
  <c r="D284" i="12" a="1"/>
  <c r="D284" i="12"/>
  <c r="E284" i="12" a="1"/>
  <c r="E284" i="12" s="1"/>
  <c r="J284" i="12" s="1" a="1"/>
  <c r="J284" i="12" s="1"/>
  <c r="F284" i="12" a="1"/>
  <c r="F284" i="12"/>
  <c r="G284" i="12" a="1"/>
  <c r="G284" i="12"/>
  <c r="H284" i="12" a="1"/>
  <c r="H284" i="12" s="1"/>
  <c r="I284" i="12" a="1"/>
  <c r="I284" i="12"/>
  <c r="K284" i="12" a="1"/>
  <c r="K284" i="12" s="1"/>
  <c r="L284" i="12" a="1"/>
  <c r="L284" i="12" s="1"/>
  <c r="M284" i="12" a="1"/>
  <c r="M284" i="12"/>
  <c r="A285" i="12"/>
  <c r="B285" i="12"/>
  <c r="C285" i="12" a="1"/>
  <c r="C285" i="12"/>
  <c r="J285" i="12" s="1" a="1"/>
  <c r="J285" i="12" s="1"/>
  <c r="D285" i="12" a="1"/>
  <c r="D285" i="12"/>
  <c r="E285" i="12" a="1"/>
  <c r="E285" i="12" s="1"/>
  <c r="F285" i="12" a="1"/>
  <c r="F285" i="12"/>
  <c r="G285" i="12" a="1"/>
  <c r="G285" i="12" s="1"/>
  <c r="H285" i="12" a="1"/>
  <c r="H285" i="12" s="1"/>
  <c r="I285" i="12" a="1"/>
  <c r="I285" i="12" s="1"/>
  <c r="K285" i="12" a="1"/>
  <c r="K285" i="12" s="1"/>
  <c r="L285" i="12" a="1"/>
  <c r="L285" i="12" s="1"/>
  <c r="M285" i="12" a="1"/>
  <c r="M285" i="12" s="1"/>
  <c r="A286" i="12"/>
  <c r="B286" i="12"/>
  <c r="C286" i="12" a="1"/>
  <c r="C286" i="12" s="1"/>
  <c r="D286" i="12" a="1"/>
  <c r="D286" i="12"/>
  <c r="E286" i="12" a="1"/>
  <c r="E286" i="12" s="1"/>
  <c r="F286" i="12" a="1"/>
  <c r="F286" i="12"/>
  <c r="G286" i="12" a="1"/>
  <c r="G286" i="12"/>
  <c r="H286" i="12" a="1"/>
  <c r="H286" i="12"/>
  <c r="I286" i="12" a="1"/>
  <c r="I286" i="12" s="1"/>
  <c r="K286" i="12" a="1"/>
  <c r="K286" i="12" s="1"/>
  <c r="L286" i="12" a="1"/>
  <c r="L286" i="12"/>
  <c r="M286" i="12" a="1"/>
  <c r="M286" i="12"/>
  <c r="A287" i="12"/>
  <c r="B287" i="12"/>
  <c r="C287" i="12" a="1"/>
  <c r="C287" i="12"/>
  <c r="D287" i="12" a="1"/>
  <c r="D287" i="12"/>
  <c r="E287" i="12" a="1"/>
  <c r="E287" i="12" s="1"/>
  <c r="F287" i="12" a="1"/>
  <c r="F287" i="12"/>
  <c r="G287" i="12" a="1"/>
  <c r="G287" i="12"/>
  <c r="H287" i="12" a="1"/>
  <c r="H287" i="12"/>
  <c r="I287" i="12" a="1"/>
  <c r="I287" i="12"/>
  <c r="K287" i="12" a="1"/>
  <c r="K287" i="12" s="1"/>
  <c r="L287" i="12" a="1"/>
  <c r="L287" i="12"/>
  <c r="M287" i="12" a="1"/>
  <c r="M287" i="12" s="1"/>
  <c r="A288" i="12"/>
  <c r="B288" i="12"/>
  <c r="C288" i="12" a="1"/>
  <c r="C288" i="12" s="1"/>
  <c r="D288" i="12" a="1"/>
  <c r="D288" i="12" s="1"/>
  <c r="E288" i="12" a="1"/>
  <c r="E288" i="12" s="1"/>
  <c r="F288" i="12" a="1"/>
  <c r="F288" i="12" s="1"/>
  <c r="G288" i="12" a="1"/>
  <c r="G288" i="12" s="1"/>
  <c r="H288" i="12" a="1"/>
  <c r="H288" i="12" s="1"/>
  <c r="I288" i="12" a="1"/>
  <c r="I288" i="12" s="1"/>
  <c r="K288" i="12" a="1"/>
  <c r="K288" i="12" s="1"/>
  <c r="L288" i="12" a="1"/>
  <c r="L288" i="12"/>
  <c r="M288" i="12" a="1"/>
  <c r="M288" i="12" s="1"/>
  <c r="A289" i="12"/>
  <c r="B289" i="12"/>
  <c r="C289" i="12" a="1"/>
  <c r="C289" i="12"/>
  <c r="D289" i="12" a="1"/>
  <c r="D289" i="12"/>
  <c r="E289" i="12" a="1"/>
  <c r="E289" i="12"/>
  <c r="F289" i="12" a="1"/>
  <c r="F289" i="12" s="1"/>
  <c r="G289" i="12" a="1"/>
  <c r="G289" i="12" s="1"/>
  <c r="H289" i="12" a="1"/>
  <c r="H289" i="12"/>
  <c r="I289" i="12" a="1"/>
  <c r="I289" i="12"/>
  <c r="K289" i="12" a="1"/>
  <c r="K289" i="12" s="1"/>
  <c r="L289" i="12" a="1"/>
  <c r="L289" i="12"/>
  <c r="M289" i="12" a="1"/>
  <c r="M289" i="12"/>
  <c r="A290" i="12"/>
  <c r="B290" i="12"/>
  <c r="C290" i="12" a="1"/>
  <c r="C290" i="12"/>
  <c r="J290" i="12" s="1" a="1"/>
  <c r="J290" i="12" s="1"/>
  <c r="D290" i="12" a="1"/>
  <c r="D290" i="12" s="1"/>
  <c r="E290" i="12" a="1"/>
  <c r="E290" i="12"/>
  <c r="F290" i="12" a="1"/>
  <c r="F290" i="12" s="1"/>
  <c r="G290" i="12" a="1"/>
  <c r="G290" i="12"/>
  <c r="H290" i="12" a="1"/>
  <c r="H290" i="12" s="1"/>
  <c r="I290" i="12" a="1"/>
  <c r="I290" i="12"/>
  <c r="K290" i="12" a="1"/>
  <c r="K290" i="12" s="1"/>
  <c r="L290" i="12" a="1"/>
  <c r="L290" i="12" s="1"/>
  <c r="M290" i="12" a="1"/>
  <c r="M290" i="12" s="1"/>
  <c r="A291" i="12"/>
  <c r="B291" i="12"/>
  <c r="C291" i="12" a="1"/>
  <c r="C291" i="12" s="1"/>
  <c r="D291" i="12" a="1"/>
  <c r="D291" i="12" s="1"/>
  <c r="E291" i="12" a="1"/>
  <c r="E291" i="12" s="1"/>
  <c r="F291" i="12" a="1"/>
  <c r="F291" i="12" s="1"/>
  <c r="G291" i="12" a="1"/>
  <c r="G291" i="12"/>
  <c r="H291" i="12" a="1"/>
  <c r="H291" i="12"/>
  <c r="I291" i="12" a="1"/>
  <c r="I291" i="12"/>
  <c r="K291" i="12" a="1"/>
  <c r="K291" i="12" s="1"/>
  <c r="L291" i="12" a="1"/>
  <c r="L291" i="12"/>
  <c r="M291" i="12" a="1"/>
  <c r="M291" i="12"/>
  <c r="A292" i="12"/>
  <c r="B292" i="12"/>
  <c r="C292" i="12" a="1"/>
  <c r="C292" i="12" s="1"/>
  <c r="D292" i="12" a="1"/>
  <c r="D292" i="12" s="1"/>
  <c r="E292" i="12" a="1"/>
  <c r="E292" i="12" s="1"/>
  <c r="F292" i="12" a="1"/>
  <c r="F292" i="12"/>
  <c r="G292" i="12" a="1"/>
  <c r="G292" i="12"/>
  <c r="H292" i="12" a="1"/>
  <c r="H292" i="12" s="1"/>
  <c r="I292" i="12" a="1"/>
  <c r="I292" i="12"/>
  <c r="K292" i="12" a="1"/>
  <c r="K292" i="12" s="1"/>
  <c r="L292" i="12" a="1"/>
  <c r="L292" i="12" s="1"/>
  <c r="M292" i="12" a="1"/>
  <c r="M292" i="12" s="1"/>
  <c r="A293" i="12"/>
  <c r="B293" i="12"/>
  <c r="C293" i="12" a="1"/>
  <c r="C293" i="12"/>
  <c r="D293" i="12" a="1"/>
  <c r="D293" i="12"/>
  <c r="E293" i="12" a="1"/>
  <c r="E293" i="12" s="1"/>
  <c r="F293" i="12" a="1"/>
  <c r="F293" i="12" s="1"/>
  <c r="G293" i="12" a="1"/>
  <c r="G293" i="12" s="1"/>
  <c r="H293" i="12" a="1"/>
  <c r="H293" i="12" s="1"/>
  <c r="I293" i="12" a="1"/>
  <c r="I293" i="12" s="1"/>
  <c r="K293" i="12" a="1"/>
  <c r="K293" i="12" s="1"/>
  <c r="L293" i="12" a="1"/>
  <c r="L293" i="12" s="1"/>
  <c r="M293" i="12" a="1"/>
  <c r="M293" i="12" s="1"/>
  <c r="A294" i="12"/>
  <c r="B294" i="12"/>
  <c r="C294" i="12" a="1"/>
  <c r="C294" i="12" s="1"/>
  <c r="D294" i="12" a="1"/>
  <c r="D294" i="12"/>
  <c r="E294" i="12" a="1"/>
  <c r="E294" i="12"/>
  <c r="F294" i="12" a="1"/>
  <c r="F294" i="12" s="1"/>
  <c r="G294" i="12" a="1"/>
  <c r="G294" i="12" s="1"/>
  <c r="H294" i="12" a="1"/>
  <c r="H294" i="12" s="1"/>
  <c r="I294" i="12" a="1"/>
  <c r="I294" i="12" s="1"/>
  <c r="K294" i="12" a="1"/>
  <c r="K294" i="12" s="1"/>
  <c r="L294" i="12" a="1"/>
  <c r="L294" i="12" s="1"/>
  <c r="M294" i="12" a="1"/>
  <c r="M294" i="12" s="1"/>
  <c r="A295" i="12"/>
  <c r="B295" i="12"/>
  <c r="C295" i="12" a="1"/>
  <c r="C295" i="12"/>
  <c r="J295" i="12" s="1" a="1"/>
  <c r="J295" i="12" s="1"/>
  <c r="D295" i="12" a="1"/>
  <c r="D295" i="12"/>
  <c r="E295" i="12" a="1"/>
  <c r="E295" i="12" s="1"/>
  <c r="F295" i="12" a="1"/>
  <c r="F295" i="12"/>
  <c r="G295" i="12" a="1"/>
  <c r="G295" i="12"/>
  <c r="H295" i="12" a="1"/>
  <c r="H295" i="12"/>
  <c r="I295" i="12" a="1"/>
  <c r="I295" i="12"/>
  <c r="K295" i="12" a="1"/>
  <c r="K295" i="12" s="1"/>
  <c r="L295" i="12" a="1"/>
  <c r="L295" i="12"/>
  <c r="M295" i="12" a="1"/>
  <c r="M295" i="12"/>
  <c r="A296" i="12"/>
  <c r="B296" i="12"/>
  <c r="C296" i="12" a="1"/>
  <c r="C296" i="12" s="1"/>
  <c r="D296" i="12" a="1"/>
  <c r="D296" i="12"/>
  <c r="E296" i="12" a="1"/>
  <c r="E296" i="12"/>
  <c r="F296" i="12" a="1"/>
  <c r="F296" i="12" s="1"/>
  <c r="G296" i="12" a="1"/>
  <c r="G296" i="12" s="1"/>
  <c r="H296" i="12" a="1"/>
  <c r="H296" i="12" s="1"/>
  <c r="I296" i="12" a="1"/>
  <c r="I296" i="12" s="1"/>
  <c r="K296" i="12" a="1"/>
  <c r="K296" i="12" s="1"/>
  <c r="L296" i="12" a="1"/>
  <c r="L296" i="12"/>
  <c r="M296" i="12" a="1"/>
  <c r="M296" i="12"/>
  <c r="A297" i="12"/>
  <c r="B297" i="12"/>
  <c r="C297" i="12" a="1"/>
  <c r="C297" i="12"/>
  <c r="D297" i="12" a="1"/>
  <c r="D297" i="12"/>
  <c r="E297" i="12" a="1"/>
  <c r="E297" i="12" s="1"/>
  <c r="F297" i="12" a="1"/>
  <c r="F297" i="12" s="1"/>
  <c r="G297" i="12" a="1"/>
  <c r="G297" i="12" s="1"/>
  <c r="H297" i="12" a="1"/>
  <c r="H297" i="12"/>
  <c r="I297" i="12" a="1"/>
  <c r="I297" i="12" s="1"/>
  <c r="K297" i="12" a="1"/>
  <c r="K297" i="12" s="1"/>
  <c r="L297" i="12" a="1"/>
  <c r="L297" i="12"/>
  <c r="M297" i="12" a="1"/>
  <c r="M297" i="12"/>
  <c r="A298" i="12"/>
  <c r="B298" i="12"/>
  <c r="C298" i="12" a="1"/>
  <c r="C298" i="12"/>
  <c r="D298" i="12" a="1"/>
  <c r="D298" i="12"/>
  <c r="E298" i="12" a="1"/>
  <c r="E298" i="12"/>
  <c r="F298" i="12" a="1"/>
  <c r="F298" i="12"/>
  <c r="G298" i="12" a="1"/>
  <c r="G298" i="12"/>
  <c r="H298" i="12" a="1"/>
  <c r="H298" i="12" s="1"/>
  <c r="I298" i="12" a="1"/>
  <c r="I298" i="12"/>
  <c r="K298" i="12" a="1"/>
  <c r="K298" i="12" s="1"/>
  <c r="L298" i="12" a="1"/>
  <c r="L298" i="12"/>
  <c r="M298" i="12" a="1"/>
  <c r="M298" i="12"/>
  <c r="A299" i="12"/>
  <c r="B299" i="12"/>
  <c r="C299" i="12" a="1"/>
  <c r="C299" i="12"/>
  <c r="D299" i="12" a="1"/>
  <c r="D299" i="12" s="1"/>
  <c r="E299" i="12" a="1"/>
  <c r="E299" i="12" s="1"/>
  <c r="F299" i="12" a="1"/>
  <c r="F299" i="12" s="1"/>
  <c r="G299" i="12" a="1"/>
  <c r="G299" i="12" s="1"/>
  <c r="H299" i="12" a="1"/>
  <c r="H299" i="12"/>
  <c r="I299" i="12" a="1"/>
  <c r="I299" i="12"/>
  <c r="K299" i="12" a="1"/>
  <c r="K299" i="12"/>
  <c r="L299" i="12" a="1"/>
  <c r="L299" i="12"/>
  <c r="M299" i="12" a="1"/>
  <c r="M299" i="12"/>
  <c r="A300" i="12"/>
  <c r="B300" i="12"/>
  <c r="C300" i="12" a="1"/>
  <c r="C300" i="12" s="1"/>
  <c r="D300" i="12" a="1"/>
  <c r="D300" i="12"/>
  <c r="E300" i="12" a="1"/>
  <c r="E300" i="12" s="1"/>
  <c r="F300" i="12" a="1"/>
  <c r="F300" i="12" s="1"/>
  <c r="G300" i="12" a="1"/>
  <c r="G300" i="12" s="1"/>
  <c r="H300" i="12" a="1"/>
  <c r="H300" i="12"/>
  <c r="I300" i="12" a="1"/>
  <c r="I300" i="12"/>
  <c r="K300" i="12" a="1"/>
  <c r="K300" i="12" s="1"/>
  <c r="L300" i="12" a="1"/>
  <c r="L300" i="12" s="1"/>
  <c r="M300" i="12" a="1"/>
  <c r="M300" i="12" s="1"/>
  <c r="A301" i="12"/>
  <c r="B301" i="12"/>
  <c r="C301" i="12" a="1"/>
  <c r="C301" i="12" s="1"/>
  <c r="D301" i="12" a="1"/>
  <c r="D301" i="12"/>
  <c r="E301" i="12" a="1"/>
  <c r="E301" i="12" s="1"/>
  <c r="F301" i="12" a="1"/>
  <c r="F301" i="12" s="1"/>
  <c r="G301" i="12" a="1"/>
  <c r="G301" i="12" s="1"/>
  <c r="H301" i="12" a="1"/>
  <c r="H301" i="12" s="1"/>
  <c r="I301" i="12" a="1"/>
  <c r="I301" i="12"/>
  <c r="K301" i="12" a="1"/>
  <c r="K301" i="12" s="1"/>
  <c r="L301" i="12" a="1"/>
  <c r="L301" i="12" s="1"/>
  <c r="M301" i="12" a="1"/>
  <c r="M301" i="12" s="1"/>
  <c r="A302" i="12"/>
  <c r="B302" i="12"/>
  <c r="C302" i="12" a="1"/>
  <c r="C302" i="12" s="1"/>
  <c r="D302" i="12" a="1"/>
  <c r="D302" i="12" s="1"/>
  <c r="E302" i="12" a="1"/>
  <c r="E302" i="12" s="1"/>
  <c r="F302" i="12" a="1"/>
  <c r="F302" i="12" s="1"/>
  <c r="G302" i="12" a="1"/>
  <c r="G302" i="12" s="1"/>
  <c r="H302" i="12" a="1"/>
  <c r="H302" i="12" s="1"/>
  <c r="I302" i="12" a="1"/>
  <c r="I302" i="12"/>
  <c r="K302" i="12" a="1"/>
  <c r="K302" i="12" s="1"/>
  <c r="L302" i="12" a="1"/>
  <c r="L302" i="12"/>
  <c r="M302" i="12" a="1"/>
  <c r="M302" i="12" s="1"/>
  <c r="A303" i="12"/>
  <c r="B303" i="12"/>
  <c r="C303" i="12" a="1"/>
  <c r="C303" i="12" s="1"/>
  <c r="D303" i="12" a="1"/>
  <c r="D303" i="12" s="1"/>
  <c r="E303" i="12" a="1"/>
  <c r="E303" i="12" s="1"/>
  <c r="F303" i="12" a="1"/>
  <c r="F303" i="12"/>
  <c r="G303" i="12" a="1"/>
  <c r="G303" i="12"/>
  <c r="H303" i="12" a="1"/>
  <c r="H303" i="12"/>
  <c r="I303" i="12" a="1"/>
  <c r="I303" i="12" s="1"/>
  <c r="K303" i="12" a="1"/>
  <c r="K303" i="12" s="1"/>
  <c r="L303" i="12" a="1"/>
  <c r="L303" i="12"/>
  <c r="M303" i="12" a="1"/>
  <c r="M303" i="12"/>
  <c r="A304" i="12"/>
  <c r="B304" i="12"/>
  <c r="C304" i="12" a="1"/>
  <c r="C304" i="12" s="1"/>
  <c r="D304" i="12" a="1"/>
  <c r="D304" i="12" s="1"/>
  <c r="E304" i="12" a="1"/>
  <c r="E304" i="12" s="1"/>
  <c r="F304" i="12" a="1"/>
  <c r="F304" i="12" s="1"/>
  <c r="G304" i="12" a="1"/>
  <c r="G304" i="12" s="1"/>
  <c r="H304" i="12" a="1"/>
  <c r="H304" i="12"/>
  <c r="I304" i="12" a="1"/>
  <c r="I304" i="12"/>
  <c r="K304" i="12" a="1"/>
  <c r="K304" i="12" s="1"/>
  <c r="L304" i="12" a="1"/>
  <c r="L304" i="12"/>
  <c r="M304" i="12" a="1"/>
  <c r="M304" i="12" s="1"/>
  <c r="A305" i="12"/>
  <c r="B305" i="12"/>
  <c r="C305" i="12" a="1"/>
  <c r="C305" i="12" s="1"/>
  <c r="D305" i="12" a="1"/>
  <c r="D305" i="12" s="1"/>
  <c r="E305" i="12" a="1"/>
  <c r="E305" i="12" s="1"/>
  <c r="F305" i="12" a="1"/>
  <c r="F305" i="12" s="1"/>
  <c r="G305" i="12" a="1"/>
  <c r="G305" i="12" s="1"/>
  <c r="H305" i="12" a="1"/>
  <c r="H305" i="12" s="1"/>
  <c r="I305" i="12" a="1"/>
  <c r="I305" i="12"/>
  <c r="K305" i="12" a="1"/>
  <c r="K305" i="12" s="1"/>
  <c r="L305" i="12" a="1"/>
  <c r="L305" i="12"/>
  <c r="M305" i="12" a="1"/>
  <c r="M305" i="12" s="1"/>
  <c r="A306" i="12"/>
  <c r="B306" i="12"/>
  <c r="C306" i="12" a="1"/>
  <c r="C306" i="12"/>
  <c r="D306" i="12" a="1"/>
  <c r="D306" i="12"/>
  <c r="E306" i="12" a="1"/>
  <c r="E306" i="12"/>
  <c r="F306" i="12" a="1"/>
  <c r="F306" i="12"/>
  <c r="G306" i="12" a="1"/>
  <c r="G306" i="12" s="1"/>
  <c r="H306" i="12" a="1"/>
  <c r="H306" i="12"/>
  <c r="I306" i="12" a="1"/>
  <c r="I306" i="12" s="1"/>
  <c r="K306" i="12" a="1"/>
  <c r="K306" i="12" s="1"/>
  <c r="L306" i="12" a="1"/>
  <c r="L306" i="12"/>
  <c r="M306" i="12" a="1"/>
  <c r="M306" i="12"/>
  <c r="A307" i="12"/>
  <c r="B307" i="12"/>
  <c r="C307" i="12" a="1"/>
  <c r="C307" i="12" s="1"/>
  <c r="D307" i="12" a="1"/>
  <c r="D307" i="12" s="1"/>
  <c r="E307" i="12" a="1"/>
  <c r="E307" i="12" s="1"/>
  <c r="F307" i="12" a="1"/>
  <c r="F307" i="12"/>
  <c r="G307" i="12" a="1"/>
  <c r="G307" i="12"/>
  <c r="H307" i="12" a="1"/>
  <c r="H307" i="12" s="1"/>
  <c r="I307" i="12" a="1"/>
  <c r="I307" i="12"/>
  <c r="K307" i="12" a="1"/>
  <c r="K307" i="12"/>
  <c r="L307" i="12" a="1"/>
  <c r="L307" i="12" s="1"/>
  <c r="M307" i="12" a="1"/>
  <c r="M307" i="12"/>
  <c r="A308" i="12"/>
  <c r="B308" i="12"/>
  <c r="C308" i="12" a="1"/>
  <c r="C308" i="12" s="1"/>
  <c r="D308" i="12" a="1"/>
  <c r="D308" i="12" s="1"/>
  <c r="E308" i="12" a="1"/>
  <c r="E308" i="12"/>
  <c r="F308" i="12" a="1"/>
  <c r="F308" i="12" s="1"/>
  <c r="G308" i="12" a="1"/>
  <c r="G308" i="12" s="1"/>
  <c r="H308" i="12" a="1"/>
  <c r="H308" i="12" s="1"/>
  <c r="I308" i="12" a="1"/>
  <c r="I308" i="12" s="1"/>
  <c r="K308" i="12" a="1"/>
  <c r="K308" i="12"/>
  <c r="L308" i="12" a="1"/>
  <c r="L308" i="12"/>
  <c r="M308" i="12" a="1"/>
  <c r="M308" i="12"/>
  <c r="A309" i="12"/>
  <c r="B309" i="12"/>
  <c r="C309" i="12" a="1"/>
  <c r="C309" i="12" s="1"/>
  <c r="D309" i="12" a="1"/>
  <c r="D309" i="12" s="1"/>
  <c r="E309" i="12" a="1"/>
  <c r="E309" i="12" s="1"/>
  <c r="F309" i="12" a="1"/>
  <c r="F309" i="12" s="1"/>
  <c r="G309" i="12" a="1"/>
  <c r="G309" i="12" s="1"/>
  <c r="H309" i="12" a="1"/>
  <c r="H309" i="12"/>
  <c r="I309" i="12" a="1"/>
  <c r="I309" i="12"/>
  <c r="K309" i="12" a="1"/>
  <c r="K309" i="12"/>
  <c r="L309" i="12" a="1"/>
  <c r="L309" i="12"/>
  <c r="M309" i="12" a="1"/>
  <c r="M309" i="12" s="1"/>
  <c r="A310" i="12"/>
  <c r="B310" i="12"/>
  <c r="C310" i="12" a="1"/>
  <c r="C310" i="12" s="1"/>
  <c r="D310" i="12" a="1"/>
  <c r="D310" i="12" s="1"/>
  <c r="E310" i="12" a="1"/>
  <c r="E310" i="12" s="1"/>
  <c r="F310" i="12" a="1"/>
  <c r="F310" i="12" s="1"/>
  <c r="G310" i="12" a="1"/>
  <c r="G310" i="12"/>
  <c r="H310" i="12" a="1"/>
  <c r="H310" i="12" s="1"/>
  <c r="I310" i="12" a="1"/>
  <c r="I310" i="12" s="1"/>
  <c r="K310" i="12" a="1"/>
  <c r="K310" i="12" s="1"/>
  <c r="L310" i="12" a="1"/>
  <c r="L310" i="12" s="1"/>
  <c r="M310" i="12" a="1"/>
  <c r="M310" i="12" s="1"/>
  <c r="A311" i="12"/>
  <c r="B311" i="12"/>
  <c r="C311" i="12" a="1"/>
  <c r="C311" i="12" s="1"/>
  <c r="D311" i="12" a="1"/>
  <c r="D311" i="12" s="1"/>
  <c r="E311" i="12" a="1"/>
  <c r="E311" i="12" s="1"/>
  <c r="F311" i="12" a="1"/>
  <c r="F311" i="12" s="1"/>
  <c r="G311" i="12" a="1"/>
  <c r="G311" i="12" s="1"/>
  <c r="H311" i="12" a="1"/>
  <c r="H311" i="12"/>
  <c r="I311" i="12" a="1"/>
  <c r="I311" i="12" s="1"/>
  <c r="K311" i="12" a="1"/>
  <c r="K311" i="12"/>
  <c r="L311" i="12" a="1"/>
  <c r="L311" i="12"/>
  <c r="M311" i="12" a="1"/>
  <c r="M311" i="12"/>
  <c r="A312" i="12"/>
  <c r="B312" i="12"/>
  <c r="C312" i="12" a="1"/>
  <c r="C312" i="12"/>
  <c r="D312" i="12" a="1"/>
  <c r="D312" i="12" s="1"/>
  <c r="E312" i="12" a="1"/>
  <c r="E312" i="12"/>
  <c r="F312" i="12" a="1"/>
  <c r="F312" i="12"/>
  <c r="G312" i="12" a="1"/>
  <c r="G312" i="12" s="1"/>
  <c r="H312" i="12" a="1"/>
  <c r="H312" i="12"/>
  <c r="I312" i="12" a="1"/>
  <c r="I312" i="12"/>
  <c r="K312" i="12" a="1"/>
  <c r="K312" i="12"/>
  <c r="L312" i="12" a="1"/>
  <c r="L312" i="12" s="1"/>
  <c r="M312" i="12" a="1"/>
  <c r="M312" i="12" s="1"/>
  <c r="A313" i="12"/>
  <c r="B313" i="12"/>
  <c r="C313" i="12" a="1"/>
  <c r="C313" i="12" s="1"/>
  <c r="D313" i="12" a="1"/>
  <c r="D313" i="12"/>
  <c r="E313" i="12" a="1"/>
  <c r="E313" i="12" s="1"/>
  <c r="F313" i="12" a="1"/>
  <c r="F313" i="12" s="1"/>
  <c r="G313" i="12" a="1"/>
  <c r="G313" i="12" s="1"/>
  <c r="H313" i="12" a="1"/>
  <c r="H313" i="12" s="1"/>
  <c r="I313" i="12" a="1"/>
  <c r="I313" i="12" s="1"/>
  <c r="K313" i="12" a="1"/>
  <c r="K313" i="12"/>
  <c r="L313" i="12" a="1"/>
  <c r="L313" i="12" s="1"/>
  <c r="M313" i="12" a="1"/>
  <c r="M313" i="12" s="1"/>
  <c r="A314" i="12"/>
  <c r="B314" i="12"/>
  <c r="C314" i="12" a="1"/>
  <c r="C314" i="12" s="1"/>
  <c r="D314" i="12" a="1"/>
  <c r="D314" i="12" s="1"/>
  <c r="E314" i="12" a="1"/>
  <c r="E314" i="12" s="1"/>
  <c r="F314" i="12" a="1"/>
  <c r="F314" i="12" s="1"/>
  <c r="G314" i="12" a="1"/>
  <c r="G314" i="12" s="1"/>
  <c r="H314" i="12" a="1"/>
  <c r="H314" i="12"/>
  <c r="I314" i="12" a="1"/>
  <c r="I314" i="12"/>
  <c r="K314" i="12" a="1"/>
  <c r="K314" i="12" s="1"/>
  <c r="L314" i="12" a="1"/>
  <c r="L314" i="12"/>
  <c r="M314" i="12" a="1"/>
  <c r="M314" i="12" s="1"/>
  <c r="A315" i="12"/>
  <c r="B315" i="12"/>
  <c r="C315" i="12" a="1"/>
  <c r="C315" i="12"/>
  <c r="D315" i="12" a="1"/>
  <c r="D315" i="12" s="1"/>
  <c r="E315" i="12" a="1"/>
  <c r="E315" i="12"/>
  <c r="F315" i="12" a="1"/>
  <c r="F315" i="12"/>
  <c r="G315" i="12" a="1"/>
  <c r="G315" i="12" s="1"/>
  <c r="H315" i="12" a="1"/>
  <c r="H315" i="12"/>
  <c r="I315" i="12" a="1"/>
  <c r="I315" i="12" s="1"/>
  <c r="K315" i="12" a="1"/>
  <c r="K315" i="12"/>
  <c r="L315" i="12" a="1"/>
  <c r="L315" i="12" s="1"/>
  <c r="M315" i="12" a="1"/>
  <c r="M315" i="12"/>
  <c r="A316" i="12"/>
  <c r="B316" i="12"/>
  <c r="C316" i="12" a="1"/>
  <c r="C316" i="12" s="1"/>
  <c r="D316" i="12" a="1"/>
  <c r="D316" i="12" s="1"/>
  <c r="E316" i="12" a="1"/>
  <c r="E316" i="12" s="1"/>
  <c r="F316" i="12" a="1"/>
  <c r="F316" i="12" s="1"/>
  <c r="G316" i="12" a="1"/>
  <c r="G316" i="12" s="1"/>
  <c r="H316" i="12" a="1"/>
  <c r="H316" i="12"/>
  <c r="I316" i="12" a="1"/>
  <c r="I316" i="12" s="1"/>
  <c r="K316" i="12" a="1"/>
  <c r="K316" i="12" s="1"/>
  <c r="L316" i="12" a="1"/>
  <c r="L316" i="12" s="1"/>
  <c r="M316" i="12" a="1"/>
  <c r="M316" i="12" s="1"/>
  <c r="A317" i="12"/>
  <c r="B317" i="12"/>
  <c r="C317" i="12" a="1"/>
  <c r="C317" i="12" s="1"/>
  <c r="D317" i="12" a="1"/>
  <c r="D317" i="12" s="1"/>
  <c r="E317" i="12" a="1"/>
  <c r="E317" i="12"/>
  <c r="F317" i="12" a="1"/>
  <c r="F317" i="12"/>
  <c r="G317" i="12" a="1"/>
  <c r="G317" i="12"/>
  <c r="H317" i="12" a="1"/>
  <c r="H317" i="12" s="1"/>
  <c r="I317" i="12" a="1"/>
  <c r="I317" i="12"/>
  <c r="K317" i="12" a="1"/>
  <c r="K317" i="12"/>
  <c r="L317" i="12" a="1"/>
  <c r="L317" i="12"/>
  <c r="M317" i="12" a="1"/>
  <c r="M317" i="12" s="1"/>
  <c r="A318" i="12"/>
  <c r="B318" i="12"/>
  <c r="C318" i="12" a="1"/>
  <c r="C318" i="12"/>
  <c r="D318" i="12" a="1"/>
  <c r="D318" i="12" s="1"/>
  <c r="J318" i="12" s="1" a="1"/>
  <c r="J318" i="12" s="1"/>
  <c r="E318" i="12" a="1"/>
  <c r="E318" i="12" s="1"/>
  <c r="F318" i="12" a="1"/>
  <c r="F318" i="12" s="1"/>
  <c r="G318" i="12" a="1"/>
  <c r="G318" i="12"/>
  <c r="H318" i="12" a="1"/>
  <c r="H318" i="12"/>
  <c r="I318" i="12" a="1"/>
  <c r="I318" i="12" s="1"/>
  <c r="K318" i="12" a="1"/>
  <c r="K318" i="12" s="1"/>
  <c r="L318" i="12" a="1"/>
  <c r="L318" i="12" s="1"/>
  <c r="M318" i="12" a="1"/>
  <c r="M318" i="12" s="1"/>
  <c r="A319" i="12"/>
  <c r="B319" i="12"/>
  <c r="C319" i="12" a="1"/>
  <c r="C319" i="12" s="1"/>
  <c r="D319" i="12" a="1"/>
  <c r="D319" i="12" s="1"/>
  <c r="E319" i="12" a="1"/>
  <c r="E319" i="12"/>
  <c r="F319" i="12" a="1"/>
  <c r="F319" i="12" s="1"/>
  <c r="G319" i="12" a="1"/>
  <c r="G319" i="12" s="1"/>
  <c r="H319" i="12" a="1"/>
  <c r="H319" i="12" s="1"/>
  <c r="I319" i="12" a="1"/>
  <c r="I319" i="12" s="1"/>
  <c r="K319" i="12" a="1"/>
  <c r="K319" i="12" s="1"/>
  <c r="L319" i="12" a="1"/>
  <c r="L319" i="12" s="1"/>
  <c r="M319" i="12" a="1"/>
  <c r="M319" i="12" s="1"/>
  <c r="A320" i="12"/>
  <c r="B320" i="12"/>
  <c r="C320" i="12" a="1"/>
  <c r="C320" i="12"/>
  <c r="J320" i="12" s="1" a="1"/>
  <c r="J320" i="12" s="1"/>
  <c r="D320" i="12" a="1"/>
  <c r="D320" i="12"/>
  <c r="E320" i="12" a="1"/>
  <c r="E320" i="12" s="1"/>
  <c r="F320" i="12" a="1"/>
  <c r="F320" i="12"/>
  <c r="G320" i="12" a="1"/>
  <c r="G320" i="12" s="1"/>
  <c r="H320" i="12" a="1"/>
  <c r="H320" i="12"/>
  <c r="I320" i="12" a="1"/>
  <c r="I320" i="12"/>
  <c r="K320" i="12" a="1"/>
  <c r="K320" i="12"/>
  <c r="L320" i="12" a="1"/>
  <c r="L320" i="12"/>
  <c r="M320" i="12" a="1"/>
  <c r="M320" i="12" s="1"/>
  <c r="A321" i="12"/>
  <c r="B321" i="12"/>
  <c r="C321" i="12" a="1"/>
  <c r="C321" i="12" s="1"/>
  <c r="D321" i="12" a="1"/>
  <c r="D321" i="12"/>
  <c r="E321" i="12" a="1"/>
  <c r="E321" i="12"/>
  <c r="F321" i="12" a="1"/>
  <c r="F321" i="12" s="1"/>
  <c r="G321" i="12" a="1"/>
  <c r="G321" i="12"/>
  <c r="H321" i="12" a="1"/>
  <c r="H321" i="12" s="1"/>
  <c r="I321" i="12" a="1"/>
  <c r="I321" i="12" s="1"/>
  <c r="K321" i="12" a="1"/>
  <c r="K321" i="12" s="1"/>
  <c r="L321" i="12" a="1"/>
  <c r="L321" i="12" s="1"/>
  <c r="M321" i="12" a="1"/>
  <c r="M321" i="12" s="1"/>
  <c r="A322" i="12"/>
  <c r="B322" i="12"/>
  <c r="C322" i="12" a="1"/>
  <c r="C322" i="12" s="1"/>
  <c r="D322" i="12" a="1"/>
  <c r="D322" i="12" s="1"/>
  <c r="E322" i="12" a="1"/>
  <c r="E322" i="12" s="1"/>
  <c r="F322" i="12" a="1"/>
  <c r="F322" i="12" s="1"/>
  <c r="G322" i="12" a="1"/>
  <c r="G322" i="12"/>
  <c r="H322" i="12" a="1"/>
  <c r="H322" i="12" s="1"/>
  <c r="I322" i="12" a="1"/>
  <c r="I322" i="12" s="1"/>
  <c r="K322" i="12" a="1"/>
  <c r="K322" i="12"/>
  <c r="L322" i="12" a="1"/>
  <c r="L322" i="12"/>
  <c r="M322" i="12" a="1"/>
  <c r="M322" i="12"/>
  <c r="A323" i="12"/>
  <c r="B323" i="12"/>
  <c r="C323" i="12" a="1"/>
  <c r="C323" i="12"/>
  <c r="D323" i="12" a="1"/>
  <c r="D323" i="12" s="1"/>
  <c r="E323" i="12" a="1"/>
  <c r="E323" i="12"/>
  <c r="F323" i="12" a="1"/>
  <c r="F323" i="12"/>
  <c r="G323" i="12" a="1"/>
  <c r="G323" i="12" s="1"/>
  <c r="H323" i="12" a="1"/>
  <c r="H323" i="12"/>
  <c r="I323" i="12" a="1"/>
  <c r="I323" i="12" s="1"/>
  <c r="K323" i="12" a="1"/>
  <c r="K323" i="12" s="1"/>
  <c r="L323" i="12" a="1"/>
  <c r="L323" i="12" s="1"/>
  <c r="M323" i="12" a="1"/>
  <c r="M323" i="12"/>
  <c r="A324" i="12"/>
  <c r="B324" i="12"/>
  <c r="C324" i="12" a="1"/>
  <c r="C324" i="12" s="1"/>
  <c r="D324" i="12" a="1"/>
  <c r="D324" i="12"/>
  <c r="E324" i="12" a="1"/>
  <c r="E324" i="12" s="1"/>
  <c r="F324" i="12" a="1"/>
  <c r="F324" i="12" s="1"/>
  <c r="G324" i="12" a="1"/>
  <c r="G324" i="12" s="1"/>
  <c r="H324" i="12" a="1"/>
  <c r="H324" i="12" s="1"/>
  <c r="I324" i="12" a="1"/>
  <c r="I324" i="12" s="1"/>
  <c r="K324" i="12" a="1"/>
  <c r="K324" i="12"/>
  <c r="L324" i="12" a="1"/>
  <c r="L324" i="12" s="1"/>
  <c r="M324" i="12" a="1"/>
  <c r="M324" i="12" s="1"/>
  <c r="A325" i="12"/>
  <c r="B325" i="12"/>
  <c r="C325" i="12" a="1"/>
  <c r="C325" i="12" s="1"/>
  <c r="J325" i="12" s="1" a="1"/>
  <c r="J325" i="12" s="1"/>
  <c r="D325" i="12" a="1"/>
  <c r="D325" i="12"/>
  <c r="E325" i="12" a="1"/>
  <c r="E325" i="12" s="1"/>
  <c r="F325" i="12" a="1"/>
  <c r="F325" i="12" s="1"/>
  <c r="G325" i="12" a="1"/>
  <c r="G325" i="12" s="1"/>
  <c r="H325" i="12" a="1"/>
  <c r="H325" i="12"/>
  <c r="I325" i="12" a="1"/>
  <c r="I325" i="12"/>
  <c r="K325" i="12" a="1"/>
  <c r="K325" i="12" s="1"/>
  <c r="L325" i="12" a="1"/>
  <c r="L325" i="12"/>
  <c r="M325" i="12" a="1"/>
  <c r="M325" i="12" s="1"/>
  <c r="A326" i="12"/>
  <c r="B326" i="12"/>
  <c r="C326" i="12" a="1"/>
  <c r="C326" i="12"/>
  <c r="D326" i="12" a="1"/>
  <c r="D326" i="12" s="1"/>
  <c r="E326" i="12" a="1"/>
  <c r="E326" i="12" s="1"/>
  <c r="F326" i="12" a="1"/>
  <c r="F326" i="12" s="1"/>
  <c r="G326" i="12" a="1"/>
  <c r="G326" i="12" s="1"/>
  <c r="H326" i="12" a="1"/>
  <c r="H326" i="12" s="1"/>
  <c r="I326" i="12" a="1"/>
  <c r="I326" i="12" s="1"/>
  <c r="K326" i="12" a="1"/>
  <c r="K326" i="12"/>
  <c r="L326" i="12" a="1"/>
  <c r="L326" i="12" s="1"/>
  <c r="M326" i="12" a="1"/>
  <c r="M326" i="12"/>
  <c r="A327" i="12"/>
  <c r="B327" i="12"/>
  <c r="C327" i="12" a="1"/>
  <c r="C327" i="12" s="1"/>
  <c r="J327" i="12" s="1" a="1"/>
  <c r="J327" i="12" s="1"/>
  <c r="D327" i="12" a="1"/>
  <c r="D327" i="12" s="1"/>
  <c r="E327" i="12" a="1"/>
  <c r="E327" i="12" s="1"/>
  <c r="F327" i="12" a="1"/>
  <c r="F327" i="12" s="1"/>
  <c r="G327" i="12" a="1"/>
  <c r="G327" i="12" s="1"/>
  <c r="H327" i="12" a="1"/>
  <c r="H327" i="12"/>
  <c r="I327" i="12" a="1"/>
  <c r="I327" i="12" s="1"/>
  <c r="K327" i="12" a="1"/>
  <c r="K327" i="12"/>
  <c r="L327" i="12" a="1"/>
  <c r="L327" i="12" s="1"/>
  <c r="M327" i="12" a="1"/>
  <c r="M327" i="12"/>
  <c r="A328" i="12"/>
  <c r="B328" i="12"/>
  <c r="C328" i="12" a="1"/>
  <c r="C328" i="12" s="1"/>
  <c r="D328" i="12" a="1"/>
  <c r="D328" i="12" s="1"/>
  <c r="E328" i="12" a="1"/>
  <c r="E328" i="12"/>
  <c r="F328" i="12" a="1"/>
  <c r="F328" i="12" s="1"/>
  <c r="G328" i="12" a="1"/>
  <c r="G328" i="12"/>
  <c r="H328" i="12" a="1"/>
  <c r="H328" i="12" s="1"/>
  <c r="I328" i="12" a="1"/>
  <c r="I328" i="12"/>
  <c r="K328" i="12" a="1"/>
  <c r="K328" i="12"/>
  <c r="L328" i="12" a="1"/>
  <c r="L328" i="12"/>
  <c r="M328" i="12" a="1"/>
  <c r="M328" i="12" s="1"/>
  <c r="A329" i="12"/>
  <c r="B329" i="12"/>
  <c r="C329" i="12" a="1"/>
  <c r="C329" i="12" s="1"/>
  <c r="D329" i="12" a="1"/>
  <c r="D329" i="12" s="1"/>
  <c r="E329" i="12" a="1"/>
  <c r="E329" i="12" s="1"/>
  <c r="F329" i="12" a="1"/>
  <c r="F329" i="12" s="1"/>
  <c r="G329" i="12" a="1"/>
  <c r="G329" i="12"/>
  <c r="H329" i="12" a="1"/>
  <c r="H329" i="12"/>
  <c r="I329" i="12" a="1"/>
  <c r="I329" i="12" s="1"/>
  <c r="K329" i="12" a="1"/>
  <c r="K329" i="12" s="1"/>
  <c r="L329" i="12" a="1"/>
  <c r="L329" i="12" s="1"/>
  <c r="M329" i="12" a="1"/>
  <c r="M329" i="12" s="1"/>
  <c r="A330" i="12"/>
  <c r="B330" i="12"/>
  <c r="C330" i="12" a="1"/>
  <c r="C330" i="12" s="1"/>
  <c r="D330" i="12" a="1"/>
  <c r="D330" i="12" s="1"/>
  <c r="E330" i="12" a="1"/>
  <c r="E330" i="12" s="1"/>
  <c r="F330" i="12" a="1"/>
  <c r="F330" i="12" s="1"/>
  <c r="G330" i="12" a="1"/>
  <c r="G330" i="12"/>
  <c r="H330" i="12" a="1"/>
  <c r="H330" i="12"/>
  <c r="I330" i="12" a="1"/>
  <c r="I330" i="12" s="1"/>
  <c r="K330" i="12" a="1"/>
  <c r="K330" i="12" s="1"/>
  <c r="L330" i="12" a="1"/>
  <c r="L330" i="12" s="1"/>
  <c r="M330" i="12" a="1"/>
  <c r="M330" i="12" s="1"/>
  <c r="A331" i="12"/>
  <c r="B331" i="12"/>
  <c r="C331" i="12" a="1"/>
  <c r="C331" i="12" s="1"/>
  <c r="J331" i="12" s="1" a="1"/>
  <c r="J331" i="12" s="1"/>
  <c r="D331" i="12" a="1"/>
  <c r="D331" i="12"/>
  <c r="E331" i="12" a="1"/>
  <c r="E331" i="12" s="1"/>
  <c r="F331" i="12" a="1"/>
  <c r="F331" i="12"/>
  <c r="G331" i="12" a="1"/>
  <c r="G331" i="12" s="1"/>
  <c r="H331" i="12" a="1"/>
  <c r="H331" i="12"/>
  <c r="I331" i="12" a="1"/>
  <c r="I331" i="12" s="1"/>
  <c r="K331" i="12" a="1"/>
  <c r="K331" i="12" s="1"/>
  <c r="L331" i="12" a="1"/>
  <c r="L331" i="12" s="1"/>
  <c r="M331" i="12" a="1"/>
  <c r="M331" i="12" s="1"/>
  <c r="A332" i="12"/>
  <c r="B332" i="12"/>
  <c r="C332" i="12" a="1"/>
  <c r="C332" i="12" s="1"/>
  <c r="D332" i="12" a="1"/>
  <c r="D332" i="12"/>
  <c r="E332" i="12" a="1"/>
  <c r="E332" i="12"/>
  <c r="F332" i="12" a="1"/>
  <c r="F332" i="12" s="1"/>
  <c r="G332" i="12" a="1"/>
  <c r="G332" i="12"/>
  <c r="H332" i="12" a="1"/>
  <c r="H332" i="12" s="1"/>
  <c r="I332" i="12" a="1"/>
  <c r="I332" i="12" s="1"/>
  <c r="K332" i="12" a="1"/>
  <c r="K332" i="12" s="1"/>
  <c r="L332" i="12" a="1"/>
  <c r="L332" i="12" s="1"/>
  <c r="M332" i="12" a="1"/>
  <c r="M332" i="12" s="1"/>
  <c r="A333" i="12"/>
  <c r="B333" i="12"/>
  <c r="C333" i="12" a="1"/>
  <c r="C333" i="12" s="1"/>
  <c r="J333" i="12" s="1" a="1"/>
  <c r="J333" i="12" s="1"/>
  <c r="D333" i="12" a="1"/>
  <c r="D333" i="12"/>
  <c r="E333" i="12" a="1"/>
  <c r="E333" i="12"/>
  <c r="F333" i="12" a="1"/>
  <c r="F333" i="12" s="1"/>
  <c r="G333" i="12" a="1"/>
  <c r="G333" i="12"/>
  <c r="H333" i="12" a="1"/>
  <c r="H333" i="12" s="1"/>
  <c r="I333" i="12" a="1"/>
  <c r="I333" i="12" s="1"/>
  <c r="K333" i="12" a="1"/>
  <c r="K333" i="12"/>
  <c r="L333" i="12" a="1"/>
  <c r="L333" i="12" s="1"/>
  <c r="M333" i="12" a="1"/>
  <c r="M333" i="12"/>
  <c r="A334" i="12"/>
  <c r="B334" i="12"/>
  <c r="C334" i="12" a="1"/>
  <c r="C334" i="12"/>
  <c r="D334" i="12" a="1"/>
  <c r="D334" i="12" s="1"/>
  <c r="E334" i="12" a="1"/>
  <c r="E334" i="12" s="1"/>
  <c r="F334" i="12" a="1"/>
  <c r="F334" i="12" s="1"/>
  <c r="J334" i="12" s="1" a="1"/>
  <c r="J334" i="12" s="1"/>
  <c r="G334" i="12" a="1"/>
  <c r="G334" i="12"/>
  <c r="H334" i="12" a="1"/>
  <c r="H334" i="12" s="1"/>
  <c r="I334" i="12" a="1"/>
  <c r="I334" i="12" s="1"/>
  <c r="K334" i="12" a="1"/>
  <c r="K334" i="12" s="1"/>
  <c r="L334" i="12" a="1"/>
  <c r="L334" i="12" s="1"/>
  <c r="M334" i="12" a="1"/>
  <c r="M334" i="12"/>
  <c r="A335" i="12"/>
  <c r="B335" i="12"/>
  <c r="C335" i="12" a="1"/>
  <c r="C335" i="12" s="1"/>
  <c r="D335" i="12" a="1"/>
  <c r="D335" i="12"/>
  <c r="E335" i="12" a="1"/>
  <c r="E335" i="12" s="1"/>
  <c r="F335" i="12" a="1"/>
  <c r="F335" i="12" s="1"/>
  <c r="G335" i="12" a="1"/>
  <c r="G335" i="12" s="1"/>
  <c r="H335" i="12" a="1"/>
  <c r="H335" i="12" s="1"/>
  <c r="I335" i="12" a="1"/>
  <c r="I335" i="12" s="1"/>
  <c r="K335" i="12" a="1"/>
  <c r="K335" i="12"/>
  <c r="L335" i="12" a="1"/>
  <c r="L335" i="12" s="1"/>
  <c r="M335" i="12" a="1"/>
  <c r="M335" i="12"/>
  <c r="A336" i="12"/>
  <c r="B336" i="12"/>
  <c r="C336" i="12" a="1"/>
  <c r="C336" i="12" s="1"/>
  <c r="D336" i="12" a="1"/>
  <c r="D336" i="12"/>
  <c r="E336" i="12" a="1"/>
  <c r="E336" i="12" s="1"/>
  <c r="F336" i="12" a="1"/>
  <c r="F336" i="12" s="1"/>
  <c r="G336" i="12" a="1"/>
  <c r="G336" i="12" s="1"/>
  <c r="H336" i="12" a="1"/>
  <c r="H336" i="12"/>
  <c r="I336" i="12" a="1"/>
  <c r="I336" i="12" s="1"/>
  <c r="K336" i="12" a="1"/>
  <c r="K336" i="12" s="1"/>
  <c r="L336" i="12" a="1"/>
  <c r="L336" i="12"/>
  <c r="M336" i="12" a="1"/>
  <c r="M336" i="12" s="1"/>
  <c r="A337" i="12"/>
  <c r="B337" i="12"/>
  <c r="C337" i="12" a="1"/>
  <c r="C337" i="12" s="1"/>
  <c r="D337" i="12" a="1"/>
  <c r="D337" i="12"/>
  <c r="E337" i="12" a="1"/>
  <c r="E337" i="12" s="1"/>
  <c r="F337" i="12" a="1"/>
  <c r="F337" i="12" s="1"/>
  <c r="G337" i="12" a="1"/>
  <c r="G337" i="12" s="1"/>
  <c r="H337" i="12" a="1"/>
  <c r="H337" i="12" s="1"/>
  <c r="I337" i="12" a="1"/>
  <c r="I337" i="12" s="1"/>
  <c r="K337" i="12" a="1"/>
  <c r="K337" i="12"/>
  <c r="L337" i="12" a="1"/>
  <c r="L337" i="12" s="1"/>
  <c r="M337" i="12" a="1"/>
  <c r="M337" i="12"/>
  <c r="A338" i="12"/>
  <c r="B338" i="12"/>
  <c r="C338" i="12" a="1"/>
  <c r="C338" i="12" s="1"/>
  <c r="D338" i="12" a="1"/>
  <c r="D338" i="12" s="1"/>
  <c r="E338" i="12" a="1"/>
  <c r="E338" i="12" s="1"/>
  <c r="F338" i="12" a="1"/>
  <c r="F338" i="12" s="1"/>
  <c r="G338" i="12" a="1"/>
  <c r="G338" i="12"/>
  <c r="H338" i="12" a="1"/>
  <c r="H338" i="12"/>
  <c r="I338" i="12" a="1"/>
  <c r="I338" i="12" s="1"/>
  <c r="K338" i="12" a="1"/>
  <c r="K338" i="12"/>
  <c r="L338" i="12" a="1"/>
  <c r="L338" i="12" s="1"/>
  <c r="M338" i="12" a="1"/>
  <c r="M338" i="12"/>
  <c r="A339" i="12"/>
  <c r="B339" i="12"/>
  <c r="C339" i="12" a="1"/>
  <c r="C339" i="12" s="1"/>
  <c r="D339" i="12" a="1"/>
  <c r="D339" i="12" s="1"/>
  <c r="E339" i="12" a="1"/>
  <c r="E339" i="12"/>
  <c r="F339" i="12" a="1"/>
  <c r="F339" i="12" s="1"/>
  <c r="G339" i="12" a="1"/>
  <c r="G339" i="12"/>
  <c r="H339" i="12" a="1"/>
  <c r="H339" i="12" s="1"/>
  <c r="I339" i="12" a="1"/>
  <c r="I339" i="12" s="1"/>
  <c r="K339" i="12" a="1"/>
  <c r="K339" i="12" s="1"/>
  <c r="L339" i="12" a="1"/>
  <c r="L339" i="12" s="1"/>
  <c r="M339" i="12" a="1"/>
  <c r="M339" i="12"/>
  <c r="A340" i="12"/>
  <c r="B340" i="12"/>
  <c r="C340" i="12" a="1"/>
  <c r="C340" i="12" s="1"/>
  <c r="D340" i="12" a="1"/>
  <c r="D340" i="12" s="1"/>
  <c r="E340" i="12" a="1"/>
  <c r="E340" i="12" s="1"/>
  <c r="F340" i="12" a="1"/>
  <c r="F340" i="12" s="1"/>
  <c r="G340" i="12" a="1"/>
  <c r="G340" i="12"/>
  <c r="H340" i="12" a="1"/>
  <c r="H340" i="12"/>
  <c r="I340" i="12" a="1"/>
  <c r="I340" i="12" s="1"/>
  <c r="K340" i="12" a="1"/>
  <c r="K340" i="12" s="1"/>
  <c r="L340" i="12" a="1"/>
  <c r="L340" i="12" s="1"/>
  <c r="M340" i="12" a="1"/>
  <c r="M340" i="12" s="1"/>
  <c r="A341" i="12"/>
  <c r="B341" i="12"/>
  <c r="C341" i="12" a="1"/>
  <c r="C341" i="12" s="1"/>
  <c r="D341" i="12" a="1"/>
  <c r="D341" i="12"/>
  <c r="E341" i="12" a="1"/>
  <c r="E341" i="12"/>
  <c r="F341" i="12" a="1"/>
  <c r="F341" i="12" s="1"/>
  <c r="G341" i="12" a="1"/>
  <c r="G341" i="12"/>
  <c r="H341" i="12" a="1"/>
  <c r="H341" i="12"/>
  <c r="I341" i="12" a="1"/>
  <c r="I341" i="12" s="1"/>
  <c r="K341" i="12" a="1"/>
  <c r="K341" i="12" s="1"/>
  <c r="L341" i="12" a="1"/>
  <c r="L341" i="12" s="1"/>
  <c r="M341" i="12" a="1"/>
  <c r="M341" i="12" s="1"/>
  <c r="A342" i="12"/>
  <c r="B342" i="12"/>
  <c r="C342" i="12" a="1"/>
  <c r="C342" i="12" s="1"/>
  <c r="J342" i="12" s="1" a="1"/>
  <c r="J342" i="12" s="1"/>
  <c r="D342" i="12" a="1"/>
  <c r="D342" i="12"/>
  <c r="E342" i="12" a="1"/>
  <c r="E342" i="12" s="1"/>
  <c r="F342" i="12" a="1"/>
  <c r="F342" i="12" s="1"/>
  <c r="G342" i="12" a="1"/>
  <c r="G342" i="12"/>
  <c r="H342" i="12" a="1"/>
  <c r="H342" i="12" s="1"/>
  <c r="I342" i="12" a="1"/>
  <c r="I342" i="12" s="1"/>
  <c r="K342" i="12" a="1"/>
  <c r="K342" i="12"/>
  <c r="L342" i="12" a="1"/>
  <c r="L342" i="12" s="1"/>
  <c r="M342" i="12" a="1"/>
  <c r="M342" i="12" s="1"/>
  <c r="A343" i="12"/>
  <c r="B343" i="12"/>
  <c r="C343" i="12" a="1"/>
  <c r="C343" i="12" s="1"/>
  <c r="D343" i="12" a="1"/>
  <c r="D343" i="12"/>
  <c r="E343" i="12" a="1"/>
  <c r="E343" i="12"/>
  <c r="F343" i="12" a="1"/>
  <c r="F343" i="12" s="1"/>
  <c r="G343" i="12" a="1"/>
  <c r="G343" i="12"/>
  <c r="H343" i="12" a="1"/>
  <c r="H343" i="12" s="1"/>
  <c r="I343" i="12" a="1"/>
  <c r="I343" i="12" s="1"/>
  <c r="K343" i="12" a="1"/>
  <c r="K343" i="12"/>
  <c r="L343" i="12" a="1"/>
  <c r="L343" i="12" s="1"/>
  <c r="M343" i="12" a="1"/>
  <c r="M343" i="12"/>
  <c r="A344" i="12"/>
  <c r="B344" i="12"/>
  <c r="C344" i="12" a="1"/>
  <c r="C344" i="12" s="1"/>
  <c r="D344" i="12" a="1"/>
  <c r="D344" i="12"/>
  <c r="E344" i="12" a="1"/>
  <c r="E344" i="12"/>
  <c r="F344" i="12" a="1"/>
  <c r="F344" i="12" s="1"/>
  <c r="G344" i="12" a="1"/>
  <c r="G344" i="12"/>
  <c r="H344" i="12" a="1"/>
  <c r="H344" i="12" s="1"/>
  <c r="I344" i="12" a="1"/>
  <c r="I344" i="12" s="1"/>
  <c r="K344" i="12" a="1"/>
  <c r="K344" i="12"/>
  <c r="L344" i="12" a="1"/>
  <c r="L344" i="12" s="1"/>
  <c r="M344" i="12" a="1"/>
  <c r="M344" i="12" s="1"/>
  <c r="A345" i="12"/>
  <c r="B345" i="12"/>
  <c r="C345" i="12" a="1"/>
  <c r="C345" i="12" s="1"/>
  <c r="D345" i="12" a="1"/>
  <c r="D345" i="12"/>
  <c r="E345" i="12" a="1"/>
  <c r="E345" i="12" s="1"/>
  <c r="F345" i="12" a="1"/>
  <c r="F345" i="12" s="1"/>
  <c r="G345" i="12" a="1"/>
  <c r="G345" i="12"/>
  <c r="H345" i="12" a="1"/>
  <c r="H345" i="12"/>
  <c r="I345" i="12" a="1"/>
  <c r="I345" i="12" s="1"/>
  <c r="J345" i="12" a="1"/>
  <c r="J345" i="12" s="1"/>
  <c r="K345" i="12" a="1"/>
  <c r="K345" i="12" s="1"/>
  <c r="L345" i="12" a="1"/>
  <c r="L345" i="12" s="1"/>
  <c r="M345" i="12" a="1"/>
  <c r="M345" i="12"/>
  <c r="A346" i="12"/>
  <c r="B346" i="12"/>
  <c r="C346" i="12" a="1"/>
  <c r="C346" i="12" s="1"/>
  <c r="D346" i="12" a="1"/>
  <c r="D346" i="12"/>
  <c r="E346" i="12" a="1"/>
  <c r="E346" i="12" s="1"/>
  <c r="F346" i="12" a="1"/>
  <c r="F346" i="12"/>
  <c r="G346" i="12" a="1"/>
  <c r="G346" i="12"/>
  <c r="H346" i="12" a="1"/>
  <c r="H346" i="12"/>
  <c r="I346" i="12" a="1"/>
  <c r="I346" i="12" s="1"/>
  <c r="K346" i="12" a="1"/>
  <c r="K346" i="12"/>
  <c r="L346" i="12" a="1"/>
  <c r="L346" i="12" s="1"/>
  <c r="M346" i="12" a="1"/>
  <c r="M346" i="12"/>
  <c r="A347" i="12"/>
  <c r="B347" i="12"/>
  <c r="C347" i="12" a="1"/>
  <c r="C347" i="12" s="1"/>
  <c r="D347" i="12" a="1"/>
  <c r="D347" i="12"/>
  <c r="E347" i="12" a="1"/>
  <c r="E347" i="12" s="1"/>
  <c r="F347" i="12" a="1"/>
  <c r="F347" i="12" s="1"/>
  <c r="J347" i="12" s="1" a="1"/>
  <c r="J347" i="12" s="1"/>
  <c r="G347" i="12" a="1"/>
  <c r="G347" i="12" s="1"/>
  <c r="H347" i="12" a="1"/>
  <c r="H347" i="12"/>
  <c r="I347" i="12" a="1"/>
  <c r="I347" i="12" s="1"/>
  <c r="K347" i="12" a="1"/>
  <c r="K347" i="12" s="1"/>
  <c r="L347" i="12" a="1"/>
  <c r="L347" i="12" s="1"/>
  <c r="M347" i="12" a="1"/>
  <c r="M347" i="12" s="1"/>
  <c r="A348" i="12"/>
  <c r="B348" i="12"/>
  <c r="C348" i="12" a="1"/>
  <c r="C348" i="12" s="1"/>
  <c r="D348" i="12" a="1"/>
  <c r="D348" i="12"/>
  <c r="E348" i="12" a="1"/>
  <c r="E348" i="12" s="1"/>
  <c r="F348" i="12" a="1"/>
  <c r="F348" i="12" s="1"/>
  <c r="G348" i="12" a="1"/>
  <c r="G348" i="12" s="1"/>
  <c r="H348" i="12" a="1"/>
  <c r="H348" i="12" s="1"/>
  <c r="I348" i="12" a="1"/>
  <c r="I348" i="12" s="1"/>
  <c r="K348" i="12" a="1"/>
  <c r="K348" i="12"/>
  <c r="L348" i="12" a="1"/>
  <c r="L348" i="12" s="1"/>
  <c r="M348" i="12" a="1"/>
  <c r="M348" i="12" s="1"/>
  <c r="A349" i="12"/>
  <c r="B349" i="12"/>
  <c r="C349" i="12" a="1"/>
  <c r="C349" i="12"/>
  <c r="D349" i="12" a="1"/>
  <c r="D349" i="12"/>
  <c r="E349" i="12" a="1"/>
  <c r="E349" i="12"/>
  <c r="F349" i="12" a="1"/>
  <c r="F349" i="12" s="1"/>
  <c r="G349" i="12" a="1"/>
  <c r="G349" i="12"/>
  <c r="H349" i="12" a="1"/>
  <c r="H349" i="12"/>
  <c r="I349" i="12" a="1"/>
  <c r="I349" i="12" s="1"/>
  <c r="K349" i="12" a="1"/>
  <c r="K349" i="12"/>
  <c r="L349" i="12" a="1"/>
  <c r="L349" i="12" s="1"/>
  <c r="M349" i="12" a="1"/>
  <c r="M349" i="12"/>
  <c r="A350" i="12"/>
  <c r="B350" i="12"/>
  <c r="C350" i="12" a="1"/>
  <c r="C350" i="12" s="1"/>
  <c r="J350" i="12" s="1" a="1"/>
  <c r="J350" i="12" s="1"/>
  <c r="D350" i="12" a="1"/>
  <c r="D350" i="12" s="1"/>
  <c r="E350" i="12" a="1"/>
  <c r="E350" i="12" s="1"/>
  <c r="F350" i="12" a="1"/>
  <c r="F350" i="12"/>
  <c r="G350" i="12" a="1"/>
  <c r="G350" i="12" s="1"/>
  <c r="H350" i="12" a="1"/>
  <c r="H350" i="12" s="1"/>
  <c r="I350" i="12" a="1"/>
  <c r="I350" i="12" s="1"/>
  <c r="K350" i="12" a="1"/>
  <c r="K350" i="12" s="1"/>
  <c r="L350" i="12" a="1"/>
  <c r="L350" i="12" s="1"/>
  <c r="M350" i="12" a="1"/>
  <c r="M350" i="12"/>
  <c r="A351" i="12"/>
  <c r="B351" i="12"/>
  <c r="C351" i="12" a="1"/>
  <c r="C351" i="12" s="1"/>
  <c r="D351" i="12" a="1"/>
  <c r="D351" i="12" s="1"/>
  <c r="E351" i="12" a="1"/>
  <c r="E351" i="12" s="1"/>
  <c r="F351" i="12" a="1"/>
  <c r="F351" i="12" s="1"/>
  <c r="G351" i="12" a="1"/>
  <c r="G351" i="12"/>
  <c r="H351" i="12" a="1"/>
  <c r="H351" i="12"/>
  <c r="I351" i="12" a="1"/>
  <c r="I351" i="12" s="1"/>
  <c r="K351" i="12" a="1"/>
  <c r="K351" i="12" s="1"/>
  <c r="L351" i="12" a="1"/>
  <c r="L351" i="12"/>
  <c r="M351" i="12" a="1"/>
  <c r="M351" i="12"/>
  <c r="A352" i="12"/>
  <c r="B352" i="12"/>
  <c r="C352" i="12" a="1"/>
  <c r="C352" i="12" s="1"/>
  <c r="J352" i="12" s="1" a="1"/>
  <c r="J352" i="12" s="1"/>
  <c r="D352" i="12" a="1"/>
  <c r="D352" i="12"/>
  <c r="E352" i="12" a="1"/>
  <c r="E352" i="12"/>
  <c r="F352" i="12" a="1"/>
  <c r="F352" i="12" s="1"/>
  <c r="G352" i="12" a="1"/>
  <c r="G352" i="12"/>
  <c r="H352" i="12" a="1"/>
  <c r="H352" i="12"/>
  <c r="I352" i="12" a="1"/>
  <c r="I352" i="12" s="1"/>
  <c r="K352" i="12" a="1"/>
  <c r="K352" i="12" s="1"/>
  <c r="L352" i="12" a="1"/>
  <c r="L352" i="12" s="1"/>
  <c r="M352" i="12" a="1"/>
  <c r="M352" i="12" s="1"/>
  <c r="A353" i="12"/>
  <c r="B353" i="12"/>
  <c r="C353" i="12" a="1"/>
  <c r="C353" i="12" s="1"/>
  <c r="D353" i="12" a="1"/>
  <c r="D353" i="12" s="1"/>
  <c r="E353" i="12" a="1"/>
  <c r="E353" i="12" s="1"/>
  <c r="F353" i="12" a="1"/>
  <c r="F353" i="12" s="1"/>
  <c r="G353" i="12" a="1"/>
  <c r="G353" i="12" s="1"/>
  <c r="H353" i="12" a="1"/>
  <c r="H353" i="12" s="1"/>
  <c r="I353" i="12" a="1"/>
  <c r="I353" i="12" s="1"/>
  <c r="K353" i="12" a="1"/>
  <c r="K353" i="12"/>
  <c r="L353" i="12" a="1"/>
  <c r="L353" i="12" s="1"/>
  <c r="M353" i="12" a="1"/>
  <c r="M353" i="12" s="1"/>
  <c r="A354" i="12"/>
  <c r="B354" i="12"/>
  <c r="C354" i="12" a="1"/>
  <c r="C354" i="12" s="1"/>
  <c r="D354" i="12" a="1"/>
  <c r="D354" i="12"/>
  <c r="E354" i="12" a="1"/>
  <c r="E354" i="12" s="1"/>
  <c r="F354" i="12" a="1"/>
  <c r="F354" i="12" s="1"/>
  <c r="G354" i="12" a="1"/>
  <c r="G354" i="12"/>
  <c r="H354" i="12" a="1"/>
  <c r="H354" i="12"/>
  <c r="I354" i="12" a="1"/>
  <c r="I354" i="12"/>
  <c r="K354" i="12" a="1"/>
  <c r="K354" i="12"/>
  <c r="L354" i="12" a="1"/>
  <c r="L354" i="12" s="1"/>
  <c r="M354" i="12" a="1"/>
  <c r="M354" i="12"/>
  <c r="A355" i="12"/>
  <c r="B355" i="12"/>
  <c r="C355" i="12" a="1"/>
  <c r="C355" i="12" s="1"/>
  <c r="J355" i="12" s="1" a="1"/>
  <c r="J355" i="12" s="1"/>
  <c r="D355" i="12" a="1"/>
  <c r="D355" i="12"/>
  <c r="E355" i="12" a="1"/>
  <c r="E355" i="12"/>
  <c r="F355" i="12" a="1"/>
  <c r="F355" i="12" s="1"/>
  <c r="G355" i="12" a="1"/>
  <c r="G355" i="12"/>
  <c r="H355" i="12" a="1"/>
  <c r="H355" i="12" s="1"/>
  <c r="I355" i="12" a="1"/>
  <c r="I355" i="12" s="1"/>
  <c r="K355" i="12" a="1"/>
  <c r="K355" i="12" s="1"/>
  <c r="L355" i="12" a="1"/>
  <c r="L355" i="12" s="1"/>
  <c r="M355" i="12" a="1"/>
  <c r="M355" i="12" s="1"/>
  <c r="A356" i="12"/>
  <c r="B356" i="12"/>
  <c r="C356" i="12" a="1"/>
  <c r="C356" i="12" s="1"/>
  <c r="D356" i="12" a="1"/>
  <c r="D356" i="12" s="1"/>
  <c r="J356" i="12" s="1" a="1"/>
  <c r="J356" i="12" s="1"/>
  <c r="E356" i="12" a="1"/>
  <c r="E356" i="12" s="1"/>
  <c r="F356" i="12" a="1"/>
  <c r="F356" i="12" s="1"/>
  <c r="G356" i="12" a="1"/>
  <c r="G356" i="12"/>
  <c r="H356" i="12" a="1"/>
  <c r="H356" i="12"/>
  <c r="I356" i="12" a="1"/>
  <c r="I356" i="12" s="1"/>
  <c r="K356" i="12" a="1"/>
  <c r="K356" i="12"/>
  <c r="L356" i="12" a="1"/>
  <c r="L356" i="12"/>
  <c r="M356" i="12" a="1"/>
  <c r="M356" i="12" s="1"/>
  <c r="A357" i="12"/>
  <c r="B357" i="12"/>
  <c r="C357" i="12" a="1"/>
  <c r="C357" i="12" s="1"/>
  <c r="D357" i="12" a="1"/>
  <c r="D357" i="12"/>
  <c r="E357" i="12" a="1"/>
  <c r="E357" i="12"/>
  <c r="F357" i="12" a="1"/>
  <c r="F357" i="12"/>
  <c r="G357" i="12" a="1"/>
  <c r="G357" i="12"/>
  <c r="H357" i="12" a="1"/>
  <c r="H357" i="12"/>
  <c r="I357" i="12" a="1"/>
  <c r="I357" i="12" s="1"/>
  <c r="K357" i="12" a="1"/>
  <c r="K357" i="12"/>
  <c r="L357" i="12" a="1"/>
  <c r="L357" i="12" s="1"/>
  <c r="M357" i="12" a="1"/>
  <c r="M357" i="12"/>
  <c r="A358" i="12"/>
  <c r="B358" i="12"/>
  <c r="C358" i="12" a="1"/>
  <c r="C358" i="12" s="1"/>
  <c r="D358" i="12" a="1"/>
  <c r="D358" i="12"/>
  <c r="E358" i="12" a="1"/>
  <c r="E358" i="12" s="1"/>
  <c r="J358" i="12" s="1" a="1"/>
  <c r="J358" i="12" s="1"/>
  <c r="F358" i="12" a="1"/>
  <c r="F358" i="12"/>
  <c r="G358" i="12" a="1"/>
  <c r="G358" i="12"/>
  <c r="H358" i="12" a="1"/>
  <c r="H358" i="12" s="1"/>
  <c r="I358" i="12" a="1"/>
  <c r="I358" i="12" s="1"/>
  <c r="K358" i="12" a="1"/>
  <c r="K358" i="12" s="1"/>
  <c r="L358" i="12" a="1"/>
  <c r="L358" i="12" s="1"/>
  <c r="M358" i="12" a="1"/>
  <c r="M358" i="12"/>
  <c r="A359" i="12"/>
  <c r="B359" i="12"/>
  <c r="C359" i="12" a="1"/>
  <c r="C359" i="12" s="1"/>
  <c r="J359" i="12" s="1" a="1"/>
  <c r="J359" i="12" s="1"/>
  <c r="D359" i="12" a="1"/>
  <c r="D359" i="12"/>
  <c r="E359" i="12" a="1"/>
  <c r="E359" i="12" s="1"/>
  <c r="F359" i="12" a="1"/>
  <c r="F359" i="12" s="1"/>
  <c r="G359" i="12" a="1"/>
  <c r="G359" i="12" s="1"/>
  <c r="H359" i="12" a="1"/>
  <c r="H359" i="12"/>
  <c r="I359" i="12" a="1"/>
  <c r="I359" i="12" s="1"/>
  <c r="K359" i="12" a="1"/>
  <c r="K359" i="12" s="1"/>
  <c r="L359" i="12" a="1"/>
  <c r="L359" i="12" s="1"/>
  <c r="M359" i="12" a="1"/>
  <c r="M359" i="12"/>
  <c r="A360" i="12"/>
  <c r="B360" i="12"/>
  <c r="C360" i="12" a="1"/>
  <c r="C360" i="12"/>
  <c r="D360" i="12" a="1"/>
  <c r="D360" i="12"/>
  <c r="E360" i="12" a="1"/>
  <c r="E360" i="12"/>
  <c r="F360" i="12" a="1"/>
  <c r="F360" i="12" s="1"/>
  <c r="G360" i="12" a="1"/>
  <c r="G360" i="12"/>
  <c r="H360" i="12" a="1"/>
  <c r="H360" i="12"/>
  <c r="I360" i="12" a="1"/>
  <c r="I360" i="12" s="1"/>
  <c r="K360" i="12" a="1"/>
  <c r="K360" i="12"/>
  <c r="L360" i="12" a="1"/>
  <c r="L360" i="12" s="1"/>
  <c r="M360" i="12" a="1"/>
  <c r="M360" i="12" s="1"/>
  <c r="A361" i="12"/>
  <c r="B361" i="12"/>
  <c r="C361" i="12" a="1"/>
  <c r="C361" i="12" s="1"/>
  <c r="J361" i="12" s="1" a="1"/>
  <c r="J361" i="12" s="1"/>
  <c r="D361" i="12" a="1"/>
  <c r="D361" i="12"/>
  <c r="E361" i="12" a="1"/>
  <c r="E361" i="12" s="1"/>
  <c r="F361" i="12" a="1"/>
  <c r="F361" i="12" s="1"/>
  <c r="G361" i="12" a="1"/>
  <c r="G361" i="12"/>
  <c r="H361" i="12" a="1"/>
  <c r="H361" i="12" s="1"/>
  <c r="I361" i="12" a="1"/>
  <c r="I361" i="12" s="1"/>
  <c r="K361" i="12" a="1"/>
  <c r="K361" i="12" s="1"/>
  <c r="L361" i="12" a="1"/>
  <c r="L361" i="12" s="1"/>
  <c r="M361" i="12" a="1"/>
  <c r="M361" i="12" s="1"/>
  <c r="A362" i="12"/>
  <c r="B362" i="12"/>
  <c r="C362" i="12" a="1"/>
  <c r="C362" i="12" s="1"/>
  <c r="D362" i="12" a="1"/>
  <c r="D362" i="12" s="1"/>
  <c r="E362" i="12" a="1"/>
  <c r="E362" i="12" s="1"/>
  <c r="F362" i="12" a="1"/>
  <c r="F362" i="12"/>
  <c r="G362" i="12" a="1"/>
  <c r="G362" i="12" s="1"/>
  <c r="H362" i="12" a="1"/>
  <c r="H362" i="12" s="1"/>
  <c r="I362" i="12" a="1"/>
  <c r="I362" i="12" s="1"/>
  <c r="K362" i="12" a="1"/>
  <c r="K362" i="12"/>
  <c r="L362" i="12" a="1"/>
  <c r="L362" i="12" s="1"/>
  <c r="M362" i="12" a="1"/>
  <c r="M362" i="12"/>
  <c r="A363" i="12"/>
  <c r="B363" i="12"/>
  <c r="C363" i="12" a="1"/>
  <c r="C363" i="12" s="1"/>
  <c r="D363" i="12" a="1"/>
  <c r="D363" i="12"/>
  <c r="E363" i="12" a="1"/>
  <c r="E363" i="12"/>
  <c r="F363" i="12" a="1"/>
  <c r="F363" i="12" s="1"/>
  <c r="G363" i="12" a="1"/>
  <c r="G363" i="12"/>
  <c r="H363" i="12" a="1"/>
  <c r="H363" i="12"/>
  <c r="I363" i="12" a="1"/>
  <c r="I363" i="12" s="1"/>
  <c r="K363" i="12" a="1"/>
  <c r="K363" i="12"/>
  <c r="L363" i="12" a="1"/>
  <c r="L363" i="12" s="1"/>
  <c r="M363" i="12" a="1"/>
  <c r="M363" i="12"/>
  <c r="A364" i="12"/>
  <c r="B364" i="12"/>
  <c r="C364" i="12" a="1"/>
  <c r="C364" i="12"/>
  <c r="J364" i="12" s="1" a="1"/>
  <c r="J364" i="12" s="1"/>
  <c r="D364" i="12" a="1"/>
  <c r="D364" i="12" s="1"/>
  <c r="E364" i="12" a="1"/>
  <c r="E364" i="12"/>
  <c r="F364" i="12" a="1"/>
  <c r="F364" i="12" s="1"/>
  <c r="G364" i="12" a="1"/>
  <c r="G364" i="12"/>
  <c r="H364" i="12" a="1"/>
  <c r="H364" i="12" s="1"/>
  <c r="I364" i="12" a="1"/>
  <c r="I364" i="12" s="1"/>
  <c r="K364" i="12" a="1"/>
  <c r="K364" i="12"/>
  <c r="L364" i="12" a="1"/>
  <c r="L364" i="12" s="1"/>
  <c r="M364" i="12" a="1"/>
  <c r="M364" i="12" s="1"/>
  <c r="A365" i="12"/>
  <c r="B365" i="12"/>
  <c r="C365" i="12" a="1"/>
  <c r="C365" i="12"/>
  <c r="J365" i="12" s="1" a="1"/>
  <c r="J365" i="12" s="1"/>
  <c r="D365" i="12" a="1"/>
  <c r="D365" i="12" s="1"/>
  <c r="E365" i="12" a="1"/>
  <c r="E365" i="12" s="1"/>
  <c r="F365" i="12" a="1"/>
  <c r="F365" i="12" s="1"/>
  <c r="G365" i="12" a="1"/>
  <c r="G365" i="12"/>
  <c r="H365" i="12" a="1"/>
  <c r="H365" i="12" s="1"/>
  <c r="I365" i="12" a="1"/>
  <c r="I365" i="12"/>
  <c r="K365" i="12" a="1"/>
  <c r="K365" i="12"/>
  <c r="L365" i="12" a="1"/>
  <c r="L365" i="12" s="1"/>
  <c r="M365" i="12" a="1"/>
  <c r="M365" i="12"/>
  <c r="A366" i="12"/>
  <c r="B366" i="12"/>
  <c r="C366" i="12" a="1"/>
  <c r="C366" i="12" s="1"/>
  <c r="D366" i="12" a="1"/>
  <c r="D366" i="12"/>
  <c r="E366" i="12" a="1"/>
  <c r="E366" i="12" s="1"/>
  <c r="F366" i="12" a="1"/>
  <c r="F366" i="12" s="1"/>
  <c r="G366" i="12" a="1"/>
  <c r="G366" i="12"/>
  <c r="H366" i="12" a="1"/>
  <c r="H366" i="12"/>
  <c r="I366" i="12" a="1"/>
  <c r="I366" i="12" s="1"/>
  <c r="K366" i="12" a="1"/>
  <c r="K366" i="12" s="1"/>
  <c r="L366" i="12" a="1"/>
  <c r="L366" i="12"/>
  <c r="M366" i="12" a="1"/>
  <c r="M366" i="12"/>
  <c r="A367" i="12"/>
  <c r="B367" i="12"/>
  <c r="C367" i="12" a="1"/>
  <c r="C367" i="12" s="1"/>
  <c r="D367" i="12" a="1"/>
  <c r="D367" i="12" s="1"/>
  <c r="E367" i="12" a="1"/>
  <c r="E367" i="12" s="1"/>
  <c r="F367" i="12" a="1"/>
  <c r="F367" i="12" s="1"/>
  <c r="G367" i="12" a="1"/>
  <c r="G367" i="12" s="1"/>
  <c r="H367" i="12" a="1"/>
  <c r="H367" i="12"/>
  <c r="I367" i="12" a="1"/>
  <c r="I367" i="12" s="1"/>
  <c r="K367" i="12" a="1"/>
  <c r="K367" i="12"/>
  <c r="L367" i="12" a="1"/>
  <c r="L367" i="12"/>
  <c r="M367" i="12" a="1"/>
  <c r="M367" i="12" s="1"/>
  <c r="A368" i="12"/>
  <c r="B368" i="12"/>
  <c r="C368" i="12" a="1"/>
  <c r="C368" i="12"/>
  <c r="D368" i="12" a="1"/>
  <c r="D368" i="12"/>
  <c r="E368" i="12" a="1"/>
  <c r="E368" i="12"/>
  <c r="F368" i="12" a="1"/>
  <c r="F368" i="12" s="1"/>
  <c r="G368" i="12" a="1"/>
  <c r="G368" i="12" s="1"/>
  <c r="H368" i="12" a="1"/>
  <c r="H368" i="12"/>
  <c r="I368" i="12" a="1"/>
  <c r="I368" i="12" s="1"/>
  <c r="K368" i="12" a="1"/>
  <c r="K368" i="12"/>
  <c r="L368" i="12" a="1"/>
  <c r="L368" i="12" s="1"/>
  <c r="M368" i="12" a="1"/>
  <c r="M368" i="12" s="1"/>
  <c r="A369" i="12"/>
  <c r="B369" i="12"/>
  <c r="C369" i="12" a="1"/>
  <c r="C369" i="12"/>
  <c r="J369" i="12" s="1" a="1"/>
  <c r="J369" i="12" s="1"/>
  <c r="D369" i="12" a="1"/>
  <c r="D369" i="12" s="1"/>
  <c r="E369" i="12" a="1"/>
  <c r="E369" i="12" s="1"/>
  <c r="F369" i="12" a="1"/>
  <c r="F369" i="12"/>
  <c r="G369" i="12" a="1"/>
  <c r="G369" i="12"/>
  <c r="H369" i="12" a="1"/>
  <c r="H369" i="12" s="1"/>
  <c r="I369" i="12" a="1"/>
  <c r="I369" i="12"/>
  <c r="K369" i="12" a="1"/>
  <c r="K369" i="12"/>
  <c r="L369" i="12" a="1"/>
  <c r="L369" i="12" s="1"/>
  <c r="M369" i="12" a="1"/>
  <c r="M369" i="12" s="1"/>
  <c r="A370" i="12"/>
  <c r="B370" i="12"/>
  <c r="C370" i="12" a="1"/>
  <c r="C370" i="12" s="1"/>
  <c r="J370" i="12" s="1" a="1"/>
  <c r="J370" i="12" s="1"/>
  <c r="D370" i="12" a="1"/>
  <c r="D370" i="12"/>
  <c r="E370" i="12" a="1"/>
  <c r="E370" i="12" s="1"/>
  <c r="F370" i="12" a="1"/>
  <c r="F370" i="12"/>
  <c r="G370" i="12" a="1"/>
  <c r="G370" i="12"/>
  <c r="H370" i="12" a="1"/>
  <c r="H370" i="12"/>
  <c r="I370" i="12" a="1"/>
  <c r="I370" i="12" s="1"/>
  <c r="K370" i="12" a="1"/>
  <c r="K370" i="12" s="1"/>
  <c r="L370" i="12" a="1"/>
  <c r="L370" i="12"/>
  <c r="M370" i="12" a="1"/>
  <c r="M370" i="12"/>
  <c r="A371" i="12"/>
  <c r="B371" i="12"/>
  <c r="C371" i="12" a="1"/>
  <c r="C371" i="12" s="1"/>
  <c r="D371" i="12" a="1"/>
  <c r="D371" i="12" s="1"/>
  <c r="E371" i="12" a="1"/>
  <c r="E371" i="12"/>
  <c r="F371" i="12" a="1"/>
  <c r="F371" i="12"/>
  <c r="G371" i="12" a="1"/>
  <c r="G371" i="12"/>
  <c r="H371" i="12" a="1"/>
  <c r="H371" i="12"/>
  <c r="I371" i="12" a="1"/>
  <c r="I371" i="12" s="1"/>
  <c r="K371" i="12" a="1"/>
  <c r="K371" i="12" s="1"/>
  <c r="L371" i="12" a="1"/>
  <c r="L371" i="12" s="1"/>
  <c r="M371" i="12" a="1"/>
  <c r="M371" i="12" s="1"/>
  <c r="A372" i="12"/>
  <c r="B372" i="12"/>
  <c r="C372" i="12" a="1"/>
  <c r="C372" i="12" s="1"/>
  <c r="J372" i="12" s="1" a="1"/>
  <c r="J372" i="12" s="1"/>
  <c r="D372" i="12" a="1"/>
  <c r="D372" i="12"/>
  <c r="E372" i="12" a="1"/>
  <c r="E372" i="12" s="1"/>
  <c r="F372" i="12" a="1"/>
  <c r="F372" i="12"/>
  <c r="G372" i="12" a="1"/>
  <c r="G372" i="12" s="1"/>
  <c r="H372" i="12" a="1"/>
  <c r="H372" i="12" s="1"/>
  <c r="I372" i="12" a="1"/>
  <c r="I372" i="12" s="1"/>
  <c r="K372" i="12" a="1"/>
  <c r="K372" i="12"/>
  <c r="L372" i="12" a="1"/>
  <c r="L372" i="12" s="1"/>
  <c r="M372" i="12" a="1"/>
  <c r="M372" i="12" s="1"/>
  <c r="A373" i="12"/>
  <c r="B373" i="12"/>
  <c r="C373" i="12" a="1"/>
  <c r="C373" i="12"/>
  <c r="D373" i="12" a="1"/>
  <c r="D373" i="12"/>
  <c r="E373" i="12" a="1"/>
  <c r="E373" i="12" s="1"/>
  <c r="F373" i="12" a="1"/>
  <c r="F373" i="12"/>
  <c r="G373" i="12" a="1"/>
  <c r="G373" i="12" s="1"/>
  <c r="H373" i="12" a="1"/>
  <c r="H373" i="12"/>
  <c r="I373" i="12" a="1"/>
  <c r="I373" i="12" s="1"/>
  <c r="K373" i="12" a="1"/>
  <c r="K373" i="12"/>
  <c r="L373" i="12" a="1"/>
  <c r="L373" i="12" s="1"/>
  <c r="M373" i="12" a="1"/>
  <c r="M373" i="12"/>
  <c r="A374" i="12"/>
  <c r="B374" i="12"/>
  <c r="C374" i="12" a="1"/>
  <c r="C374" i="12" s="1"/>
  <c r="J374" i="12" s="1" a="1"/>
  <c r="J374" i="12" s="1"/>
  <c r="D374" i="12" a="1"/>
  <c r="D374" i="12"/>
  <c r="E374" i="12" a="1"/>
  <c r="E374" i="12" s="1"/>
  <c r="F374" i="12" a="1"/>
  <c r="F374" i="12"/>
  <c r="G374" i="12" a="1"/>
  <c r="G374" i="12"/>
  <c r="H374" i="12" a="1"/>
  <c r="H374" i="12" s="1"/>
  <c r="I374" i="12" a="1"/>
  <c r="I374" i="12" s="1"/>
  <c r="K374" i="12" a="1"/>
  <c r="K374" i="12"/>
  <c r="L374" i="12" a="1"/>
  <c r="L374" i="12" s="1"/>
  <c r="M374" i="12" a="1"/>
  <c r="M374" i="12"/>
  <c r="A375" i="12"/>
  <c r="B375" i="12"/>
  <c r="C375" i="12" a="1"/>
  <c r="C375" i="12" s="1"/>
  <c r="D375" i="12" a="1"/>
  <c r="D375" i="12"/>
  <c r="E375" i="12" a="1"/>
  <c r="E375" i="12" s="1"/>
  <c r="F375" i="12" a="1"/>
  <c r="F375" i="12" s="1"/>
  <c r="G375" i="12" a="1"/>
  <c r="G375" i="12" s="1"/>
  <c r="H375" i="12" a="1"/>
  <c r="H375" i="12" s="1"/>
  <c r="I375" i="12" a="1"/>
  <c r="I375" i="12" s="1"/>
  <c r="K375" i="12" a="1"/>
  <c r="K375" i="12" s="1"/>
  <c r="L375" i="12" a="1"/>
  <c r="L375" i="12" s="1"/>
  <c r="M375" i="12" a="1"/>
  <c r="M375" i="12" s="1"/>
  <c r="A376" i="12"/>
  <c r="B376" i="12"/>
  <c r="C376" i="12" a="1"/>
  <c r="C376" i="12"/>
  <c r="D376" i="12" a="1"/>
  <c r="D376" i="12" s="1"/>
  <c r="E376" i="12" a="1"/>
  <c r="E376" i="12"/>
  <c r="F376" i="12" a="1"/>
  <c r="F376" i="12" s="1"/>
  <c r="G376" i="12" a="1"/>
  <c r="G376" i="12" s="1"/>
  <c r="H376" i="12" a="1"/>
  <c r="H376" i="12" s="1"/>
  <c r="I376" i="12" a="1"/>
  <c r="I376" i="12" s="1"/>
  <c r="K376" i="12" a="1"/>
  <c r="K376" i="12" s="1"/>
  <c r="L376" i="12" a="1"/>
  <c r="L376" i="12" s="1"/>
  <c r="M376" i="12" a="1"/>
  <c r="M376" i="12" s="1"/>
  <c r="A377" i="12"/>
  <c r="B377" i="12"/>
  <c r="C377" i="12" a="1"/>
  <c r="C377" i="12"/>
  <c r="D377" i="12" a="1"/>
  <c r="D377" i="12" s="1"/>
  <c r="E377" i="12" a="1"/>
  <c r="E377" i="12" s="1"/>
  <c r="F377" i="12" a="1"/>
  <c r="F377" i="12" s="1"/>
  <c r="G377" i="12" a="1"/>
  <c r="G377" i="12"/>
  <c r="H377" i="12" a="1"/>
  <c r="H377" i="12" s="1"/>
  <c r="I377" i="12" a="1"/>
  <c r="I377" i="12" s="1"/>
  <c r="K377" i="12" a="1"/>
  <c r="K377" i="12"/>
  <c r="L377" i="12" a="1"/>
  <c r="L377" i="12" s="1"/>
  <c r="M377" i="12" a="1"/>
  <c r="M377" i="12" s="1"/>
  <c r="A378" i="12"/>
  <c r="B378" i="12"/>
  <c r="C378" i="12" a="1"/>
  <c r="C378" i="12" s="1"/>
  <c r="D378" i="12" a="1"/>
  <c r="D378" i="12" s="1"/>
  <c r="E378" i="12" a="1"/>
  <c r="E378" i="12" s="1"/>
  <c r="F378" i="12" a="1"/>
  <c r="F378" i="12" s="1"/>
  <c r="G378" i="12" a="1"/>
  <c r="G378" i="12"/>
  <c r="H378" i="12" a="1"/>
  <c r="H378" i="12" s="1"/>
  <c r="I378" i="12" a="1"/>
  <c r="I378" i="12" s="1"/>
  <c r="K378" i="12" a="1"/>
  <c r="K378" i="12" s="1"/>
  <c r="L378" i="12" a="1"/>
  <c r="L378" i="12" s="1"/>
  <c r="M378" i="12" a="1"/>
  <c r="M378" i="12" s="1"/>
  <c r="A379" i="12"/>
  <c r="B379" i="12"/>
  <c r="C379" i="12" a="1"/>
  <c r="C379" i="12"/>
  <c r="D379" i="12" a="1"/>
  <c r="D379" i="12" s="1"/>
  <c r="J379" i="12" s="1" a="1"/>
  <c r="J379" i="12" s="1"/>
  <c r="E379" i="12" a="1"/>
  <c r="E379" i="12"/>
  <c r="F379" i="12" a="1"/>
  <c r="F379" i="12"/>
  <c r="G379" i="12" a="1"/>
  <c r="G379" i="12" s="1"/>
  <c r="H379" i="12" a="1"/>
  <c r="H379" i="12"/>
  <c r="I379" i="12" a="1"/>
  <c r="I379" i="12" s="1"/>
  <c r="K379" i="12" a="1"/>
  <c r="K379" i="12" s="1"/>
  <c r="L379" i="12" a="1"/>
  <c r="L379" i="12"/>
  <c r="M379" i="12" a="1"/>
  <c r="M379" i="12"/>
  <c r="A380" i="12"/>
  <c r="B380" i="12"/>
  <c r="C380" i="12" a="1"/>
  <c r="C380" i="12"/>
  <c r="J380" i="12" s="1" a="1"/>
  <c r="J380" i="12" s="1"/>
  <c r="D380" i="12" a="1"/>
  <c r="D380" i="12" s="1"/>
  <c r="E380" i="12" a="1"/>
  <c r="E380" i="12"/>
  <c r="F380" i="12" a="1"/>
  <c r="F380" i="12" s="1"/>
  <c r="G380" i="12" a="1"/>
  <c r="G380" i="12" s="1"/>
  <c r="H380" i="12" a="1"/>
  <c r="H380" i="12"/>
  <c r="I380" i="12" a="1"/>
  <c r="I380" i="12" s="1"/>
  <c r="K380" i="12" a="1"/>
  <c r="K380" i="12"/>
  <c r="L380" i="12" a="1"/>
  <c r="L380" i="12" s="1"/>
  <c r="M380" i="12" a="1"/>
  <c r="M380" i="12" s="1"/>
  <c r="A381" i="12"/>
  <c r="B381" i="12"/>
  <c r="C381" i="12" a="1"/>
  <c r="C381" i="12" s="1"/>
  <c r="D381" i="12" a="1"/>
  <c r="D381" i="12" s="1"/>
  <c r="E381" i="12" a="1"/>
  <c r="E381" i="12" s="1"/>
  <c r="F381" i="12" a="1"/>
  <c r="F381" i="12"/>
  <c r="G381" i="12" a="1"/>
  <c r="G381" i="12"/>
  <c r="H381" i="12" a="1"/>
  <c r="H381" i="12"/>
  <c r="I381" i="12" a="1"/>
  <c r="I381" i="12" s="1"/>
  <c r="K381" i="12" a="1"/>
  <c r="K381" i="12"/>
  <c r="L381" i="12" a="1"/>
  <c r="L381" i="12" s="1"/>
  <c r="M381" i="12" a="1"/>
  <c r="M381" i="12"/>
  <c r="A382" i="12"/>
  <c r="B382" i="12"/>
  <c r="C382" i="12" a="1"/>
  <c r="C382" i="12"/>
  <c r="D382" i="12" a="1"/>
  <c r="D382" i="12"/>
  <c r="E382" i="12" a="1"/>
  <c r="E382" i="12" s="1"/>
  <c r="J382" i="12" s="1" a="1"/>
  <c r="J382" i="12" s="1"/>
  <c r="F382" i="12" a="1"/>
  <c r="F382" i="12" s="1"/>
  <c r="G382" i="12" a="1"/>
  <c r="G382" i="12" s="1"/>
  <c r="H382" i="12" a="1"/>
  <c r="H382" i="12" s="1"/>
  <c r="I382" i="12" a="1"/>
  <c r="I382" i="12" s="1"/>
  <c r="K382" i="12" a="1"/>
  <c r="K382" i="12"/>
  <c r="L382" i="12" a="1"/>
  <c r="L382" i="12"/>
  <c r="M382" i="12" a="1"/>
  <c r="M382" i="12" s="1"/>
  <c r="A383" i="12"/>
  <c r="B383" i="12"/>
  <c r="C383" i="12" a="1"/>
  <c r="C383" i="12" s="1"/>
  <c r="D383" i="12" a="1"/>
  <c r="D383" i="12"/>
  <c r="E383" i="12" a="1"/>
  <c r="E383" i="12"/>
  <c r="F383" i="12" a="1"/>
  <c r="F383" i="12"/>
  <c r="G383" i="12" a="1"/>
  <c r="G383" i="12" s="1"/>
  <c r="H383" i="12" a="1"/>
  <c r="H383" i="12" s="1"/>
  <c r="I383" i="12" a="1"/>
  <c r="I383" i="12" s="1"/>
  <c r="K383" i="12" a="1"/>
  <c r="K383" i="12"/>
  <c r="L383" i="12" a="1"/>
  <c r="L383" i="12"/>
  <c r="M383" i="12" a="1"/>
  <c r="M383" i="12"/>
  <c r="A384" i="12"/>
  <c r="B384" i="12"/>
  <c r="C384" i="12" a="1"/>
  <c r="C384" i="12"/>
  <c r="D384" i="12" a="1"/>
  <c r="D384" i="12" s="1"/>
  <c r="E384" i="12" a="1"/>
  <c r="E384" i="12" s="1"/>
  <c r="F384" i="12" a="1"/>
  <c r="F384" i="12" s="1"/>
  <c r="G384" i="12" a="1"/>
  <c r="G384" i="12" s="1"/>
  <c r="H384" i="12" a="1"/>
  <c r="H384" i="12" s="1"/>
  <c r="I384" i="12" a="1"/>
  <c r="I384" i="12"/>
  <c r="K384" i="12" a="1"/>
  <c r="K384" i="12"/>
  <c r="L384" i="12" a="1"/>
  <c r="L384" i="12" s="1"/>
  <c r="M384" i="12" a="1"/>
  <c r="M384" i="12" s="1"/>
  <c r="A385" i="12"/>
  <c r="B385" i="12"/>
  <c r="C385" i="12" a="1"/>
  <c r="C385" i="12" s="1"/>
  <c r="D385" i="12" a="1"/>
  <c r="D385" i="12"/>
  <c r="E385" i="12" a="1"/>
  <c r="E385" i="12"/>
  <c r="F385" i="12" a="1"/>
  <c r="F385" i="12"/>
  <c r="G385" i="12" a="1"/>
  <c r="G385" i="12"/>
  <c r="H385" i="12" a="1"/>
  <c r="H385" i="12" s="1"/>
  <c r="I385" i="12" a="1"/>
  <c r="I385" i="12" s="1"/>
  <c r="K385" i="12" a="1"/>
  <c r="K385" i="12" s="1"/>
  <c r="L385" i="12" a="1"/>
  <c r="L385" i="12" s="1"/>
  <c r="M385" i="12" a="1"/>
  <c r="M385" i="12" s="1"/>
  <c r="A386" i="12"/>
  <c r="B386" i="12"/>
  <c r="C386" i="12" a="1"/>
  <c r="C386" i="12" s="1"/>
  <c r="D386" i="12" a="1"/>
  <c r="D386" i="12"/>
  <c r="E386" i="12" a="1"/>
  <c r="E386" i="12" s="1"/>
  <c r="F386" i="12" a="1"/>
  <c r="F386" i="12"/>
  <c r="G386" i="12" a="1"/>
  <c r="G386" i="12" s="1"/>
  <c r="H386" i="12" a="1"/>
  <c r="H386" i="12" s="1"/>
  <c r="I386" i="12" a="1"/>
  <c r="I386" i="12" s="1"/>
  <c r="K386" i="12" a="1"/>
  <c r="K386" i="12"/>
  <c r="L386" i="12" a="1"/>
  <c r="L386" i="12"/>
  <c r="M386" i="12" a="1"/>
  <c r="M386" i="12" s="1"/>
  <c r="A387" i="12"/>
  <c r="B387" i="12"/>
  <c r="C387" i="12" a="1"/>
  <c r="C387" i="12" s="1"/>
  <c r="D387" i="12" a="1"/>
  <c r="D387" i="12" s="1"/>
  <c r="E387" i="12" a="1"/>
  <c r="E387" i="12" s="1"/>
  <c r="F387" i="12" a="1"/>
  <c r="F387" i="12"/>
  <c r="G387" i="12" a="1"/>
  <c r="G387" i="12" s="1"/>
  <c r="H387" i="12" a="1"/>
  <c r="H387" i="12"/>
  <c r="I387" i="12" a="1"/>
  <c r="I387" i="12" s="1"/>
  <c r="K387" i="12" a="1"/>
  <c r="K387" i="12" s="1"/>
  <c r="L387" i="12" a="1"/>
  <c r="L387" i="12"/>
  <c r="M387" i="12" a="1"/>
  <c r="M387" i="12" s="1"/>
  <c r="A388" i="12"/>
  <c r="B388" i="12"/>
  <c r="C388" i="12" a="1"/>
  <c r="C388" i="12" s="1"/>
  <c r="D388" i="12" a="1"/>
  <c r="D388" i="12" s="1"/>
  <c r="E388" i="12" a="1"/>
  <c r="E388" i="12"/>
  <c r="F388" i="12" a="1"/>
  <c r="F388" i="12" s="1"/>
  <c r="G388" i="12" a="1"/>
  <c r="G388" i="12" s="1"/>
  <c r="H388" i="12" a="1"/>
  <c r="H388" i="12" s="1"/>
  <c r="I388" i="12" a="1"/>
  <c r="I388" i="12" s="1"/>
  <c r="K388" i="12" a="1"/>
  <c r="K388" i="12"/>
  <c r="L388" i="12" a="1"/>
  <c r="L388" i="12" s="1"/>
  <c r="M388" i="12" a="1"/>
  <c r="M388" i="12" s="1"/>
  <c r="A389" i="12"/>
  <c r="B389" i="12"/>
  <c r="C389" i="12" a="1"/>
  <c r="C389" i="12" s="1"/>
  <c r="D389" i="12" a="1"/>
  <c r="D389" i="12" s="1"/>
  <c r="E389" i="12" a="1"/>
  <c r="E389" i="12"/>
  <c r="F389" i="12" a="1"/>
  <c r="F389" i="12" s="1"/>
  <c r="G389" i="12" a="1"/>
  <c r="G389" i="12" s="1"/>
  <c r="H389" i="12" a="1"/>
  <c r="H389" i="12" s="1"/>
  <c r="I389" i="12" a="1"/>
  <c r="I389" i="12" s="1"/>
  <c r="K389" i="12" a="1"/>
  <c r="K389" i="12" s="1"/>
  <c r="L389" i="12" a="1"/>
  <c r="L389" i="12" s="1"/>
  <c r="M389" i="12" a="1"/>
  <c r="M389" i="12" s="1"/>
  <c r="A390" i="12"/>
  <c r="B390" i="12"/>
  <c r="C390" i="12" a="1"/>
  <c r="C390" i="12" s="1"/>
  <c r="D390" i="12" a="1"/>
  <c r="D390" i="12"/>
  <c r="E390" i="12" a="1"/>
  <c r="E390" i="12" s="1"/>
  <c r="F390" i="12" a="1"/>
  <c r="F390" i="12" s="1"/>
  <c r="G390" i="12" a="1"/>
  <c r="G390" i="12"/>
  <c r="H390" i="12" a="1"/>
  <c r="H390" i="12" s="1"/>
  <c r="I390" i="12" a="1"/>
  <c r="I390" i="12" s="1"/>
  <c r="K390" i="12" a="1"/>
  <c r="K390" i="12" s="1"/>
  <c r="L390" i="12" a="1"/>
  <c r="L390" i="12" s="1"/>
  <c r="M390" i="12" a="1"/>
  <c r="M390" i="12" s="1"/>
  <c r="A391" i="12"/>
  <c r="B391" i="12"/>
  <c r="C391" i="12" a="1"/>
  <c r="C391" i="12"/>
  <c r="D391" i="12" a="1"/>
  <c r="D391" i="12"/>
  <c r="E391" i="12" a="1"/>
  <c r="E391" i="12"/>
  <c r="F391" i="12" a="1"/>
  <c r="F391" i="12"/>
  <c r="G391" i="12" a="1"/>
  <c r="G391" i="12"/>
  <c r="H391" i="12" a="1"/>
  <c r="H391" i="12" s="1"/>
  <c r="J391" i="12" s="1" a="1"/>
  <c r="J391" i="12" s="1"/>
  <c r="I391" i="12" a="1"/>
  <c r="I391" i="12" s="1"/>
  <c r="K391" i="12" a="1"/>
  <c r="K391" i="12"/>
  <c r="L391" i="12" a="1"/>
  <c r="L391" i="12"/>
  <c r="M391" i="12" a="1"/>
  <c r="M391" i="12"/>
  <c r="A392" i="12"/>
  <c r="B392" i="12"/>
  <c r="C392" i="12" a="1"/>
  <c r="C392" i="12" s="1"/>
  <c r="J392" i="12" s="1" a="1"/>
  <c r="J392" i="12" s="1"/>
  <c r="D392" i="12" a="1"/>
  <c r="D392" i="12"/>
  <c r="E392" i="12" a="1"/>
  <c r="E392" i="12"/>
  <c r="F392" i="12" a="1"/>
  <c r="F392" i="12" s="1"/>
  <c r="G392" i="12" a="1"/>
  <c r="G392" i="12" s="1"/>
  <c r="H392" i="12" a="1"/>
  <c r="H392" i="12" s="1"/>
  <c r="I392" i="12" a="1"/>
  <c r="I392" i="12"/>
  <c r="K392" i="12" a="1"/>
  <c r="K392" i="12"/>
  <c r="L392" i="12" a="1"/>
  <c r="L392" i="12"/>
  <c r="M392" i="12" a="1"/>
  <c r="M392" i="12" s="1"/>
  <c r="A393" i="12"/>
  <c r="B393" i="12"/>
  <c r="C393" i="12" a="1"/>
  <c r="C393" i="12" s="1"/>
  <c r="D393" i="12" a="1"/>
  <c r="D393" i="12"/>
  <c r="E393" i="12" a="1"/>
  <c r="E393" i="12"/>
  <c r="F393" i="12" a="1"/>
  <c r="F393" i="12"/>
  <c r="G393" i="12" a="1"/>
  <c r="G393" i="12" s="1"/>
  <c r="H393" i="12" a="1"/>
  <c r="H393" i="12" s="1"/>
  <c r="I393" i="12" a="1"/>
  <c r="I393" i="12" s="1"/>
  <c r="K393" i="12" a="1"/>
  <c r="K393" i="12" s="1"/>
  <c r="L393" i="12" a="1"/>
  <c r="L393" i="12" s="1"/>
  <c r="M393" i="12" a="1"/>
  <c r="M393" i="12" s="1"/>
  <c r="A394" i="12"/>
  <c r="B394" i="12"/>
  <c r="C394" i="12" a="1"/>
  <c r="C394" i="12"/>
  <c r="D394" i="12" a="1"/>
  <c r="D394" i="12" s="1"/>
  <c r="E394" i="12" a="1"/>
  <c r="E394" i="12" s="1"/>
  <c r="F394" i="12" a="1"/>
  <c r="F394" i="12" s="1"/>
  <c r="G394" i="12" a="1"/>
  <c r="G394" i="12"/>
  <c r="H394" i="12" a="1"/>
  <c r="H394" i="12" s="1"/>
  <c r="I394" i="12" a="1"/>
  <c r="I394" i="12"/>
  <c r="K394" i="12" a="1"/>
  <c r="K394" i="12"/>
  <c r="L394" i="12" a="1"/>
  <c r="L394" i="12" s="1"/>
  <c r="M394" i="12" a="1"/>
  <c r="M394" i="12" s="1"/>
  <c r="A395" i="12"/>
  <c r="B395" i="12"/>
  <c r="C395" i="12" a="1"/>
  <c r="C395" i="12"/>
  <c r="D395" i="12" a="1"/>
  <c r="D395" i="12"/>
  <c r="E395" i="12" a="1"/>
  <c r="E395" i="12"/>
  <c r="F395" i="12" a="1"/>
  <c r="F395" i="12"/>
  <c r="G395" i="12" a="1"/>
  <c r="G395" i="12" s="1"/>
  <c r="H395" i="12" a="1"/>
  <c r="H395" i="12" s="1"/>
  <c r="I395" i="12" a="1"/>
  <c r="I395" i="12" s="1"/>
  <c r="K395" i="12" a="1"/>
  <c r="K395" i="12" s="1"/>
  <c r="L395" i="12" a="1"/>
  <c r="L395" i="12"/>
  <c r="M395" i="12" a="1"/>
  <c r="M395" i="12"/>
  <c r="A396" i="12"/>
  <c r="B396" i="12"/>
  <c r="C396" i="12" a="1"/>
  <c r="C396" i="12" s="1"/>
  <c r="D396" i="12" a="1"/>
  <c r="D396" i="12" s="1"/>
  <c r="E396" i="12" a="1"/>
  <c r="E396" i="12"/>
  <c r="F396" i="12" a="1"/>
  <c r="F396" i="12" s="1"/>
  <c r="G396" i="12" a="1"/>
  <c r="G396" i="12" s="1"/>
  <c r="H396" i="12" a="1"/>
  <c r="H396" i="12"/>
  <c r="I396" i="12" a="1"/>
  <c r="I396" i="12"/>
  <c r="K396" i="12" a="1"/>
  <c r="K396" i="12"/>
  <c r="L396" i="12" a="1"/>
  <c r="L396" i="12" s="1"/>
  <c r="M396" i="12" a="1"/>
  <c r="M396" i="12" s="1"/>
  <c r="A397" i="12"/>
  <c r="B397" i="12"/>
  <c r="C397" i="12" a="1"/>
  <c r="C397" i="12"/>
  <c r="D397" i="12" a="1"/>
  <c r="D397" i="12" s="1"/>
  <c r="E397" i="12" a="1"/>
  <c r="E397" i="12"/>
  <c r="F397" i="12" a="1"/>
  <c r="F397" i="12"/>
  <c r="G397" i="12" a="1"/>
  <c r="G397" i="12"/>
  <c r="H397" i="12" a="1"/>
  <c r="H397" i="12" s="1"/>
  <c r="I397" i="12" a="1"/>
  <c r="I397" i="12" s="1"/>
  <c r="K397" i="12" a="1"/>
  <c r="K397" i="12" s="1"/>
  <c r="L397" i="12" a="1"/>
  <c r="L397" i="12" s="1"/>
  <c r="M397" i="12" a="1"/>
  <c r="M397" i="12"/>
  <c r="A398" i="12"/>
  <c r="B398" i="12"/>
  <c r="C398" i="12" a="1"/>
  <c r="C398" i="12"/>
  <c r="D398" i="12" a="1"/>
  <c r="D398" i="12" s="1"/>
  <c r="J398" i="12" s="1" a="1"/>
  <c r="J398" i="12" s="1"/>
  <c r="E398" i="12" a="1"/>
  <c r="E398" i="12" s="1"/>
  <c r="F398" i="12" a="1"/>
  <c r="F398" i="12"/>
  <c r="G398" i="12" a="1"/>
  <c r="G398" i="12" s="1"/>
  <c r="H398" i="12" a="1"/>
  <c r="H398" i="12" s="1"/>
  <c r="I398" i="12" a="1"/>
  <c r="I398" i="12" s="1"/>
  <c r="K398" i="12" a="1"/>
  <c r="K398" i="12"/>
  <c r="L398" i="12" a="1"/>
  <c r="L398" i="12" s="1"/>
  <c r="M398" i="12" a="1"/>
  <c r="M398" i="12" s="1"/>
  <c r="A399" i="12"/>
  <c r="B399" i="12"/>
  <c r="C399" i="12" a="1"/>
  <c r="C399" i="12"/>
  <c r="D399" i="12" a="1"/>
  <c r="D399" i="12" s="1"/>
  <c r="E399" i="12" a="1"/>
  <c r="E399" i="12" s="1"/>
  <c r="F399" i="12" a="1"/>
  <c r="F399" i="12" s="1"/>
  <c r="G399" i="12" a="1"/>
  <c r="G399" i="12" s="1"/>
  <c r="H399" i="12" a="1"/>
  <c r="H399" i="12"/>
  <c r="I399" i="12" a="1"/>
  <c r="I399" i="12" s="1"/>
  <c r="K399" i="12" a="1"/>
  <c r="K399" i="12" s="1"/>
  <c r="L399" i="12" a="1"/>
  <c r="L399" i="12"/>
  <c r="M399" i="12" a="1"/>
  <c r="M399" i="12"/>
  <c r="A400" i="12"/>
  <c r="B400" i="12"/>
  <c r="C400" i="12" a="1"/>
  <c r="C400" i="12" s="1"/>
  <c r="J400" i="12" s="1" a="1"/>
  <c r="J400" i="12" s="1"/>
  <c r="D400" i="12" a="1"/>
  <c r="D400" i="12"/>
  <c r="E400" i="12" a="1"/>
  <c r="E400" i="12"/>
  <c r="F400" i="12" a="1"/>
  <c r="F400" i="12" s="1"/>
  <c r="G400" i="12" a="1"/>
  <c r="G400" i="12" s="1"/>
  <c r="H400" i="12" a="1"/>
  <c r="H400" i="12"/>
  <c r="I400" i="12" a="1"/>
  <c r="I400" i="12" s="1"/>
  <c r="K400" i="12" a="1"/>
  <c r="K400" i="12" s="1"/>
  <c r="L400" i="12" a="1"/>
  <c r="L400" i="12" s="1"/>
  <c r="M400" i="12" a="1"/>
  <c r="M400" i="12" s="1"/>
  <c r="A401" i="12"/>
  <c r="B401" i="12"/>
  <c r="C401" i="12" a="1"/>
  <c r="C401" i="12" s="1"/>
  <c r="D401" i="12" a="1"/>
  <c r="D401" i="12" s="1"/>
  <c r="E401" i="12" a="1"/>
  <c r="E401" i="12"/>
  <c r="F401" i="12" a="1"/>
  <c r="F401" i="12"/>
  <c r="G401" i="12" a="1"/>
  <c r="G401" i="12"/>
  <c r="H401" i="12" a="1"/>
  <c r="H401" i="12" s="1"/>
  <c r="I401" i="12" a="1"/>
  <c r="I401" i="12"/>
  <c r="K401" i="12" a="1"/>
  <c r="K401" i="12" s="1"/>
  <c r="L401" i="12" a="1"/>
  <c r="L401" i="12" s="1"/>
  <c r="M401" i="12" a="1"/>
  <c r="M401" i="12"/>
  <c r="A402" i="12"/>
  <c r="B402" i="12"/>
  <c r="C402" i="12" a="1"/>
  <c r="C402" i="12" s="1"/>
  <c r="D402" i="12" a="1"/>
  <c r="D402" i="12" s="1"/>
  <c r="E402" i="12" a="1"/>
  <c r="E402" i="12" s="1"/>
  <c r="F402" i="12" a="1"/>
  <c r="F402" i="12"/>
  <c r="G402" i="12" a="1"/>
  <c r="G402" i="12" s="1"/>
  <c r="H402" i="12" a="1"/>
  <c r="H402" i="12" s="1"/>
  <c r="I402" i="12" a="1"/>
  <c r="I402" i="12" s="1"/>
  <c r="K402" i="12" a="1"/>
  <c r="K402" i="12" s="1"/>
  <c r="L402" i="12" a="1"/>
  <c r="L402" i="12"/>
  <c r="M402" i="12" a="1"/>
  <c r="M402" i="12" s="1"/>
  <c r="A403" i="12"/>
  <c r="B403" i="12"/>
  <c r="C403" i="12" a="1"/>
  <c r="C403" i="12"/>
  <c r="D403" i="12" a="1"/>
  <c r="D403" i="12"/>
  <c r="E403" i="12" a="1"/>
  <c r="E403" i="12"/>
  <c r="F403" i="12" a="1"/>
  <c r="F403" i="12" s="1"/>
  <c r="J403" i="12" s="1" a="1"/>
  <c r="J403" i="12" s="1"/>
  <c r="G403" i="12" a="1"/>
  <c r="G403" i="12" s="1"/>
  <c r="H403" i="12" a="1"/>
  <c r="H403" i="12"/>
  <c r="I403" i="12" a="1"/>
  <c r="I403" i="12" s="1"/>
  <c r="K403" i="12" a="1"/>
  <c r="K403" i="12"/>
  <c r="L403" i="12" a="1"/>
  <c r="L403" i="12"/>
  <c r="M403" i="12" a="1"/>
  <c r="M403" i="12"/>
  <c r="A404" i="12"/>
  <c r="B404" i="12"/>
  <c r="C404" i="12" a="1"/>
  <c r="C404" i="12"/>
  <c r="D404" i="12" a="1"/>
  <c r="D404" i="12" s="1"/>
  <c r="E404" i="12" a="1"/>
  <c r="E404" i="12"/>
  <c r="F404" i="12" a="1"/>
  <c r="F404" i="12" s="1"/>
  <c r="G404" i="12" a="1"/>
  <c r="G404" i="12"/>
  <c r="H404" i="12" a="1"/>
  <c r="H404" i="12"/>
  <c r="I404" i="12" a="1"/>
  <c r="I404" i="12"/>
  <c r="K404" i="12" a="1"/>
  <c r="K404" i="12" s="1"/>
  <c r="L404" i="12" a="1"/>
  <c r="L404" i="12" s="1"/>
  <c r="M404" i="12" a="1"/>
  <c r="M404" i="12" s="1"/>
  <c r="A405" i="12"/>
  <c r="B405" i="12"/>
  <c r="C405" i="12" a="1"/>
  <c r="C405" i="12" s="1"/>
  <c r="D405" i="12" a="1"/>
  <c r="D405" i="12" s="1"/>
  <c r="E405" i="12" a="1"/>
  <c r="E405" i="12"/>
  <c r="F405" i="12" a="1"/>
  <c r="F405" i="12"/>
  <c r="G405" i="12" a="1"/>
  <c r="G405" i="12" s="1"/>
  <c r="H405" i="12" a="1"/>
  <c r="H405" i="12" s="1"/>
  <c r="I405" i="12" a="1"/>
  <c r="I405" i="12" s="1"/>
  <c r="K405" i="12" a="1"/>
  <c r="K405" i="12" s="1"/>
  <c r="L405" i="12" a="1"/>
  <c r="L405" i="12"/>
  <c r="M405" i="12" a="1"/>
  <c r="M405" i="12"/>
  <c r="A406" i="12"/>
  <c r="B406" i="12"/>
  <c r="C406" i="12" a="1"/>
  <c r="C406" i="12" s="1"/>
  <c r="D406" i="12" a="1"/>
  <c r="D406" i="12" s="1"/>
  <c r="E406" i="12" a="1"/>
  <c r="E406" i="12" s="1"/>
  <c r="F406" i="12" a="1"/>
  <c r="F406" i="12" s="1"/>
  <c r="G406" i="12" a="1"/>
  <c r="G406" i="12" s="1"/>
  <c r="H406" i="12" a="1"/>
  <c r="H406" i="12" s="1"/>
  <c r="I406" i="12" a="1"/>
  <c r="I406" i="12" s="1"/>
  <c r="K406" i="12" a="1"/>
  <c r="K406" i="12"/>
  <c r="L406" i="12" a="1"/>
  <c r="L406" i="12" s="1"/>
  <c r="M406" i="12" a="1"/>
  <c r="M406" i="12" s="1"/>
  <c r="A407" i="12"/>
  <c r="B407" i="12"/>
  <c r="C407" i="12" a="1"/>
  <c r="C407" i="12"/>
  <c r="D407" i="12" a="1"/>
  <c r="D407" i="12"/>
  <c r="E407" i="12" a="1"/>
  <c r="E407" i="12"/>
  <c r="F407" i="12" a="1"/>
  <c r="F407" i="12" s="1"/>
  <c r="G407" i="12" a="1"/>
  <c r="G407" i="12" s="1"/>
  <c r="H407" i="12" a="1"/>
  <c r="H407" i="12"/>
  <c r="I407" i="12" a="1"/>
  <c r="I407" i="12" s="1"/>
  <c r="K407" i="12" a="1"/>
  <c r="K407" i="12"/>
  <c r="L407" i="12" a="1"/>
  <c r="L407" i="12"/>
  <c r="M407" i="12" a="1"/>
  <c r="M407" i="12"/>
  <c r="A408" i="12"/>
  <c r="B408" i="12"/>
  <c r="C408" i="12" a="1"/>
  <c r="C408" i="12" s="1"/>
  <c r="D408" i="12" a="1"/>
  <c r="D408" i="12" s="1"/>
  <c r="E408" i="12" a="1"/>
  <c r="E408" i="12"/>
  <c r="F408" i="12" a="1"/>
  <c r="F408" i="12" s="1"/>
  <c r="G408" i="12" a="1"/>
  <c r="G408" i="12" s="1"/>
  <c r="H408" i="12" a="1"/>
  <c r="H408" i="12"/>
  <c r="I408" i="12" a="1"/>
  <c r="I408" i="12"/>
  <c r="K408" i="12" a="1"/>
  <c r="K408" i="12" s="1"/>
  <c r="L408" i="12" a="1"/>
  <c r="L408" i="12" s="1"/>
  <c r="M408" i="12" a="1"/>
  <c r="M408" i="12" s="1"/>
  <c r="A409" i="12"/>
  <c r="B409" i="12"/>
  <c r="C409" i="12" a="1"/>
  <c r="C409" i="12" s="1"/>
  <c r="D409" i="12" a="1"/>
  <c r="D409" i="12"/>
  <c r="E409" i="12" a="1"/>
  <c r="E409" i="12"/>
  <c r="F409" i="12" a="1"/>
  <c r="F409" i="12"/>
  <c r="G409" i="12" a="1"/>
  <c r="G409" i="12" s="1"/>
  <c r="H409" i="12" a="1"/>
  <c r="H409" i="12" s="1"/>
  <c r="I409" i="12" a="1"/>
  <c r="I409" i="12" s="1"/>
  <c r="K409" i="12" a="1"/>
  <c r="K409" i="12"/>
  <c r="L409" i="12" a="1"/>
  <c r="L409" i="12" s="1"/>
  <c r="M409" i="12" a="1"/>
  <c r="M409" i="12"/>
  <c r="A410" i="12"/>
  <c r="B410" i="12"/>
  <c r="C410" i="12" a="1"/>
  <c r="C410" i="12"/>
  <c r="D410" i="12" a="1"/>
  <c r="D410" i="12" s="1"/>
  <c r="J410" i="12" s="1" a="1"/>
  <c r="J410" i="12" s="1"/>
  <c r="E410" i="12" a="1"/>
  <c r="E410" i="12" s="1"/>
  <c r="F410" i="12" a="1"/>
  <c r="F410" i="12"/>
  <c r="G410" i="12" a="1"/>
  <c r="G410" i="12" s="1"/>
  <c r="H410" i="12" a="1"/>
  <c r="H410" i="12" s="1"/>
  <c r="I410" i="12" a="1"/>
  <c r="I410" i="12"/>
  <c r="K410" i="12" a="1"/>
  <c r="K410" i="12"/>
  <c r="L410" i="12" a="1"/>
  <c r="L410" i="12" s="1"/>
  <c r="M410" i="12" a="1"/>
  <c r="M410" i="12" s="1"/>
  <c r="A411" i="12"/>
  <c r="B411" i="12"/>
  <c r="C411" i="12" a="1"/>
  <c r="C411" i="12"/>
  <c r="D411" i="12" a="1"/>
  <c r="D411" i="12"/>
  <c r="E411" i="12" a="1"/>
  <c r="E411" i="12"/>
  <c r="F411" i="12" a="1"/>
  <c r="F411" i="12" s="1"/>
  <c r="G411" i="12" a="1"/>
  <c r="G411" i="12"/>
  <c r="H411" i="12" a="1"/>
  <c r="H411" i="12"/>
  <c r="I411" i="12" a="1"/>
  <c r="I411" i="12" s="1"/>
  <c r="K411" i="12" a="1"/>
  <c r="K411" i="12"/>
  <c r="L411" i="12" a="1"/>
  <c r="L411" i="12"/>
  <c r="M411" i="12" a="1"/>
  <c r="M411" i="12"/>
  <c r="A412" i="12"/>
  <c r="B412" i="12"/>
  <c r="C412" i="12" a="1"/>
  <c r="C412" i="12" s="1"/>
  <c r="D412" i="12" a="1"/>
  <c r="D412" i="12" s="1"/>
  <c r="E412" i="12" a="1"/>
  <c r="E412" i="12"/>
  <c r="F412" i="12" a="1"/>
  <c r="F412" i="12" s="1"/>
  <c r="G412" i="12" a="1"/>
  <c r="G412" i="12" s="1"/>
  <c r="H412" i="12" a="1"/>
  <c r="H412" i="12"/>
  <c r="I412" i="12" a="1"/>
  <c r="I412" i="12"/>
  <c r="K412" i="12" a="1"/>
  <c r="K412" i="12" s="1"/>
  <c r="L412" i="12" a="1"/>
  <c r="L412" i="12"/>
  <c r="M412" i="12" a="1"/>
  <c r="M412" i="12" s="1"/>
  <c r="A413" i="12"/>
  <c r="B413" i="12"/>
  <c r="C413" i="12" a="1"/>
  <c r="C413" i="12" s="1"/>
  <c r="D413" i="12" a="1"/>
  <c r="D413" i="12"/>
  <c r="E413" i="12" a="1"/>
  <c r="E413" i="12"/>
  <c r="F413" i="12" a="1"/>
  <c r="F413" i="12" s="1"/>
  <c r="G413" i="12" a="1"/>
  <c r="G413" i="12" s="1"/>
  <c r="H413" i="12" a="1"/>
  <c r="H413" i="12" s="1"/>
  <c r="I413" i="12" a="1"/>
  <c r="I413" i="12" s="1"/>
  <c r="K413" i="12" a="1"/>
  <c r="K413" i="12" s="1"/>
  <c r="L413" i="12" a="1"/>
  <c r="L413" i="12" s="1"/>
  <c r="M413" i="12" a="1"/>
  <c r="M413" i="12"/>
  <c r="A414" i="12"/>
  <c r="B414" i="12"/>
  <c r="C414" i="12" a="1"/>
  <c r="C414" i="12"/>
  <c r="D414" i="12" a="1"/>
  <c r="D414" i="12" s="1"/>
  <c r="E414" i="12" a="1"/>
  <c r="E414" i="12" s="1"/>
  <c r="F414" i="12" a="1"/>
  <c r="F414" i="12"/>
  <c r="G414" i="12" a="1"/>
  <c r="G414" i="12" s="1"/>
  <c r="H414" i="12" a="1"/>
  <c r="H414" i="12" s="1"/>
  <c r="I414" i="12" a="1"/>
  <c r="I414" i="12"/>
  <c r="K414" i="12" a="1"/>
  <c r="K414" i="12" s="1"/>
  <c r="L414" i="12" a="1"/>
  <c r="L414" i="12" s="1"/>
  <c r="M414" i="12" a="1"/>
  <c r="M414" i="12" s="1"/>
  <c r="A415" i="12"/>
  <c r="B415" i="12"/>
  <c r="C415" i="12" a="1"/>
  <c r="C415" i="12"/>
  <c r="J415" i="12" s="1" a="1"/>
  <c r="J415" i="12" s="1"/>
  <c r="D415" i="12" a="1"/>
  <c r="D415" i="12"/>
  <c r="E415" i="12" a="1"/>
  <c r="E415" i="12"/>
  <c r="F415" i="12" a="1"/>
  <c r="F415" i="12"/>
  <c r="G415" i="12" a="1"/>
  <c r="G415" i="12" s="1"/>
  <c r="H415" i="12" a="1"/>
  <c r="H415" i="12"/>
  <c r="I415" i="12" a="1"/>
  <c r="I415" i="12" s="1"/>
  <c r="K415" i="12" a="1"/>
  <c r="K415" i="12"/>
  <c r="L415" i="12" a="1"/>
  <c r="L415" i="12"/>
  <c r="M415" i="12" a="1"/>
  <c r="M415" i="12"/>
  <c r="A416" i="12"/>
  <c r="B416" i="12"/>
  <c r="C416" i="12" a="1"/>
  <c r="C416" i="12" s="1"/>
  <c r="J416" i="12" s="1" a="1"/>
  <c r="J416" i="12" s="1"/>
  <c r="D416" i="12" a="1"/>
  <c r="D416" i="12"/>
  <c r="E416" i="12" a="1"/>
  <c r="E416" i="12"/>
  <c r="F416" i="12" a="1"/>
  <c r="F416" i="12" s="1"/>
  <c r="G416" i="12" a="1"/>
  <c r="G416" i="12" s="1"/>
  <c r="H416" i="12" a="1"/>
  <c r="H416" i="12"/>
  <c r="I416" i="12" a="1"/>
  <c r="I416" i="12"/>
  <c r="K416" i="12" a="1"/>
  <c r="K416" i="12"/>
  <c r="L416" i="12" a="1"/>
  <c r="L416" i="12" s="1"/>
  <c r="M416" i="12" a="1"/>
  <c r="M416" i="12" s="1"/>
  <c r="A417" i="12"/>
  <c r="B417" i="12"/>
  <c r="C417" i="12" a="1"/>
  <c r="C417" i="12"/>
  <c r="D417" i="12" a="1"/>
  <c r="D417" i="12"/>
  <c r="E417" i="12" a="1"/>
  <c r="E417" i="12"/>
  <c r="F417" i="12" a="1"/>
  <c r="F417" i="12"/>
  <c r="G417" i="12" a="1"/>
  <c r="G417" i="12" s="1"/>
  <c r="H417" i="12" a="1"/>
  <c r="H417" i="12" s="1"/>
  <c r="I417" i="12" a="1"/>
  <c r="I417" i="12"/>
  <c r="K417" i="12" a="1"/>
  <c r="K417" i="12" s="1"/>
  <c r="L417" i="12" a="1"/>
  <c r="L417" i="12" s="1"/>
  <c r="M417" i="12" a="1"/>
  <c r="M417" i="12"/>
  <c r="A418" i="12"/>
  <c r="B418" i="12"/>
  <c r="C418" i="12" a="1"/>
  <c r="C418" i="12"/>
  <c r="D418" i="12" a="1"/>
  <c r="D418" i="12"/>
  <c r="E418" i="12" a="1"/>
  <c r="E418" i="12" s="1"/>
  <c r="F418" i="12" a="1"/>
  <c r="F418" i="12"/>
  <c r="G418" i="12" a="1"/>
  <c r="G418" i="12" s="1"/>
  <c r="H418" i="12" a="1"/>
  <c r="H418" i="12"/>
  <c r="I418" i="12" a="1"/>
  <c r="I418" i="12"/>
  <c r="K418" i="12" a="1"/>
  <c r="K418" i="12"/>
  <c r="L418" i="12" a="1"/>
  <c r="L418" i="12" s="1"/>
  <c r="M418" i="12" a="1"/>
  <c r="M418" i="12" s="1"/>
  <c r="A419" i="12"/>
  <c r="B419" i="12"/>
  <c r="C419" i="12" a="1"/>
  <c r="C419" i="12"/>
  <c r="J419" i="12" s="1" a="1"/>
  <c r="J419" i="12" s="1"/>
  <c r="D419" i="12" a="1"/>
  <c r="D419" i="12"/>
  <c r="E419" i="12" a="1"/>
  <c r="E419" i="12"/>
  <c r="F419" i="12" a="1"/>
  <c r="F419" i="12" s="1"/>
  <c r="G419" i="12" a="1"/>
  <c r="G419" i="12" s="1"/>
  <c r="H419" i="12" a="1"/>
  <c r="H419" i="12"/>
  <c r="I419" i="12" a="1"/>
  <c r="I419" i="12" s="1"/>
  <c r="K419" i="12" a="1"/>
  <c r="K419" i="12"/>
  <c r="L419" i="12" a="1"/>
  <c r="L419" i="12"/>
  <c r="M419" i="12" a="1"/>
  <c r="M419" i="12"/>
  <c r="A420" i="12"/>
  <c r="B420" i="12"/>
  <c r="C420" i="12" a="1"/>
  <c r="C420" i="12" s="1"/>
  <c r="J420" i="12" s="1" a="1"/>
  <c r="J420" i="12" s="1"/>
  <c r="D420" i="12" a="1"/>
  <c r="D420" i="12"/>
  <c r="E420" i="12" a="1"/>
  <c r="E420" i="12"/>
  <c r="F420" i="12" a="1"/>
  <c r="F420" i="12" s="1"/>
  <c r="G420" i="12" a="1"/>
  <c r="G420" i="12"/>
  <c r="H420" i="12" a="1"/>
  <c r="H420" i="12"/>
  <c r="I420" i="12" a="1"/>
  <c r="I420" i="12"/>
  <c r="K420" i="12" a="1"/>
  <c r="K420" i="12" s="1"/>
  <c r="L420" i="12" a="1"/>
  <c r="L420" i="12" s="1"/>
  <c r="M420" i="12" a="1"/>
  <c r="M420" i="12" s="1"/>
  <c r="A421" i="12"/>
  <c r="B421" i="12"/>
  <c r="C421" i="12" a="1"/>
  <c r="C421" i="12" s="1"/>
  <c r="D421" i="12" a="1"/>
  <c r="D421" i="12"/>
  <c r="E421" i="12" a="1"/>
  <c r="E421" i="12"/>
  <c r="F421" i="12" a="1"/>
  <c r="F421" i="12"/>
  <c r="G421" i="12" a="1"/>
  <c r="G421" i="12" s="1"/>
  <c r="H421" i="12" a="1"/>
  <c r="H421" i="12" s="1"/>
  <c r="I421" i="12" a="1"/>
  <c r="I421" i="12"/>
  <c r="K421" i="12" a="1"/>
  <c r="K421" i="12" s="1"/>
  <c r="L421" i="12" a="1"/>
  <c r="L421" i="12"/>
  <c r="M421" i="12" a="1"/>
  <c r="M421" i="12"/>
  <c r="A422" i="12"/>
  <c r="B422" i="12"/>
  <c r="C422" i="12" a="1"/>
  <c r="C422" i="12"/>
  <c r="D422" i="12" a="1"/>
  <c r="D422" i="12" s="1"/>
  <c r="E422" i="12" a="1"/>
  <c r="E422" i="12" s="1"/>
  <c r="F422" i="12" a="1"/>
  <c r="F422" i="12"/>
  <c r="G422" i="12" a="1"/>
  <c r="G422" i="12"/>
  <c r="H422" i="12" a="1"/>
  <c r="H422" i="12" s="1"/>
  <c r="I422" i="12" a="1"/>
  <c r="I422" i="12"/>
  <c r="K422" i="12" a="1"/>
  <c r="K422" i="12"/>
  <c r="L422" i="12" a="1"/>
  <c r="L422" i="12" s="1"/>
  <c r="M422" i="12" a="1"/>
  <c r="M422" i="12" s="1"/>
  <c r="A423" i="12"/>
  <c r="B423" i="12"/>
  <c r="C423" i="12" a="1"/>
  <c r="C423" i="12"/>
  <c r="J423" i="12" s="1" a="1"/>
  <c r="J423" i="12" s="1"/>
  <c r="D423" i="12" a="1"/>
  <c r="D423" i="12"/>
  <c r="E423" i="12" a="1"/>
  <c r="E423" i="12" s="1"/>
  <c r="F423" i="12" a="1"/>
  <c r="F423" i="12" s="1"/>
  <c r="G423" i="12" a="1"/>
  <c r="G423" i="12" s="1"/>
  <c r="H423" i="12" a="1"/>
  <c r="H423" i="12"/>
  <c r="I423" i="12" a="1"/>
  <c r="I423" i="12" s="1"/>
  <c r="K423" i="12" a="1"/>
  <c r="K423" i="12"/>
  <c r="L423" i="12" a="1"/>
  <c r="L423" i="12"/>
  <c r="M423" i="12" a="1"/>
  <c r="M423" i="12"/>
  <c r="A424" i="12"/>
  <c r="B424" i="12"/>
  <c r="C424" i="12" a="1"/>
  <c r="C424" i="12"/>
  <c r="D424" i="12" a="1"/>
  <c r="D424" i="12"/>
  <c r="E424" i="12" a="1"/>
  <c r="E424" i="12"/>
  <c r="F424" i="12" a="1"/>
  <c r="F424" i="12" s="1"/>
  <c r="G424" i="12" a="1"/>
  <c r="G424" i="12"/>
  <c r="H424" i="12" a="1"/>
  <c r="H424" i="12"/>
  <c r="I424" i="12" a="1"/>
  <c r="I424" i="12" s="1"/>
  <c r="J424" i="12" s="1" a="1"/>
  <c r="J424" i="12" s="1"/>
  <c r="K424" i="12" a="1"/>
  <c r="K424" i="12" s="1"/>
  <c r="L424" i="12" a="1"/>
  <c r="L424" i="12" s="1"/>
  <c r="M424" i="12" a="1"/>
  <c r="M424" i="12" s="1"/>
  <c r="A425" i="12"/>
  <c r="B425" i="12"/>
  <c r="C425" i="12" a="1"/>
  <c r="C425" i="12" s="1"/>
  <c r="J425" i="12" s="1" a="1"/>
  <c r="J425" i="12" s="1"/>
  <c r="D425" i="12" a="1"/>
  <c r="D425" i="12"/>
  <c r="E425" i="12" a="1"/>
  <c r="E425" i="12"/>
  <c r="F425" i="12" a="1"/>
  <c r="F425" i="12"/>
  <c r="G425" i="12" a="1"/>
  <c r="G425" i="12" s="1"/>
  <c r="H425" i="12" a="1"/>
  <c r="H425" i="12"/>
  <c r="I425" i="12" a="1"/>
  <c r="I425" i="12"/>
  <c r="K425" i="12" a="1"/>
  <c r="K425" i="12" s="1"/>
  <c r="L425" i="12" a="1"/>
  <c r="L425" i="12" s="1"/>
  <c r="M425" i="12" a="1"/>
  <c r="M425" i="12" s="1"/>
  <c r="A426" i="12"/>
  <c r="B426" i="12"/>
  <c r="C426" i="12" a="1"/>
  <c r="C426" i="12" s="1"/>
  <c r="D426" i="12" a="1"/>
  <c r="D426" i="12" s="1"/>
  <c r="E426" i="12" a="1"/>
  <c r="E426" i="12" s="1"/>
  <c r="F426" i="12" a="1"/>
  <c r="F426" i="12"/>
  <c r="G426" i="12" a="1"/>
  <c r="G426" i="12" s="1"/>
  <c r="H426" i="12" a="1"/>
  <c r="H426" i="12" s="1"/>
  <c r="I426" i="12" a="1"/>
  <c r="I426" i="12"/>
  <c r="K426" i="12" a="1"/>
  <c r="K426" i="12"/>
  <c r="L426" i="12" a="1"/>
  <c r="L426" i="12" s="1"/>
  <c r="M426" i="12" a="1"/>
  <c r="M426" i="12"/>
  <c r="A427" i="12"/>
  <c r="B427" i="12"/>
  <c r="C427" i="12" a="1"/>
  <c r="C427" i="12"/>
  <c r="J427" i="12" s="1" a="1"/>
  <c r="J427" i="12" s="1"/>
  <c r="D427" i="12" a="1"/>
  <c r="D427" i="12"/>
  <c r="E427" i="12" a="1"/>
  <c r="E427" i="12" s="1"/>
  <c r="F427" i="12" a="1"/>
  <c r="F427" i="12" s="1"/>
  <c r="G427" i="12" a="1"/>
  <c r="G427" i="12"/>
  <c r="H427" i="12" a="1"/>
  <c r="H427" i="12"/>
  <c r="I427" i="12" a="1"/>
  <c r="I427" i="12" s="1"/>
  <c r="K427" i="12" a="1"/>
  <c r="K427" i="12"/>
  <c r="L427" i="12" a="1"/>
  <c r="L427" i="12"/>
  <c r="M427" i="12" a="1"/>
  <c r="M427" i="12"/>
  <c r="A428" i="12"/>
  <c r="B428" i="12"/>
  <c r="C428" i="12" a="1"/>
  <c r="C428" i="12" s="1"/>
  <c r="J428" i="12" s="1" a="1"/>
  <c r="J428" i="12" s="1"/>
  <c r="D428" i="12" a="1"/>
  <c r="D428" i="12"/>
  <c r="E428" i="12" a="1"/>
  <c r="E428" i="12"/>
  <c r="F428" i="12" a="1"/>
  <c r="F428" i="12" s="1"/>
  <c r="G428" i="12" a="1"/>
  <c r="G428" i="12"/>
  <c r="H428" i="12" a="1"/>
  <c r="H428" i="12"/>
  <c r="I428" i="12" a="1"/>
  <c r="I428" i="12"/>
  <c r="K428" i="12" a="1"/>
  <c r="K428" i="12" s="1"/>
  <c r="L428" i="12" a="1"/>
  <c r="L428" i="12"/>
  <c r="M428" i="12" a="1"/>
  <c r="M428" i="12" s="1"/>
  <c r="A429" i="12"/>
  <c r="B429" i="12"/>
  <c r="C429" i="12" a="1"/>
  <c r="C429" i="12" s="1"/>
  <c r="D429" i="12" a="1"/>
  <c r="D429" i="12"/>
  <c r="E429" i="12" a="1"/>
  <c r="E429" i="12"/>
  <c r="F429" i="12" a="1"/>
  <c r="F429" i="12"/>
  <c r="G429" i="12" a="1"/>
  <c r="G429" i="12"/>
  <c r="H429" i="12" a="1"/>
  <c r="H429" i="12" s="1"/>
  <c r="I429" i="12" a="1"/>
  <c r="I429" i="12"/>
  <c r="K429" i="12" a="1"/>
  <c r="K429" i="12"/>
  <c r="L429" i="12" a="1"/>
  <c r="L429" i="12"/>
  <c r="M429" i="12" a="1"/>
  <c r="M429" i="12"/>
  <c r="A430" i="12"/>
  <c r="B430" i="12"/>
  <c r="C430" i="12" a="1"/>
  <c r="C430" i="12" s="1"/>
  <c r="D430" i="12" a="1"/>
  <c r="D430" i="12" s="1"/>
  <c r="E430" i="12" a="1"/>
  <c r="E430" i="12" s="1"/>
  <c r="F430" i="12" a="1"/>
  <c r="F430" i="12" s="1"/>
  <c r="G430" i="12" a="1"/>
  <c r="G430" i="12" s="1"/>
  <c r="H430" i="12" a="1"/>
  <c r="H430" i="12" s="1"/>
  <c r="I430" i="12" a="1"/>
  <c r="I430" i="12"/>
  <c r="K430" i="12" a="1"/>
  <c r="K430" i="12"/>
  <c r="L430" i="12" a="1"/>
  <c r="L430" i="12"/>
  <c r="M430" i="12" a="1"/>
  <c r="M430" i="12" s="1"/>
  <c r="A431" i="12"/>
  <c r="B431" i="12"/>
  <c r="C431" i="12" a="1"/>
  <c r="C431" i="12"/>
  <c r="J431" i="12" s="1" a="1"/>
  <c r="J431" i="12" s="1"/>
  <c r="D431" i="12" a="1"/>
  <c r="D431" i="12"/>
  <c r="E431" i="12" a="1"/>
  <c r="E431" i="12" s="1"/>
  <c r="F431" i="12" a="1"/>
  <c r="F431" i="12" s="1"/>
  <c r="G431" i="12" a="1"/>
  <c r="G431" i="12"/>
  <c r="H431" i="12" a="1"/>
  <c r="H431" i="12"/>
  <c r="I431" i="12" a="1"/>
  <c r="I431" i="12" s="1"/>
  <c r="K431" i="12" a="1"/>
  <c r="K431" i="12"/>
  <c r="L431" i="12" a="1"/>
  <c r="L431" i="12"/>
  <c r="M431" i="12" a="1"/>
  <c r="M431" i="12"/>
  <c r="A432" i="12"/>
  <c r="B432" i="12"/>
  <c r="C432" i="12" a="1"/>
  <c r="C432" i="12" s="1"/>
  <c r="J432" i="12" s="1" a="1"/>
  <c r="J432" i="12" s="1"/>
  <c r="D432" i="12" a="1"/>
  <c r="D432" i="12"/>
  <c r="E432" i="12" a="1"/>
  <c r="E432" i="12"/>
  <c r="F432" i="12" a="1"/>
  <c r="F432" i="12" s="1"/>
  <c r="G432" i="12" a="1"/>
  <c r="G432" i="12"/>
  <c r="H432" i="12" a="1"/>
  <c r="H432" i="12"/>
  <c r="I432" i="12" a="1"/>
  <c r="I432" i="12"/>
  <c r="K432" i="12" a="1"/>
  <c r="K432" i="12" s="1"/>
  <c r="L432" i="12" a="1"/>
  <c r="L432" i="12"/>
  <c r="M432" i="12" a="1"/>
  <c r="M432" i="12" s="1"/>
  <c r="A433" i="12"/>
  <c r="B433" i="12"/>
  <c r="C433" i="12" a="1"/>
  <c r="C433" i="12"/>
  <c r="D433" i="12" a="1"/>
  <c r="D433" i="12"/>
  <c r="E433" i="12" a="1"/>
  <c r="E433" i="12"/>
  <c r="F433" i="12" a="1"/>
  <c r="F433" i="12"/>
  <c r="G433" i="12" a="1"/>
  <c r="G433" i="12" s="1"/>
  <c r="H433" i="12" a="1"/>
  <c r="H433" i="12" s="1"/>
  <c r="I433" i="12" a="1"/>
  <c r="I433" i="12" s="1"/>
  <c r="K433" i="12" a="1"/>
  <c r="K433" i="12" s="1"/>
  <c r="L433" i="12" a="1"/>
  <c r="L433" i="12"/>
  <c r="M433" i="12" a="1"/>
  <c r="M433" i="12"/>
  <c r="A434" i="12"/>
  <c r="B434" i="12"/>
  <c r="C434" i="12" a="1"/>
  <c r="C434" i="12" s="1"/>
  <c r="J434" i="12" s="1" a="1"/>
  <c r="J434" i="12" s="1"/>
  <c r="D434" i="12" a="1"/>
  <c r="D434" i="12" s="1"/>
  <c r="E434" i="12" a="1"/>
  <c r="E434" i="12" s="1"/>
  <c r="F434" i="12" a="1"/>
  <c r="F434" i="12" s="1"/>
  <c r="G434" i="12" a="1"/>
  <c r="G434" i="12"/>
  <c r="H434" i="12" a="1"/>
  <c r="H434" i="12"/>
  <c r="I434" i="12" a="1"/>
  <c r="I434" i="12"/>
  <c r="K434" i="12" a="1"/>
  <c r="K434" i="12"/>
  <c r="L434" i="12" a="1"/>
  <c r="L434" i="12" s="1"/>
  <c r="M434" i="12" a="1"/>
  <c r="M434" i="12" s="1"/>
  <c r="A435" i="12"/>
  <c r="B435" i="12"/>
  <c r="C435" i="12" a="1"/>
  <c r="C435" i="12"/>
  <c r="D435" i="12" a="1"/>
  <c r="D435" i="12"/>
  <c r="E435" i="12" a="1"/>
  <c r="E435" i="12" s="1"/>
  <c r="F435" i="12" a="1"/>
  <c r="F435" i="12"/>
  <c r="G435" i="12" a="1"/>
  <c r="G435" i="12"/>
  <c r="H435" i="12" a="1"/>
  <c r="H435" i="12"/>
  <c r="I435" i="12" a="1"/>
  <c r="I435" i="12" s="1"/>
  <c r="K435" i="12" a="1"/>
  <c r="K435" i="12"/>
  <c r="L435" i="12" a="1"/>
  <c r="L435" i="12" s="1"/>
  <c r="M435" i="12" a="1"/>
  <c r="M435" i="12" s="1"/>
  <c r="A436" i="12"/>
  <c r="B436" i="12"/>
  <c r="C436" i="12" a="1"/>
  <c r="C436" i="12" s="1"/>
  <c r="J436" i="12" s="1" a="1"/>
  <c r="J436" i="12" s="1"/>
  <c r="D436" i="12" a="1"/>
  <c r="D436" i="12"/>
  <c r="E436" i="12" a="1"/>
  <c r="E436" i="12"/>
  <c r="F436" i="12" a="1"/>
  <c r="F436" i="12" s="1"/>
  <c r="G436" i="12" a="1"/>
  <c r="G436" i="12" s="1"/>
  <c r="H436" i="12" a="1"/>
  <c r="H436" i="12"/>
  <c r="I436" i="12" a="1"/>
  <c r="I436" i="12"/>
  <c r="K436" i="12" a="1"/>
  <c r="K436" i="12"/>
  <c r="L436" i="12" a="1"/>
  <c r="L436" i="12"/>
  <c r="M436" i="12" a="1"/>
  <c r="M436" i="12" s="1"/>
  <c r="A437" i="12"/>
  <c r="B437" i="12"/>
  <c r="C437" i="12" a="1"/>
  <c r="C437" i="12" s="1"/>
  <c r="J437" i="12" s="1" a="1"/>
  <c r="J437" i="12" s="1"/>
  <c r="D437" i="12" a="1"/>
  <c r="D437" i="12"/>
  <c r="E437" i="12" a="1"/>
  <c r="E437" i="12" s="1"/>
  <c r="F437" i="12" a="1"/>
  <c r="F437" i="12" s="1"/>
  <c r="G437" i="12" a="1"/>
  <c r="G437" i="12" s="1"/>
  <c r="H437" i="12" a="1"/>
  <c r="H437" i="12" s="1"/>
  <c r="I437" i="12" a="1"/>
  <c r="I437" i="12"/>
  <c r="K437" i="12" a="1"/>
  <c r="K437" i="12" s="1"/>
  <c r="L437" i="12" a="1"/>
  <c r="L437" i="12" s="1"/>
  <c r="M437" i="12" a="1"/>
  <c r="M437" i="12"/>
  <c r="A438" i="12"/>
  <c r="B438" i="12"/>
  <c r="C438" i="12" a="1"/>
  <c r="C438" i="12" s="1"/>
  <c r="D438" i="12" a="1"/>
  <c r="D438" i="12"/>
  <c r="E438" i="12" a="1"/>
  <c r="E438" i="12" s="1"/>
  <c r="F438" i="12" a="1"/>
  <c r="F438" i="12" s="1"/>
  <c r="G438" i="12" a="1"/>
  <c r="G438" i="12" s="1"/>
  <c r="H438" i="12" a="1"/>
  <c r="H438" i="12" s="1"/>
  <c r="I438" i="12" a="1"/>
  <c r="I438" i="12" s="1"/>
  <c r="K438" i="12" a="1"/>
  <c r="K438" i="12" s="1"/>
  <c r="L438" i="12" a="1"/>
  <c r="L438" i="12" s="1"/>
  <c r="M438" i="12" a="1"/>
  <c r="M438" i="12" s="1"/>
  <c r="A439" i="12"/>
  <c r="B439" i="12"/>
  <c r="C439" i="12" a="1"/>
  <c r="C439" i="12"/>
  <c r="D439" i="12" a="1"/>
  <c r="D439" i="12"/>
  <c r="E439" i="12" a="1"/>
  <c r="E439" i="12"/>
  <c r="F439" i="12" a="1"/>
  <c r="F439" i="12" s="1"/>
  <c r="J439" i="12" s="1" a="1"/>
  <c r="J439" i="12" s="1"/>
  <c r="G439" i="12" a="1"/>
  <c r="G439" i="12"/>
  <c r="H439" i="12" a="1"/>
  <c r="H439" i="12"/>
  <c r="I439" i="12" a="1"/>
  <c r="I439" i="12" s="1"/>
  <c r="K439" i="12" a="1"/>
  <c r="K439" i="12"/>
  <c r="L439" i="12" a="1"/>
  <c r="L439" i="12"/>
  <c r="M439" i="12" a="1"/>
  <c r="M439" i="12"/>
  <c r="A440" i="12"/>
  <c r="B440" i="12"/>
  <c r="C440" i="12" a="1"/>
  <c r="C440" i="12"/>
  <c r="J440" i="12" s="1" a="1"/>
  <c r="J440" i="12" s="1"/>
  <c r="D440" i="12" a="1"/>
  <c r="D440" i="12"/>
  <c r="E440" i="12" a="1"/>
  <c r="E440" i="12"/>
  <c r="F440" i="12" a="1"/>
  <c r="F440" i="12" s="1"/>
  <c r="G440" i="12" a="1"/>
  <c r="G440" i="12"/>
  <c r="H440" i="12" a="1"/>
  <c r="H440" i="12"/>
  <c r="I440" i="12" a="1"/>
  <c r="I440" i="12"/>
  <c r="K440" i="12" a="1"/>
  <c r="K440" i="12" s="1"/>
  <c r="L440" i="12" a="1"/>
  <c r="L440" i="12"/>
  <c r="M440" i="12" a="1"/>
  <c r="M440" i="12" s="1"/>
  <c r="A441" i="12"/>
  <c r="B441" i="12"/>
  <c r="C441" i="12" a="1"/>
  <c r="C441" i="12" s="1"/>
  <c r="J441" i="12" s="1" a="1"/>
  <c r="J441" i="12" s="1"/>
  <c r="D441" i="12" a="1"/>
  <c r="D441" i="12"/>
  <c r="E441" i="12" a="1"/>
  <c r="E441" i="12"/>
  <c r="F441" i="12" a="1"/>
  <c r="F441" i="12"/>
  <c r="G441" i="12" a="1"/>
  <c r="G441" i="12"/>
  <c r="H441" i="12" a="1"/>
  <c r="H441" i="12"/>
  <c r="I441" i="12" a="1"/>
  <c r="I441" i="12"/>
  <c r="K441" i="12" a="1"/>
  <c r="K441" i="12" s="1"/>
  <c r="L441" i="12" a="1"/>
  <c r="L441" i="12"/>
  <c r="M441" i="12" a="1"/>
  <c r="M441" i="12"/>
  <c r="A442" i="12"/>
  <c r="B442" i="12"/>
  <c r="C442" i="12" a="1"/>
  <c r="C442" i="12"/>
  <c r="D442" i="12" a="1"/>
  <c r="D442" i="12" s="1"/>
  <c r="E442" i="12" a="1"/>
  <c r="E442" i="12" s="1"/>
  <c r="F442" i="12" a="1"/>
  <c r="F442" i="12" s="1"/>
  <c r="G442" i="12" a="1"/>
  <c r="G442" i="12"/>
  <c r="H442" i="12" a="1"/>
  <c r="H442" i="12" s="1"/>
  <c r="I442" i="12" a="1"/>
  <c r="I442" i="12"/>
  <c r="K442" i="12" a="1"/>
  <c r="K442" i="12" s="1"/>
  <c r="L442" i="12" a="1"/>
  <c r="L442" i="12"/>
  <c r="M442" i="12" a="1"/>
  <c r="M442" i="12"/>
  <c r="A443" i="12"/>
  <c r="B443" i="12"/>
  <c r="C443" i="12" a="1"/>
  <c r="C443" i="12"/>
  <c r="D443" i="12" a="1"/>
  <c r="D443" i="12"/>
  <c r="E443" i="12" a="1"/>
  <c r="E443" i="12" s="1"/>
  <c r="J443" i="12" s="1" a="1"/>
  <c r="J443" i="12" s="1"/>
  <c r="F443" i="12" a="1"/>
  <c r="F443" i="12" s="1"/>
  <c r="G443" i="12" a="1"/>
  <c r="G443" i="12" s="1"/>
  <c r="H443" i="12" a="1"/>
  <c r="H443" i="12"/>
  <c r="I443" i="12" a="1"/>
  <c r="I443" i="12"/>
  <c r="K443" i="12" a="1"/>
  <c r="K443" i="12"/>
  <c r="L443" i="12" a="1"/>
  <c r="L443" i="12"/>
  <c r="M443" i="12" a="1"/>
  <c r="M443" i="12"/>
  <c r="A444" i="12"/>
  <c r="B444" i="12"/>
  <c r="C444" i="12" a="1"/>
  <c r="C444" i="12" s="1"/>
  <c r="J444" i="12" s="1" a="1"/>
  <c r="J444" i="12" s="1"/>
  <c r="D444" i="12" a="1"/>
  <c r="D444" i="12"/>
  <c r="E444" i="12" a="1"/>
  <c r="E444" i="12"/>
  <c r="F444" i="12" a="1"/>
  <c r="F444" i="12" s="1"/>
  <c r="G444" i="12" a="1"/>
  <c r="G444" i="12" s="1"/>
  <c r="H444" i="12" a="1"/>
  <c r="H444" i="12" s="1"/>
  <c r="I444" i="12" a="1"/>
  <c r="I444" i="12"/>
  <c r="K444" i="12" a="1"/>
  <c r="K444" i="12"/>
  <c r="L444" i="12" a="1"/>
  <c r="L444" i="12"/>
  <c r="M444" i="12" a="1"/>
  <c r="M444" i="12" s="1"/>
  <c r="A445" i="12"/>
  <c r="B445" i="12"/>
  <c r="C445" i="12" a="1"/>
  <c r="C445" i="12"/>
  <c r="D445" i="12" a="1"/>
  <c r="D445" i="12"/>
  <c r="E445" i="12" a="1"/>
  <c r="E445" i="12" s="1"/>
  <c r="F445" i="12" a="1"/>
  <c r="F445" i="12" s="1"/>
  <c r="G445" i="12" a="1"/>
  <c r="G445" i="12" s="1"/>
  <c r="H445" i="12" a="1"/>
  <c r="H445" i="12"/>
  <c r="I445" i="12" a="1"/>
  <c r="I445" i="12" s="1"/>
  <c r="K445" i="12" a="1"/>
  <c r="K445" i="12"/>
  <c r="L445" i="12" a="1"/>
  <c r="L445" i="12"/>
  <c r="M445" i="12" a="1"/>
  <c r="M445" i="12"/>
  <c r="A446" i="12"/>
  <c r="B446" i="12"/>
  <c r="C446" i="12" a="1"/>
  <c r="C446" i="12" s="1"/>
  <c r="D446" i="12" a="1"/>
  <c r="D446" i="12" s="1"/>
  <c r="E446" i="12" a="1"/>
  <c r="E446" i="12"/>
  <c r="F446" i="12" a="1"/>
  <c r="F446" i="12"/>
  <c r="G446" i="12" a="1"/>
  <c r="G446" i="12" s="1"/>
  <c r="H446" i="12" a="1"/>
  <c r="H446" i="12"/>
  <c r="I446" i="12" a="1"/>
  <c r="I446" i="12" s="1"/>
  <c r="K446" i="12" a="1"/>
  <c r="K446" i="12"/>
  <c r="L446" i="12" a="1"/>
  <c r="L446" i="12" s="1"/>
  <c r="M446" i="12" a="1"/>
  <c r="M446" i="12"/>
  <c r="A447" i="12"/>
  <c r="B447" i="12"/>
  <c r="C447" i="12" a="1"/>
  <c r="C447" i="12" s="1"/>
  <c r="D447" i="12" a="1"/>
  <c r="D447" i="12"/>
  <c r="E447" i="12" a="1"/>
  <c r="E447" i="12"/>
  <c r="F447" i="12" a="1"/>
  <c r="F447" i="12" s="1"/>
  <c r="G447" i="12" a="1"/>
  <c r="G447" i="12" s="1"/>
  <c r="H447" i="12" a="1"/>
  <c r="H447" i="12" s="1"/>
  <c r="I447" i="12" a="1"/>
  <c r="I447" i="12"/>
  <c r="K447" i="12" a="1"/>
  <c r="K447" i="12" s="1"/>
  <c r="L447" i="12" a="1"/>
  <c r="L447" i="12"/>
  <c r="M447" i="12" a="1"/>
  <c r="M447" i="12"/>
  <c r="A448" i="12"/>
  <c r="B448" i="12"/>
  <c r="C448" i="12" a="1"/>
  <c r="C448" i="12"/>
  <c r="D448" i="12" a="1"/>
  <c r="D448" i="12" s="1"/>
  <c r="E448" i="12" a="1"/>
  <c r="E448" i="12"/>
  <c r="F448" i="12" a="1"/>
  <c r="F448" i="12" s="1"/>
  <c r="G448" i="12" a="1"/>
  <c r="G448" i="12" s="1"/>
  <c r="H448" i="12" a="1"/>
  <c r="H448" i="12" s="1"/>
  <c r="I448" i="12" a="1"/>
  <c r="I448" i="12" s="1"/>
  <c r="K448" i="12" a="1"/>
  <c r="K448" i="12"/>
  <c r="L448" i="12" a="1"/>
  <c r="L448" i="12"/>
  <c r="M448" i="12" a="1"/>
  <c r="M448" i="12"/>
  <c r="A449" i="12"/>
  <c r="B449" i="12"/>
  <c r="C449" i="12" a="1"/>
  <c r="C449" i="12"/>
  <c r="D449" i="12" a="1"/>
  <c r="D449" i="12"/>
  <c r="E449" i="12" a="1"/>
  <c r="E449" i="12"/>
  <c r="F449" i="12" a="1"/>
  <c r="F449" i="12" s="1"/>
  <c r="G449" i="12" a="1"/>
  <c r="G449" i="12" s="1"/>
  <c r="H449" i="12" a="1"/>
  <c r="H449" i="12" s="1"/>
  <c r="I449" i="12" a="1"/>
  <c r="I449" i="12"/>
  <c r="K449" i="12" a="1"/>
  <c r="K449" i="12"/>
  <c r="L449" i="12" a="1"/>
  <c r="L449" i="12" s="1"/>
  <c r="M449" i="12" a="1"/>
  <c r="M449" i="12"/>
  <c r="A450" i="12"/>
  <c r="B450" i="12"/>
  <c r="C450" i="12" a="1"/>
  <c r="C450" i="12" s="1"/>
  <c r="D450" i="12" a="1"/>
  <c r="D450" i="12" s="1"/>
  <c r="E450" i="12" a="1"/>
  <c r="E450" i="12" s="1"/>
  <c r="F450" i="12" a="1"/>
  <c r="F450" i="12"/>
  <c r="G450" i="12" a="1"/>
  <c r="G450" i="12"/>
  <c r="H450" i="12" a="1"/>
  <c r="H450" i="12" s="1"/>
  <c r="I450" i="12" a="1"/>
  <c r="I450" i="12"/>
  <c r="K450" i="12" a="1"/>
  <c r="K450" i="12"/>
  <c r="L450" i="12" a="1"/>
  <c r="L450" i="12"/>
  <c r="M450" i="12" a="1"/>
  <c r="M450" i="12" s="1"/>
  <c r="A451" i="12"/>
  <c r="B451" i="12"/>
  <c r="C451" i="12" a="1"/>
  <c r="C451" i="12"/>
  <c r="D451" i="12" a="1"/>
  <c r="D451" i="12" s="1"/>
  <c r="E451" i="12" a="1"/>
  <c r="E451" i="12"/>
  <c r="F451" i="12" a="1"/>
  <c r="F451" i="12"/>
  <c r="G451" i="12" a="1"/>
  <c r="G451" i="12" s="1"/>
  <c r="H451" i="12" a="1"/>
  <c r="H451" i="12" s="1"/>
  <c r="I451" i="12" a="1"/>
  <c r="I451" i="12" s="1"/>
  <c r="K451" i="12" a="1"/>
  <c r="K451" i="12"/>
  <c r="L451" i="12" a="1"/>
  <c r="L451" i="12" s="1"/>
  <c r="M451" i="12" a="1"/>
  <c r="M451" i="12"/>
  <c r="A452" i="12"/>
  <c r="B452" i="12"/>
  <c r="C452" i="12" a="1"/>
  <c r="C452" i="12"/>
  <c r="D452" i="12" a="1"/>
  <c r="D452" i="12"/>
  <c r="J452" i="12" s="1" a="1"/>
  <c r="J452" i="12" s="1"/>
  <c r="E452" i="12" a="1"/>
  <c r="E452" i="12" s="1"/>
  <c r="F452" i="12" a="1"/>
  <c r="F452" i="12" s="1"/>
  <c r="G452" i="12" a="1"/>
  <c r="G452" i="12" s="1"/>
  <c r="H452" i="12" a="1"/>
  <c r="H452" i="12" s="1"/>
  <c r="I452" i="12" a="1"/>
  <c r="I452" i="12" s="1"/>
  <c r="K452" i="12" a="1"/>
  <c r="K452" i="12"/>
  <c r="L452" i="12" a="1"/>
  <c r="L452" i="12"/>
  <c r="M452" i="12" a="1"/>
  <c r="M452" i="12"/>
  <c r="A453" i="12"/>
  <c r="B453" i="12"/>
  <c r="C453" i="12" a="1"/>
  <c r="C453" i="12" s="1"/>
  <c r="D453" i="12" a="1"/>
  <c r="D453" i="12"/>
  <c r="E453" i="12" a="1"/>
  <c r="E453" i="12"/>
  <c r="F453" i="12" a="1"/>
  <c r="F453" i="12" s="1"/>
  <c r="G453" i="12" a="1"/>
  <c r="G453" i="12" s="1"/>
  <c r="H453" i="12" a="1"/>
  <c r="H453" i="12" s="1"/>
  <c r="I453" i="12" a="1"/>
  <c r="I453" i="12" s="1"/>
  <c r="K453" i="12" a="1"/>
  <c r="K453" i="12"/>
  <c r="L453" i="12" a="1"/>
  <c r="L453" i="12"/>
  <c r="M453" i="12" a="1"/>
  <c r="M453" i="12"/>
  <c r="A454" i="12"/>
  <c r="B454" i="12"/>
  <c r="C454" i="12" a="1"/>
  <c r="C454" i="12"/>
  <c r="J454" i="12" s="1" a="1"/>
  <c r="J454" i="12" s="1"/>
  <c r="D454" i="12" a="1"/>
  <c r="D454" i="12" s="1"/>
  <c r="E454" i="12" a="1"/>
  <c r="E454" i="12" s="1"/>
  <c r="F454" i="12" a="1"/>
  <c r="F454" i="12" s="1"/>
  <c r="G454" i="12" a="1"/>
  <c r="G454" i="12"/>
  <c r="H454" i="12" a="1"/>
  <c r="H454" i="12"/>
  <c r="I454" i="12" a="1"/>
  <c r="I454" i="12" s="1"/>
  <c r="K454" i="12" a="1"/>
  <c r="K454" i="12"/>
  <c r="L454" i="12" a="1"/>
  <c r="L454" i="12"/>
  <c r="M454" i="12" a="1"/>
  <c r="M454" i="12"/>
  <c r="A455" i="12"/>
  <c r="B455" i="12"/>
  <c r="C455" i="12" a="1"/>
  <c r="C455" i="12"/>
  <c r="D455" i="12" a="1"/>
  <c r="D455" i="12"/>
  <c r="E455" i="12" a="1"/>
  <c r="E455" i="12" s="1"/>
  <c r="F455" i="12" a="1"/>
  <c r="F455" i="12"/>
  <c r="G455" i="12" a="1"/>
  <c r="G455" i="12"/>
  <c r="H455" i="12" a="1"/>
  <c r="H455" i="12" s="1"/>
  <c r="I455" i="12" a="1"/>
  <c r="I455" i="12" s="1"/>
  <c r="K455" i="12" a="1"/>
  <c r="K455" i="12"/>
  <c r="L455" i="12" a="1"/>
  <c r="L455" i="12"/>
  <c r="M455" i="12" a="1"/>
  <c r="M455" i="12" s="1"/>
  <c r="A456" i="12"/>
  <c r="B456" i="12"/>
  <c r="C456" i="12" a="1"/>
  <c r="C456" i="12" s="1"/>
  <c r="J456" i="12" s="1" a="1"/>
  <c r="J456" i="12" s="1"/>
  <c r="D456" i="12" a="1"/>
  <c r="D456" i="12"/>
  <c r="E456" i="12" a="1"/>
  <c r="E456" i="12"/>
  <c r="F456" i="12" a="1"/>
  <c r="F456" i="12" s="1"/>
  <c r="G456" i="12" a="1"/>
  <c r="G456" i="12"/>
  <c r="H456" i="12" a="1"/>
  <c r="H456" i="12" s="1"/>
  <c r="I456" i="12" a="1"/>
  <c r="I456" i="12" s="1"/>
  <c r="K456" i="12" a="1"/>
  <c r="K456" i="12" s="1"/>
  <c r="L456" i="12" a="1"/>
  <c r="L456" i="12"/>
  <c r="M456" i="12" a="1"/>
  <c r="M456" i="12"/>
  <c r="A457" i="12"/>
  <c r="B457" i="12"/>
  <c r="C457" i="12" a="1"/>
  <c r="C457" i="12"/>
  <c r="D457" i="12" a="1"/>
  <c r="D457" i="12" s="1"/>
  <c r="E457" i="12" a="1"/>
  <c r="E457" i="12"/>
  <c r="F457" i="12" a="1"/>
  <c r="F457" i="12"/>
  <c r="G457" i="12" a="1"/>
  <c r="G457" i="12" s="1"/>
  <c r="H457" i="12" a="1"/>
  <c r="H457" i="12" s="1"/>
  <c r="I457" i="12" a="1"/>
  <c r="I457" i="12" s="1"/>
  <c r="K457" i="12" a="1"/>
  <c r="K457" i="12" s="1"/>
  <c r="L457" i="12" a="1"/>
  <c r="L457" i="12"/>
  <c r="M457" i="12" a="1"/>
  <c r="M457" i="12"/>
  <c r="A458" i="12"/>
  <c r="B458" i="12"/>
  <c r="C458" i="12" a="1"/>
  <c r="C458" i="12"/>
  <c r="D458" i="12" a="1"/>
  <c r="D458" i="12"/>
  <c r="E458" i="12" a="1"/>
  <c r="E458" i="12" s="1"/>
  <c r="J458" i="12" s="1" a="1"/>
  <c r="J458" i="12" s="1"/>
  <c r="F458" i="12" a="1"/>
  <c r="F458" i="12" s="1"/>
  <c r="G458" i="12" a="1"/>
  <c r="G458" i="12" s="1"/>
  <c r="H458" i="12" a="1"/>
  <c r="H458" i="12"/>
  <c r="I458" i="12" a="1"/>
  <c r="I458" i="12"/>
  <c r="K458" i="12" a="1"/>
  <c r="K458" i="12"/>
  <c r="L458" i="12" a="1"/>
  <c r="L458" i="12"/>
  <c r="M458" i="12" a="1"/>
  <c r="M458" i="12"/>
  <c r="A459" i="12"/>
  <c r="B459" i="12"/>
  <c r="C459" i="12" a="1"/>
  <c r="C459" i="12" s="1"/>
  <c r="J459" i="12" s="1" a="1"/>
  <c r="J459" i="12" s="1"/>
  <c r="D459" i="12" a="1"/>
  <c r="D459" i="12"/>
  <c r="E459" i="12" a="1"/>
  <c r="E459" i="12"/>
  <c r="F459" i="12" a="1"/>
  <c r="F459" i="12" s="1"/>
  <c r="G459" i="12" a="1"/>
  <c r="G459" i="12"/>
  <c r="H459" i="12" a="1"/>
  <c r="H459" i="12"/>
  <c r="I459" i="12" a="1"/>
  <c r="I459" i="12" s="1"/>
  <c r="K459" i="12" a="1"/>
  <c r="K459" i="12" s="1"/>
  <c r="L459" i="12" a="1"/>
  <c r="L459" i="12"/>
  <c r="M459" i="12" a="1"/>
  <c r="M459" i="12"/>
  <c r="A460" i="12"/>
  <c r="B460" i="12"/>
  <c r="C460" i="12" a="1"/>
  <c r="C460" i="12"/>
  <c r="D460" i="12" a="1"/>
  <c r="D460" i="12" s="1"/>
  <c r="E460" i="12" a="1"/>
  <c r="E460" i="12" s="1"/>
  <c r="F460" i="12" a="1"/>
  <c r="F460" i="12" s="1"/>
  <c r="G460" i="12" a="1"/>
  <c r="G460" i="12"/>
  <c r="H460" i="12" a="1"/>
  <c r="H460" i="12"/>
  <c r="I460" i="12" a="1"/>
  <c r="I460" i="12" s="1"/>
  <c r="K460" i="12" a="1"/>
  <c r="K460" i="12" s="1"/>
  <c r="L460" i="12" a="1"/>
  <c r="L460" i="12"/>
  <c r="M460" i="12" a="1"/>
  <c r="M460" i="12"/>
  <c r="A461" i="12"/>
  <c r="B461" i="12"/>
  <c r="C461" i="12" a="1"/>
  <c r="C461" i="12"/>
  <c r="D461" i="12" a="1"/>
  <c r="D461" i="12"/>
  <c r="E461" i="12" a="1"/>
  <c r="E461" i="12" s="1"/>
  <c r="F461" i="12" a="1"/>
  <c r="F461" i="12"/>
  <c r="G461" i="12" a="1"/>
  <c r="G461" i="12"/>
  <c r="H461" i="12" a="1"/>
  <c r="H461" i="12" s="1"/>
  <c r="I461" i="12" a="1"/>
  <c r="I461" i="12" s="1"/>
  <c r="K461" i="12" a="1"/>
  <c r="K461" i="12"/>
  <c r="L461" i="12" a="1"/>
  <c r="L461" i="12" s="1"/>
  <c r="M461" i="12" a="1"/>
  <c r="M461" i="12"/>
  <c r="A462" i="12"/>
  <c r="B462" i="12"/>
  <c r="C462" i="12" a="1"/>
  <c r="C462" i="12" s="1"/>
  <c r="D462" i="12" a="1"/>
  <c r="D462" i="12"/>
  <c r="E462" i="12" a="1"/>
  <c r="E462" i="12"/>
  <c r="F462" i="12" a="1"/>
  <c r="F462" i="12" s="1"/>
  <c r="G462" i="12" a="1"/>
  <c r="G462" i="12" s="1"/>
  <c r="H462" i="12" a="1"/>
  <c r="H462" i="12" s="1"/>
  <c r="I462" i="12" a="1"/>
  <c r="I462" i="12"/>
  <c r="K462" i="12" a="1"/>
  <c r="K462" i="12" s="1"/>
  <c r="L462" i="12" a="1"/>
  <c r="L462" i="12"/>
  <c r="M462" i="12" a="1"/>
  <c r="M462" i="12" s="1"/>
  <c r="A463" i="12"/>
  <c r="B463" i="12"/>
  <c r="C463" i="12" a="1"/>
  <c r="C463" i="12"/>
  <c r="D463" i="12" a="1"/>
  <c r="D463" i="12" s="1"/>
  <c r="E463" i="12" a="1"/>
  <c r="E463" i="12"/>
  <c r="F463" i="12" a="1"/>
  <c r="F463" i="12"/>
  <c r="G463" i="12" a="1"/>
  <c r="G463" i="12" s="1"/>
  <c r="H463" i="12" a="1"/>
  <c r="H463" i="12" s="1"/>
  <c r="I463" i="12" a="1"/>
  <c r="I463" i="12" s="1"/>
  <c r="K463" i="12" a="1"/>
  <c r="K463" i="12" s="1"/>
  <c r="L463" i="12" a="1"/>
  <c r="L463" i="12" s="1"/>
  <c r="M463" i="12" a="1"/>
  <c r="M463" i="12"/>
  <c r="A464" i="12"/>
  <c r="B464" i="12"/>
  <c r="C464" i="12" a="1"/>
  <c r="C464" i="12" s="1"/>
  <c r="D464" i="12" a="1"/>
  <c r="D464" i="12"/>
  <c r="E464" i="12" a="1"/>
  <c r="E464" i="12" s="1"/>
  <c r="F464" i="12" a="1"/>
  <c r="F464" i="12" s="1"/>
  <c r="G464" i="12" a="1"/>
  <c r="G464" i="12" s="1"/>
  <c r="H464" i="12" a="1"/>
  <c r="H464" i="12"/>
  <c r="I464" i="12" a="1"/>
  <c r="I464" i="12"/>
  <c r="K464" i="12" a="1"/>
  <c r="K464" i="12"/>
  <c r="L464" i="12" a="1"/>
  <c r="L464" i="12" s="1"/>
  <c r="M464" i="12" a="1"/>
  <c r="M464" i="12"/>
  <c r="A465" i="12"/>
  <c r="B465" i="12"/>
  <c r="C465" i="12" a="1"/>
  <c r="C465" i="12"/>
  <c r="D465" i="12" a="1"/>
  <c r="D465" i="12"/>
  <c r="E465" i="12" a="1"/>
  <c r="E465" i="12"/>
  <c r="F465" i="12" a="1"/>
  <c r="F465" i="12" s="1"/>
  <c r="J465" i="12" s="1" a="1"/>
  <c r="J465" i="12" s="1"/>
  <c r="G465" i="12" a="1"/>
  <c r="G465" i="12" s="1"/>
  <c r="H465" i="12" a="1"/>
  <c r="H465" i="12"/>
  <c r="I465" i="12" a="1"/>
  <c r="I465" i="12" s="1"/>
  <c r="K465" i="12" a="1"/>
  <c r="K465" i="12" s="1"/>
  <c r="L465" i="12" a="1"/>
  <c r="L465" i="12"/>
  <c r="M465" i="12" a="1"/>
  <c r="M465" i="12" s="1"/>
  <c r="A466" i="12"/>
  <c r="B466" i="12"/>
  <c r="C466" i="12" a="1"/>
  <c r="C466" i="12"/>
  <c r="D466" i="12" a="1"/>
  <c r="D466" i="12" s="1"/>
  <c r="E466" i="12" a="1"/>
  <c r="E466" i="12" s="1"/>
  <c r="F466" i="12" a="1"/>
  <c r="F466" i="12" s="1"/>
  <c r="G466" i="12" a="1"/>
  <c r="G466" i="12" s="1"/>
  <c r="H466" i="12" a="1"/>
  <c r="H466" i="12" s="1"/>
  <c r="I466" i="12" a="1"/>
  <c r="I466" i="12" s="1"/>
  <c r="K466" i="12" a="1"/>
  <c r="K466" i="12"/>
  <c r="L466" i="12" a="1"/>
  <c r="L466" i="12" s="1"/>
  <c r="M466" i="12" a="1"/>
  <c r="M466" i="12"/>
  <c r="A467" i="12"/>
  <c r="B467" i="12"/>
  <c r="C467" i="12" a="1"/>
  <c r="C467" i="12" s="1"/>
  <c r="D467" i="12" a="1"/>
  <c r="D467" i="12"/>
  <c r="E467" i="12" a="1"/>
  <c r="E467" i="12" s="1"/>
  <c r="F467" i="12" a="1"/>
  <c r="F467" i="12"/>
  <c r="G467" i="12" a="1"/>
  <c r="G467" i="12" s="1"/>
  <c r="H467" i="12" a="1"/>
  <c r="H467" i="12" s="1"/>
  <c r="I467" i="12" a="1"/>
  <c r="I467" i="12" s="1"/>
  <c r="K467" i="12" a="1"/>
  <c r="K467" i="12" s="1"/>
  <c r="L467" i="12" a="1"/>
  <c r="L467" i="12" s="1"/>
  <c r="M467" i="12" a="1"/>
  <c r="M467" i="12" s="1"/>
  <c r="A468" i="12"/>
  <c r="B468" i="12"/>
  <c r="C468" i="12" a="1"/>
  <c r="C468" i="12"/>
  <c r="D468" i="12" a="1"/>
  <c r="D468" i="12" s="1"/>
  <c r="E468" i="12" a="1"/>
  <c r="E468" i="12"/>
  <c r="F468" i="12" a="1"/>
  <c r="F468" i="12" s="1"/>
  <c r="G468" i="12" a="1"/>
  <c r="G468" i="12" s="1"/>
  <c r="H468" i="12" a="1"/>
  <c r="H468" i="12" s="1"/>
  <c r="I468" i="12" a="1"/>
  <c r="I468" i="12"/>
  <c r="K468" i="12" a="1"/>
  <c r="K468" i="12" s="1"/>
  <c r="L468" i="12" a="1"/>
  <c r="L468" i="12" s="1"/>
  <c r="M468" i="12" a="1"/>
  <c r="M468" i="12" s="1"/>
  <c r="M5" i="12" a="1"/>
  <c r="M5" i="12" s="1"/>
  <c r="L5" i="12" a="1"/>
  <c r="L5" i="12" s="1"/>
  <c r="K5" i="12" a="1"/>
  <c r="K5" i="12" s="1"/>
  <c r="D5" i="12" a="1"/>
  <c r="D5" i="12" s="1"/>
  <c r="E5" i="12" a="1"/>
  <c r="E5" i="12" s="1"/>
  <c r="F5" i="12" a="1"/>
  <c r="F5" i="12" s="1"/>
  <c r="G5" i="12" a="1"/>
  <c r="G5" i="12" s="1"/>
  <c r="H5" i="12" a="1"/>
  <c r="H5" i="12" s="1"/>
  <c r="I5" i="12" a="1"/>
  <c r="I5" i="12" s="1"/>
  <c r="C5" i="12" a="1"/>
  <c r="C5" i="12" s="1"/>
  <c r="J5" i="12" s="1" a="1"/>
  <c r="J5" i="12" s="1"/>
  <c r="A924" i="13"/>
  <c r="B924" i="13"/>
  <c r="C924" i="13"/>
  <c r="D924" i="13"/>
  <c r="E924" i="13"/>
  <c r="F924" i="13"/>
  <c r="G924" i="13"/>
  <c r="J924" i="13"/>
  <c r="K924" i="13"/>
  <c r="L924" i="13"/>
  <c r="M924" i="13"/>
  <c r="A925" i="13"/>
  <c r="L925" i="13" s="1"/>
  <c r="B925" i="13"/>
  <c r="C925" i="13"/>
  <c r="D925" i="13"/>
  <c r="K925" i="13" s="1"/>
  <c r="E925" i="13"/>
  <c r="F925" i="13"/>
  <c r="G925" i="13"/>
  <c r="H925" i="13"/>
  <c r="J925" i="13"/>
  <c r="A926" i="13"/>
  <c r="L926" i="13" s="1"/>
  <c r="B926" i="13"/>
  <c r="C926" i="13"/>
  <c r="D926" i="13"/>
  <c r="K926" i="13" s="1"/>
  <c r="E926" i="13"/>
  <c r="F926" i="13"/>
  <c r="G926" i="13"/>
  <c r="H926" i="13"/>
  <c r="J926" i="13"/>
  <c r="A927" i="13"/>
  <c r="B927" i="13"/>
  <c r="C927" i="13"/>
  <c r="D927" i="13"/>
  <c r="E927" i="13"/>
  <c r="F927" i="13"/>
  <c r="G927" i="13"/>
  <c r="H927" i="13"/>
  <c r="J927" i="13"/>
  <c r="L927" i="13" s="1"/>
  <c r="K927" i="13"/>
  <c r="M927" i="13"/>
  <c r="A928" i="13"/>
  <c r="M928" i="13" s="1"/>
  <c r="B928" i="13"/>
  <c r="C928" i="13"/>
  <c r="D928" i="13"/>
  <c r="K928" i="13" s="1"/>
  <c r="E928" i="13"/>
  <c r="F928" i="13"/>
  <c r="G928" i="13"/>
  <c r="H928" i="13"/>
  <c r="J928" i="13"/>
  <c r="A929" i="13"/>
  <c r="J929" i="13" s="1"/>
  <c r="B929" i="13"/>
  <c r="C929" i="13"/>
  <c r="D929" i="13"/>
  <c r="K929" i="13" s="1"/>
  <c r="E929" i="13"/>
  <c r="F929" i="13"/>
  <c r="G929" i="13"/>
  <c r="H929" i="13"/>
  <c r="A930" i="13"/>
  <c r="B930" i="13"/>
  <c r="C930" i="13"/>
  <c r="D930" i="13"/>
  <c r="K930" i="13" s="1"/>
  <c r="E930" i="13"/>
  <c r="F930" i="13"/>
  <c r="G930" i="13"/>
  <c r="H930" i="13"/>
  <c r="J930" i="13"/>
  <c r="A931" i="13"/>
  <c r="J931" i="13" s="1"/>
  <c r="B931" i="13"/>
  <c r="C931" i="13"/>
  <c r="D931" i="13"/>
  <c r="K931" i="13" s="1"/>
  <c r="E931" i="13"/>
  <c r="F931" i="13"/>
  <c r="G931" i="13"/>
  <c r="H931" i="13"/>
  <c r="A932" i="13"/>
  <c r="B932" i="13"/>
  <c r="C932" i="13"/>
  <c r="D932" i="13"/>
  <c r="E932" i="13"/>
  <c r="F932" i="13"/>
  <c r="G932" i="13"/>
  <c r="H932" i="13"/>
  <c r="K932" i="13"/>
  <c r="A933" i="13"/>
  <c r="B933" i="13"/>
  <c r="C933" i="13"/>
  <c r="D933" i="13"/>
  <c r="K933" i="13" s="1"/>
  <c r="E933" i="13"/>
  <c r="F933" i="13"/>
  <c r="G933" i="13"/>
  <c r="H933" i="13"/>
  <c r="J933" i="13"/>
  <c r="A934" i="13"/>
  <c r="B934" i="13"/>
  <c r="C934" i="13"/>
  <c r="D934" i="13"/>
  <c r="K934" i="13" s="1"/>
  <c r="E934" i="13"/>
  <c r="F934" i="13"/>
  <c r="G934" i="13"/>
  <c r="H934" i="13"/>
  <c r="J934" i="13"/>
  <c r="A935" i="13"/>
  <c r="B935" i="13"/>
  <c r="C935" i="13"/>
  <c r="D935" i="13"/>
  <c r="E935" i="13"/>
  <c r="F935" i="13"/>
  <c r="G935" i="13"/>
  <c r="H935" i="13"/>
  <c r="J935" i="13"/>
  <c r="K935" i="13"/>
  <c r="A936" i="13"/>
  <c r="B936" i="13"/>
  <c r="C936" i="13"/>
  <c r="D936" i="13"/>
  <c r="K936" i="13" s="1"/>
  <c r="E936" i="13"/>
  <c r="F936" i="13"/>
  <c r="G936" i="13"/>
  <c r="H936" i="13"/>
  <c r="J936" i="13"/>
  <c r="A937" i="13"/>
  <c r="J937" i="13" s="1"/>
  <c r="B937" i="13"/>
  <c r="C937" i="13"/>
  <c r="D937" i="13"/>
  <c r="K937" i="13" s="1"/>
  <c r="E937" i="13"/>
  <c r="F937" i="13"/>
  <c r="G937" i="13"/>
  <c r="H937" i="13"/>
  <c r="A938" i="13"/>
  <c r="B938" i="13"/>
  <c r="C938" i="13"/>
  <c r="D938" i="13"/>
  <c r="K938" i="13" s="1"/>
  <c r="E938" i="13"/>
  <c r="F938" i="13"/>
  <c r="G938" i="13"/>
  <c r="H938" i="13"/>
  <c r="J938" i="13"/>
  <c r="A939" i="13"/>
  <c r="J939" i="13" s="1"/>
  <c r="B939" i="13"/>
  <c r="C939" i="13"/>
  <c r="D939" i="13"/>
  <c r="K939" i="13" s="1"/>
  <c r="E939" i="13"/>
  <c r="F939" i="13"/>
  <c r="G939" i="13"/>
  <c r="H939" i="13"/>
  <c r="A940" i="13"/>
  <c r="B940" i="13"/>
  <c r="C940" i="13"/>
  <c r="D940" i="13"/>
  <c r="E940" i="13"/>
  <c r="F940" i="13"/>
  <c r="G940" i="13"/>
  <c r="H940" i="13"/>
  <c r="K940" i="13"/>
  <c r="A941" i="13"/>
  <c r="B941" i="13"/>
  <c r="C941" i="13"/>
  <c r="D941" i="13"/>
  <c r="K941" i="13" s="1"/>
  <c r="E941" i="13"/>
  <c r="F941" i="13"/>
  <c r="G941" i="13"/>
  <c r="H941" i="13"/>
  <c r="J941" i="13"/>
  <c r="A942" i="13"/>
  <c r="B942" i="13"/>
  <c r="C942" i="13"/>
  <c r="D942" i="13"/>
  <c r="K942" i="13" s="1"/>
  <c r="E942" i="13"/>
  <c r="F942" i="13"/>
  <c r="G942" i="13"/>
  <c r="H942" i="13"/>
  <c r="J942" i="13"/>
  <c r="A943" i="13"/>
  <c r="B943" i="13"/>
  <c r="C943" i="13"/>
  <c r="D943" i="13"/>
  <c r="E943" i="13"/>
  <c r="F943" i="13"/>
  <c r="G943" i="13"/>
  <c r="H943" i="13"/>
  <c r="J943" i="13"/>
  <c r="K943" i="13"/>
  <c r="A944" i="13"/>
  <c r="B944" i="13"/>
  <c r="C944" i="13"/>
  <c r="D944" i="13"/>
  <c r="K944" i="13" s="1"/>
  <c r="E944" i="13"/>
  <c r="F944" i="13"/>
  <c r="G944" i="13"/>
  <c r="H944" i="13"/>
  <c r="J944" i="13"/>
  <c r="A945" i="13"/>
  <c r="J945" i="13" s="1"/>
  <c r="B945" i="13"/>
  <c r="C945" i="13"/>
  <c r="D945" i="13"/>
  <c r="K945" i="13" s="1"/>
  <c r="E945" i="13"/>
  <c r="F945" i="13"/>
  <c r="G945" i="13"/>
  <c r="H945" i="13"/>
  <c r="A946" i="13"/>
  <c r="B946" i="13"/>
  <c r="C946" i="13"/>
  <c r="D946" i="13"/>
  <c r="K946" i="13" s="1"/>
  <c r="E946" i="13"/>
  <c r="F946" i="13"/>
  <c r="G946" i="13"/>
  <c r="H946" i="13"/>
  <c r="J946" i="13"/>
  <c r="A947" i="13"/>
  <c r="J947" i="13" s="1"/>
  <c r="B947" i="13"/>
  <c r="C947" i="13"/>
  <c r="D947" i="13"/>
  <c r="K947" i="13" s="1"/>
  <c r="E947" i="13"/>
  <c r="F947" i="13"/>
  <c r="G947" i="13"/>
  <c r="H947" i="13"/>
  <c r="A948" i="13"/>
  <c r="B948" i="13"/>
  <c r="C948" i="13"/>
  <c r="D948" i="13"/>
  <c r="E948" i="13"/>
  <c r="F948" i="13"/>
  <c r="G948" i="13"/>
  <c r="H948" i="13"/>
  <c r="K948" i="13"/>
  <c r="A949" i="13"/>
  <c r="B949" i="13"/>
  <c r="C949" i="13"/>
  <c r="D949" i="13"/>
  <c r="K949" i="13" s="1"/>
  <c r="E949" i="13"/>
  <c r="F949" i="13"/>
  <c r="G949" i="13"/>
  <c r="H949" i="13"/>
  <c r="J949" i="13"/>
  <c r="A950" i="13"/>
  <c r="B950" i="13"/>
  <c r="C950" i="13"/>
  <c r="D950" i="13"/>
  <c r="K950" i="13" s="1"/>
  <c r="E950" i="13"/>
  <c r="F950" i="13"/>
  <c r="G950" i="13"/>
  <c r="H950" i="13"/>
  <c r="J950" i="13"/>
  <c r="A951" i="13"/>
  <c r="B951" i="13"/>
  <c r="C951" i="13"/>
  <c r="D951" i="13"/>
  <c r="E951" i="13"/>
  <c r="F951" i="13"/>
  <c r="G951" i="13"/>
  <c r="J951" i="13"/>
  <c r="K951" i="13"/>
  <c r="A952" i="13"/>
  <c r="B952" i="13"/>
  <c r="J952" i="13" s="1"/>
  <c r="C952" i="13"/>
  <c r="D952" i="13"/>
  <c r="E952" i="13"/>
  <c r="F952" i="13"/>
  <c r="G952" i="13"/>
  <c r="H952" i="13"/>
  <c r="K952" i="13"/>
  <c r="A953" i="13"/>
  <c r="J953" i="13" s="1"/>
  <c r="B953" i="13"/>
  <c r="C953" i="13"/>
  <c r="D953" i="13"/>
  <c r="K953" i="13" s="1"/>
  <c r="E953" i="13"/>
  <c r="F953" i="13"/>
  <c r="G953" i="13"/>
  <c r="H953" i="13"/>
  <c r="A954" i="13"/>
  <c r="B954" i="13"/>
  <c r="C954" i="13"/>
  <c r="D954" i="13"/>
  <c r="E954" i="13"/>
  <c r="F954" i="13"/>
  <c r="G954" i="13"/>
  <c r="H954" i="13"/>
  <c r="J954" i="13"/>
  <c r="K954" i="13"/>
  <c r="A955" i="13"/>
  <c r="J955" i="13" s="1"/>
  <c r="B955" i="13"/>
  <c r="C955" i="13"/>
  <c r="D955" i="13"/>
  <c r="E955" i="13"/>
  <c r="F955" i="13"/>
  <c r="G955" i="13"/>
  <c r="H955" i="13"/>
  <c r="K955" i="13"/>
  <c r="A956" i="13"/>
  <c r="J956" i="13" s="1"/>
  <c r="B956" i="13"/>
  <c r="C956" i="13"/>
  <c r="D956" i="13"/>
  <c r="E956" i="13"/>
  <c r="F956" i="13"/>
  <c r="G956" i="13"/>
  <c r="H956" i="13"/>
  <c r="K956" i="13"/>
  <c r="A957" i="13"/>
  <c r="B957" i="13"/>
  <c r="C957" i="13"/>
  <c r="D957" i="13"/>
  <c r="E957" i="13"/>
  <c r="F957" i="13"/>
  <c r="G957" i="13"/>
  <c r="H957" i="13"/>
  <c r="J957" i="13"/>
  <c r="K957" i="13"/>
  <c r="A958" i="13"/>
  <c r="B958" i="13"/>
  <c r="J958" i="13" s="1"/>
  <c r="C958" i="13"/>
  <c r="D958" i="13"/>
  <c r="E958" i="13"/>
  <c r="F958" i="13"/>
  <c r="G958" i="13"/>
  <c r="H958" i="13"/>
  <c r="K958" i="13"/>
  <c r="A959" i="13"/>
  <c r="B959" i="13"/>
  <c r="C959" i="13"/>
  <c r="D959" i="13"/>
  <c r="E959" i="13"/>
  <c r="F959" i="13"/>
  <c r="G959" i="13"/>
  <c r="H959" i="13"/>
  <c r="J959" i="13"/>
  <c r="K959" i="13"/>
  <c r="A960" i="13"/>
  <c r="B960" i="13"/>
  <c r="J960" i="13" s="1"/>
  <c r="C960" i="13"/>
  <c r="D960" i="13"/>
  <c r="E960" i="13"/>
  <c r="F960" i="13"/>
  <c r="G960" i="13"/>
  <c r="H960" i="13"/>
  <c r="K960" i="13"/>
  <c r="A961" i="13"/>
  <c r="J961" i="13" s="1"/>
  <c r="B961" i="13"/>
  <c r="C961" i="13"/>
  <c r="D961" i="13"/>
  <c r="K961" i="13" s="1"/>
  <c r="E961" i="13"/>
  <c r="F961" i="13"/>
  <c r="G961" i="13"/>
  <c r="H961" i="13"/>
  <c r="A962" i="13"/>
  <c r="B962" i="13"/>
  <c r="C962" i="13"/>
  <c r="D962" i="13"/>
  <c r="E962" i="13"/>
  <c r="F962" i="13"/>
  <c r="G962" i="13"/>
  <c r="H962" i="13"/>
  <c r="J962" i="13"/>
  <c r="K962" i="13"/>
  <c r="A963" i="13"/>
  <c r="J963" i="13" s="1"/>
  <c r="B963" i="13"/>
  <c r="C963" i="13"/>
  <c r="D963" i="13"/>
  <c r="E963" i="13"/>
  <c r="F963" i="13"/>
  <c r="G963" i="13"/>
  <c r="K963" i="13"/>
  <c r="A964" i="13"/>
  <c r="J964" i="13" s="1"/>
  <c r="B964" i="13"/>
  <c r="C964" i="13"/>
  <c r="D964" i="13"/>
  <c r="E964" i="13"/>
  <c r="F964" i="13"/>
  <c r="G964" i="13"/>
  <c r="H964" i="13"/>
  <c r="K964" i="13"/>
  <c r="A965" i="13"/>
  <c r="B965" i="13"/>
  <c r="J965" i="13" s="1"/>
  <c r="C965" i="13"/>
  <c r="D965" i="13"/>
  <c r="E965" i="13"/>
  <c r="F965" i="13"/>
  <c r="G965" i="13"/>
  <c r="H965" i="13"/>
  <c r="K965" i="13"/>
  <c r="A966" i="13"/>
  <c r="B966" i="13"/>
  <c r="C966" i="13"/>
  <c r="D966" i="13"/>
  <c r="E966" i="13"/>
  <c r="F966" i="13"/>
  <c r="G966" i="13"/>
  <c r="H966" i="13"/>
  <c r="K966" i="13"/>
  <c r="A967" i="13"/>
  <c r="B967" i="13"/>
  <c r="C967" i="13"/>
  <c r="D967" i="13"/>
  <c r="E967" i="13"/>
  <c r="F967" i="13"/>
  <c r="G967" i="13"/>
  <c r="H967" i="13"/>
  <c r="J967" i="13"/>
  <c r="K967" i="13"/>
  <c r="A968" i="13"/>
  <c r="B968" i="13"/>
  <c r="J968" i="13" s="1"/>
  <c r="C968" i="13"/>
  <c r="D968" i="13"/>
  <c r="E968" i="13"/>
  <c r="F968" i="13"/>
  <c r="G968" i="13"/>
  <c r="H968" i="13"/>
  <c r="K968" i="13"/>
  <c r="A969" i="13"/>
  <c r="J969" i="13" s="1"/>
  <c r="B969" i="13"/>
  <c r="C969" i="13"/>
  <c r="D969" i="13"/>
  <c r="K969" i="13" s="1"/>
  <c r="E969" i="13"/>
  <c r="F969" i="13"/>
  <c r="G969" i="13"/>
  <c r="H969" i="13"/>
  <c r="A970" i="13"/>
  <c r="B970" i="13"/>
  <c r="C970" i="13"/>
  <c r="D970" i="13"/>
  <c r="E970" i="13"/>
  <c r="F970" i="13"/>
  <c r="G970" i="13"/>
  <c r="H970" i="13"/>
  <c r="J970" i="13"/>
  <c r="K970" i="13"/>
  <c r="A971" i="13"/>
  <c r="J971" i="13" s="1"/>
  <c r="B971" i="13"/>
  <c r="C971" i="13"/>
  <c r="D971" i="13"/>
  <c r="E971" i="13"/>
  <c r="F971" i="13"/>
  <c r="G971" i="13"/>
  <c r="H971" i="13"/>
  <c r="K971" i="13"/>
  <c r="A972" i="13"/>
  <c r="B972" i="13"/>
  <c r="C972" i="13"/>
  <c r="D972" i="13"/>
  <c r="E972" i="13"/>
  <c r="F972" i="13"/>
  <c r="G972" i="13"/>
  <c r="H972" i="13"/>
  <c r="K972" i="13"/>
  <c r="A973" i="13"/>
  <c r="B973" i="13"/>
  <c r="C973" i="13"/>
  <c r="D973" i="13"/>
  <c r="E973" i="13"/>
  <c r="F973" i="13"/>
  <c r="G973" i="13"/>
  <c r="H973" i="13"/>
  <c r="J973" i="13"/>
  <c r="K973" i="13"/>
  <c r="A974" i="13"/>
  <c r="B974" i="13"/>
  <c r="C974" i="13"/>
  <c r="D974" i="13"/>
  <c r="E974" i="13"/>
  <c r="F974" i="13"/>
  <c r="G974" i="13"/>
  <c r="H974" i="13"/>
  <c r="K974" i="13"/>
  <c r="A975" i="13"/>
  <c r="B975" i="13"/>
  <c r="C975" i="13"/>
  <c r="D975" i="13"/>
  <c r="E975" i="13"/>
  <c r="F975" i="13"/>
  <c r="G975" i="13"/>
  <c r="H975" i="13"/>
  <c r="J975" i="13"/>
  <c r="K975" i="13"/>
  <c r="A976" i="13"/>
  <c r="B976" i="13"/>
  <c r="J976" i="13" s="1"/>
  <c r="C976" i="13"/>
  <c r="D976" i="13"/>
  <c r="E976" i="13"/>
  <c r="F976" i="13"/>
  <c r="G976" i="13"/>
  <c r="H976" i="13"/>
  <c r="K976" i="13"/>
  <c r="A977" i="13"/>
  <c r="J977" i="13" s="1"/>
  <c r="B977" i="13"/>
  <c r="C977" i="13"/>
  <c r="D977" i="13"/>
  <c r="K977" i="13" s="1"/>
  <c r="E977" i="13"/>
  <c r="F977" i="13"/>
  <c r="G977" i="13"/>
  <c r="A978" i="13"/>
  <c r="B978" i="13"/>
  <c r="C978" i="13"/>
  <c r="D978" i="13"/>
  <c r="E978" i="13"/>
  <c r="F978" i="13"/>
  <c r="G978" i="13"/>
  <c r="J978" i="13"/>
  <c r="K978" i="13"/>
  <c r="A979" i="13"/>
  <c r="J979" i="13" s="1"/>
  <c r="B979" i="13"/>
  <c r="C979" i="13"/>
  <c r="D979" i="13"/>
  <c r="E979" i="13"/>
  <c r="F979" i="13"/>
  <c r="G979" i="13"/>
  <c r="K979" i="13"/>
  <c r="A980" i="13"/>
  <c r="J980" i="13" s="1"/>
  <c r="B980" i="13"/>
  <c r="C980" i="13"/>
  <c r="D980" i="13"/>
  <c r="K980" i="13" s="1"/>
  <c r="E980" i="13"/>
  <c r="F980" i="13"/>
  <c r="G980" i="13"/>
  <c r="A981" i="13"/>
  <c r="B981" i="13"/>
  <c r="C981" i="13"/>
  <c r="D981" i="13"/>
  <c r="E981" i="13"/>
  <c r="F981" i="13"/>
  <c r="G981" i="13"/>
  <c r="J981" i="13"/>
  <c r="K981" i="13"/>
  <c r="A982" i="13"/>
  <c r="B982" i="13"/>
  <c r="C982" i="13"/>
  <c r="D982" i="13"/>
  <c r="K982" i="13" s="1"/>
  <c r="E982" i="13"/>
  <c r="F982" i="13"/>
  <c r="G982" i="13"/>
  <c r="J982" i="13"/>
  <c r="A983" i="13"/>
  <c r="J983" i="13" s="1"/>
  <c r="B983" i="13"/>
  <c r="C983" i="13"/>
  <c r="D983" i="13"/>
  <c r="K983" i="13" s="1"/>
  <c r="E983" i="13"/>
  <c r="F983" i="13"/>
  <c r="G983" i="13"/>
  <c r="A984" i="13"/>
  <c r="B984" i="13"/>
  <c r="C984" i="13"/>
  <c r="D984" i="13"/>
  <c r="E984" i="13"/>
  <c r="F984" i="13"/>
  <c r="G984" i="13"/>
  <c r="J984" i="13"/>
  <c r="K984" i="13"/>
  <c r="A985" i="13"/>
  <c r="J985" i="13" s="1"/>
  <c r="B985" i="13"/>
  <c r="C985" i="13"/>
  <c r="D985" i="13"/>
  <c r="K985" i="13" s="1"/>
  <c r="E985" i="13"/>
  <c r="F985" i="13"/>
  <c r="G985" i="13"/>
  <c r="A986" i="13"/>
  <c r="J986" i="13" s="1"/>
  <c r="B986" i="13"/>
  <c r="C986" i="13"/>
  <c r="D986" i="13"/>
  <c r="K986" i="13" s="1"/>
  <c r="E986" i="13"/>
  <c r="F986" i="13"/>
  <c r="G986" i="13"/>
  <c r="A987" i="13"/>
  <c r="B987" i="13"/>
  <c r="C987" i="13"/>
  <c r="D987" i="13"/>
  <c r="E987" i="13"/>
  <c r="F987" i="13"/>
  <c r="G987" i="13"/>
  <c r="J987" i="13"/>
  <c r="K987" i="13"/>
  <c r="A988" i="13"/>
  <c r="J988" i="13" s="1"/>
  <c r="B988" i="13"/>
  <c r="C988" i="13"/>
  <c r="D988" i="13"/>
  <c r="E988" i="13"/>
  <c r="F988" i="13"/>
  <c r="G988" i="13"/>
  <c r="K988" i="13"/>
  <c r="A989" i="13"/>
  <c r="J989" i="13" s="1"/>
  <c r="B989" i="13"/>
  <c r="C989" i="13"/>
  <c r="D989" i="13"/>
  <c r="E989" i="13"/>
  <c r="F989" i="13"/>
  <c r="G989" i="13"/>
  <c r="K989" i="13"/>
  <c r="A990" i="13"/>
  <c r="B990" i="13"/>
  <c r="C990" i="13"/>
  <c r="D990" i="13"/>
  <c r="K990" i="13" s="1"/>
  <c r="E990" i="13"/>
  <c r="F990" i="13"/>
  <c r="G990" i="13"/>
  <c r="J990" i="13"/>
  <c r="A991" i="13"/>
  <c r="J991" i="13" s="1"/>
  <c r="B991" i="13"/>
  <c r="C991" i="13"/>
  <c r="D991" i="13"/>
  <c r="K991" i="13" s="1"/>
  <c r="E991" i="13"/>
  <c r="F991" i="13"/>
  <c r="G991" i="13"/>
  <c r="A992" i="13"/>
  <c r="J992" i="13" s="1"/>
  <c r="B992" i="13"/>
  <c r="C992" i="13"/>
  <c r="D992" i="13"/>
  <c r="E992" i="13"/>
  <c r="F992" i="13"/>
  <c r="G992" i="13"/>
  <c r="K992" i="13"/>
  <c r="A993" i="13"/>
  <c r="J993" i="13" s="1"/>
  <c r="B993" i="13"/>
  <c r="C993" i="13"/>
  <c r="D993" i="13"/>
  <c r="E993" i="13"/>
  <c r="F993" i="13"/>
  <c r="G993" i="13"/>
  <c r="K993" i="13"/>
  <c r="A994" i="13"/>
  <c r="B994" i="13"/>
  <c r="C994" i="13"/>
  <c r="D994" i="13"/>
  <c r="K994" i="13" s="1"/>
  <c r="E994" i="13"/>
  <c r="F994" i="13"/>
  <c r="G994" i="13"/>
  <c r="J994" i="13"/>
  <c r="A995" i="13"/>
  <c r="J995" i="13" s="1"/>
  <c r="B995" i="13"/>
  <c r="C995" i="13"/>
  <c r="D995" i="13"/>
  <c r="E995" i="13"/>
  <c r="F995" i="13"/>
  <c r="G995" i="13"/>
  <c r="K995" i="13"/>
  <c r="A996" i="13"/>
  <c r="B996" i="13"/>
  <c r="J996" i="13" s="1"/>
  <c r="C996" i="13"/>
  <c r="D996" i="13"/>
  <c r="E996" i="13"/>
  <c r="F996" i="13"/>
  <c r="G996" i="13"/>
  <c r="K996" i="13"/>
  <c r="A997" i="13"/>
  <c r="J997" i="13" s="1"/>
  <c r="B997" i="13"/>
  <c r="C997" i="13"/>
  <c r="D997" i="13"/>
  <c r="E997" i="13"/>
  <c r="F997" i="13"/>
  <c r="G997" i="13"/>
  <c r="K997" i="13"/>
  <c r="A998" i="13"/>
  <c r="B998" i="13"/>
  <c r="C998" i="13"/>
  <c r="D998" i="13"/>
  <c r="E998" i="13"/>
  <c r="F998" i="13"/>
  <c r="G998" i="13"/>
  <c r="J998" i="13"/>
  <c r="K998" i="13"/>
  <c r="A999" i="13"/>
  <c r="B999" i="13"/>
  <c r="C999" i="13"/>
  <c r="D999" i="13"/>
  <c r="E999" i="13"/>
  <c r="F999" i="13"/>
  <c r="G999" i="13"/>
  <c r="J999" i="13"/>
  <c r="K999" i="13"/>
  <c r="A1000" i="13"/>
  <c r="B1000" i="13"/>
  <c r="C1000" i="13"/>
  <c r="D1000" i="13"/>
  <c r="E1000" i="13"/>
  <c r="F1000" i="13"/>
  <c r="G1000" i="13"/>
  <c r="K1000" i="13"/>
  <c r="A1001" i="13"/>
  <c r="B1001" i="13"/>
  <c r="C1001" i="13"/>
  <c r="D1001" i="13"/>
  <c r="E1001" i="13"/>
  <c r="F1001" i="13"/>
  <c r="G1001" i="13"/>
  <c r="J1001" i="13"/>
  <c r="K1001" i="13"/>
  <c r="A1002" i="13"/>
  <c r="B1002" i="13"/>
  <c r="C1002" i="13"/>
  <c r="D1002" i="13"/>
  <c r="K1002" i="13" s="1"/>
  <c r="E1002" i="13"/>
  <c r="F1002" i="13"/>
  <c r="G1002" i="13"/>
  <c r="J1002" i="13"/>
  <c r="A1003" i="13"/>
  <c r="B1003" i="13"/>
  <c r="C1003" i="13"/>
  <c r="D1003" i="13"/>
  <c r="E1003" i="13"/>
  <c r="F1003" i="13"/>
  <c r="G1003" i="13"/>
  <c r="K1003" i="13"/>
  <c r="A1004" i="13"/>
  <c r="B1004" i="13"/>
  <c r="C1004" i="13"/>
  <c r="D1004" i="13"/>
  <c r="E1004" i="13"/>
  <c r="F1004" i="13"/>
  <c r="G1004" i="13"/>
  <c r="J1004" i="13"/>
  <c r="K1004" i="13"/>
  <c r="A1005" i="13"/>
  <c r="J1005" i="13" s="1"/>
  <c r="B1005" i="13"/>
  <c r="C1005" i="13"/>
  <c r="D1005" i="13"/>
  <c r="E1005" i="13"/>
  <c r="F1005" i="13"/>
  <c r="G1005" i="13"/>
  <c r="K1005" i="13"/>
  <c r="A1006" i="13"/>
  <c r="B1006" i="13"/>
  <c r="C1006" i="13"/>
  <c r="D1006" i="13"/>
  <c r="K1006" i="13" s="1"/>
  <c r="E1006" i="13"/>
  <c r="F1006" i="13"/>
  <c r="G1006" i="13"/>
  <c r="J1006" i="13"/>
  <c r="A1007" i="13"/>
  <c r="B1007" i="13"/>
  <c r="C1007" i="13"/>
  <c r="D1007" i="13"/>
  <c r="E1007" i="13"/>
  <c r="F1007" i="13"/>
  <c r="G1007" i="13"/>
  <c r="J1007" i="13"/>
  <c r="K1007" i="13"/>
  <c r="A1008" i="13"/>
  <c r="J1008" i="13" s="1"/>
  <c r="B1008" i="13"/>
  <c r="C1008" i="13"/>
  <c r="D1008" i="13"/>
  <c r="E1008" i="13"/>
  <c r="F1008" i="13"/>
  <c r="G1008" i="13"/>
  <c r="H1008" i="13"/>
  <c r="K1008" i="13"/>
  <c r="A1009" i="13"/>
  <c r="J1009" i="13" s="1"/>
  <c r="B1009" i="13"/>
  <c r="C1009" i="13"/>
  <c r="D1009" i="13"/>
  <c r="K1009" i="13" s="1"/>
  <c r="E1009" i="13"/>
  <c r="F1009" i="13"/>
  <c r="G1009" i="13"/>
  <c r="A1010" i="13"/>
  <c r="B1010" i="13"/>
  <c r="C1010" i="13"/>
  <c r="D1010" i="13"/>
  <c r="E1010" i="13"/>
  <c r="F1010" i="13"/>
  <c r="G1010" i="13"/>
  <c r="J1010" i="13"/>
  <c r="K1010" i="13"/>
  <c r="A1011" i="13"/>
  <c r="B1011" i="13"/>
  <c r="C1011" i="13"/>
  <c r="D1011" i="13"/>
  <c r="K1011" i="13" s="1"/>
  <c r="E1011" i="13"/>
  <c r="F1011" i="13"/>
  <c r="G1011" i="13"/>
  <c r="J1011" i="13"/>
  <c r="A1012" i="13"/>
  <c r="J1012" i="13" s="1"/>
  <c r="B1012" i="13"/>
  <c r="C1012" i="13"/>
  <c r="D1012" i="13"/>
  <c r="K1012" i="13" s="1"/>
  <c r="E1012" i="13"/>
  <c r="F1012" i="13"/>
  <c r="G1012" i="13"/>
  <c r="A809" i="13"/>
  <c r="B809" i="13"/>
  <c r="C809" i="13"/>
  <c r="D809" i="13"/>
  <c r="E809" i="13"/>
  <c r="F809" i="13"/>
  <c r="G809" i="13"/>
  <c r="H809" i="13"/>
  <c r="J809" i="13"/>
  <c r="L809" i="13" s="1"/>
  <c r="K809" i="13"/>
  <c r="A810" i="13"/>
  <c r="J810" i="13" s="1"/>
  <c r="B810" i="13"/>
  <c r="C810" i="13"/>
  <c r="D810" i="13"/>
  <c r="K810" i="13" s="1"/>
  <c r="E810" i="13"/>
  <c r="F810" i="13"/>
  <c r="G810" i="13"/>
  <c r="H810" i="13"/>
  <c r="A811" i="13"/>
  <c r="J811" i="13" s="1"/>
  <c r="B811" i="13"/>
  <c r="C811" i="13"/>
  <c r="D811" i="13"/>
  <c r="K811" i="13" s="1"/>
  <c r="E811" i="13"/>
  <c r="F811" i="13"/>
  <c r="G811" i="13"/>
  <c r="H811" i="13"/>
  <c r="A812" i="13"/>
  <c r="B812" i="13"/>
  <c r="C812" i="13"/>
  <c r="D812" i="13"/>
  <c r="K812" i="13" s="1"/>
  <c r="E812" i="13"/>
  <c r="F812" i="13"/>
  <c r="G812" i="13"/>
  <c r="H812" i="13"/>
  <c r="J812" i="13"/>
  <c r="L812" i="13" s="1"/>
  <c r="A813" i="13"/>
  <c r="J813" i="13" s="1"/>
  <c r="B813" i="13"/>
  <c r="C813" i="13"/>
  <c r="D813" i="13"/>
  <c r="K813" i="13" s="1"/>
  <c r="E813" i="13"/>
  <c r="F813" i="13"/>
  <c r="G813" i="13"/>
  <c r="H813" i="13"/>
  <c r="A814" i="13"/>
  <c r="J814" i="13" s="1"/>
  <c r="B814" i="13"/>
  <c r="C814" i="13"/>
  <c r="D814" i="13"/>
  <c r="K814" i="13" s="1"/>
  <c r="E814" i="13"/>
  <c r="F814" i="13"/>
  <c r="G814" i="13"/>
  <c r="H814" i="13"/>
  <c r="A815" i="13"/>
  <c r="J815" i="13" s="1"/>
  <c r="B815" i="13"/>
  <c r="C815" i="13"/>
  <c r="D815" i="13"/>
  <c r="K815" i="13" s="1"/>
  <c r="E815" i="13"/>
  <c r="F815" i="13"/>
  <c r="G815" i="13"/>
  <c r="H815" i="13"/>
  <c r="A816" i="13"/>
  <c r="B816" i="13"/>
  <c r="C816" i="13"/>
  <c r="D816" i="13"/>
  <c r="K816" i="13" s="1"/>
  <c r="E816" i="13"/>
  <c r="F816" i="13"/>
  <c r="G816" i="13"/>
  <c r="H816" i="13"/>
  <c r="J816" i="13"/>
  <c r="L816" i="13" s="1"/>
  <c r="A817" i="13"/>
  <c r="B817" i="13"/>
  <c r="C817" i="13"/>
  <c r="D817" i="13"/>
  <c r="E817" i="13"/>
  <c r="F817" i="13"/>
  <c r="G817" i="13"/>
  <c r="H817" i="13"/>
  <c r="J817" i="13"/>
  <c r="L817" i="13" s="1"/>
  <c r="K817" i="13"/>
  <c r="A818" i="13"/>
  <c r="J818" i="13" s="1"/>
  <c r="B818" i="13"/>
  <c r="C818" i="13"/>
  <c r="D818" i="13"/>
  <c r="K818" i="13" s="1"/>
  <c r="E818" i="13"/>
  <c r="F818" i="13"/>
  <c r="G818" i="13"/>
  <c r="H818" i="13"/>
  <c r="A819" i="13"/>
  <c r="J819" i="13" s="1"/>
  <c r="B819" i="13"/>
  <c r="C819" i="13"/>
  <c r="D819" i="13"/>
  <c r="K819" i="13" s="1"/>
  <c r="E819" i="13"/>
  <c r="F819" i="13"/>
  <c r="G819" i="13"/>
  <c r="H819" i="13"/>
  <c r="A820" i="13"/>
  <c r="B820" i="13"/>
  <c r="C820" i="13"/>
  <c r="D820" i="13"/>
  <c r="E820" i="13"/>
  <c r="F820" i="13"/>
  <c r="G820" i="13"/>
  <c r="H820" i="13"/>
  <c r="J820" i="13"/>
  <c r="L820" i="13" s="1"/>
  <c r="K820" i="13"/>
  <c r="A821" i="13"/>
  <c r="J821" i="13" s="1"/>
  <c r="B821" i="13"/>
  <c r="C821" i="13"/>
  <c r="D821" i="13"/>
  <c r="K821" i="13" s="1"/>
  <c r="E821" i="13"/>
  <c r="F821" i="13"/>
  <c r="G821" i="13"/>
  <c r="H821" i="13"/>
  <c r="A822" i="13"/>
  <c r="J822" i="13" s="1"/>
  <c r="B822" i="13"/>
  <c r="C822" i="13"/>
  <c r="D822" i="13"/>
  <c r="K822" i="13" s="1"/>
  <c r="E822" i="13"/>
  <c r="F822" i="13"/>
  <c r="G822" i="13"/>
  <c r="H822" i="13"/>
  <c r="A823" i="13"/>
  <c r="J823" i="13" s="1"/>
  <c r="B823" i="13"/>
  <c r="C823" i="13"/>
  <c r="D823" i="13"/>
  <c r="K823" i="13" s="1"/>
  <c r="E823" i="13"/>
  <c r="F823" i="13"/>
  <c r="G823" i="13"/>
  <c r="H823" i="13"/>
  <c r="A824" i="13"/>
  <c r="B824" i="13"/>
  <c r="C824" i="13"/>
  <c r="D824" i="13"/>
  <c r="K824" i="13" s="1"/>
  <c r="E824" i="13"/>
  <c r="F824" i="13"/>
  <c r="G824" i="13"/>
  <c r="H824" i="13"/>
  <c r="J824" i="13"/>
  <c r="L824" i="13" s="1"/>
  <c r="A825" i="13"/>
  <c r="B825" i="13"/>
  <c r="C825" i="13"/>
  <c r="D825" i="13"/>
  <c r="E825" i="13"/>
  <c r="F825" i="13"/>
  <c r="G825" i="13"/>
  <c r="H825" i="13"/>
  <c r="J825" i="13"/>
  <c r="K825" i="13"/>
  <c r="A826" i="13"/>
  <c r="J826" i="13" s="1"/>
  <c r="B826" i="13"/>
  <c r="C826" i="13"/>
  <c r="D826" i="13"/>
  <c r="K826" i="13" s="1"/>
  <c r="E826" i="13"/>
  <c r="F826" i="13"/>
  <c r="G826" i="13"/>
  <c r="H826" i="13"/>
  <c r="A827" i="13"/>
  <c r="J827" i="13" s="1"/>
  <c r="B827" i="13"/>
  <c r="C827" i="13"/>
  <c r="D827" i="13"/>
  <c r="K827" i="13" s="1"/>
  <c r="E827" i="13"/>
  <c r="F827" i="13"/>
  <c r="G827" i="13"/>
  <c r="H827" i="13"/>
  <c r="A828" i="13"/>
  <c r="B828" i="13"/>
  <c r="C828" i="13"/>
  <c r="D828" i="13"/>
  <c r="K828" i="13" s="1"/>
  <c r="E828" i="13"/>
  <c r="F828" i="13"/>
  <c r="G828" i="13"/>
  <c r="H828" i="13"/>
  <c r="J828" i="13"/>
  <c r="L828" i="13" s="1"/>
  <c r="A829" i="13"/>
  <c r="J829" i="13" s="1"/>
  <c r="B829" i="13"/>
  <c r="C829" i="13"/>
  <c r="D829" i="13"/>
  <c r="K829" i="13" s="1"/>
  <c r="E829" i="13"/>
  <c r="F829" i="13"/>
  <c r="G829" i="13"/>
  <c r="H829" i="13"/>
  <c r="A830" i="13"/>
  <c r="J830" i="13" s="1"/>
  <c r="B830" i="13"/>
  <c r="C830" i="13"/>
  <c r="D830" i="13"/>
  <c r="K830" i="13" s="1"/>
  <c r="E830" i="13"/>
  <c r="F830" i="13"/>
  <c r="G830" i="13"/>
  <c r="H830" i="13"/>
  <c r="A831" i="13"/>
  <c r="J831" i="13" s="1"/>
  <c r="B831" i="13"/>
  <c r="C831" i="13"/>
  <c r="D831" i="13"/>
  <c r="K831" i="13" s="1"/>
  <c r="E831" i="13"/>
  <c r="F831" i="13"/>
  <c r="G831" i="13"/>
  <c r="H831" i="13"/>
  <c r="A832" i="13"/>
  <c r="B832" i="13"/>
  <c r="C832" i="13"/>
  <c r="D832" i="13"/>
  <c r="K832" i="13" s="1"/>
  <c r="E832" i="13"/>
  <c r="F832" i="13"/>
  <c r="G832" i="13"/>
  <c r="H832" i="13"/>
  <c r="J832" i="13"/>
  <c r="L832" i="13" s="1"/>
  <c r="A833" i="13"/>
  <c r="B833" i="13"/>
  <c r="C833" i="13"/>
  <c r="D833" i="13"/>
  <c r="E833" i="13"/>
  <c r="F833" i="13"/>
  <c r="G833" i="13"/>
  <c r="H833" i="13"/>
  <c r="J833" i="13"/>
  <c r="K833" i="13"/>
  <c r="A834" i="13"/>
  <c r="J834" i="13" s="1"/>
  <c r="B834" i="13"/>
  <c r="C834" i="13"/>
  <c r="D834" i="13"/>
  <c r="K834" i="13" s="1"/>
  <c r="E834" i="13"/>
  <c r="F834" i="13"/>
  <c r="G834" i="13"/>
  <c r="H834" i="13"/>
  <c r="A835" i="13"/>
  <c r="J835" i="13" s="1"/>
  <c r="B835" i="13"/>
  <c r="C835" i="13"/>
  <c r="D835" i="13"/>
  <c r="K835" i="13" s="1"/>
  <c r="E835" i="13"/>
  <c r="F835" i="13"/>
  <c r="G835" i="13"/>
  <c r="H835" i="13"/>
  <c r="A836" i="13"/>
  <c r="B836" i="13"/>
  <c r="C836" i="13"/>
  <c r="D836" i="13"/>
  <c r="E836" i="13"/>
  <c r="F836" i="13"/>
  <c r="G836" i="13"/>
  <c r="J836" i="13"/>
  <c r="K836" i="13"/>
  <c r="A837" i="13"/>
  <c r="J837" i="13" s="1"/>
  <c r="B837" i="13"/>
  <c r="C837" i="13"/>
  <c r="D837" i="13"/>
  <c r="E837" i="13"/>
  <c r="F837" i="13"/>
  <c r="G837" i="13"/>
  <c r="K837" i="13"/>
  <c r="A838" i="13"/>
  <c r="B838" i="13"/>
  <c r="J838" i="13" s="1"/>
  <c r="C838" i="13"/>
  <c r="D838" i="13"/>
  <c r="K838" i="13" s="1"/>
  <c r="E838" i="13"/>
  <c r="F838" i="13"/>
  <c r="G838" i="13"/>
  <c r="A839" i="13"/>
  <c r="B839" i="13"/>
  <c r="C839" i="13"/>
  <c r="D839" i="13"/>
  <c r="E839" i="13"/>
  <c r="F839" i="13"/>
  <c r="G839" i="13"/>
  <c r="J839" i="13"/>
  <c r="L839" i="13" s="1"/>
  <c r="K839" i="13"/>
  <c r="A840" i="13"/>
  <c r="J840" i="13" s="1"/>
  <c r="B840" i="13"/>
  <c r="C840" i="13"/>
  <c r="D840" i="13"/>
  <c r="K840" i="13" s="1"/>
  <c r="E840" i="13"/>
  <c r="F840" i="13"/>
  <c r="G840" i="13"/>
  <c r="A841" i="13"/>
  <c r="J841" i="13" s="1"/>
  <c r="B841" i="13"/>
  <c r="C841" i="13"/>
  <c r="D841" i="13"/>
  <c r="E841" i="13"/>
  <c r="F841" i="13"/>
  <c r="G841" i="13"/>
  <c r="H841" i="13"/>
  <c r="K841" i="13"/>
  <c r="A842" i="13"/>
  <c r="J842" i="13" s="1"/>
  <c r="B842" i="13"/>
  <c r="C842" i="13"/>
  <c r="D842" i="13"/>
  <c r="K842" i="13" s="1"/>
  <c r="E842" i="13"/>
  <c r="F842" i="13"/>
  <c r="G842" i="13"/>
  <c r="H842" i="13"/>
  <c r="A843" i="13"/>
  <c r="B843" i="13"/>
  <c r="C843" i="13"/>
  <c r="D843" i="13"/>
  <c r="K843" i="13" s="1"/>
  <c r="E843" i="13"/>
  <c r="F843" i="13"/>
  <c r="G843" i="13"/>
  <c r="H843" i="13"/>
  <c r="J843" i="13"/>
  <c r="L843" i="13" s="1"/>
  <c r="A844" i="13"/>
  <c r="J844" i="13" s="1"/>
  <c r="B844" i="13"/>
  <c r="C844" i="13"/>
  <c r="D844" i="13"/>
  <c r="E844" i="13"/>
  <c r="F844" i="13"/>
  <c r="G844" i="13"/>
  <c r="H844" i="13"/>
  <c r="K844" i="13"/>
  <c r="A845" i="13"/>
  <c r="J845" i="13" s="1"/>
  <c r="B845" i="13"/>
  <c r="C845" i="13"/>
  <c r="D845" i="13"/>
  <c r="K845" i="13" s="1"/>
  <c r="E845" i="13"/>
  <c r="F845" i="13"/>
  <c r="G845" i="13"/>
  <c r="H845" i="13"/>
  <c r="A846" i="13"/>
  <c r="B846" i="13"/>
  <c r="C846" i="13"/>
  <c r="D846" i="13"/>
  <c r="K846" i="13" s="1"/>
  <c r="E846" i="13"/>
  <c r="F846" i="13"/>
  <c r="G846" i="13"/>
  <c r="H846" i="13"/>
  <c r="J846" i="13"/>
  <c r="A847" i="13"/>
  <c r="B847" i="13"/>
  <c r="C847" i="13"/>
  <c r="D847" i="13"/>
  <c r="E847" i="13"/>
  <c r="F847" i="13"/>
  <c r="G847" i="13"/>
  <c r="H847" i="13"/>
  <c r="J847" i="13"/>
  <c r="K847" i="13"/>
  <c r="A848" i="13"/>
  <c r="J848" i="13" s="1"/>
  <c r="B848" i="13"/>
  <c r="C848" i="13"/>
  <c r="D848" i="13"/>
  <c r="K848" i="13" s="1"/>
  <c r="E848" i="13"/>
  <c r="F848" i="13"/>
  <c r="G848" i="13"/>
  <c r="H848" i="13"/>
  <c r="A849" i="13"/>
  <c r="J849" i="13" s="1"/>
  <c r="M849" i="13" s="1"/>
  <c r="B849" i="13"/>
  <c r="C849" i="13"/>
  <c r="D849" i="13"/>
  <c r="E849" i="13"/>
  <c r="F849" i="13"/>
  <c r="G849" i="13"/>
  <c r="H849" i="13"/>
  <c r="K849" i="13"/>
  <c r="A850" i="13"/>
  <c r="J850" i="13" s="1"/>
  <c r="B850" i="13"/>
  <c r="C850" i="13"/>
  <c r="D850" i="13"/>
  <c r="K850" i="13" s="1"/>
  <c r="E850" i="13"/>
  <c r="F850" i="13"/>
  <c r="G850" i="13"/>
  <c r="H850" i="13"/>
  <c r="A851" i="13"/>
  <c r="M851" i="13" s="1"/>
  <c r="B851" i="13"/>
  <c r="C851" i="13"/>
  <c r="D851" i="13"/>
  <c r="K851" i="13" s="1"/>
  <c r="E851" i="13"/>
  <c r="F851" i="13"/>
  <c r="G851" i="13"/>
  <c r="H851" i="13"/>
  <c r="J851" i="13"/>
  <c r="A852" i="13"/>
  <c r="J852" i="13" s="1"/>
  <c r="B852" i="13"/>
  <c r="C852" i="13"/>
  <c r="D852" i="13"/>
  <c r="E852" i="13"/>
  <c r="F852" i="13"/>
  <c r="G852" i="13"/>
  <c r="H852" i="13"/>
  <c r="K852" i="13"/>
  <c r="A853" i="13"/>
  <c r="J853" i="13" s="1"/>
  <c r="B853" i="13"/>
  <c r="C853" i="13"/>
  <c r="D853" i="13"/>
  <c r="K853" i="13" s="1"/>
  <c r="E853" i="13"/>
  <c r="F853" i="13"/>
  <c r="G853" i="13"/>
  <c r="H853" i="13"/>
  <c r="A854" i="13"/>
  <c r="B854" i="13"/>
  <c r="C854" i="13"/>
  <c r="D854" i="13"/>
  <c r="K854" i="13" s="1"/>
  <c r="E854" i="13"/>
  <c r="F854" i="13"/>
  <c r="G854" i="13"/>
  <c r="H854" i="13"/>
  <c r="J854" i="13"/>
  <c r="A855" i="13"/>
  <c r="B855" i="13"/>
  <c r="C855" i="13"/>
  <c r="D855" i="13"/>
  <c r="E855" i="13"/>
  <c r="F855" i="13"/>
  <c r="G855" i="13"/>
  <c r="H855" i="13"/>
  <c r="J855" i="13"/>
  <c r="K855" i="13"/>
  <c r="A856" i="13"/>
  <c r="J856" i="13" s="1"/>
  <c r="B856" i="13"/>
  <c r="C856" i="13"/>
  <c r="D856" i="13"/>
  <c r="K856" i="13" s="1"/>
  <c r="E856" i="13"/>
  <c r="F856" i="13"/>
  <c r="G856" i="13"/>
  <c r="H856" i="13"/>
  <c r="A857" i="13"/>
  <c r="J857" i="13" s="1"/>
  <c r="B857" i="13"/>
  <c r="C857" i="13"/>
  <c r="D857" i="13"/>
  <c r="E857" i="13"/>
  <c r="F857" i="13"/>
  <c r="G857" i="13"/>
  <c r="H857" i="13"/>
  <c r="K857" i="13"/>
  <c r="A858" i="13"/>
  <c r="J858" i="13" s="1"/>
  <c r="B858" i="13"/>
  <c r="C858" i="13"/>
  <c r="D858" i="13"/>
  <c r="K858" i="13" s="1"/>
  <c r="E858" i="13"/>
  <c r="F858" i="13"/>
  <c r="G858" i="13"/>
  <c r="H858" i="13"/>
  <c r="A859" i="13"/>
  <c r="B859" i="13"/>
  <c r="C859" i="13"/>
  <c r="D859" i="13"/>
  <c r="K859" i="13" s="1"/>
  <c r="E859" i="13"/>
  <c r="F859" i="13"/>
  <c r="G859" i="13"/>
  <c r="H859" i="13"/>
  <c r="J859" i="13"/>
  <c r="A860" i="13"/>
  <c r="J860" i="13" s="1"/>
  <c r="B860" i="13"/>
  <c r="C860" i="13"/>
  <c r="D860" i="13"/>
  <c r="E860" i="13"/>
  <c r="F860" i="13"/>
  <c r="G860" i="13"/>
  <c r="K860" i="13"/>
  <c r="A861" i="13"/>
  <c r="J861" i="13" s="1"/>
  <c r="B861" i="13"/>
  <c r="C861" i="13"/>
  <c r="D861" i="13"/>
  <c r="K861" i="13" s="1"/>
  <c r="E861" i="13"/>
  <c r="F861" i="13"/>
  <c r="G861" i="13"/>
  <c r="A862" i="13"/>
  <c r="B862" i="13"/>
  <c r="J862" i="13" s="1"/>
  <c r="C862" i="13"/>
  <c r="D862" i="13"/>
  <c r="E862" i="13"/>
  <c r="F862" i="13"/>
  <c r="G862" i="13"/>
  <c r="K862" i="13"/>
  <c r="A863" i="13"/>
  <c r="B863" i="13"/>
  <c r="C863" i="13"/>
  <c r="D863" i="13"/>
  <c r="E863" i="13"/>
  <c r="F863" i="13"/>
  <c r="G863" i="13"/>
  <c r="H863" i="13"/>
  <c r="J863" i="13"/>
  <c r="K863" i="13"/>
  <c r="A864" i="13"/>
  <c r="J864" i="13" s="1"/>
  <c r="B864" i="13"/>
  <c r="C864" i="13"/>
  <c r="D864" i="13"/>
  <c r="K864" i="13" s="1"/>
  <c r="E864" i="13"/>
  <c r="F864" i="13"/>
  <c r="G864" i="13"/>
  <c r="A865" i="13"/>
  <c r="B865" i="13"/>
  <c r="C865" i="13"/>
  <c r="D865" i="13"/>
  <c r="E865" i="13"/>
  <c r="F865" i="13"/>
  <c r="G865" i="13"/>
  <c r="K865" i="13"/>
  <c r="A866" i="13"/>
  <c r="B866" i="13"/>
  <c r="C866" i="13"/>
  <c r="D866" i="13"/>
  <c r="E866" i="13"/>
  <c r="F866" i="13"/>
  <c r="G866" i="13"/>
  <c r="J866" i="13"/>
  <c r="K866" i="13"/>
  <c r="A867" i="13"/>
  <c r="J867" i="13" s="1"/>
  <c r="B867" i="13"/>
  <c r="C867" i="13"/>
  <c r="D867" i="13"/>
  <c r="K867" i="13" s="1"/>
  <c r="E867" i="13"/>
  <c r="F867" i="13"/>
  <c r="G867" i="13"/>
  <c r="A868" i="13"/>
  <c r="J868" i="13" s="1"/>
  <c r="B868" i="13"/>
  <c r="C868" i="13"/>
  <c r="D868" i="13"/>
  <c r="K868" i="13" s="1"/>
  <c r="E868" i="13"/>
  <c r="F868" i="13"/>
  <c r="G868" i="13"/>
  <c r="H868" i="13"/>
  <c r="A869" i="13"/>
  <c r="B869" i="13"/>
  <c r="C869" i="13"/>
  <c r="D869" i="13"/>
  <c r="E869" i="13"/>
  <c r="F869" i="13"/>
  <c r="G869" i="13"/>
  <c r="H869" i="13"/>
  <c r="J869" i="13"/>
  <c r="K869" i="13"/>
  <c r="A870" i="13"/>
  <c r="J870" i="13" s="1"/>
  <c r="B870" i="13"/>
  <c r="C870" i="13"/>
  <c r="D870" i="13"/>
  <c r="K870" i="13" s="1"/>
  <c r="E870" i="13"/>
  <c r="F870" i="13"/>
  <c r="G870" i="13"/>
  <c r="A871" i="13"/>
  <c r="J871" i="13" s="1"/>
  <c r="B871" i="13"/>
  <c r="C871" i="13"/>
  <c r="D871" i="13"/>
  <c r="E871" i="13"/>
  <c r="F871" i="13"/>
  <c r="G871" i="13"/>
  <c r="K871" i="13"/>
  <c r="A872" i="13"/>
  <c r="B872" i="13"/>
  <c r="C872" i="13"/>
  <c r="D872" i="13"/>
  <c r="K872" i="13" s="1"/>
  <c r="E872" i="13"/>
  <c r="F872" i="13"/>
  <c r="G872" i="13"/>
  <c r="J872" i="13"/>
  <c r="A873" i="13"/>
  <c r="J873" i="13" s="1"/>
  <c r="B873" i="13"/>
  <c r="C873" i="13"/>
  <c r="D873" i="13"/>
  <c r="E873" i="13"/>
  <c r="F873" i="13"/>
  <c r="G873" i="13"/>
  <c r="K873" i="13"/>
  <c r="A874" i="13"/>
  <c r="B874" i="13"/>
  <c r="J874" i="13" s="1"/>
  <c r="C874" i="13"/>
  <c r="D874" i="13"/>
  <c r="K874" i="13" s="1"/>
  <c r="E874" i="13"/>
  <c r="F874" i="13"/>
  <c r="G874" i="13"/>
  <c r="A875" i="13"/>
  <c r="J875" i="13" s="1"/>
  <c r="B875" i="13"/>
  <c r="C875" i="13"/>
  <c r="D875" i="13"/>
  <c r="K875" i="13" s="1"/>
  <c r="E875" i="13"/>
  <c r="F875" i="13"/>
  <c r="G875" i="13"/>
  <c r="A876" i="13"/>
  <c r="B876" i="13"/>
  <c r="J876" i="13" s="1"/>
  <c r="C876" i="13"/>
  <c r="D876" i="13"/>
  <c r="E876" i="13"/>
  <c r="F876" i="13"/>
  <c r="G876" i="13"/>
  <c r="K876" i="13"/>
  <c r="A877" i="13"/>
  <c r="J877" i="13" s="1"/>
  <c r="B877" i="13"/>
  <c r="C877" i="13"/>
  <c r="D877" i="13"/>
  <c r="E877" i="13"/>
  <c r="F877" i="13"/>
  <c r="G877" i="13"/>
  <c r="K877" i="13"/>
  <c r="A878" i="13"/>
  <c r="J878" i="13" s="1"/>
  <c r="B878" i="13"/>
  <c r="C878" i="13"/>
  <c r="D878" i="13"/>
  <c r="K878" i="13" s="1"/>
  <c r="E878" i="13"/>
  <c r="F878" i="13"/>
  <c r="G878" i="13"/>
  <c r="A879" i="13"/>
  <c r="B879" i="13"/>
  <c r="C879" i="13"/>
  <c r="D879" i="13"/>
  <c r="E879" i="13"/>
  <c r="F879" i="13"/>
  <c r="G879" i="13"/>
  <c r="J879" i="13"/>
  <c r="K879" i="13"/>
  <c r="A880" i="13"/>
  <c r="B880" i="13"/>
  <c r="J880" i="13" s="1"/>
  <c r="C880" i="13"/>
  <c r="D880" i="13"/>
  <c r="E880" i="13"/>
  <c r="F880" i="13"/>
  <c r="G880" i="13"/>
  <c r="H880" i="13"/>
  <c r="K880" i="13"/>
  <c r="A881" i="13"/>
  <c r="J881" i="13" s="1"/>
  <c r="B881" i="13"/>
  <c r="C881" i="13"/>
  <c r="D881" i="13"/>
  <c r="K881" i="13" s="1"/>
  <c r="E881" i="13"/>
  <c r="F881" i="13"/>
  <c r="G881" i="13"/>
  <c r="H881" i="13"/>
  <c r="A882" i="13"/>
  <c r="B882" i="13"/>
  <c r="C882" i="13"/>
  <c r="D882" i="13"/>
  <c r="E882" i="13"/>
  <c r="F882" i="13"/>
  <c r="G882" i="13"/>
  <c r="H882" i="13"/>
  <c r="K882" i="13"/>
  <c r="A883" i="13"/>
  <c r="B883" i="13"/>
  <c r="C883" i="13"/>
  <c r="D883" i="13"/>
  <c r="E883" i="13"/>
  <c r="F883" i="13"/>
  <c r="G883" i="13"/>
  <c r="H883" i="13"/>
  <c r="J883" i="13"/>
  <c r="K883" i="13"/>
  <c r="A884" i="13"/>
  <c r="J884" i="13" s="1"/>
  <c r="B884" i="13"/>
  <c r="C884" i="13"/>
  <c r="D884" i="13"/>
  <c r="K884" i="13" s="1"/>
  <c r="E884" i="13"/>
  <c r="F884" i="13"/>
  <c r="G884" i="13"/>
  <c r="H884" i="13"/>
  <c r="A885" i="13"/>
  <c r="J885" i="13" s="1"/>
  <c r="B885" i="13"/>
  <c r="C885" i="13"/>
  <c r="D885" i="13"/>
  <c r="K885" i="13" s="1"/>
  <c r="E885" i="13"/>
  <c r="F885" i="13"/>
  <c r="G885" i="13"/>
  <c r="H885" i="13"/>
  <c r="A886" i="13"/>
  <c r="B886" i="13"/>
  <c r="J886" i="13" s="1"/>
  <c r="C886" i="13"/>
  <c r="D886" i="13"/>
  <c r="K886" i="13" s="1"/>
  <c r="E886" i="13"/>
  <c r="F886" i="13"/>
  <c r="G886" i="13"/>
  <c r="H886" i="13"/>
  <c r="A887" i="13"/>
  <c r="B887" i="13"/>
  <c r="C887" i="13"/>
  <c r="D887" i="13"/>
  <c r="E887" i="13"/>
  <c r="F887" i="13"/>
  <c r="G887" i="13"/>
  <c r="H887" i="13"/>
  <c r="J887" i="13"/>
  <c r="K887" i="13"/>
  <c r="A888" i="13"/>
  <c r="B888" i="13"/>
  <c r="J888" i="13" s="1"/>
  <c r="C888" i="13"/>
  <c r="D888" i="13"/>
  <c r="E888" i="13"/>
  <c r="F888" i="13"/>
  <c r="G888" i="13"/>
  <c r="H888" i="13"/>
  <c r="K888" i="13"/>
  <c r="A889" i="13"/>
  <c r="J889" i="13" s="1"/>
  <c r="B889" i="13"/>
  <c r="C889" i="13"/>
  <c r="D889" i="13"/>
  <c r="K889" i="13" s="1"/>
  <c r="E889" i="13"/>
  <c r="F889" i="13"/>
  <c r="G889" i="13"/>
  <c r="A890" i="13"/>
  <c r="B890" i="13"/>
  <c r="J890" i="13" s="1"/>
  <c r="C890" i="13"/>
  <c r="D890" i="13"/>
  <c r="E890" i="13"/>
  <c r="F890" i="13"/>
  <c r="G890" i="13"/>
  <c r="K890" i="13"/>
  <c r="A891" i="13"/>
  <c r="B891" i="13"/>
  <c r="C891" i="13"/>
  <c r="D891" i="13"/>
  <c r="E891" i="13"/>
  <c r="F891" i="13"/>
  <c r="G891" i="13"/>
  <c r="J891" i="13"/>
  <c r="K891" i="13"/>
  <c r="A892" i="13"/>
  <c r="J892" i="13" s="1"/>
  <c r="B892" i="13"/>
  <c r="C892" i="13"/>
  <c r="D892" i="13"/>
  <c r="K892" i="13" s="1"/>
  <c r="E892" i="13"/>
  <c r="F892" i="13"/>
  <c r="G892" i="13"/>
  <c r="A893" i="13"/>
  <c r="B893" i="13"/>
  <c r="C893" i="13"/>
  <c r="D893" i="13"/>
  <c r="E893" i="13"/>
  <c r="F893" i="13"/>
  <c r="G893" i="13"/>
  <c r="J893" i="13"/>
  <c r="K893" i="13"/>
  <c r="A894" i="13"/>
  <c r="B894" i="13"/>
  <c r="C894" i="13"/>
  <c r="D894" i="13"/>
  <c r="E894" i="13"/>
  <c r="F894" i="13"/>
  <c r="G894" i="13"/>
  <c r="H894" i="13"/>
  <c r="J894" i="13"/>
  <c r="K894" i="13"/>
  <c r="A895" i="13"/>
  <c r="J895" i="13" s="1"/>
  <c r="B895" i="13"/>
  <c r="C895" i="13"/>
  <c r="D895" i="13"/>
  <c r="K895" i="13" s="1"/>
  <c r="E895" i="13"/>
  <c r="F895" i="13"/>
  <c r="G895" i="13"/>
  <c r="H895" i="13"/>
  <c r="A896" i="13"/>
  <c r="B896" i="13"/>
  <c r="C896" i="13"/>
  <c r="D896" i="13"/>
  <c r="K896" i="13" s="1"/>
  <c r="E896" i="13"/>
  <c r="F896" i="13"/>
  <c r="G896" i="13"/>
  <c r="H896" i="13"/>
  <c r="J896" i="13"/>
  <c r="A897" i="13"/>
  <c r="B897" i="13"/>
  <c r="C897" i="13"/>
  <c r="D897" i="13"/>
  <c r="K897" i="13" s="1"/>
  <c r="E897" i="13"/>
  <c r="F897" i="13"/>
  <c r="G897" i="13"/>
  <c r="H897" i="13"/>
  <c r="J897" i="13"/>
  <c r="A898" i="13"/>
  <c r="J898" i="13" s="1"/>
  <c r="B898" i="13"/>
  <c r="C898" i="13"/>
  <c r="D898" i="13"/>
  <c r="E898" i="13"/>
  <c r="F898" i="13"/>
  <c r="G898" i="13"/>
  <c r="H898" i="13"/>
  <c r="K898" i="13"/>
  <c r="A899" i="13"/>
  <c r="J899" i="13" s="1"/>
  <c r="B899" i="13"/>
  <c r="C899" i="13"/>
  <c r="D899" i="13"/>
  <c r="E899" i="13"/>
  <c r="F899" i="13"/>
  <c r="G899" i="13"/>
  <c r="H899" i="13"/>
  <c r="K899" i="13"/>
  <c r="A900" i="13"/>
  <c r="J900" i="13" s="1"/>
  <c r="B900" i="13"/>
  <c r="C900" i="13"/>
  <c r="D900" i="13"/>
  <c r="K900" i="13" s="1"/>
  <c r="E900" i="13"/>
  <c r="F900" i="13"/>
  <c r="G900" i="13"/>
  <c r="H900" i="13"/>
  <c r="A901" i="13"/>
  <c r="B901" i="13"/>
  <c r="J901" i="13" s="1"/>
  <c r="C901" i="13"/>
  <c r="D901" i="13"/>
  <c r="E901" i="13"/>
  <c r="F901" i="13"/>
  <c r="G901" i="13"/>
  <c r="K901" i="13"/>
  <c r="A902" i="13"/>
  <c r="B902" i="13"/>
  <c r="C902" i="13"/>
  <c r="D902" i="13"/>
  <c r="E902" i="13"/>
  <c r="F902" i="13"/>
  <c r="G902" i="13"/>
  <c r="H902" i="13"/>
  <c r="J902" i="13"/>
  <c r="K902" i="13"/>
  <c r="A903" i="13"/>
  <c r="J903" i="13" s="1"/>
  <c r="B903" i="13"/>
  <c r="C903" i="13"/>
  <c r="D903" i="13"/>
  <c r="K903" i="13" s="1"/>
  <c r="E903" i="13"/>
  <c r="F903" i="13"/>
  <c r="G903" i="13"/>
  <c r="A904" i="13"/>
  <c r="B904" i="13"/>
  <c r="C904" i="13"/>
  <c r="D904" i="13"/>
  <c r="E904" i="13"/>
  <c r="F904" i="13"/>
  <c r="G904" i="13"/>
  <c r="K904" i="13"/>
  <c r="A905" i="13"/>
  <c r="B905" i="13"/>
  <c r="C905" i="13"/>
  <c r="D905" i="13"/>
  <c r="E905" i="13"/>
  <c r="F905" i="13"/>
  <c r="G905" i="13"/>
  <c r="J905" i="13"/>
  <c r="K905" i="13"/>
  <c r="A906" i="13"/>
  <c r="J906" i="13" s="1"/>
  <c r="B906" i="13"/>
  <c r="C906" i="13"/>
  <c r="D906" i="13"/>
  <c r="K906" i="13" s="1"/>
  <c r="E906" i="13"/>
  <c r="F906" i="13"/>
  <c r="G906" i="13"/>
  <c r="H906" i="13"/>
  <c r="A907" i="13"/>
  <c r="B907" i="13"/>
  <c r="J907" i="13" s="1"/>
  <c r="C907" i="13"/>
  <c r="D907" i="13"/>
  <c r="K907" i="13" s="1"/>
  <c r="E907" i="13"/>
  <c r="F907" i="13"/>
  <c r="G907" i="13"/>
  <c r="H907" i="13"/>
  <c r="A908" i="13"/>
  <c r="B908" i="13"/>
  <c r="C908" i="13"/>
  <c r="D908" i="13"/>
  <c r="K908" i="13" s="1"/>
  <c r="E908" i="13"/>
  <c r="F908" i="13"/>
  <c r="G908" i="13"/>
  <c r="H908" i="13"/>
  <c r="J908" i="13"/>
  <c r="A909" i="13"/>
  <c r="J909" i="13" s="1"/>
  <c r="B909" i="13"/>
  <c r="C909" i="13"/>
  <c r="D909" i="13"/>
  <c r="E909" i="13"/>
  <c r="F909" i="13"/>
  <c r="G909" i="13"/>
  <c r="H909" i="13"/>
  <c r="K909" i="13"/>
  <c r="A910" i="13"/>
  <c r="J910" i="13" s="1"/>
  <c r="B910" i="13"/>
  <c r="C910" i="13"/>
  <c r="D910" i="13"/>
  <c r="E910" i="13"/>
  <c r="F910" i="13"/>
  <c r="G910" i="13"/>
  <c r="H910" i="13"/>
  <c r="K910" i="13"/>
  <c r="A911" i="13"/>
  <c r="J911" i="13" s="1"/>
  <c r="B911" i="13"/>
  <c r="C911" i="13"/>
  <c r="D911" i="13"/>
  <c r="K911" i="13" s="1"/>
  <c r="E911" i="13"/>
  <c r="F911" i="13"/>
  <c r="G911" i="13"/>
  <c r="H911" i="13"/>
  <c r="A912" i="13"/>
  <c r="B912" i="13"/>
  <c r="C912" i="13"/>
  <c r="D912" i="13"/>
  <c r="E912" i="13"/>
  <c r="F912" i="13"/>
  <c r="G912" i="13"/>
  <c r="H912" i="13"/>
  <c r="J912" i="13"/>
  <c r="K912" i="13"/>
  <c r="A913" i="13"/>
  <c r="B913" i="13"/>
  <c r="C913" i="13"/>
  <c r="D913" i="13"/>
  <c r="E913" i="13"/>
  <c r="F913" i="13"/>
  <c r="G913" i="13"/>
  <c r="H913" i="13"/>
  <c r="J913" i="13"/>
  <c r="K913" i="13"/>
  <c r="A914" i="13"/>
  <c r="J914" i="13" s="1"/>
  <c r="B914" i="13"/>
  <c r="C914" i="13"/>
  <c r="D914" i="13"/>
  <c r="K914" i="13" s="1"/>
  <c r="E914" i="13"/>
  <c r="F914" i="13"/>
  <c r="G914" i="13"/>
  <c r="H914" i="13"/>
  <c r="A915" i="13"/>
  <c r="B915" i="13"/>
  <c r="J915" i="13" s="1"/>
  <c r="C915" i="13"/>
  <c r="D915" i="13"/>
  <c r="K915" i="13" s="1"/>
  <c r="E915" i="13"/>
  <c r="F915" i="13"/>
  <c r="G915" i="13"/>
  <c r="H915" i="13"/>
  <c r="A916" i="13"/>
  <c r="B916" i="13"/>
  <c r="C916" i="13"/>
  <c r="D916" i="13"/>
  <c r="K916" i="13" s="1"/>
  <c r="E916" i="13"/>
  <c r="F916" i="13"/>
  <c r="G916" i="13"/>
  <c r="H916" i="13"/>
  <c r="J916" i="13"/>
  <c r="A917" i="13"/>
  <c r="J917" i="13" s="1"/>
  <c r="B917" i="13"/>
  <c r="C917" i="13"/>
  <c r="D917" i="13"/>
  <c r="E917" i="13"/>
  <c r="F917" i="13"/>
  <c r="G917" i="13"/>
  <c r="H917" i="13"/>
  <c r="K917" i="13"/>
  <c r="A918" i="13"/>
  <c r="J918" i="13" s="1"/>
  <c r="B918" i="13"/>
  <c r="C918" i="13"/>
  <c r="D918" i="13"/>
  <c r="E918" i="13"/>
  <c r="F918" i="13"/>
  <c r="G918" i="13"/>
  <c r="H918" i="13"/>
  <c r="K918" i="13"/>
  <c r="A919" i="13"/>
  <c r="J919" i="13" s="1"/>
  <c r="B919" i="13"/>
  <c r="C919" i="13"/>
  <c r="D919" i="13"/>
  <c r="K919" i="13" s="1"/>
  <c r="E919" i="13"/>
  <c r="F919" i="13"/>
  <c r="G919" i="13"/>
  <c r="H919" i="13"/>
  <c r="A920" i="13"/>
  <c r="B920" i="13"/>
  <c r="C920" i="13"/>
  <c r="D920" i="13"/>
  <c r="E920" i="13"/>
  <c r="F920" i="13"/>
  <c r="G920" i="13"/>
  <c r="H920" i="13"/>
  <c r="J920" i="13"/>
  <c r="K920" i="13"/>
  <c r="A921" i="13"/>
  <c r="B921" i="13"/>
  <c r="C921" i="13"/>
  <c r="D921" i="13"/>
  <c r="E921" i="13"/>
  <c r="F921" i="13"/>
  <c r="G921" i="13"/>
  <c r="J921" i="13"/>
  <c r="K921" i="13"/>
  <c r="A922" i="13"/>
  <c r="J922" i="13" s="1"/>
  <c r="B922" i="13"/>
  <c r="C922" i="13"/>
  <c r="D922" i="13"/>
  <c r="K922" i="13" s="1"/>
  <c r="E922" i="13"/>
  <c r="F922" i="13"/>
  <c r="G922" i="13"/>
  <c r="A923" i="13"/>
  <c r="B923" i="13"/>
  <c r="C923" i="13"/>
  <c r="D923" i="13"/>
  <c r="E923" i="13"/>
  <c r="F923" i="13"/>
  <c r="G923" i="13"/>
  <c r="K923" i="13"/>
  <c r="A694" i="13"/>
  <c r="B694" i="13"/>
  <c r="C694" i="13"/>
  <c r="D694" i="13"/>
  <c r="E694" i="13"/>
  <c r="F694" i="13"/>
  <c r="G694" i="13"/>
  <c r="J694" i="13"/>
  <c r="K694" i="13"/>
  <c r="L694" i="13"/>
  <c r="M694" i="13"/>
  <c r="A695" i="13"/>
  <c r="J695" i="13" s="1"/>
  <c r="B695" i="13"/>
  <c r="C695" i="13"/>
  <c r="D695" i="13"/>
  <c r="K695" i="13" s="1"/>
  <c r="E695" i="13"/>
  <c r="F695" i="13"/>
  <c r="G695" i="13"/>
  <c r="H695" i="13"/>
  <c r="A696" i="13"/>
  <c r="L696" i="13" s="1"/>
  <c r="B696" i="13"/>
  <c r="C696" i="13"/>
  <c r="D696" i="13"/>
  <c r="K696" i="13" s="1"/>
  <c r="E696" i="13"/>
  <c r="F696" i="13"/>
  <c r="G696" i="13"/>
  <c r="H696" i="13"/>
  <c r="J696" i="13"/>
  <c r="A697" i="13"/>
  <c r="B697" i="13"/>
  <c r="C697" i="13"/>
  <c r="D697" i="13"/>
  <c r="E697" i="13"/>
  <c r="F697" i="13"/>
  <c r="G697" i="13"/>
  <c r="H697" i="13"/>
  <c r="J697" i="13"/>
  <c r="K697" i="13"/>
  <c r="A698" i="13"/>
  <c r="B698" i="13"/>
  <c r="J698" i="13" s="1"/>
  <c r="C698" i="13"/>
  <c r="D698" i="13"/>
  <c r="E698" i="13"/>
  <c r="F698" i="13"/>
  <c r="G698" i="13"/>
  <c r="H698" i="13"/>
  <c r="K698" i="13"/>
  <c r="A699" i="13"/>
  <c r="J699" i="13" s="1"/>
  <c r="B699" i="13"/>
  <c r="C699" i="13"/>
  <c r="D699" i="13"/>
  <c r="K699" i="13" s="1"/>
  <c r="E699" i="13"/>
  <c r="F699" i="13"/>
  <c r="G699" i="13"/>
  <c r="H699" i="13"/>
  <c r="A700" i="13"/>
  <c r="B700" i="13"/>
  <c r="C700" i="13"/>
  <c r="D700" i="13"/>
  <c r="K700" i="13" s="1"/>
  <c r="E700" i="13"/>
  <c r="F700" i="13"/>
  <c r="G700" i="13"/>
  <c r="J700" i="13"/>
  <c r="L700" i="13" s="1"/>
  <c r="A701" i="13"/>
  <c r="B701" i="13"/>
  <c r="C701" i="13"/>
  <c r="D701" i="13"/>
  <c r="E701" i="13"/>
  <c r="F701" i="13"/>
  <c r="G701" i="13"/>
  <c r="J701" i="13"/>
  <c r="L701" i="13" s="1"/>
  <c r="K701" i="13"/>
  <c r="A702" i="13"/>
  <c r="J702" i="13" s="1"/>
  <c r="B702" i="13"/>
  <c r="C702" i="13"/>
  <c r="D702" i="13"/>
  <c r="E702" i="13"/>
  <c r="F702" i="13"/>
  <c r="G702" i="13"/>
  <c r="H702" i="13"/>
  <c r="K702" i="13"/>
  <c r="A703" i="13"/>
  <c r="B703" i="13"/>
  <c r="J703" i="13" s="1"/>
  <c r="C703" i="13"/>
  <c r="D703" i="13"/>
  <c r="E703" i="13"/>
  <c r="F703" i="13"/>
  <c r="G703" i="13"/>
  <c r="K703" i="13"/>
  <c r="A704" i="13"/>
  <c r="B704" i="13"/>
  <c r="C704" i="13"/>
  <c r="D704" i="13"/>
  <c r="K704" i="13" s="1"/>
  <c r="E704" i="13"/>
  <c r="F704" i="13"/>
  <c r="G704" i="13"/>
  <c r="H704" i="13"/>
  <c r="J704" i="13"/>
  <c r="A705" i="13"/>
  <c r="B705" i="13"/>
  <c r="C705" i="13"/>
  <c r="D705" i="13"/>
  <c r="E705" i="13"/>
  <c r="F705" i="13"/>
  <c r="G705" i="13"/>
  <c r="H705" i="13"/>
  <c r="J705" i="13"/>
  <c r="K705" i="13"/>
  <c r="A706" i="13"/>
  <c r="J706" i="13" s="1"/>
  <c r="M706" i="13" s="1"/>
  <c r="B706" i="13"/>
  <c r="C706" i="13"/>
  <c r="D706" i="13"/>
  <c r="K706" i="13" s="1"/>
  <c r="E706" i="13"/>
  <c r="F706" i="13"/>
  <c r="G706" i="13"/>
  <c r="H706" i="13"/>
  <c r="A707" i="13"/>
  <c r="J707" i="13" s="1"/>
  <c r="B707" i="13"/>
  <c r="C707" i="13"/>
  <c r="D707" i="13"/>
  <c r="K707" i="13" s="1"/>
  <c r="E707" i="13"/>
  <c r="F707" i="13"/>
  <c r="G707" i="13"/>
  <c r="H707" i="13"/>
  <c r="A708" i="13"/>
  <c r="B708" i="13"/>
  <c r="C708" i="13"/>
  <c r="D708" i="13"/>
  <c r="E708" i="13"/>
  <c r="F708" i="13"/>
  <c r="G708" i="13"/>
  <c r="H708" i="13"/>
  <c r="J708" i="13"/>
  <c r="K708" i="13"/>
  <c r="A709" i="13"/>
  <c r="J709" i="13" s="1"/>
  <c r="L709" i="13" s="1"/>
  <c r="B709" i="13"/>
  <c r="C709" i="13"/>
  <c r="D709" i="13"/>
  <c r="E709" i="13"/>
  <c r="F709" i="13"/>
  <c r="G709" i="13"/>
  <c r="K709" i="13"/>
  <c r="A710" i="13"/>
  <c r="J710" i="13" s="1"/>
  <c r="B710" i="13"/>
  <c r="C710" i="13"/>
  <c r="D710" i="13"/>
  <c r="K710" i="13" s="1"/>
  <c r="E710" i="13"/>
  <c r="F710" i="13"/>
  <c r="G710" i="13"/>
  <c r="H710" i="13"/>
  <c r="A711" i="13"/>
  <c r="B711" i="13"/>
  <c r="C711" i="13"/>
  <c r="D711" i="13"/>
  <c r="K711" i="13" s="1"/>
  <c r="E711" i="13"/>
  <c r="F711" i="13"/>
  <c r="G711" i="13"/>
  <c r="H711" i="13"/>
  <c r="J711" i="13"/>
  <c r="L711" i="13" s="1"/>
  <c r="A712" i="13"/>
  <c r="L712" i="13" s="1"/>
  <c r="B712" i="13"/>
  <c r="C712" i="13"/>
  <c r="D712" i="13"/>
  <c r="E712" i="13"/>
  <c r="F712" i="13"/>
  <c r="G712" i="13"/>
  <c r="H712" i="13"/>
  <c r="J712" i="13"/>
  <c r="K712" i="13"/>
  <c r="A713" i="13"/>
  <c r="B713" i="13"/>
  <c r="C713" i="13"/>
  <c r="D713" i="13"/>
  <c r="K713" i="13" s="1"/>
  <c r="E713" i="13"/>
  <c r="F713" i="13"/>
  <c r="G713" i="13"/>
  <c r="H713" i="13"/>
  <c r="A714" i="13"/>
  <c r="J714" i="13" s="1"/>
  <c r="B714" i="13"/>
  <c r="C714" i="13"/>
  <c r="D714" i="13"/>
  <c r="K714" i="13" s="1"/>
  <c r="E714" i="13"/>
  <c r="F714" i="13"/>
  <c r="G714" i="13"/>
  <c r="H714" i="13"/>
  <c r="A715" i="13"/>
  <c r="B715" i="13"/>
  <c r="C715" i="13"/>
  <c r="D715" i="13"/>
  <c r="K715" i="13" s="1"/>
  <c r="E715" i="13"/>
  <c r="F715" i="13"/>
  <c r="G715" i="13"/>
  <c r="H715" i="13"/>
  <c r="J715" i="13"/>
  <c r="A716" i="13"/>
  <c r="B716" i="13"/>
  <c r="C716" i="13"/>
  <c r="D716" i="13"/>
  <c r="E716" i="13"/>
  <c r="F716" i="13"/>
  <c r="G716" i="13"/>
  <c r="H716" i="13"/>
  <c r="J716" i="13"/>
  <c r="K716" i="13"/>
  <c r="A717" i="13"/>
  <c r="J717" i="13" s="1"/>
  <c r="B717" i="13"/>
  <c r="C717" i="13"/>
  <c r="D717" i="13"/>
  <c r="E717" i="13"/>
  <c r="F717" i="13"/>
  <c r="G717" i="13"/>
  <c r="H717" i="13"/>
  <c r="K717" i="13"/>
  <c r="A718" i="13"/>
  <c r="J718" i="13" s="1"/>
  <c r="B718" i="13"/>
  <c r="C718" i="13"/>
  <c r="D718" i="13"/>
  <c r="K718" i="13" s="1"/>
  <c r="E718" i="13"/>
  <c r="F718" i="13"/>
  <c r="G718" i="13"/>
  <c r="H718" i="13"/>
  <c r="A719" i="13"/>
  <c r="B719" i="13"/>
  <c r="C719" i="13"/>
  <c r="D719" i="13"/>
  <c r="K719" i="13" s="1"/>
  <c r="E719" i="13"/>
  <c r="F719" i="13"/>
  <c r="G719" i="13"/>
  <c r="H719" i="13"/>
  <c r="J719" i="13"/>
  <c r="A720" i="13"/>
  <c r="B720" i="13"/>
  <c r="C720" i="13"/>
  <c r="D720" i="13"/>
  <c r="E720" i="13"/>
  <c r="F720" i="13"/>
  <c r="G720" i="13"/>
  <c r="H720" i="13"/>
  <c r="J720" i="13"/>
  <c r="K720" i="13"/>
  <c r="A721" i="13"/>
  <c r="B721" i="13"/>
  <c r="C721" i="13"/>
  <c r="D721" i="13"/>
  <c r="K721" i="13" s="1"/>
  <c r="E721" i="13"/>
  <c r="F721" i="13"/>
  <c r="G721" i="13"/>
  <c r="H721" i="13"/>
  <c r="A722" i="13"/>
  <c r="J722" i="13" s="1"/>
  <c r="B722" i="13"/>
  <c r="C722" i="13"/>
  <c r="D722" i="13"/>
  <c r="K722" i="13" s="1"/>
  <c r="E722" i="13"/>
  <c r="F722" i="13"/>
  <c r="G722" i="13"/>
  <c r="H722" i="13"/>
  <c r="A723" i="13"/>
  <c r="B723" i="13"/>
  <c r="C723" i="13"/>
  <c r="D723" i="13"/>
  <c r="K723" i="13" s="1"/>
  <c r="E723" i="13"/>
  <c r="F723" i="13"/>
  <c r="G723" i="13"/>
  <c r="H723" i="13"/>
  <c r="J723" i="13"/>
  <c r="A724" i="13"/>
  <c r="B724" i="13"/>
  <c r="C724" i="13"/>
  <c r="D724" i="13"/>
  <c r="E724" i="13"/>
  <c r="F724" i="13"/>
  <c r="G724" i="13"/>
  <c r="H724" i="13"/>
  <c r="J724" i="13"/>
  <c r="K724" i="13"/>
  <c r="A725" i="13"/>
  <c r="J725" i="13" s="1"/>
  <c r="B725" i="13"/>
  <c r="C725" i="13"/>
  <c r="D725" i="13"/>
  <c r="E725" i="13"/>
  <c r="F725" i="13"/>
  <c r="G725" i="13"/>
  <c r="H725" i="13"/>
  <c r="K725" i="13"/>
  <c r="A726" i="13"/>
  <c r="J726" i="13" s="1"/>
  <c r="B726" i="13"/>
  <c r="C726" i="13"/>
  <c r="D726" i="13"/>
  <c r="K726" i="13" s="1"/>
  <c r="E726" i="13"/>
  <c r="F726" i="13"/>
  <c r="G726" i="13"/>
  <c r="H726" i="13"/>
  <c r="A727" i="13"/>
  <c r="B727" i="13"/>
  <c r="C727" i="13"/>
  <c r="D727" i="13"/>
  <c r="K727" i="13" s="1"/>
  <c r="E727" i="13"/>
  <c r="F727" i="13"/>
  <c r="G727" i="13"/>
  <c r="H727" i="13"/>
  <c r="J727" i="13"/>
  <c r="A728" i="13"/>
  <c r="B728" i="13"/>
  <c r="C728" i="13"/>
  <c r="D728" i="13"/>
  <c r="E728" i="13"/>
  <c r="F728" i="13"/>
  <c r="G728" i="13"/>
  <c r="H728" i="13"/>
  <c r="J728" i="13"/>
  <c r="K728" i="13"/>
  <c r="A729" i="13"/>
  <c r="B729" i="13"/>
  <c r="C729" i="13"/>
  <c r="D729" i="13"/>
  <c r="E729" i="13"/>
  <c r="F729" i="13"/>
  <c r="G729" i="13"/>
  <c r="H729" i="13"/>
  <c r="K729" i="13"/>
  <c r="A730" i="13"/>
  <c r="J730" i="13" s="1"/>
  <c r="B730" i="13"/>
  <c r="C730" i="13"/>
  <c r="D730" i="13"/>
  <c r="K730" i="13" s="1"/>
  <c r="E730" i="13"/>
  <c r="F730" i="13"/>
  <c r="G730" i="13"/>
  <c r="H730" i="13"/>
  <c r="A731" i="13"/>
  <c r="B731" i="13"/>
  <c r="C731" i="13"/>
  <c r="D731" i="13"/>
  <c r="K731" i="13" s="1"/>
  <c r="E731" i="13"/>
  <c r="F731" i="13"/>
  <c r="G731" i="13"/>
  <c r="H731" i="13"/>
  <c r="J731" i="13"/>
  <c r="A732" i="13"/>
  <c r="B732" i="13"/>
  <c r="C732" i="13"/>
  <c r="D732" i="13"/>
  <c r="E732" i="13"/>
  <c r="F732" i="13"/>
  <c r="G732" i="13"/>
  <c r="H732" i="13"/>
  <c r="J732" i="13"/>
  <c r="K732" i="13"/>
  <c r="A733" i="13"/>
  <c r="J733" i="13" s="1"/>
  <c r="B733" i="13"/>
  <c r="C733" i="13"/>
  <c r="D733" i="13"/>
  <c r="E733" i="13"/>
  <c r="F733" i="13"/>
  <c r="G733" i="13"/>
  <c r="H733" i="13"/>
  <c r="K733" i="13"/>
  <c r="A734" i="13"/>
  <c r="J734" i="13" s="1"/>
  <c r="B734" i="13"/>
  <c r="C734" i="13"/>
  <c r="D734" i="13"/>
  <c r="K734" i="13" s="1"/>
  <c r="E734" i="13"/>
  <c r="F734" i="13"/>
  <c r="G734" i="13"/>
  <c r="H734" i="13"/>
  <c r="A735" i="13"/>
  <c r="B735" i="13"/>
  <c r="C735" i="13"/>
  <c r="D735" i="13"/>
  <c r="K735" i="13" s="1"/>
  <c r="E735" i="13"/>
  <c r="F735" i="13"/>
  <c r="G735" i="13"/>
  <c r="H735" i="13"/>
  <c r="J735" i="13"/>
  <c r="A736" i="13"/>
  <c r="B736" i="13"/>
  <c r="C736" i="13"/>
  <c r="D736" i="13"/>
  <c r="E736" i="13"/>
  <c r="F736" i="13"/>
  <c r="G736" i="13"/>
  <c r="H736" i="13"/>
  <c r="J736" i="13"/>
  <c r="K736" i="13"/>
  <c r="A737" i="13"/>
  <c r="B737" i="13"/>
  <c r="C737" i="13"/>
  <c r="D737" i="13"/>
  <c r="E737" i="13"/>
  <c r="F737" i="13"/>
  <c r="G737" i="13"/>
  <c r="H737" i="13"/>
  <c r="K737" i="13"/>
  <c r="A738" i="13"/>
  <c r="J738" i="13" s="1"/>
  <c r="B738" i="13"/>
  <c r="C738" i="13"/>
  <c r="D738" i="13"/>
  <c r="K738" i="13" s="1"/>
  <c r="E738" i="13"/>
  <c r="F738" i="13"/>
  <c r="G738" i="13"/>
  <c r="H738" i="13"/>
  <c r="A739" i="13"/>
  <c r="B739" i="13"/>
  <c r="C739" i="13"/>
  <c r="D739" i="13"/>
  <c r="K739" i="13" s="1"/>
  <c r="E739" i="13"/>
  <c r="F739" i="13"/>
  <c r="G739" i="13"/>
  <c r="H739" i="13"/>
  <c r="J739" i="13"/>
  <c r="A740" i="13"/>
  <c r="B740" i="13"/>
  <c r="C740" i="13"/>
  <c r="D740" i="13"/>
  <c r="E740" i="13"/>
  <c r="F740" i="13"/>
  <c r="G740" i="13"/>
  <c r="H740" i="13"/>
  <c r="J740" i="13"/>
  <c r="K740" i="13"/>
  <c r="A741" i="13"/>
  <c r="J741" i="13" s="1"/>
  <c r="B741" i="13"/>
  <c r="C741" i="13"/>
  <c r="D741" i="13"/>
  <c r="E741" i="13"/>
  <c r="F741" i="13"/>
  <c r="G741" i="13"/>
  <c r="H741" i="13"/>
  <c r="K741" i="13"/>
  <c r="A742" i="13"/>
  <c r="J742" i="13" s="1"/>
  <c r="B742" i="13"/>
  <c r="C742" i="13"/>
  <c r="D742" i="13"/>
  <c r="K742" i="13" s="1"/>
  <c r="E742" i="13"/>
  <c r="F742" i="13"/>
  <c r="G742" i="13"/>
  <c r="H742" i="13"/>
  <c r="A743" i="13"/>
  <c r="B743" i="13"/>
  <c r="C743" i="13"/>
  <c r="D743" i="13"/>
  <c r="K743" i="13" s="1"/>
  <c r="E743" i="13"/>
  <c r="F743" i="13"/>
  <c r="G743" i="13"/>
  <c r="H743" i="13"/>
  <c r="J743" i="13"/>
  <c r="A744" i="13"/>
  <c r="B744" i="13"/>
  <c r="C744" i="13"/>
  <c r="D744" i="13"/>
  <c r="E744" i="13"/>
  <c r="F744" i="13"/>
  <c r="G744" i="13"/>
  <c r="H744" i="13"/>
  <c r="J744" i="13"/>
  <c r="K744" i="13"/>
  <c r="A745" i="13"/>
  <c r="B745" i="13"/>
  <c r="C745" i="13"/>
  <c r="D745" i="13"/>
  <c r="E745" i="13"/>
  <c r="F745" i="13"/>
  <c r="G745" i="13"/>
  <c r="H745" i="13"/>
  <c r="K745" i="13"/>
  <c r="A746" i="13"/>
  <c r="J746" i="13" s="1"/>
  <c r="B746" i="13"/>
  <c r="C746" i="13"/>
  <c r="D746" i="13"/>
  <c r="K746" i="13" s="1"/>
  <c r="E746" i="13"/>
  <c r="F746" i="13"/>
  <c r="G746" i="13"/>
  <c r="H746" i="13"/>
  <c r="A747" i="13"/>
  <c r="B747" i="13"/>
  <c r="C747" i="13"/>
  <c r="D747" i="13"/>
  <c r="K747" i="13" s="1"/>
  <c r="E747" i="13"/>
  <c r="F747" i="13"/>
  <c r="G747" i="13"/>
  <c r="H747" i="13"/>
  <c r="J747" i="13"/>
  <c r="A748" i="13"/>
  <c r="B748" i="13"/>
  <c r="C748" i="13"/>
  <c r="D748" i="13"/>
  <c r="E748" i="13"/>
  <c r="F748" i="13"/>
  <c r="G748" i="13"/>
  <c r="J748" i="13"/>
  <c r="K748" i="13"/>
  <c r="A749" i="13"/>
  <c r="J749" i="13" s="1"/>
  <c r="B749" i="13"/>
  <c r="C749" i="13"/>
  <c r="D749" i="13"/>
  <c r="K749" i="13" s="1"/>
  <c r="E749" i="13"/>
  <c r="F749" i="13"/>
  <c r="G749" i="13"/>
  <c r="A750" i="13"/>
  <c r="J750" i="13" s="1"/>
  <c r="B750" i="13"/>
  <c r="C750" i="13"/>
  <c r="D750" i="13"/>
  <c r="K750" i="13" s="1"/>
  <c r="E750" i="13"/>
  <c r="F750" i="13"/>
  <c r="G750" i="13"/>
  <c r="H750" i="13"/>
  <c r="A751" i="13"/>
  <c r="B751" i="13"/>
  <c r="C751" i="13"/>
  <c r="D751" i="13"/>
  <c r="E751" i="13"/>
  <c r="F751" i="13"/>
  <c r="G751" i="13"/>
  <c r="H751" i="13"/>
  <c r="J751" i="13"/>
  <c r="K751" i="13"/>
  <c r="A752" i="13"/>
  <c r="B752" i="13"/>
  <c r="C752" i="13"/>
  <c r="D752" i="13"/>
  <c r="E752" i="13"/>
  <c r="F752" i="13"/>
  <c r="G752" i="13"/>
  <c r="H752" i="13"/>
  <c r="J752" i="13"/>
  <c r="K752" i="13"/>
  <c r="A753" i="13"/>
  <c r="B753" i="13"/>
  <c r="C753" i="13"/>
  <c r="D753" i="13"/>
  <c r="E753" i="13"/>
  <c r="F753" i="13"/>
  <c r="G753" i="13"/>
  <c r="H753" i="13"/>
  <c r="K753" i="13"/>
  <c r="A754" i="13"/>
  <c r="B754" i="13"/>
  <c r="C754" i="13"/>
  <c r="D754" i="13"/>
  <c r="K754" i="13" s="1"/>
  <c r="E754" i="13"/>
  <c r="F754" i="13"/>
  <c r="G754" i="13"/>
  <c r="H754" i="13"/>
  <c r="J754" i="13"/>
  <c r="A755" i="13"/>
  <c r="B755" i="13"/>
  <c r="C755" i="13"/>
  <c r="D755" i="13"/>
  <c r="E755" i="13"/>
  <c r="F755" i="13"/>
  <c r="G755" i="13"/>
  <c r="H755" i="13"/>
  <c r="J755" i="13"/>
  <c r="K755" i="13"/>
  <c r="A756" i="13"/>
  <c r="B756" i="13"/>
  <c r="C756" i="13"/>
  <c r="D756" i="13"/>
  <c r="E756" i="13"/>
  <c r="F756" i="13"/>
  <c r="G756" i="13"/>
  <c r="H756" i="13"/>
  <c r="J756" i="13"/>
  <c r="K756" i="13"/>
  <c r="A757" i="13"/>
  <c r="B757" i="13"/>
  <c r="C757" i="13"/>
  <c r="D757" i="13"/>
  <c r="K757" i="13" s="1"/>
  <c r="E757" i="13"/>
  <c r="F757" i="13"/>
  <c r="G757" i="13"/>
  <c r="H757" i="13"/>
  <c r="A758" i="13"/>
  <c r="J758" i="13" s="1"/>
  <c r="B758" i="13"/>
  <c r="C758" i="13"/>
  <c r="D758" i="13"/>
  <c r="K758" i="13" s="1"/>
  <c r="E758" i="13"/>
  <c r="F758" i="13"/>
  <c r="G758" i="13"/>
  <c r="H758" i="13"/>
  <c r="A759" i="13"/>
  <c r="B759" i="13"/>
  <c r="C759" i="13"/>
  <c r="D759" i="13"/>
  <c r="E759" i="13"/>
  <c r="F759" i="13"/>
  <c r="G759" i="13"/>
  <c r="H759" i="13"/>
  <c r="J759" i="13"/>
  <c r="K759" i="13"/>
  <c r="A760" i="13"/>
  <c r="B760" i="13"/>
  <c r="C760" i="13"/>
  <c r="D760" i="13"/>
  <c r="E760" i="13"/>
  <c r="F760" i="13"/>
  <c r="G760" i="13"/>
  <c r="H760" i="13"/>
  <c r="J760" i="13"/>
  <c r="K760" i="13"/>
  <c r="A761" i="13"/>
  <c r="B761" i="13"/>
  <c r="C761" i="13"/>
  <c r="D761" i="13"/>
  <c r="E761" i="13"/>
  <c r="F761" i="13"/>
  <c r="G761" i="13"/>
  <c r="H761" i="13"/>
  <c r="K761" i="13"/>
  <c r="A762" i="13"/>
  <c r="B762" i="13"/>
  <c r="C762" i="13"/>
  <c r="D762" i="13"/>
  <c r="K762" i="13" s="1"/>
  <c r="E762" i="13"/>
  <c r="F762" i="13"/>
  <c r="G762" i="13"/>
  <c r="H762" i="13"/>
  <c r="J762" i="13"/>
  <c r="A763" i="13"/>
  <c r="B763" i="13"/>
  <c r="C763" i="13"/>
  <c r="D763" i="13"/>
  <c r="E763" i="13"/>
  <c r="F763" i="13"/>
  <c r="G763" i="13"/>
  <c r="H763" i="13"/>
  <c r="J763" i="13"/>
  <c r="K763" i="13"/>
  <c r="A764" i="13"/>
  <c r="B764" i="13"/>
  <c r="C764" i="13"/>
  <c r="D764" i="13"/>
  <c r="E764" i="13"/>
  <c r="F764" i="13"/>
  <c r="G764" i="13"/>
  <c r="H764" i="13"/>
  <c r="J764" i="13"/>
  <c r="K764" i="13"/>
  <c r="A765" i="13"/>
  <c r="J765" i="13" s="1"/>
  <c r="B765" i="13"/>
  <c r="C765" i="13"/>
  <c r="D765" i="13"/>
  <c r="K765" i="13" s="1"/>
  <c r="E765" i="13"/>
  <c r="F765" i="13"/>
  <c r="G765" i="13"/>
  <c r="H765" i="13"/>
  <c r="A766" i="13"/>
  <c r="J766" i="13" s="1"/>
  <c r="B766" i="13"/>
  <c r="C766" i="13"/>
  <c r="D766" i="13"/>
  <c r="K766" i="13" s="1"/>
  <c r="E766" i="13"/>
  <c r="F766" i="13"/>
  <c r="G766" i="13"/>
  <c r="H766" i="13"/>
  <c r="A767" i="13"/>
  <c r="B767" i="13"/>
  <c r="C767" i="13"/>
  <c r="D767" i="13"/>
  <c r="E767" i="13"/>
  <c r="F767" i="13"/>
  <c r="G767" i="13"/>
  <c r="H767" i="13"/>
  <c r="J767" i="13"/>
  <c r="K767" i="13"/>
  <c r="A768" i="13"/>
  <c r="B768" i="13"/>
  <c r="C768" i="13"/>
  <c r="D768" i="13"/>
  <c r="E768" i="13"/>
  <c r="F768" i="13"/>
  <c r="G768" i="13"/>
  <c r="H768" i="13"/>
  <c r="J768" i="13"/>
  <c r="K768" i="13"/>
  <c r="A769" i="13"/>
  <c r="B769" i="13"/>
  <c r="C769" i="13"/>
  <c r="D769" i="13"/>
  <c r="E769" i="13"/>
  <c r="F769" i="13"/>
  <c r="G769" i="13"/>
  <c r="H769" i="13"/>
  <c r="K769" i="13"/>
  <c r="A770" i="13"/>
  <c r="B770" i="13"/>
  <c r="C770" i="13"/>
  <c r="D770" i="13"/>
  <c r="K770" i="13" s="1"/>
  <c r="E770" i="13"/>
  <c r="F770" i="13"/>
  <c r="G770" i="13"/>
  <c r="H770" i="13"/>
  <c r="J770" i="13"/>
  <c r="A771" i="13"/>
  <c r="B771" i="13"/>
  <c r="C771" i="13"/>
  <c r="D771" i="13"/>
  <c r="E771" i="13"/>
  <c r="F771" i="13"/>
  <c r="G771" i="13"/>
  <c r="H771" i="13"/>
  <c r="J771" i="13"/>
  <c r="K771" i="13"/>
  <c r="A772" i="13"/>
  <c r="B772" i="13"/>
  <c r="C772" i="13"/>
  <c r="D772" i="13"/>
  <c r="E772" i="13"/>
  <c r="F772" i="13"/>
  <c r="G772" i="13"/>
  <c r="H772" i="13"/>
  <c r="J772" i="13"/>
  <c r="K772" i="13"/>
  <c r="A773" i="13"/>
  <c r="J773" i="13" s="1"/>
  <c r="B773" i="13"/>
  <c r="C773" i="13"/>
  <c r="D773" i="13"/>
  <c r="K773" i="13" s="1"/>
  <c r="E773" i="13"/>
  <c r="F773" i="13"/>
  <c r="G773" i="13"/>
  <c r="A774" i="13"/>
  <c r="B774" i="13"/>
  <c r="C774" i="13"/>
  <c r="D774" i="13"/>
  <c r="K774" i="13" s="1"/>
  <c r="E774" i="13"/>
  <c r="F774" i="13"/>
  <c r="G774" i="13"/>
  <c r="J774" i="13"/>
  <c r="A775" i="13"/>
  <c r="B775" i="13"/>
  <c r="C775" i="13"/>
  <c r="D775" i="13"/>
  <c r="E775" i="13"/>
  <c r="F775" i="13"/>
  <c r="G775" i="13"/>
  <c r="J775" i="13"/>
  <c r="K775" i="13"/>
  <c r="A776" i="13"/>
  <c r="J776" i="13" s="1"/>
  <c r="B776" i="13"/>
  <c r="C776" i="13"/>
  <c r="D776" i="13"/>
  <c r="K776" i="13" s="1"/>
  <c r="E776" i="13"/>
  <c r="F776" i="13"/>
  <c r="G776" i="13"/>
  <c r="A777" i="13"/>
  <c r="J777" i="13" s="1"/>
  <c r="B777" i="13"/>
  <c r="C777" i="13"/>
  <c r="D777" i="13"/>
  <c r="K777" i="13" s="1"/>
  <c r="E777" i="13"/>
  <c r="F777" i="13"/>
  <c r="G777" i="13"/>
  <c r="A778" i="13"/>
  <c r="B778" i="13"/>
  <c r="C778" i="13"/>
  <c r="D778" i="13"/>
  <c r="E778" i="13"/>
  <c r="F778" i="13"/>
  <c r="G778" i="13"/>
  <c r="H778" i="13"/>
  <c r="J778" i="13"/>
  <c r="K778" i="13"/>
  <c r="A779" i="13"/>
  <c r="B779" i="13"/>
  <c r="J779" i="13" s="1"/>
  <c r="C779" i="13"/>
  <c r="D779" i="13"/>
  <c r="E779" i="13"/>
  <c r="F779" i="13"/>
  <c r="G779" i="13"/>
  <c r="H779" i="13"/>
  <c r="K779" i="13"/>
  <c r="A780" i="13"/>
  <c r="J780" i="13" s="1"/>
  <c r="B780" i="13"/>
  <c r="C780" i="13"/>
  <c r="D780" i="13"/>
  <c r="K780" i="13" s="1"/>
  <c r="E780" i="13"/>
  <c r="F780" i="13"/>
  <c r="G780" i="13"/>
  <c r="H780" i="13"/>
  <c r="A781" i="13"/>
  <c r="B781" i="13"/>
  <c r="C781" i="13"/>
  <c r="D781" i="13"/>
  <c r="K781" i="13" s="1"/>
  <c r="E781" i="13"/>
  <c r="F781" i="13"/>
  <c r="G781" i="13"/>
  <c r="H781" i="13"/>
  <c r="J781" i="13"/>
  <c r="A782" i="13"/>
  <c r="B782" i="13"/>
  <c r="C782" i="13"/>
  <c r="D782" i="13"/>
  <c r="E782" i="13"/>
  <c r="F782" i="13"/>
  <c r="G782" i="13"/>
  <c r="H782" i="13"/>
  <c r="J782" i="13"/>
  <c r="K782" i="13"/>
  <c r="A783" i="13"/>
  <c r="B783" i="13"/>
  <c r="C783" i="13"/>
  <c r="D783" i="13"/>
  <c r="E783" i="13"/>
  <c r="F783" i="13"/>
  <c r="G783" i="13"/>
  <c r="H783" i="13"/>
  <c r="J783" i="13"/>
  <c r="K783" i="13"/>
  <c r="A784" i="13"/>
  <c r="J784" i="13" s="1"/>
  <c r="B784" i="13"/>
  <c r="C784" i="13"/>
  <c r="D784" i="13"/>
  <c r="K784" i="13" s="1"/>
  <c r="E784" i="13"/>
  <c r="F784" i="13"/>
  <c r="G784" i="13"/>
  <c r="H784" i="13"/>
  <c r="A785" i="13"/>
  <c r="J785" i="13" s="1"/>
  <c r="B785" i="13"/>
  <c r="C785" i="13"/>
  <c r="D785" i="13"/>
  <c r="K785" i="13" s="1"/>
  <c r="E785" i="13"/>
  <c r="F785" i="13"/>
  <c r="G785" i="13"/>
  <c r="H785" i="13"/>
  <c r="A786" i="13"/>
  <c r="B786" i="13"/>
  <c r="C786" i="13"/>
  <c r="D786" i="13"/>
  <c r="E786" i="13"/>
  <c r="F786" i="13"/>
  <c r="G786" i="13"/>
  <c r="H786" i="13"/>
  <c r="J786" i="13"/>
  <c r="K786" i="13"/>
  <c r="A787" i="13"/>
  <c r="B787" i="13"/>
  <c r="J787" i="13" s="1"/>
  <c r="C787" i="13"/>
  <c r="D787" i="13"/>
  <c r="E787" i="13"/>
  <c r="F787" i="13"/>
  <c r="G787" i="13"/>
  <c r="H787" i="13"/>
  <c r="K787" i="13"/>
  <c r="A788" i="13"/>
  <c r="J788" i="13" s="1"/>
  <c r="B788" i="13"/>
  <c r="C788" i="13"/>
  <c r="D788" i="13"/>
  <c r="K788" i="13" s="1"/>
  <c r="E788" i="13"/>
  <c r="F788" i="13"/>
  <c r="G788" i="13"/>
  <c r="H788" i="13"/>
  <c r="A789" i="13"/>
  <c r="B789" i="13"/>
  <c r="C789" i="13"/>
  <c r="D789" i="13"/>
  <c r="K789" i="13" s="1"/>
  <c r="E789" i="13"/>
  <c r="F789" i="13"/>
  <c r="G789" i="13"/>
  <c r="H789" i="13"/>
  <c r="J789" i="13"/>
  <c r="A790" i="13"/>
  <c r="B790" i="13"/>
  <c r="C790" i="13"/>
  <c r="D790" i="13"/>
  <c r="E790" i="13"/>
  <c r="F790" i="13"/>
  <c r="G790" i="13"/>
  <c r="H790" i="13"/>
  <c r="J790" i="13"/>
  <c r="K790" i="13"/>
  <c r="A791" i="13"/>
  <c r="B791" i="13"/>
  <c r="C791" i="13"/>
  <c r="D791" i="13"/>
  <c r="E791" i="13"/>
  <c r="F791" i="13"/>
  <c r="G791" i="13"/>
  <c r="H791" i="13"/>
  <c r="J791" i="13"/>
  <c r="K791" i="13"/>
  <c r="A792" i="13"/>
  <c r="J792" i="13" s="1"/>
  <c r="B792" i="13"/>
  <c r="C792" i="13"/>
  <c r="D792" i="13"/>
  <c r="K792" i="13" s="1"/>
  <c r="E792" i="13"/>
  <c r="F792" i="13"/>
  <c r="G792" i="13"/>
  <c r="H792" i="13"/>
  <c r="A793" i="13"/>
  <c r="B793" i="13"/>
  <c r="C793" i="13"/>
  <c r="D793" i="13"/>
  <c r="K793" i="13" s="1"/>
  <c r="E793" i="13"/>
  <c r="F793" i="13"/>
  <c r="G793" i="13"/>
  <c r="J793" i="13"/>
  <c r="A794" i="13"/>
  <c r="B794" i="13"/>
  <c r="C794" i="13"/>
  <c r="D794" i="13"/>
  <c r="E794" i="13"/>
  <c r="F794" i="13"/>
  <c r="G794" i="13"/>
  <c r="J794" i="13"/>
  <c r="K794" i="13"/>
  <c r="A795" i="13"/>
  <c r="B795" i="13"/>
  <c r="C795" i="13"/>
  <c r="D795" i="13"/>
  <c r="K795" i="13" s="1"/>
  <c r="E795" i="13"/>
  <c r="F795" i="13"/>
  <c r="G795" i="13"/>
  <c r="H795" i="13"/>
  <c r="A796" i="13"/>
  <c r="J796" i="13" s="1"/>
  <c r="B796" i="13"/>
  <c r="C796" i="13"/>
  <c r="D796" i="13"/>
  <c r="K796" i="13" s="1"/>
  <c r="E796" i="13"/>
  <c r="F796" i="13"/>
  <c r="G796" i="13"/>
  <c r="H796" i="13"/>
  <c r="A797" i="13"/>
  <c r="B797" i="13"/>
  <c r="C797" i="13"/>
  <c r="D797" i="13"/>
  <c r="E797" i="13"/>
  <c r="F797" i="13"/>
  <c r="G797" i="13"/>
  <c r="H797" i="13"/>
  <c r="J797" i="13"/>
  <c r="K797" i="13"/>
  <c r="A798" i="13"/>
  <c r="B798" i="13"/>
  <c r="C798" i="13"/>
  <c r="D798" i="13"/>
  <c r="E798" i="13"/>
  <c r="F798" i="13"/>
  <c r="G798" i="13"/>
  <c r="H798" i="13"/>
  <c r="J798" i="13"/>
  <c r="K798" i="13"/>
  <c r="A799" i="13"/>
  <c r="J799" i="13" s="1"/>
  <c r="B799" i="13"/>
  <c r="C799" i="13"/>
  <c r="D799" i="13"/>
  <c r="E799" i="13"/>
  <c r="F799" i="13"/>
  <c r="G799" i="13"/>
  <c r="H799" i="13"/>
  <c r="K799" i="13"/>
  <c r="A800" i="13"/>
  <c r="B800" i="13"/>
  <c r="J800" i="13" s="1"/>
  <c r="C800" i="13"/>
  <c r="D800" i="13"/>
  <c r="K800" i="13" s="1"/>
  <c r="E800" i="13"/>
  <c r="F800" i="13"/>
  <c r="G800" i="13"/>
  <c r="A801" i="13"/>
  <c r="B801" i="13"/>
  <c r="C801" i="13"/>
  <c r="D801" i="13"/>
  <c r="E801" i="13"/>
  <c r="F801" i="13"/>
  <c r="G801" i="13"/>
  <c r="J801" i="13"/>
  <c r="K801" i="13"/>
  <c r="A802" i="13"/>
  <c r="B802" i="13"/>
  <c r="C802" i="13"/>
  <c r="D802" i="13"/>
  <c r="E802" i="13"/>
  <c r="F802" i="13"/>
  <c r="G802" i="13"/>
  <c r="J802" i="13"/>
  <c r="K802" i="13"/>
  <c r="A803" i="13"/>
  <c r="J803" i="13" s="1"/>
  <c r="B803" i="13"/>
  <c r="C803" i="13"/>
  <c r="D803" i="13"/>
  <c r="K803" i="13" s="1"/>
  <c r="E803" i="13"/>
  <c r="F803" i="13"/>
  <c r="G803" i="13"/>
  <c r="A804" i="13"/>
  <c r="B804" i="13"/>
  <c r="C804" i="13"/>
  <c r="D804" i="13"/>
  <c r="E804" i="13"/>
  <c r="F804" i="13"/>
  <c r="G804" i="13"/>
  <c r="H804" i="13"/>
  <c r="J804" i="13"/>
  <c r="K804" i="13"/>
  <c r="A805" i="13"/>
  <c r="B805" i="13"/>
  <c r="C805" i="13"/>
  <c r="D805" i="13"/>
  <c r="E805" i="13"/>
  <c r="F805" i="13"/>
  <c r="G805" i="13"/>
  <c r="J805" i="13"/>
  <c r="K805" i="13"/>
  <c r="A806" i="13"/>
  <c r="J806" i="13" s="1"/>
  <c r="B806" i="13"/>
  <c r="C806" i="13"/>
  <c r="D806" i="13"/>
  <c r="K806" i="13" s="1"/>
  <c r="E806" i="13"/>
  <c r="F806" i="13"/>
  <c r="G806" i="13"/>
  <c r="H806" i="13"/>
  <c r="A807" i="13"/>
  <c r="J807" i="13" s="1"/>
  <c r="B807" i="13"/>
  <c r="C807" i="13"/>
  <c r="D807" i="13"/>
  <c r="K807" i="13" s="1"/>
  <c r="E807" i="13"/>
  <c r="F807" i="13"/>
  <c r="G807" i="13"/>
  <c r="H807" i="13"/>
  <c r="A808" i="13"/>
  <c r="B808" i="13"/>
  <c r="C808" i="13"/>
  <c r="D808" i="13"/>
  <c r="E808" i="13"/>
  <c r="F808" i="13"/>
  <c r="G808" i="13"/>
  <c r="H808" i="13"/>
  <c r="J808" i="13"/>
  <c r="K808" i="13"/>
  <c r="A579" i="13"/>
  <c r="B579" i="13"/>
  <c r="C579" i="13"/>
  <c r="D579" i="13"/>
  <c r="E579" i="13"/>
  <c r="F579" i="13"/>
  <c r="G579" i="13"/>
  <c r="H579" i="13"/>
  <c r="J579" i="13"/>
  <c r="K579" i="13"/>
  <c r="L579" i="13"/>
  <c r="M579" i="13"/>
  <c r="A580" i="13"/>
  <c r="J580" i="13" s="1"/>
  <c r="B580" i="13"/>
  <c r="C580" i="13"/>
  <c r="D580" i="13"/>
  <c r="K580" i="13" s="1"/>
  <c r="E580" i="13"/>
  <c r="F580" i="13"/>
  <c r="G580" i="13"/>
  <c r="H580" i="13"/>
  <c r="A581" i="13"/>
  <c r="J581" i="13" s="1"/>
  <c r="B581" i="13"/>
  <c r="C581" i="13"/>
  <c r="D581" i="13"/>
  <c r="K581" i="13" s="1"/>
  <c r="E581" i="13"/>
  <c r="F581" i="13"/>
  <c r="G581" i="13"/>
  <c r="H581" i="13"/>
  <c r="A582" i="13"/>
  <c r="B582" i="13"/>
  <c r="C582" i="13"/>
  <c r="D582" i="13"/>
  <c r="E582" i="13"/>
  <c r="F582" i="13"/>
  <c r="G582" i="13"/>
  <c r="H582" i="13"/>
  <c r="J582" i="13"/>
  <c r="K582" i="13"/>
  <c r="A583" i="13"/>
  <c r="B583" i="13"/>
  <c r="J583" i="13" s="1"/>
  <c r="C583" i="13"/>
  <c r="D583" i="13"/>
  <c r="E583" i="13"/>
  <c r="F583" i="13"/>
  <c r="G583" i="13"/>
  <c r="K583" i="13"/>
  <c r="A584" i="13"/>
  <c r="J584" i="13" s="1"/>
  <c r="B584" i="13"/>
  <c r="C584" i="13"/>
  <c r="D584" i="13"/>
  <c r="K584" i="13" s="1"/>
  <c r="E584" i="13"/>
  <c r="F584" i="13"/>
  <c r="G584" i="13"/>
  <c r="A585" i="13"/>
  <c r="B585" i="13"/>
  <c r="C585" i="13"/>
  <c r="D585" i="13"/>
  <c r="E585" i="13"/>
  <c r="F585" i="13"/>
  <c r="G585" i="13"/>
  <c r="J585" i="13"/>
  <c r="L585" i="13" s="1"/>
  <c r="K585" i="13"/>
  <c r="A586" i="13"/>
  <c r="J586" i="13" s="1"/>
  <c r="B586" i="13"/>
  <c r="C586" i="13"/>
  <c r="D586" i="13"/>
  <c r="E586" i="13"/>
  <c r="F586" i="13"/>
  <c r="G586" i="13"/>
  <c r="K586" i="13"/>
  <c r="A587" i="13"/>
  <c r="B587" i="13"/>
  <c r="C587" i="13"/>
  <c r="D587" i="13"/>
  <c r="K587" i="13" s="1"/>
  <c r="E587" i="13"/>
  <c r="F587" i="13"/>
  <c r="G587" i="13"/>
  <c r="H587" i="13"/>
  <c r="A588" i="13"/>
  <c r="B588" i="13"/>
  <c r="J588" i="13" s="1"/>
  <c r="C588" i="13"/>
  <c r="D588" i="13"/>
  <c r="K588" i="13" s="1"/>
  <c r="E588" i="13"/>
  <c r="F588" i="13"/>
  <c r="G588" i="13"/>
  <c r="H588" i="13"/>
  <c r="A589" i="13"/>
  <c r="B589" i="13"/>
  <c r="C589" i="13"/>
  <c r="D589" i="13"/>
  <c r="E589" i="13"/>
  <c r="F589" i="13"/>
  <c r="G589" i="13"/>
  <c r="J589" i="13"/>
  <c r="K589" i="13"/>
  <c r="A590" i="13"/>
  <c r="B590" i="13"/>
  <c r="C590" i="13"/>
  <c r="D590" i="13"/>
  <c r="E590" i="13"/>
  <c r="F590" i="13"/>
  <c r="G590" i="13"/>
  <c r="K590" i="13"/>
  <c r="A591" i="13"/>
  <c r="B591" i="13"/>
  <c r="C591" i="13"/>
  <c r="D591" i="13"/>
  <c r="K591" i="13" s="1"/>
  <c r="E591" i="13"/>
  <c r="F591" i="13"/>
  <c r="G591" i="13"/>
  <c r="H591" i="13"/>
  <c r="J591" i="13"/>
  <c r="A592" i="13"/>
  <c r="B592" i="13"/>
  <c r="C592" i="13"/>
  <c r="D592" i="13"/>
  <c r="K592" i="13" s="1"/>
  <c r="E592" i="13"/>
  <c r="F592" i="13"/>
  <c r="G592" i="13"/>
  <c r="H592" i="13"/>
  <c r="J592" i="13"/>
  <c r="A593" i="13"/>
  <c r="B593" i="13"/>
  <c r="C593" i="13"/>
  <c r="D593" i="13"/>
  <c r="E593" i="13"/>
  <c r="F593" i="13"/>
  <c r="G593" i="13"/>
  <c r="H593" i="13"/>
  <c r="J593" i="13"/>
  <c r="K593" i="13"/>
  <c r="A594" i="13"/>
  <c r="J594" i="13" s="1"/>
  <c r="B594" i="13"/>
  <c r="C594" i="13"/>
  <c r="D594" i="13"/>
  <c r="K594" i="13" s="1"/>
  <c r="E594" i="13"/>
  <c r="F594" i="13"/>
  <c r="G594" i="13"/>
  <c r="H594" i="13"/>
  <c r="A595" i="13"/>
  <c r="J595" i="13" s="1"/>
  <c r="B595" i="13"/>
  <c r="C595" i="13"/>
  <c r="D595" i="13"/>
  <c r="K595" i="13" s="1"/>
  <c r="E595" i="13"/>
  <c r="F595" i="13"/>
  <c r="G595" i="13"/>
  <c r="H595" i="13"/>
  <c r="A596" i="13"/>
  <c r="B596" i="13"/>
  <c r="C596" i="13"/>
  <c r="D596" i="13"/>
  <c r="E596" i="13"/>
  <c r="F596" i="13"/>
  <c r="G596" i="13"/>
  <c r="H596" i="13"/>
  <c r="J596" i="13"/>
  <c r="K596" i="13"/>
  <c r="A597" i="13"/>
  <c r="B597" i="13"/>
  <c r="C597" i="13"/>
  <c r="D597" i="13"/>
  <c r="E597" i="13"/>
  <c r="F597" i="13"/>
  <c r="G597" i="13"/>
  <c r="H597" i="13"/>
  <c r="K597" i="13"/>
  <c r="A598" i="13"/>
  <c r="B598" i="13"/>
  <c r="C598" i="13"/>
  <c r="D598" i="13"/>
  <c r="E598" i="13"/>
  <c r="F598" i="13"/>
  <c r="G598" i="13"/>
  <c r="K598" i="13"/>
  <c r="A599" i="13"/>
  <c r="J599" i="13" s="1"/>
  <c r="B599" i="13"/>
  <c r="C599" i="13"/>
  <c r="D599" i="13"/>
  <c r="K599" i="13" s="1"/>
  <c r="E599" i="13"/>
  <c r="F599" i="13"/>
  <c r="G599" i="13"/>
  <c r="A600" i="13"/>
  <c r="B600" i="13"/>
  <c r="C600" i="13"/>
  <c r="D600" i="13"/>
  <c r="E600" i="13"/>
  <c r="F600" i="13"/>
  <c r="G600" i="13"/>
  <c r="J600" i="13"/>
  <c r="K600" i="13"/>
  <c r="A601" i="13"/>
  <c r="B601" i="13"/>
  <c r="C601" i="13"/>
  <c r="D601" i="13"/>
  <c r="E601" i="13"/>
  <c r="F601" i="13"/>
  <c r="G601" i="13"/>
  <c r="K601" i="13"/>
  <c r="A602" i="13"/>
  <c r="B602" i="13"/>
  <c r="C602" i="13"/>
  <c r="D602" i="13"/>
  <c r="K602" i="13" s="1"/>
  <c r="E602" i="13"/>
  <c r="F602" i="13"/>
  <c r="G602" i="13"/>
  <c r="H602" i="13"/>
  <c r="J602" i="13"/>
  <c r="A603" i="13"/>
  <c r="B603" i="13"/>
  <c r="C603" i="13"/>
  <c r="D603" i="13"/>
  <c r="K603" i="13" s="1"/>
  <c r="E603" i="13"/>
  <c r="F603" i="13"/>
  <c r="G603" i="13"/>
  <c r="H603" i="13"/>
  <c r="J603" i="13"/>
  <c r="A604" i="13"/>
  <c r="B604" i="13"/>
  <c r="C604" i="13"/>
  <c r="D604" i="13"/>
  <c r="E604" i="13"/>
  <c r="F604" i="13"/>
  <c r="G604" i="13"/>
  <c r="J604" i="13"/>
  <c r="K604" i="13"/>
  <c r="A605" i="13"/>
  <c r="J605" i="13" s="1"/>
  <c r="B605" i="13"/>
  <c r="C605" i="13"/>
  <c r="D605" i="13"/>
  <c r="K605" i="13" s="1"/>
  <c r="E605" i="13"/>
  <c r="F605" i="13"/>
  <c r="G605" i="13"/>
  <c r="A606" i="13"/>
  <c r="B606" i="13"/>
  <c r="J606" i="13" s="1"/>
  <c r="C606" i="13"/>
  <c r="D606" i="13"/>
  <c r="K606" i="13" s="1"/>
  <c r="E606" i="13"/>
  <c r="F606" i="13"/>
  <c r="G606" i="13"/>
  <c r="A607" i="13"/>
  <c r="B607" i="13"/>
  <c r="C607" i="13"/>
  <c r="D607" i="13"/>
  <c r="E607" i="13"/>
  <c r="F607" i="13"/>
  <c r="G607" i="13"/>
  <c r="J607" i="13"/>
  <c r="K607" i="13"/>
  <c r="A608" i="13"/>
  <c r="J608" i="13" s="1"/>
  <c r="B608" i="13"/>
  <c r="C608" i="13"/>
  <c r="D608" i="13"/>
  <c r="K608" i="13" s="1"/>
  <c r="E608" i="13"/>
  <c r="F608" i="13"/>
  <c r="G608" i="13"/>
  <c r="A609" i="13"/>
  <c r="J609" i="13" s="1"/>
  <c r="B609" i="13"/>
  <c r="C609" i="13"/>
  <c r="D609" i="13"/>
  <c r="K609" i="13" s="1"/>
  <c r="E609" i="13"/>
  <c r="F609" i="13"/>
  <c r="G609" i="13"/>
  <c r="A610" i="13"/>
  <c r="B610" i="13"/>
  <c r="C610" i="13"/>
  <c r="D610" i="13"/>
  <c r="E610" i="13"/>
  <c r="F610" i="13"/>
  <c r="G610" i="13"/>
  <c r="H610" i="13"/>
  <c r="J610" i="13"/>
  <c r="K610" i="13"/>
  <c r="A611" i="13"/>
  <c r="B611" i="13"/>
  <c r="J611" i="13" s="1"/>
  <c r="C611" i="13"/>
  <c r="D611" i="13"/>
  <c r="E611" i="13"/>
  <c r="F611" i="13"/>
  <c r="G611" i="13"/>
  <c r="H611" i="13"/>
  <c r="K611" i="13"/>
  <c r="A612" i="13"/>
  <c r="B612" i="13"/>
  <c r="C612" i="13"/>
  <c r="D612" i="13"/>
  <c r="K612" i="13" s="1"/>
  <c r="E612" i="13"/>
  <c r="F612" i="13"/>
  <c r="G612" i="13"/>
  <c r="H612" i="13"/>
  <c r="A613" i="13"/>
  <c r="B613" i="13"/>
  <c r="C613" i="13"/>
  <c r="D613" i="13"/>
  <c r="K613" i="13" s="1"/>
  <c r="E613" i="13"/>
  <c r="F613" i="13"/>
  <c r="G613" i="13"/>
  <c r="H613" i="13"/>
  <c r="J613" i="13"/>
  <c r="A614" i="13"/>
  <c r="B614" i="13"/>
  <c r="C614" i="13"/>
  <c r="D614" i="13"/>
  <c r="E614" i="13"/>
  <c r="F614" i="13"/>
  <c r="G614" i="13"/>
  <c r="H614" i="13"/>
  <c r="J614" i="13"/>
  <c r="K614" i="13"/>
  <c r="A615" i="13"/>
  <c r="B615" i="13"/>
  <c r="C615" i="13"/>
  <c r="D615" i="13"/>
  <c r="E615" i="13"/>
  <c r="F615" i="13"/>
  <c r="G615" i="13"/>
  <c r="H615" i="13"/>
  <c r="J615" i="13"/>
  <c r="K615" i="13"/>
  <c r="A616" i="13"/>
  <c r="J616" i="13" s="1"/>
  <c r="B616" i="13"/>
  <c r="C616" i="13"/>
  <c r="D616" i="13"/>
  <c r="K616" i="13" s="1"/>
  <c r="E616" i="13"/>
  <c r="F616" i="13"/>
  <c r="G616" i="13"/>
  <c r="H616" i="13"/>
  <c r="A617" i="13"/>
  <c r="J617" i="13" s="1"/>
  <c r="B617" i="13"/>
  <c r="C617" i="13"/>
  <c r="D617" i="13"/>
  <c r="K617" i="13" s="1"/>
  <c r="E617" i="13"/>
  <c r="F617" i="13"/>
  <c r="G617" i="13"/>
  <c r="H617" i="13"/>
  <c r="A618" i="13"/>
  <c r="B618" i="13"/>
  <c r="C618" i="13"/>
  <c r="D618" i="13"/>
  <c r="E618" i="13"/>
  <c r="F618" i="13"/>
  <c r="G618" i="13"/>
  <c r="H618" i="13"/>
  <c r="J618" i="13"/>
  <c r="K618" i="13"/>
  <c r="A619" i="13"/>
  <c r="B619" i="13"/>
  <c r="J619" i="13" s="1"/>
  <c r="C619" i="13"/>
  <c r="D619" i="13"/>
  <c r="E619" i="13"/>
  <c r="F619" i="13"/>
  <c r="G619" i="13"/>
  <c r="H619" i="13"/>
  <c r="K619" i="13"/>
  <c r="A620" i="13"/>
  <c r="J620" i="13" s="1"/>
  <c r="B620" i="13"/>
  <c r="C620" i="13"/>
  <c r="D620" i="13"/>
  <c r="K620" i="13" s="1"/>
  <c r="E620" i="13"/>
  <c r="F620" i="13"/>
  <c r="G620" i="13"/>
  <c r="H620" i="13"/>
  <c r="A621" i="13"/>
  <c r="B621" i="13"/>
  <c r="C621" i="13"/>
  <c r="D621" i="13"/>
  <c r="K621" i="13" s="1"/>
  <c r="E621" i="13"/>
  <c r="F621" i="13"/>
  <c r="G621" i="13"/>
  <c r="H621" i="13"/>
  <c r="J621" i="13"/>
  <c r="A622" i="13"/>
  <c r="B622" i="13"/>
  <c r="C622" i="13"/>
  <c r="D622" i="13"/>
  <c r="E622" i="13"/>
  <c r="F622" i="13"/>
  <c r="G622" i="13"/>
  <c r="H622" i="13"/>
  <c r="J622" i="13"/>
  <c r="K622" i="13"/>
  <c r="A623" i="13"/>
  <c r="B623" i="13"/>
  <c r="C623" i="13"/>
  <c r="D623" i="13"/>
  <c r="E623" i="13"/>
  <c r="F623" i="13"/>
  <c r="G623" i="13"/>
  <c r="H623" i="13"/>
  <c r="J623" i="13"/>
  <c r="K623" i="13"/>
  <c r="A624" i="13"/>
  <c r="J624" i="13" s="1"/>
  <c r="B624" i="13"/>
  <c r="C624" i="13"/>
  <c r="D624" i="13"/>
  <c r="K624" i="13" s="1"/>
  <c r="E624" i="13"/>
  <c r="F624" i="13"/>
  <c r="G624" i="13"/>
  <c r="H624" i="13"/>
  <c r="A625" i="13"/>
  <c r="J625" i="13" s="1"/>
  <c r="B625" i="13"/>
  <c r="C625" i="13"/>
  <c r="D625" i="13"/>
  <c r="K625" i="13" s="1"/>
  <c r="E625" i="13"/>
  <c r="F625" i="13"/>
  <c r="G625" i="13"/>
  <c r="H625" i="13"/>
  <c r="A626" i="13"/>
  <c r="B626" i="13"/>
  <c r="C626" i="13"/>
  <c r="D626" i="13"/>
  <c r="E626" i="13"/>
  <c r="F626" i="13"/>
  <c r="G626" i="13"/>
  <c r="H626" i="13"/>
  <c r="J626" i="13"/>
  <c r="K626" i="13"/>
  <c r="A627" i="13"/>
  <c r="J627" i="13" s="1"/>
  <c r="B627" i="13"/>
  <c r="C627" i="13"/>
  <c r="D627" i="13"/>
  <c r="E627" i="13"/>
  <c r="F627" i="13"/>
  <c r="G627" i="13"/>
  <c r="H627" i="13"/>
  <c r="K627" i="13"/>
  <c r="A628" i="13"/>
  <c r="B628" i="13"/>
  <c r="C628" i="13"/>
  <c r="D628" i="13"/>
  <c r="K628" i="13" s="1"/>
  <c r="E628" i="13"/>
  <c r="F628" i="13"/>
  <c r="G628" i="13"/>
  <c r="H628" i="13"/>
  <c r="A629" i="13"/>
  <c r="B629" i="13"/>
  <c r="C629" i="13"/>
  <c r="D629" i="13"/>
  <c r="K629" i="13" s="1"/>
  <c r="E629" i="13"/>
  <c r="F629" i="13"/>
  <c r="G629" i="13"/>
  <c r="H629" i="13"/>
  <c r="J629" i="13"/>
  <c r="A630" i="13"/>
  <c r="B630" i="13"/>
  <c r="C630" i="13"/>
  <c r="D630" i="13"/>
  <c r="E630" i="13"/>
  <c r="F630" i="13"/>
  <c r="G630" i="13"/>
  <c r="J630" i="13"/>
  <c r="K630" i="13"/>
  <c r="A631" i="13"/>
  <c r="B631" i="13"/>
  <c r="C631" i="13"/>
  <c r="D631" i="13"/>
  <c r="E631" i="13"/>
  <c r="F631" i="13"/>
  <c r="G631" i="13"/>
  <c r="K631" i="13"/>
  <c r="A632" i="13"/>
  <c r="B632" i="13"/>
  <c r="J632" i="13" s="1"/>
  <c r="C632" i="13"/>
  <c r="D632" i="13"/>
  <c r="K632" i="13" s="1"/>
  <c r="E632" i="13"/>
  <c r="F632" i="13"/>
  <c r="G632" i="13"/>
  <c r="A633" i="13"/>
  <c r="B633" i="13"/>
  <c r="C633" i="13"/>
  <c r="D633" i="13"/>
  <c r="E633" i="13"/>
  <c r="F633" i="13"/>
  <c r="G633" i="13"/>
  <c r="J633" i="13"/>
  <c r="K633" i="13"/>
  <c r="A634" i="13"/>
  <c r="B634" i="13"/>
  <c r="C634" i="13"/>
  <c r="D634" i="13"/>
  <c r="E634" i="13"/>
  <c r="F634" i="13"/>
  <c r="G634" i="13"/>
  <c r="J634" i="13"/>
  <c r="K634" i="13"/>
  <c r="A635" i="13"/>
  <c r="B635" i="13"/>
  <c r="J635" i="13" s="1"/>
  <c r="C635" i="13"/>
  <c r="D635" i="13"/>
  <c r="K635" i="13" s="1"/>
  <c r="E635" i="13"/>
  <c r="F635" i="13"/>
  <c r="G635" i="13"/>
  <c r="A636" i="13"/>
  <c r="B636" i="13"/>
  <c r="C636" i="13"/>
  <c r="D636" i="13"/>
  <c r="K636" i="13" s="1"/>
  <c r="E636" i="13"/>
  <c r="F636" i="13"/>
  <c r="G636" i="13"/>
  <c r="J636" i="13"/>
  <c r="A637" i="13"/>
  <c r="B637" i="13"/>
  <c r="C637" i="13"/>
  <c r="D637" i="13"/>
  <c r="E637" i="13"/>
  <c r="F637" i="13"/>
  <c r="G637" i="13"/>
  <c r="H637" i="13"/>
  <c r="J637" i="13"/>
  <c r="K637" i="13"/>
  <c r="A638" i="13"/>
  <c r="J638" i="13" s="1"/>
  <c r="B638" i="13"/>
  <c r="C638" i="13"/>
  <c r="D638" i="13"/>
  <c r="K638" i="13" s="1"/>
  <c r="E638" i="13"/>
  <c r="F638" i="13"/>
  <c r="G638" i="13"/>
  <c r="H638" i="13"/>
  <c r="A639" i="13"/>
  <c r="J639" i="13" s="1"/>
  <c r="B639" i="13"/>
  <c r="C639" i="13"/>
  <c r="D639" i="13"/>
  <c r="K639" i="13" s="1"/>
  <c r="E639" i="13"/>
  <c r="F639" i="13"/>
  <c r="G639" i="13"/>
  <c r="H639" i="13"/>
  <c r="A640" i="13"/>
  <c r="B640" i="13"/>
  <c r="C640" i="13"/>
  <c r="D640" i="13"/>
  <c r="E640" i="13"/>
  <c r="F640" i="13"/>
  <c r="G640" i="13"/>
  <c r="H640" i="13"/>
  <c r="J640" i="13"/>
  <c r="K640" i="13"/>
  <c r="A641" i="13"/>
  <c r="J641" i="13" s="1"/>
  <c r="B641" i="13"/>
  <c r="C641" i="13"/>
  <c r="D641" i="13"/>
  <c r="E641" i="13"/>
  <c r="F641" i="13"/>
  <c r="G641" i="13"/>
  <c r="H641" i="13"/>
  <c r="K641" i="13"/>
  <c r="A642" i="13"/>
  <c r="B642" i="13"/>
  <c r="C642" i="13"/>
  <c r="D642" i="13"/>
  <c r="E642" i="13"/>
  <c r="F642" i="13"/>
  <c r="G642" i="13"/>
  <c r="H642" i="13"/>
  <c r="K642" i="13"/>
  <c r="A643" i="13"/>
  <c r="B643" i="13"/>
  <c r="C643" i="13"/>
  <c r="D643" i="13"/>
  <c r="K643" i="13" s="1"/>
  <c r="E643" i="13"/>
  <c r="F643" i="13"/>
  <c r="G643" i="13"/>
  <c r="H643" i="13"/>
  <c r="J643" i="13"/>
  <c r="A644" i="13"/>
  <c r="B644" i="13"/>
  <c r="C644" i="13"/>
  <c r="D644" i="13"/>
  <c r="E644" i="13"/>
  <c r="F644" i="13"/>
  <c r="G644" i="13"/>
  <c r="J644" i="13"/>
  <c r="K644" i="13"/>
  <c r="A645" i="13"/>
  <c r="B645" i="13"/>
  <c r="C645" i="13"/>
  <c r="D645" i="13"/>
  <c r="E645" i="13"/>
  <c r="F645" i="13"/>
  <c r="G645" i="13"/>
  <c r="J645" i="13"/>
  <c r="K645" i="13"/>
  <c r="A646" i="13"/>
  <c r="B646" i="13"/>
  <c r="J646" i="13" s="1"/>
  <c r="C646" i="13"/>
  <c r="D646" i="13"/>
  <c r="K646" i="13" s="1"/>
  <c r="E646" i="13"/>
  <c r="F646" i="13"/>
  <c r="G646" i="13"/>
  <c r="A647" i="13"/>
  <c r="B647" i="13"/>
  <c r="C647" i="13"/>
  <c r="D647" i="13"/>
  <c r="K647" i="13" s="1"/>
  <c r="E647" i="13"/>
  <c r="F647" i="13"/>
  <c r="G647" i="13"/>
  <c r="J647" i="13"/>
  <c r="A648" i="13"/>
  <c r="B648" i="13"/>
  <c r="C648" i="13"/>
  <c r="D648" i="13"/>
  <c r="E648" i="13"/>
  <c r="F648" i="13"/>
  <c r="G648" i="13"/>
  <c r="J648" i="13"/>
  <c r="K648" i="13"/>
  <c r="A649" i="13"/>
  <c r="J649" i="13" s="1"/>
  <c r="B649" i="13"/>
  <c r="C649" i="13"/>
  <c r="D649" i="13"/>
  <c r="K649" i="13" s="1"/>
  <c r="E649" i="13"/>
  <c r="F649" i="13"/>
  <c r="G649" i="13"/>
  <c r="A650" i="13"/>
  <c r="B650" i="13"/>
  <c r="C650" i="13"/>
  <c r="D650" i="13"/>
  <c r="K650" i="13" s="1"/>
  <c r="E650" i="13"/>
  <c r="F650" i="13"/>
  <c r="G650" i="13"/>
  <c r="J650" i="13"/>
  <c r="A651" i="13"/>
  <c r="B651" i="13"/>
  <c r="C651" i="13"/>
  <c r="D651" i="13"/>
  <c r="E651" i="13"/>
  <c r="F651" i="13"/>
  <c r="G651" i="13"/>
  <c r="J651" i="13"/>
  <c r="K651" i="13"/>
  <c r="A652" i="13"/>
  <c r="J652" i="13" s="1"/>
  <c r="B652" i="13"/>
  <c r="C652" i="13"/>
  <c r="D652" i="13"/>
  <c r="K652" i="13" s="1"/>
  <c r="E652" i="13"/>
  <c r="F652" i="13"/>
  <c r="G652" i="13"/>
  <c r="A653" i="13"/>
  <c r="B653" i="13"/>
  <c r="J653" i="13" s="1"/>
  <c r="C653" i="13"/>
  <c r="D653" i="13"/>
  <c r="K653" i="13" s="1"/>
  <c r="E653" i="13"/>
  <c r="F653" i="13"/>
  <c r="G653" i="13"/>
  <c r="A654" i="13"/>
  <c r="B654" i="13"/>
  <c r="C654" i="13"/>
  <c r="D654" i="13"/>
  <c r="E654" i="13"/>
  <c r="F654" i="13"/>
  <c r="G654" i="13"/>
  <c r="J654" i="13"/>
  <c r="K654" i="13"/>
  <c r="A655" i="13"/>
  <c r="J655" i="13" s="1"/>
  <c r="B655" i="13"/>
  <c r="C655" i="13"/>
  <c r="D655" i="13"/>
  <c r="K655" i="13" s="1"/>
  <c r="E655" i="13"/>
  <c r="F655" i="13"/>
  <c r="G655" i="13"/>
  <c r="A656" i="13"/>
  <c r="J656" i="13" s="1"/>
  <c r="B656" i="13"/>
  <c r="C656" i="13"/>
  <c r="D656" i="13"/>
  <c r="K656" i="13" s="1"/>
  <c r="E656" i="13"/>
  <c r="F656" i="13"/>
  <c r="G656" i="13"/>
  <c r="A657" i="13"/>
  <c r="B657" i="13"/>
  <c r="C657" i="13"/>
  <c r="D657" i="13"/>
  <c r="E657" i="13"/>
  <c r="F657" i="13"/>
  <c r="G657" i="13"/>
  <c r="J657" i="13"/>
  <c r="K657" i="13"/>
  <c r="A658" i="13"/>
  <c r="J658" i="13" s="1"/>
  <c r="B658" i="13"/>
  <c r="C658" i="13"/>
  <c r="D658" i="13"/>
  <c r="K658" i="13" s="1"/>
  <c r="E658" i="13"/>
  <c r="F658" i="13"/>
  <c r="G658" i="13"/>
  <c r="A659" i="13"/>
  <c r="J659" i="13" s="1"/>
  <c r="B659" i="13"/>
  <c r="C659" i="13"/>
  <c r="D659" i="13"/>
  <c r="K659" i="13" s="1"/>
  <c r="E659" i="13"/>
  <c r="F659" i="13"/>
  <c r="G659" i="13"/>
  <c r="H659" i="13"/>
  <c r="A660" i="13"/>
  <c r="B660" i="13"/>
  <c r="C660" i="13"/>
  <c r="D660" i="13"/>
  <c r="E660" i="13"/>
  <c r="F660" i="13"/>
  <c r="G660" i="13"/>
  <c r="J660" i="13"/>
  <c r="K660" i="13"/>
  <c r="A661" i="13"/>
  <c r="J661" i="13" s="1"/>
  <c r="B661" i="13"/>
  <c r="C661" i="13"/>
  <c r="D661" i="13"/>
  <c r="E661" i="13"/>
  <c r="F661" i="13"/>
  <c r="G661" i="13"/>
  <c r="K661" i="13"/>
  <c r="A662" i="13"/>
  <c r="B662" i="13"/>
  <c r="C662" i="13"/>
  <c r="D662" i="13"/>
  <c r="K662" i="13" s="1"/>
  <c r="E662" i="13"/>
  <c r="F662" i="13"/>
  <c r="G662" i="13"/>
  <c r="H662" i="13"/>
  <c r="A663" i="13"/>
  <c r="B663" i="13"/>
  <c r="C663" i="13"/>
  <c r="D663" i="13"/>
  <c r="K663" i="13" s="1"/>
  <c r="E663" i="13"/>
  <c r="F663" i="13"/>
  <c r="G663" i="13"/>
  <c r="J663" i="13"/>
  <c r="A664" i="13"/>
  <c r="B664" i="13"/>
  <c r="C664" i="13"/>
  <c r="D664" i="13"/>
  <c r="E664" i="13"/>
  <c r="F664" i="13"/>
  <c r="G664" i="13"/>
  <c r="H664" i="13"/>
  <c r="J664" i="13"/>
  <c r="K664" i="13"/>
  <c r="A665" i="13"/>
  <c r="B665" i="13"/>
  <c r="C665" i="13"/>
  <c r="D665" i="13"/>
  <c r="E665" i="13"/>
  <c r="F665" i="13"/>
  <c r="G665" i="13"/>
  <c r="K665" i="13"/>
  <c r="A666" i="13"/>
  <c r="B666" i="13"/>
  <c r="C666" i="13"/>
  <c r="D666" i="13"/>
  <c r="K666" i="13" s="1"/>
  <c r="E666" i="13"/>
  <c r="F666" i="13"/>
  <c r="G666" i="13"/>
  <c r="H666" i="13"/>
  <c r="J666" i="13"/>
  <c r="A667" i="13"/>
  <c r="B667" i="13"/>
  <c r="C667" i="13"/>
  <c r="D667" i="13"/>
  <c r="K667" i="13" s="1"/>
  <c r="E667" i="13"/>
  <c r="F667" i="13"/>
  <c r="G667" i="13"/>
  <c r="H667" i="13"/>
  <c r="J667" i="13"/>
  <c r="A668" i="13"/>
  <c r="B668" i="13"/>
  <c r="C668" i="13"/>
  <c r="D668" i="13"/>
  <c r="E668" i="13"/>
  <c r="F668" i="13"/>
  <c r="G668" i="13"/>
  <c r="H668" i="13"/>
  <c r="J668" i="13"/>
  <c r="K668" i="13"/>
  <c r="A669" i="13"/>
  <c r="J669" i="13" s="1"/>
  <c r="B669" i="13"/>
  <c r="C669" i="13"/>
  <c r="D669" i="13"/>
  <c r="K669" i="13" s="1"/>
  <c r="E669" i="13"/>
  <c r="F669" i="13"/>
  <c r="G669" i="13"/>
  <c r="H669" i="13"/>
  <c r="A670" i="13"/>
  <c r="J670" i="13" s="1"/>
  <c r="B670" i="13"/>
  <c r="C670" i="13"/>
  <c r="D670" i="13"/>
  <c r="K670" i="13" s="1"/>
  <c r="E670" i="13"/>
  <c r="F670" i="13"/>
  <c r="G670" i="13"/>
  <c r="H670" i="13"/>
  <c r="A671" i="13"/>
  <c r="B671" i="13"/>
  <c r="C671" i="13"/>
  <c r="D671" i="13"/>
  <c r="E671" i="13"/>
  <c r="F671" i="13"/>
  <c r="G671" i="13"/>
  <c r="H671" i="13"/>
  <c r="J671" i="13"/>
  <c r="K671" i="13"/>
  <c r="A672" i="13"/>
  <c r="J672" i="13" s="1"/>
  <c r="B672" i="13"/>
  <c r="C672" i="13"/>
  <c r="D672" i="13"/>
  <c r="E672" i="13"/>
  <c r="F672" i="13"/>
  <c r="G672" i="13"/>
  <c r="K672" i="13"/>
  <c r="A673" i="13"/>
  <c r="J673" i="13" s="1"/>
  <c r="B673" i="13"/>
  <c r="C673" i="13"/>
  <c r="D673" i="13"/>
  <c r="E673" i="13"/>
  <c r="F673" i="13"/>
  <c r="G673" i="13"/>
  <c r="H673" i="13"/>
  <c r="K673" i="13"/>
  <c r="A674" i="13"/>
  <c r="B674" i="13"/>
  <c r="C674" i="13"/>
  <c r="D674" i="13"/>
  <c r="K674" i="13" s="1"/>
  <c r="E674" i="13"/>
  <c r="F674" i="13"/>
  <c r="G674" i="13"/>
  <c r="H674" i="13"/>
  <c r="J674" i="13"/>
  <c r="A675" i="13"/>
  <c r="B675" i="13"/>
  <c r="C675" i="13"/>
  <c r="D675" i="13"/>
  <c r="E675" i="13"/>
  <c r="F675" i="13"/>
  <c r="G675" i="13"/>
  <c r="H675" i="13"/>
  <c r="J675" i="13"/>
  <c r="K675" i="13"/>
  <c r="A676" i="13"/>
  <c r="B676" i="13"/>
  <c r="C676" i="13"/>
  <c r="D676" i="13"/>
  <c r="E676" i="13"/>
  <c r="F676" i="13"/>
  <c r="G676" i="13"/>
  <c r="H676" i="13"/>
  <c r="J676" i="13"/>
  <c r="K676" i="13"/>
  <c r="A677" i="13"/>
  <c r="J677" i="13" s="1"/>
  <c r="B677" i="13"/>
  <c r="C677" i="13"/>
  <c r="D677" i="13"/>
  <c r="K677" i="13" s="1"/>
  <c r="E677" i="13"/>
  <c r="F677" i="13"/>
  <c r="G677" i="13"/>
  <c r="H677" i="13"/>
  <c r="A678" i="13"/>
  <c r="J678" i="13" s="1"/>
  <c r="B678" i="13"/>
  <c r="C678" i="13"/>
  <c r="D678" i="13"/>
  <c r="K678" i="13" s="1"/>
  <c r="E678" i="13"/>
  <c r="F678" i="13"/>
  <c r="G678" i="13"/>
  <c r="H678" i="13"/>
  <c r="A679" i="13"/>
  <c r="B679" i="13"/>
  <c r="C679" i="13"/>
  <c r="D679" i="13"/>
  <c r="E679" i="13"/>
  <c r="F679" i="13"/>
  <c r="G679" i="13"/>
  <c r="H679" i="13"/>
  <c r="J679" i="13"/>
  <c r="K679" i="13"/>
  <c r="A680" i="13"/>
  <c r="J680" i="13" s="1"/>
  <c r="B680" i="13"/>
  <c r="C680" i="13"/>
  <c r="D680" i="13"/>
  <c r="E680" i="13"/>
  <c r="F680" i="13"/>
  <c r="G680" i="13"/>
  <c r="H680" i="13"/>
  <c r="K680" i="13"/>
  <c r="A681" i="13"/>
  <c r="B681" i="13"/>
  <c r="C681" i="13"/>
  <c r="D681" i="13"/>
  <c r="E681" i="13"/>
  <c r="F681" i="13"/>
  <c r="G681" i="13"/>
  <c r="H681" i="13"/>
  <c r="K681" i="13"/>
  <c r="A682" i="13"/>
  <c r="B682" i="13"/>
  <c r="C682" i="13"/>
  <c r="D682" i="13"/>
  <c r="K682" i="13" s="1"/>
  <c r="E682" i="13"/>
  <c r="F682" i="13"/>
  <c r="G682" i="13"/>
  <c r="H682" i="13"/>
  <c r="J682" i="13"/>
  <c r="A683" i="13"/>
  <c r="B683" i="13"/>
  <c r="C683" i="13"/>
  <c r="D683" i="13"/>
  <c r="E683" i="13"/>
  <c r="F683" i="13"/>
  <c r="G683" i="13"/>
  <c r="J683" i="13"/>
  <c r="K683" i="13"/>
  <c r="A684" i="13"/>
  <c r="B684" i="13"/>
  <c r="C684" i="13"/>
  <c r="D684" i="13"/>
  <c r="E684" i="13"/>
  <c r="F684" i="13"/>
  <c r="G684" i="13"/>
  <c r="J684" i="13"/>
  <c r="K684" i="13"/>
  <c r="A685" i="13"/>
  <c r="B685" i="13"/>
  <c r="J685" i="13" s="1"/>
  <c r="C685" i="13"/>
  <c r="D685" i="13"/>
  <c r="K685" i="13" s="1"/>
  <c r="E685" i="13"/>
  <c r="F685" i="13"/>
  <c r="G685" i="13"/>
  <c r="A686" i="13"/>
  <c r="B686" i="13"/>
  <c r="C686" i="13"/>
  <c r="D686" i="13"/>
  <c r="K686" i="13" s="1"/>
  <c r="E686" i="13"/>
  <c r="F686" i="13"/>
  <c r="G686" i="13"/>
  <c r="J686" i="13"/>
  <c r="A687" i="13"/>
  <c r="B687" i="13"/>
  <c r="C687" i="13"/>
  <c r="D687" i="13"/>
  <c r="E687" i="13"/>
  <c r="F687" i="13"/>
  <c r="G687" i="13"/>
  <c r="J687" i="13"/>
  <c r="K687" i="13"/>
  <c r="A688" i="13"/>
  <c r="J688" i="13" s="1"/>
  <c r="B688" i="13"/>
  <c r="C688" i="13"/>
  <c r="D688" i="13"/>
  <c r="K688" i="13" s="1"/>
  <c r="E688" i="13"/>
  <c r="F688" i="13"/>
  <c r="G688" i="13"/>
  <c r="A689" i="13"/>
  <c r="B689" i="13"/>
  <c r="C689" i="13"/>
  <c r="D689" i="13"/>
  <c r="K689" i="13" s="1"/>
  <c r="E689" i="13"/>
  <c r="F689" i="13"/>
  <c r="G689" i="13"/>
  <c r="J689" i="13"/>
  <c r="A690" i="13"/>
  <c r="B690" i="13"/>
  <c r="C690" i="13"/>
  <c r="D690" i="13"/>
  <c r="E690" i="13"/>
  <c r="F690" i="13"/>
  <c r="G690" i="13"/>
  <c r="J690" i="13"/>
  <c r="K690" i="13"/>
  <c r="A691" i="13"/>
  <c r="J691" i="13" s="1"/>
  <c r="B691" i="13"/>
  <c r="C691" i="13"/>
  <c r="D691" i="13"/>
  <c r="K691" i="13" s="1"/>
  <c r="E691" i="13"/>
  <c r="F691" i="13"/>
  <c r="G691" i="13"/>
  <c r="A692" i="13"/>
  <c r="B692" i="13"/>
  <c r="J692" i="13" s="1"/>
  <c r="C692" i="13"/>
  <c r="D692" i="13"/>
  <c r="K692" i="13" s="1"/>
  <c r="E692" i="13"/>
  <c r="F692" i="13"/>
  <c r="G692" i="13"/>
  <c r="A693" i="13"/>
  <c r="B693" i="13"/>
  <c r="C693" i="13"/>
  <c r="D693" i="13"/>
  <c r="E693" i="13"/>
  <c r="F693" i="13"/>
  <c r="G693" i="13"/>
  <c r="J693" i="13"/>
  <c r="K693" i="13"/>
  <c r="A464" i="13"/>
  <c r="B464" i="13"/>
  <c r="J464" i="13" s="1"/>
  <c r="C464" i="13"/>
  <c r="D464" i="13"/>
  <c r="K464" i="13" s="1"/>
  <c r="E464" i="13"/>
  <c r="F464" i="13"/>
  <c r="G464" i="13"/>
  <c r="H464" i="13"/>
  <c r="A465" i="13"/>
  <c r="J465" i="13" s="1"/>
  <c r="B465" i="13"/>
  <c r="C465" i="13"/>
  <c r="D465" i="13"/>
  <c r="E465" i="13"/>
  <c r="F465" i="13"/>
  <c r="G465" i="13"/>
  <c r="H465" i="13"/>
  <c r="K465" i="13"/>
  <c r="A466" i="13"/>
  <c r="J466" i="13" s="1"/>
  <c r="M466" i="13" s="1"/>
  <c r="B466" i="13"/>
  <c r="C466" i="13"/>
  <c r="D466" i="13"/>
  <c r="E466" i="13"/>
  <c r="F466" i="13"/>
  <c r="G466" i="13"/>
  <c r="H466" i="13"/>
  <c r="K466" i="13"/>
  <c r="A467" i="13"/>
  <c r="L467" i="13" s="1"/>
  <c r="B467" i="13"/>
  <c r="C467" i="13"/>
  <c r="D467" i="13"/>
  <c r="K467" i="13" s="1"/>
  <c r="E467" i="13"/>
  <c r="F467" i="13"/>
  <c r="G467" i="13"/>
  <c r="H467" i="13"/>
  <c r="J467" i="13"/>
  <c r="A468" i="13"/>
  <c r="B468" i="13"/>
  <c r="J468" i="13" s="1"/>
  <c r="C468" i="13"/>
  <c r="D468" i="13"/>
  <c r="E468" i="13"/>
  <c r="F468" i="13"/>
  <c r="G468" i="13"/>
  <c r="H468" i="13"/>
  <c r="K468" i="13"/>
  <c r="A469" i="13"/>
  <c r="B469" i="13"/>
  <c r="C469" i="13"/>
  <c r="D469" i="13"/>
  <c r="K469" i="13" s="1"/>
  <c r="E469" i="13"/>
  <c r="F469" i="13"/>
  <c r="G469" i="13"/>
  <c r="H469" i="13"/>
  <c r="J469" i="13"/>
  <c r="A470" i="13"/>
  <c r="J470" i="13" s="1"/>
  <c r="M470" i="13" s="1"/>
  <c r="B470" i="13"/>
  <c r="C470" i="13"/>
  <c r="D470" i="13"/>
  <c r="K470" i="13" s="1"/>
  <c r="E470" i="13"/>
  <c r="F470" i="13"/>
  <c r="G470" i="13"/>
  <c r="H470" i="13"/>
  <c r="A471" i="13"/>
  <c r="J471" i="13" s="1"/>
  <c r="B471" i="13"/>
  <c r="C471" i="13"/>
  <c r="D471" i="13"/>
  <c r="K471" i="13" s="1"/>
  <c r="E471" i="13"/>
  <c r="F471" i="13"/>
  <c r="G471" i="13"/>
  <c r="H471" i="13"/>
  <c r="A472" i="13"/>
  <c r="B472" i="13"/>
  <c r="J472" i="13" s="1"/>
  <c r="C472" i="13"/>
  <c r="D472" i="13"/>
  <c r="E472" i="13"/>
  <c r="F472" i="13"/>
  <c r="G472" i="13"/>
  <c r="H472" i="13"/>
  <c r="K472" i="13"/>
  <c r="A473" i="13"/>
  <c r="J473" i="13" s="1"/>
  <c r="M473" i="13" s="1"/>
  <c r="B473" i="13"/>
  <c r="C473" i="13"/>
  <c r="D473" i="13"/>
  <c r="E473" i="13"/>
  <c r="F473" i="13"/>
  <c r="G473" i="13"/>
  <c r="H473" i="13"/>
  <c r="K473" i="13"/>
  <c r="A474" i="13"/>
  <c r="J474" i="13" s="1"/>
  <c r="B474" i="13"/>
  <c r="C474" i="13"/>
  <c r="D474" i="13"/>
  <c r="E474" i="13"/>
  <c r="F474" i="13"/>
  <c r="G474" i="13"/>
  <c r="H474" i="13"/>
  <c r="K474" i="13"/>
  <c r="A475" i="13"/>
  <c r="L475" i="13" s="1"/>
  <c r="B475" i="13"/>
  <c r="C475" i="13"/>
  <c r="D475" i="13"/>
  <c r="K475" i="13" s="1"/>
  <c r="E475" i="13"/>
  <c r="F475" i="13"/>
  <c r="G475" i="13"/>
  <c r="H475" i="13"/>
  <c r="J475" i="13"/>
  <c r="A476" i="13"/>
  <c r="B476" i="13"/>
  <c r="J476" i="13" s="1"/>
  <c r="C476" i="13"/>
  <c r="D476" i="13"/>
  <c r="E476" i="13"/>
  <c r="F476" i="13"/>
  <c r="G476" i="13"/>
  <c r="H476" i="13"/>
  <c r="K476" i="13"/>
  <c r="A477" i="13"/>
  <c r="B477" i="13"/>
  <c r="C477" i="13"/>
  <c r="D477" i="13"/>
  <c r="K477" i="13" s="1"/>
  <c r="E477" i="13"/>
  <c r="F477" i="13"/>
  <c r="G477" i="13"/>
  <c r="H477" i="13"/>
  <c r="J477" i="13"/>
  <c r="A478" i="13"/>
  <c r="J478" i="13" s="1"/>
  <c r="B478" i="13"/>
  <c r="C478" i="13"/>
  <c r="D478" i="13"/>
  <c r="K478" i="13" s="1"/>
  <c r="E478" i="13"/>
  <c r="F478" i="13"/>
  <c r="G478" i="13"/>
  <c r="H478" i="13"/>
  <c r="A479" i="13"/>
  <c r="J479" i="13" s="1"/>
  <c r="B479" i="13"/>
  <c r="C479" i="13"/>
  <c r="D479" i="13"/>
  <c r="K479" i="13" s="1"/>
  <c r="E479" i="13"/>
  <c r="F479" i="13"/>
  <c r="G479" i="13"/>
  <c r="H479" i="13"/>
  <c r="A480" i="13"/>
  <c r="B480" i="13"/>
  <c r="J480" i="13" s="1"/>
  <c r="C480" i="13"/>
  <c r="D480" i="13"/>
  <c r="E480" i="13"/>
  <c r="F480" i="13"/>
  <c r="G480" i="13"/>
  <c r="H480" i="13"/>
  <c r="K480" i="13"/>
  <c r="A481" i="13"/>
  <c r="J481" i="13" s="1"/>
  <c r="B481" i="13"/>
  <c r="C481" i="13"/>
  <c r="D481" i="13"/>
  <c r="E481" i="13"/>
  <c r="F481" i="13"/>
  <c r="G481" i="13"/>
  <c r="H481" i="13"/>
  <c r="K481" i="13"/>
  <c r="A482" i="13"/>
  <c r="J482" i="13" s="1"/>
  <c r="B482" i="13"/>
  <c r="C482" i="13"/>
  <c r="D482" i="13"/>
  <c r="E482" i="13"/>
  <c r="F482" i="13"/>
  <c r="G482" i="13"/>
  <c r="H482" i="13"/>
  <c r="K482" i="13"/>
  <c r="A483" i="13"/>
  <c r="L483" i="13" s="1"/>
  <c r="B483" i="13"/>
  <c r="C483" i="13"/>
  <c r="D483" i="13"/>
  <c r="K483" i="13" s="1"/>
  <c r="E483" i="13"/>
  <c r="F483" i="13"/>
  <c r="G483" i="13"/>
  <c r="H483" i="13"/>
  <c r="J483" i="13"/>
  <c r="A484" i="13"/>
  <c r="B484" i="13"/>
  <c r="C484" i="13"/>
  <c r="D484" i="13"/>
  <c r="E484" i="13"/>
  <c r="F484" i="13"/>
  <c r="G484" i="13"/>
  <c r="H484" i="13"/>
  <c r="J484" i="13"/>
  <c r="K484" i="13"/>
  <c r="A485" i="13"/>
  <c r="B485" i="13"/>
  <c r="C485" i="13"/>
  <c r="D485" i="13"/>
  <c r="K485" i="13" s="1"/>
  <c r="E485" i="13"/>
  <c r="F485" i="13"/>
  <c r="G485" i="13"/>
  <c r="H485" i="13"/>
  <c r="J485" i="13"/>
  <c r="A486" i="13"/>
  <c r="J486" i="13" s="1"/>
  <c r="B486" i="13"/>
  <c r="C486" i="13"/>
  <c r="D486" i="13"/>
  <c r="K486" i="13" s="1"/>
  <c r="E486" i="13"/>
  <c r="F486" i="13"/>
  <c r="G486" i="13"/>
  <c r="H486" i="13"/>
  <c r="A487" i="13"/>
  <c r="J487" i="13" s="1"/>
  <c r="B487" i="13"/>
  <c r="C487" i="13"/>
  <c r="D487" i="13"/>
  <c r="K487" i="13" s="1"/>
  <c r="E487" i="13"/>
  <c r="F487" i="13"/>
  <c r="G487" i="13"/>
  <c r="H487" i="13"/>
  <c r="A488" i="13"/>
  <c r="B488" i="13"/>
  <c r="J488" i="13" s="1"/>
  <c r="C488" i="13"/>
  <c r="D488" i="13"/>
  <c r="E488" i="13"/>
  <c r="F488" i="13"/>
  <c r="G488" i="13"/>
  <c r="H488" i="13"/>
  <c r="K488" i="13"/>
  <c r="A489" i="13"/>
  <c r="J489" i="13" s="1"/>
  <c r="M489" i="13" s="1"/>
  <c r="B489" i="13"/>
  <c r="C489" i="13"/>
  <c r="D489" i="13"/>
  <c r="E489" i="13"/>
  <c r="F489" i="13"/>
  <c r="G489" i="13"/>
  <c r="H489" i="13"/>
  <c r="K489" i="13"/>
  <c r="A490" i="13"/>
  <c r="J490" i="13" s="1"/>
  <c r="B490" i="13"/>
  <c r="C490" i="13"/>
  <c r="D490" i="13"/>
  <c r="E490" i="13"/>
  <c r="F490" i="13"/>
  <c r="G490" i="13"/>
  <c r="H490" i="13"/>
  <c r="K490" i="13"/>
  <c r="A491" i="13"/>
  <c r="L491" i="13" s="1"/>
  <c r="B491" i="13"/>
  <c r="C491" i="13"/>
  <c r="D491" i="13"/>
  <c r="K491" i="13" s="1"/>
  <c r="E491" i="13"/>
  <c r="F491" i="13"/>
  <c r="G491" i="13"/>
  <c r="H491" i="13"/>
  <c r="J491" i="13"/>
  <c r="A492" i="13"/>
  <c r="B492" i="13"/>
  <c r="C492" i="13"/>
  <c r="D492" i="13"/>
  <c r="E492" i="13"/>
  <c r="F492" i="13"/>
  <c r="G492" i="13"/>
  <c r="H492" i="13"/>
  <c r="J492" i="13"/>
  <c r="K492" i="13"/>
  <c r="A493" i="13"/>
  <c r="B493" i="13"/>
  <c r="C493" i="13"/>
  <c r="D493" i="13"/>
  <c r="K493" i="13" s="1"/>
  <c r="E493" i="13"/>
  <c r="F493" i="13"/>
  <c r="G493" i="13"/>
  <c r="H493" i="13"/>
  <c r="J493" i="13"/>
  <c r="A494" i="13"/>
  <c r="J494" i="13" s="1"/>
  <c r="B494" i="13"/>
  <c r="C494" i="13"/>
  <c r="D494" i="13"/>
  <c r="K494" i="13" s="1"/>
  <c r="E494" i="13"/>
  <c r="F494" i="13"/>
  <c r="G494" i="13"/>
  <c r="H494" i="13"/>
  <c r="A495" i="13"/>
  <c r="J495" i="13" s="1"/>
  <c r="B495" i="13"/>
  <c r="C495" i="13"/>
  <c r="D495" i="13"/>
  <c r="K495" i="13" s="1"/>
  <c r="E495" i="13"/>
  <c r="F495" i="13"/>
  <c r="G495" i="13"/>
  <c r="H495" i="13"/>
  <c r="A496" i="13"/>
  <c r="B496" i="13"/>
  <c r="J496" i="13" s="1"/>
  <c r="C496" i="13"/>
  <c r="D496" i="13"/>
  <c r="E496" i="13"/>
  <c r="F496" i="13"/>
  <c r="G496" i="13"/>
  <c r="H496" i="13"/>
  <c r="K496" i="13"/>
  <c r="A497" i="13"/>
  <c r="J497" i="13" s="1"/>
  <c r="M497" i="13" s="1"/>
  <c r="B497" i="13"/>
  <c r="C497" i="13"/>
  <c r="D497" i="13"/>
  <c r="E497" i="13"/>
  <c r="F497" i="13"/>
  <c r="G497" i="13"/>
  <c r="H497" i="13"/>
  <c r="K497" i="13"/>
  <c r="A498" i="13"/>
  <c r="J498" i="13" s="1"/>
  <c r="B498" i="13"/>
  <c r="C498" i="13"/>
  <c r="D498" i="13"/>
  <c r="E498" i="13"/>
  <c r="F498" i="13"/>
  <c r="G498" i="13"/>
  <c r="H498" i="13"/>
  <c r="K498" i="13"/>
  <c r="A499" i="13"/>
  <c r="L499" i="13" s="1"/>
  <c r="B499" i="13"/>
  <c r="C499" i="13"/>
  <c r="D499" i="13"/>
  <c r="K499" i="13" s="1"/>
  <c r="E499" i="13"/>
  <c r="F499" i="13"/>
  <c r="G499" i="13"/>
  <c r="H499" i="13"/>
  <c r="J499" i="13"/>
  <c r="A500" i="13"/>
  <c r="B500" i="13"/>
  <c r="C500" i="13"/>
  <c r="D500" i="13"/>
  <c r="E500" i="13"/>
  <c r="F500" i="13"/>
  <c r="G500" i="13"/>
  <c r="H500" i="13"/>
  <c r="J500" i="13"/>
  <c r="K500" i="13"/>
  <c r="A501" i="13"/>
  <c r="B501" i="13"/>
  <c r="C501" i="13"/>
  <c r="D501" i="13"/>
  <c r="K501" i="13" s="1"/>
  <c r="E501" i="13"/>
  <c r="F501" i="13"/>
  <c r="G501" i="13"/>
  <c r="H501" i="13"/>
  <c r="J501" i="13"/>
  <c r="A502" i="13"/>
  <c r="J502" i="13" s="1"/>
  <c r="B502" i="13"/>
  <c r="C502" i="13"/>
  <c r="D502" i="13"/>
  <c r="K502" i="13" s="1"/>
  <c r="E502" i="13"/>
  <c r="F502" i="13"/>
  <c r="G502" i="13"/>
  <c r="H502" i="13"/>
  <c r="A503" i="13"/>
  <c r="J503" i="13" s="1"/>
  <c r="B503" i="13"/>
  <c r="C503" i="13"/>
  <c r="D503" i="13"/>
  <c r="K503" i="13" s="1"/>
  <c r="E503" i="13"/>
  <c r="F503" i="13"/>
  <c r="G503" i="13"/>
  <c r="H503" i="13"/>
  <c r="A504" i="13"/>
  <c r="B504" i="13"/>
  <c r="J504" i="13" s="1"/>
  <c r="C504" i="13"/>
  <c r="D504" i="13"/>
  <c r="E504" i="13"/>
  <c r="F504" i="13"/>
  <c r="G504" i="13"/>
  <c r="H504" i="13"/>
  <c r="K504" i="13"/>
  <c r="A505" i="13"/>
  <c r="J505" i="13" s="1"/>
  <c r="M505" i="13" s="1"/>
  <c r="B505" i="13"/>
  <c r="C505" i="13"/>
  <c r="D505" i="13"/>
  <c r="E505" i="13"/>
  <c r="F505" i="13"/>
  <c r="G505" i="13"/>
  <c r="H505" i="13"/>
  <c r="K505" i="13"/>
  <c r="A506" i="13"/>
  <c r="J506" i="13" s="1"/>
  <c r="B506" i="13"/>
  <c r="C506" i="13"/>
  <c r="D506" i="13"/>
  <c r="E506" i="13"/>
  <c r="F506" i="13"/>
  <c r="G506" i="13"/>
  <c r="H506" i="13"/>
  <c r="K506" i="13"/>
  <c r="A507" i="13"/>
  <c r="L507" i="13" s="1"/>
  <c r="B507" i="13"/>
  <c r="C507" i="13"/>
  <c r="D507" i="13"/>
  <c r="K507" i="13" s="1"/>
  <c r="E507" i="13"/>
  <c r="F507" i="13"/>
  <c r="G507" i="13"/>
  <c r="H507" i="13"/>
  <c r="J507" i="13"/>
  <c r="A508" i="13"/>
  <c r="B508" i="13"/>
  <c r="C508" i="13"/>
  <c r="D508" i="13"/>
  <c r="E508" i="13"/>
  <c r="F508" i="13"/>
  <c r="G508" i="13"/>
  <c r="H508" i="13"/>
  <c r="J508" i="13"/>
  <c r="K508" i="13"/>
  <c r="A509" i="13"/>
  <c r="B509" i="13"/>
  <c r="C509" i="13"/>
  <c r="D509" i="13"/>
  <c r="K509" i="13" s="1"/>
  <c r="E509" i="13"/>
  <c r="F509" i="13"/>
  <c r="G509" i="13"/>
  <c r="H509" i="13"/>
  <c r="J509" i="13"/>
  <c r="A510" i="13"/>
  <c r="J510" i="13" s="1"/>
  <c r="M510" i="13" s="1"/>
  <c r="B510" i="13"/>
  <c r="C510" i="13"/>
  <c r="D510" i="13"/>
  <c r="K510" i="13" s="1"/>
  <c r="E510" i="13"/>
  <c r="F510" i="13"/>
  <c r="G510" i="13"/>
  <c r="H510" i="13"/>
  <c r="A511" i="13"/>
  <c r="J511" i="13" s="1"/>
  <c r="B511" i="13"/>
  <c r="C511" i="13"/>
  <c r="D511" i="13"/>
  <c r="K511" i="13" s="1"/>
  <c r="E511" i="13"/>
  <c r="F511" i="13"/>
  <c r="G511" i="13"/>
  <c r="H511" i="13"/>
  <c r="A512" i="13"/>
  <c r="B512" i="13"/>
  <c r="J512" i="13" s="1"/>
  <c r="C512" i="13"/>
  <c r="D512" i="13"/>
  <c r="E512" i="13"/>
  <c r="F512" i="13"/>
  <c r="G512" i="13"/>
  <c r="H512" i="13"/>
  <c r="K512" i="13"/>
  <c r="A513" i="13"/>
  <c r="J513" i="13" s="1"/>
  <c r="M513" i="13" s="1"/>
  <c r="B513" i="13"/>
  <c r="C513" i="13"/>
  <c r="D513" i="13"/>
  <c r="E513" i="13"/>
  <c r="F513" i="13"/>
  <c r="G513" i="13"/>
  <c r="H513" i="13"/>
  <c r="K513" i="13"/>
  <c r="A514" i="13"/>
  <c r="J514" i="13" s="1"/>
  <c r="B514" i="13"/>
  <c r="C514" i="13"/>
  <c r="D514" i="13"/>
  <c r="E514" i="13"/>
  <c r="F514" i="13"/>
  <c r="G514" i="13"/>
  <c r="H514" i="13"/>
  <c r="K514" i="13"/>
  <c r="A515" i="13"/>
  <c r="L515" i="13" s="1"/>
  <c r="B515" i="13"/>
  <c r="C515" i="13"/>
  <c r="D515" i="13"/>
  <c r="K515" i="13" s="1"/>
  <c r="E515" i="13"/>
  <c r="F515" i="13"/>
  <c r="G515" i="13"/>
  <c r="H515" i="13"/>
  <c r="J515" i="13"/>
  <c r="A516" i="13"/>
  <c r="B516" i="13"/>
  <c r="C516" i="13"/>
  <c r="D516" i="13"/>
  <c r="E516" i="13"/>
  <c r="F516" i="13"/>
  <c r="G516" i="13"/>
  <c r="H516" i="13"/>
  <c r="J516" i="13"/>
  <c r="K516" i="13"/>
  <c r="A517" i="13"/>
  <c r="B517" i="13"/>
  <c r="C517" i="13"/>
  <c r="D517" i="13"/>
  <c r="K517" i="13" s="1"/>
  <c r="E517" i="13"/>
  <c r="F517" i="13"/>
  <c r="G517" i="13"/>
  <c r="H517" i="13"/>
  <c r="J517" i="13"/>
  <c r="A518" i="13"/>
  <c r="J518" i="13" s="1"/>
  <c r="M518" i="13" s="1"/>
  <c r="B518" i="13"/>
  <c r="C518" i="13"/>
  <c r="D518" i="13"/>
  <c r="K518" i="13" s="1"/>
  <c r="E518" i="13"/>
  <c r="F518" i="13"/>
  <c r="G518" i="13"/>
  <c r="H518" i="13"/>
  <c r="A519" i="13"/>
  <c r="J519" i="13" s="1"/>
  <c r="B519" i="13"/>
  <c r="C519" i="13"/>
  <c r="D519" i="13"/>
  <c r="K519" i="13" s="1"/>
  <c r="E519" i="13"/>
  <c r="F519" i="13"/>
  <c r="G519" i="13"/>
  <c r="H519" i="13"/>
  <c r="A520" i="13"/>
  <c r="B520" i="13"/>
  <c r="J520" i="13" s="1"/>
  <c r="C520" i="13"/>
  <c r="D520" i="13"/>
  <c r="E520" i="13"/>
  <c r="F520" i="13"/>
  <c r="G520" i="13"/>
  <c r="H520" i="13"/>
  <c r="K520" i="13"/>
  <c r="A521" i="13"/>
  <c r="J521" i="13" s="1"/>
  <c r="M521" i="13" s="1"/>
  <c r="B521" i="13"/>
  <c r="C521" i="13"/>
  <c r="D521" i="13"/>
  <c r="E521" i="13"/>
  <c r="F521" i="13"/>
  <c r="G521" i="13"/>
  <c r="H521" i="13"/>
  <c r="K521" i="13"/>
  <c r="A522" i="13"/>
  <c r="J522" i="13" s="1"/>
  <c r="B522" i="13"/>
  <c r="C522" i="13"/>
  <c r="D522" i="13"/>
  <c r="E522" i="13"/>
  <c r="F522" i="13"/>
  <c r="G522" i="13"/>
  <c r="H522" i="13"/>
  <c r="K522" i="13"/>
  <c r="A523" i="13"/>
  <c r="L523" i="13" s="1"/>
  <c r="B523" i="13"/>
  <c r="C523" i="13"/>
  <c r="D523" i="13"/>
  <c r="K523" i="13" s="1"/>
  <c r="E523" i="13"/>
  <c r="F523" i="13"/>
  <c r="G523" i="13"/>
  <c r="H523" i="13"/>
  <c r="J523" i="13"/>
  <c r="A524" i="13"/>
  <c r="B524" i="13"/>
  <c r="C524" i="13"/>
  <c r="D524" i="13"/>
  <c r="K524" i="13" s="1"/>
  <c r="E524" i="13"/>
  <c r="F524" i="13"/>
  <c r="G524" i="13"/>
  <c r="H524" i="13"/>
  <c r="J524" i="13"/>
  <c r="A525" i="13"/>
  <c r="B525" i="13"/>
  <c r="C525" i="13"/>
  <c r="D525" i="13"/>
  <c r="K525" i="13" s="1"/>
  <c r="E525" i="13"/>
  <c r="F525" i="13"/>
  <c r="G525" i="13"/>
  <c r="H525" i="13"/>
  <c r="J525" i="13"/>
  <c r="A526" i="13"/>
  <c r="J526" i="13" s="1"/>
  <c r="B526" i="13"/>
  <c r="C526" i="13"/>
  <c r="D526" i="13"/>
  <c r="K526" i="13" s="1"/>
  <c r="E526" i="13"/>
  <c r="F526" i="13"/>
  <c r="G526" i="13"/>
  <c r="H526" i="13"/>
  <c r="A527" i="13"/>
  <c r="J527" i="13" s="1"/>
  <c r="B527" i="13"/>
  <c r="C527" i="13"/>
  <c r="D527" i="13"/>
  <c r="K527" i="13" s="1"/>
  <c r="E527" i="13"/>
  <c r="F527" i="13"/>
  <c r="G527" i="13"/>
  <c r="H527" i="13"/>
  <c r="A528" i="13"/>
  <c r="B528" i="13"/>
  <c r="J528" i="13" s="1"/>
  <c r="C528" i="13"/>
  <c r="D528" i="13"/>
  <c r="E528" i="13"/>
  <c r="F528" i="13"/>
  <c r="G528" i="13"/>
  <c r="H528" i="13"/>
  <c r="K528" i="13"/>
  <c r="A529" i="13"/>
  <c r="J529" i="13" s="1"/>
  <c r="B529" i="13"/>
  <c r="C529" i="13"/>
  <c r="D529" i="13"/>
  <c r="E529" i="13"/>
  <c r="F529" i="13"/>
  <c r="G529" i="13"/>
  <c r="H529" i="13"/>
  <c r="K529" i="13"/>
  <c r="A530" i="13"/>
  <c r="J530" i="13" s="1"/>
  <c r="B530" i="13"/>
  <c r="C530" i="13"/>
  <c r="D530" i="13"/>
  <c r="E530" i="13"/>
  <c r="F530" i="13"/>
  <c r="G530" i="13"/>
  <c r="H530" i="13"/>
  <c r="K530" i="13"/>
  <c r="A531" i="13"/>
  <c r="L531" i="13" s="1"/>
  <c r="B531" i="13"/>
  <c r="C531" i="13"/>
  <c r="D531" i="13"/>
  <c r="K531" i="13" s="1"/>
  <c r="E531" i="13"/>
  <c r="F531" i="13"/>
  <c r="G531" i="13"/>
  <c r="H531" i="13"/>
  <c r="J531" i="13"/>
  <c r="A532" i="13"/>
  <c r="B532" i="13"/>
  <c r="C532" i="13"/>
  <c r="D532" i="13"/>
  <c r="E532" i="13"/>
  <c r="F532" i="13"/>
  <c r="G532" i="13"/>
  <c r="H532" i="13"/>
  <c r="J532" i="13"/>
  <c r="L532" i="13" s="1"/>
  <c r="K532" i="13"/>
  <c r="A533" i="13"/>
  <c r="B533" i="13"/>
  <c r="C533" i="13"/>
  <c r="D533" i="13"/>
  <c r="K533" i="13" s="1"/>
  <c r="E533" i="13"/>
  <c r="F533" i="13"/>
  <c r="G533" i="13"/>
  <c r="H533" i="13"/>
  <c r="J533" i="13"/>
  <c r="A534" i="13"/>
  <c r="J534" i="13" s="1"/>
  <c r="B534" i="13"/>
  <c r="C534" i="13"/>
  <c r="D534" i="13"/>
  <c r="K534" i="13" s="1"/>
  <c r="E534" i="13"/>
  <c r="F534" i="13"/>
  <c r="G534" i="13"/>
  <c r="H534" i="13"/>
  <c r="A535" i="13"/>
  <c r="J535" i="13" s="1"/>
  <c r="B535" i="13"/>
  <c r="C535" i="13"/>
  <c r="D535" i="13"/>
  <c r="K535" i="13" s="1"/>
  <c r="E535" i="13"/>
  <c r="F535" i="13"/>
  <c r="G535" i="13"/>
  <c r="H535" i="13"/>
  <c r="A536" i="13"/>
  <c r="B536" i="13"/>
  <c r="J536" i="13" s="1"/>
  <c r="C536" i="13"/>
  <c r="D536" i="13"/>
  <c r="E536" i="13"/>
  <c r="F536" i="13"/>
  <c r="G536" i="13"/>
  <c r="H536" i="13"/>
  <c r="K536" i="13"/>
  <c r="A537" i="13"/>
  <c r="B537" i="13"/>
  <c r="C537" i="13"/>
  <c r="D537" i="13"/>
  <c r="E537" i="13"/>
  <c r="F537" i="13"/>
  <c r="G537" i="13"/>
  <c r="H537" i="13"/>
  <c r="J537" i="13"/>
  <c r="L537" i="13" s="1"/>
  <c r="K537" i="13"/>
  <c r="A538" i="13"/>
  <c r="J538" i="13" s="1"/>
  <c r="B538" i="13"/>
  <c r="C538" i="13"/>
  <c r="D538" i="13"/>
  <c r="E538" i="13"/>
  <c r="F538" i="13"/>
  <c r="G538" i="13"/>
  <c r="H538" i="13"/>
  <c r="K538" i="13"/>
  <c r="A539" i="13"/>
  <c r="L539" i="13" s="1"/>
  <c r="B539" i="13"/>
  <c r="C539" i="13"/>
  <c r="D539" i="13"/>
  <c r="K539" i="13" s="1"/>
  <c r="E539" i="13"/>
  <c r="F539" i="13"/>
  <c r="G539" i="13"/>
  <c r="H539" i="13"/>
  <c r="J539" i="13"/>
  <c r="A540" i="13"/>
  <c r="B540" i="13"/>
  <c r="C540" i="13"/>
  <c r="D540" i="13"/>
  <c r="E540" i="13"/>
  <c r="F540" i="13"/>
  <c r="G540" i="13"/>
  <c r="H540" i="13"/>
  <c r="J540" i="13"/>
  <c r="K540" i="13"/>
  <c r="A541" i="13"/>
  <c r="B541" i="13"/>
  <c r="C541" i="13"/>
  <c r="D541" i="13"/>
  <c r="K541" i="13" s="1"/>
  <c r="E541" i="13"/>
  <c r="F541" i="13"/>
  <c r="G541" i="13"/>
  <c r="H541" i="13"/>
  <c r="J541" i="13"/>
  <c r="A542" i="13"/>
  <c r="J542" i="13" s="1"/>
  <c r="B542" i="13"/>
  <c r="C542" i="13"/>
  <c r="D542" i="13"/>
  <c r="K542" i="13" s="1"/>
  <c r="E542" i="13"/>
  <c r="F542" i="13"/>
  <c r="G542" i="13"/>
  <c r="H542" i="13"/>
  <c r="A543" i="13"/>
  <c r="J543" i="13" s="1"/>
  <c r="B543" i="13"/>
  <c r="C543" i="13"/>
  <c r="D543" i="13"/>
  <c r="K543" i="13" s="1"/>
  <c r="E543" i="13"/>
  <c r="F543" i="13"/>
  <c r="G543" i="13"/>
  <c r="H543" i="13"/>
  <c r="A544" i="13"/>
  <c r="B544" i="13"/>
  <c r="C544" i="13"/>
  <c r="D544" i="13"/>
  <c r="E544" i="13"/>
  <c r="F544" i="13"/>
  <c r="G544" i="13"/>
  <c r="H544" i="13"/>
  <c r="J544" i="13"/>
  <c r="L544" i="13" s="1"/>
  <c r="K544" i="13"/>
  <c r="A545" i="13"/>
  <c r="B545" i="13"/>
  <c r="C545" i="13"/>
  <c r="D545" i="13"/>
  <c r="E545" i="13"/>
  <c r="F545" i="13"/>
  <c r="G545" i="13"/>
  <c r="H545" i="13"/>
  <c r="J545" i="13"/>
  <c r="K545" i="13"/>
  <c r="A546" i="13"/>
  <c r="J546" i="13" s="1"/>
  <c r="M546" i="13" s="1"/>
  <c r="B546" i="13"/>
  <c r="C546" i="13"/>
  <c r="D546" i="13"/>
  <c r="E546" i="13"/>
  <c r="F546" i="13"/>
  <c r="G546" i="13"/>
  <c r="H546" i="13"/>
  <c r="K546" i="13"/>
  <c r="A547" i="13"/>
  <c r="L547" i="13" s="1"/>
  <c r="B547" i="13"/>
  <c r="C547" i="13"/>
  <c r="D547" i="13"/>
  <c r="K547" i="13" s="1"/>
  <c r="E547" i="13"/>
  <c r="F547" i="13"/>
  <c r="G547" i="13"/>
  <c r="H547" i="13"/>
  <c r="J547" i="13"/>
  <c r="A548" i="13"/>
  <c r="B548" i="13"/>
  <c r="C548" i="13"/>
  <c r="D548" i="13"/>
  <c r="E548" i="13"/>
  <c r="F548" i="13"/>
  <c r="G548" i="13"/>
  <c r="H548" i="13"/>
  <c r="J548" i="13"/>
  <c r="K548" i="13"/>
  <c r="A549" i="13"/>
  <c r="B549" i="13"/>
  <c r="C549" i="13"/>
  <c r="D549" i="13"/>
  <c r="K549" i="13" s="1"/>
  <c r="E549" i="13"/>
  <c r="F549" i="13"/>
  <c r="G549" i="13"/>
  <c r="H549" i="13"/>
  <c r="J549" i="13"/>
  <c r="A550" i="13"/>
  <c r="J550" i="13" s="1"/>
  <c r="B550" i="13"/>
  <c r="C550" i="13"/>
  <c r="D550" i="13"/>
  <c r="K550" i="13" s="1"/>
  <c r="E550" i="13"/>
  <c r="F550" i="13"/>
  <c r="G550" i="13"/>
  <c r="A551" i="13"/>
  <c r="J551" i="13" s="1"/>
  <c r="B551" i="13"/>
  <c r="C551" i="13"/>
  <c r="D551" i="13"/>
  <c r="K551" i="13" s="1"/>
  <c r="E551" i="13"/>
  <c r="F551" i="13"/>
  <c r="G551" i="13"/>
  <c r="H551" i="13"/>
  <c r="A552" i="13"/>
  <c r="M552" i="13" s="1"/>
  <c r="B552" i="13"/>
  <c r="C552" i="13"/>
  <c r="D552" i="13"/>
  <c r="E552" i="13"/>
  <c r="F552" i="13"/>
  <c r="G552" i="13"/>
  <c r="H552" i="13"/>
  <c r="J552" i="13"/>
  <c r="K552" i="13"/>
  <c r="A553" i="13"/>
  <c r="J553" i="13" s="1"/>
  <c r="B553" i="13"/>
  <c r="C553" i="13"/>
  <c r="D553" i="13"/>
  <c r="E553" i="13"/>
  <c r="F553" i="13"/>
  <c r="G553" i="13"/>
  <c r="H553" i="13"/>
  <c r="K553" i="13"/>
  <c r="A554" i="13"/>
  <c r="B554" i="13"/>
  <c r="C554" i="13"/>
  <c r="D554" i="13"/>
  <c r="K554" i="13" s="1"/>
  <c r="E554" i="13"/>
  <c r="F554" i="13"/>
  <c r="G554" i="13"/>
  <c r="H554" i="13"/>
  <c r="A555" i="13"/>
  <c r="B555" i="13"/>
  <c r="C555" i="13"/>
  <c r="D555" i="13"/>
  <c r="K555" i="13" s="1"/>
  <c r="E555" i="13"/>
  <c r="F555" i="13"/>
  <c r="G555" i="13"/>
  <c r="H555" i="13"/>
  <c r="J555" i="13"/>
  <c r="A556" i="13"/>
  <c r="B556" i="13"/>
  <c r="C556" i="13"/>
  <c r="D556" i="13"/>
  <c r="E556" i="13"/>
  <c r="F556" i="13"/>
  <c r="G556" i="13"/>
  <c r="H556" i="13"/>
  <c r="J556" i="13"/>
  <c r="K556" i="13"/>
  <c r="A557" i="13"/>
  <c r="B557" i="13"/>
  <c r="C557" i="13"/>
  <c r="D557" i="13"/>
  <c r="K557" i="13" s="1"/>
  <c r="E557" i="13"/>
  <c r="F557" i="13"/>
  <c r="G557" i="13"/>
  <c r="H557" i="13"/>
  <c r="J557" i="13"/>
  <c r="A558" i="13"/>
  <c r="J558" i="13" s="1"/>
  <c r="B558" i="13"/>
  <c r="C558" i="13"/>
  <c r="D558" i="13"/>
  <c r="E558" i="13"/>
  <c r="F558" i="13"/>
  <c r="G558" i="13"/>
  <c r="K558" i="13"/>
  <c r="A559" i="13"/>
  <c r="B559" i="13"/>
  <c r="J559" i="13" s="1"/>
  <c r="C559" i="13"/>
  <c r="D559" i="13"/>
  <c r="K559" i="13" s="1"/>
  <c r="E559" i="13"/>
  <c r="F559" i="13"/>
  <c r="G559" i="13"/>
  <c r="H559" i="13"/>
  <c r="A560" i="13"/>
  <c r="B560" i="13"/>
  <c r="C560" i="13"/>
  <c r="D560" i="13"/>
  <c r="E560" i="13"/>
  <c r="F560" i="13"/>
  <c r="G560" i="13"/>
  <c r="H560" i="13"/>
  <c r="J560" i="13"/>
  <c r="K560" i="13"/>
  <c r="A561" i="13"/>
  <c r="B561" i="13"/>
  <c r="J561" i="13" s="1"/>
  <c r="C561" i="13"/>
  <c r="D561" i="13"/>
  <c r="E561" i="13"/>
  <c r="F561" i="13"/>
  <c r="G561" i="13"/>
  <c r="H561" i="13"/>
  <c r="K561" i="13"/>
  <c r="A562" i="13"/>
  <c r="B562" i="13"/>
  <c r="C562" i="13"/>
  <c r="D562" i="13"/>
  <c r="K562" i="13" s="1"/>
  <c r="E562" i="13"/>
  <c r="F562" i="13"/>
  <c r="G562" i="13"/>
  <c r="H562" i="13"/>
  <c r="A563" i="13"/>
  <c r="J563" i="13" s="1"/>
  <c r="B563" i="13"/>
  <c r="C563" i="13"/>
  <c r="D563" i="13"/>
  <c r="E563" i="13"/>
  <c r="F563" i="13"/>
  <c r="G563" i="13"/>
  <c r="H563" i="13"/>
  <c r="K563" i="13"/>
  <c r="A564" i="13"/>
  <c r="B564" i="13"/>
  <c r="C564" i="13"/>
  <c r="D564" i="13"/>
  <c r="E564" i="13"/>
  <c r="F564" i="13"/>
  <c r="G564" i="13"/>
  <c r="H564" i="13"/>
  <c r="J564" i="13"/>
  <c r="K564" i="13"/>
  <c r="A565" i="13"/>
  <c r="J565" i="13" s="1"/>
  <c r="B565" i="13"/>
  <c r="C565" i="13"/>
  <c r="D565" i="13"/>
  <c r="E565" i="13"/>
  <c r="F565" i="13"/>
  <c r="G565" i="13"/>
  <c r="H565" i="13"/>
  <c r="K565" i="13"/>
  <c r="A566" i="13"/>
  <c r="J566" i="13" s="1"/>
  <c r="B566" i="13"/>
  <c r="C566" i="13"/>
  <c r="D566" i="13"/>
  <c r="K566" i="13" s="1"/>
  <c r="E566" i="13"/>
  <c r="F566" i="13"/>
  <c r="G566" i="13"/>
  <c r="H566" i="13"/>
  <c r="A567" i="13"/>
  <c r="B567" i="13"/>
  <c r="J567" i="13" s="1"/>
  <c r="C567" i="13"/>
  <c r="D567" i="13"/>
  <c r="K567" i="13" s="1"/>
  <c r="E567" i="13"/>
  <c r="F567" i="13"/>
  <c r="G567" i="13"/>
  <c r="H567" i="13"/>
  <c r="A568" i="13"/>
  <c r="B568" i="13"/>
  <c r="C568" i="13"/>
  <c r="D568" i="13"/>
  <c r="E568" i="13"/>
  <c r="F568" i="13"/>
  <c r="G568" i="13"/>
  <c r="H568" i="13"/>
  <c r="J568" i="13"/>
  <c r="K568" i="13"/>
  <c r="A569" i="13"/>
  <c r="B569" i="13"/>
  <c r="J569" i="13" s="1"/>
  <c r="C569" i="13"/>
  <c r="D569" i="13"/>
  <c r="E569" i="13"/>
  <c r="F569" i="13"/>
  <c r="G569" i="13"/>
  <c r="H569" i="13"/>
  <c r="K569" i="13"/>
  <c r="A570" i="13"/>
  <c r="B570" i="13"/>
  <c r="C570" i="13"/>
  <c r="D570" i="13"/>
  <c r="K570" i="13" s="1"/>
  <c r="E570" i="13"/>
  <c r="F570" i="13"/>
  <c r="G570" i="13"/>
  <c r="H570" i="13"/>
  <c r="A571" i="13"/>
  <c r="J571" i="13" s="1"/>
  <c r="B571" i="13"/>
  <c r="C571" i="13"/>
  <c r="D571" i="13"/>
  <c r="E571" i="13"/>
  <c r="F571" i="13"/>
  <c r="G571" i="13"/>
  <c r="H571" i="13"/>
  <c r="K571" i="13"/>
  <c r="A572" i="13"/>
  <c r="B572" i="13"/>
  <c r="C572" i="13"/>
  <c r="D572" i="13"/>
  <c r="E572" i="13"/>
  <c r="F572" i="13"/>
  <c r="G572" i="13"/>
  <c r="H572" i="13"/>
  <c r="J572" i="13"/>
  <c r="K572" i="13"/>
  <c r="A573" i="13"/>
  <c r="J573" i="13" s="1"/>
  <c r="B573" i="13"/>
  <c r="C573" i="13"/>
  <c r="D573" i="13"/>
  <c r="E573" i="13"/>
  <c r="F573" i="13"/>
  <c r="G573" i="13"/>
  <c r="H573" i="13"/>
  <c r="K573" i="13"/>
  <c r="A574" i="13"/>
  <c r="J574" i="13" s="1"/>
  <c r="B574" i="13"/>
  <c r="C574" i="13"/>
  <c r="D574" i="13"/>
  <c r="K574" i="13" s="1"/>
  <c r="E574" i="13"/>
  <c r="F574" i="13"/>
  <c r="G574" i="13"/>
  <c r="H574" i="13"/>
  <c r="A575" i="13"/>
  <c r="B575" i="13"/>
  <c r="J575" i="13" s="1"/>
  <c r="C575" i="13"/>
  <c r="D575" i="13"/>
  <c r="K575" i="13" s="1"/>
  <c r="E575" i="13"/>
  <c r="F575" i="13"/>
  <c r="G575" i="13"/>
  <c r="H575" i="13"/>
  <c r="A576" i="13"/>
  <c r="J576" i="13" s="1"/>
  <c r="B576" i="13"/>
  <c r="C576" i="13"/>
  <c r="D576" i="13"/>
  <c r="E576" i="13"/>
  <c r="F576" i="13"/>
  <c r="G576" i="13"/>
  <c r="K576" i="13"/>
  <c r="A577" i="13"/>
  <c r="J577" i="13" s="1"/>
  <c r="B577" i="13"/>
  <c r="C577" i="13"/>
  <c r="D577" i="13"/>
  <c r="K577" i="13" s="1"/>
  <c r="E577" i="13"/>
  <c r="F577" i="13"/>
  <c r="G577" i="13"/>
  <c r="A578" i="13"/>
  <c r="J578" i="13" s="1"/>
  <c r="B578" i="13"/>
  <c r="C578" i="13"/>
  <c r="D578" i="13"/>
  <c r="K578" i="13" s="1"/>
  <c r="E578" i="13"/>
  <c r="F578" i="13"/>
  <c r="G578" i="13"/>
  <c r="A349" i="13"/>
  <c r="J349" i="13" s="1"/>
  <c r="B349" i="13"/>
  <c r="C349" i="13"/>
  <c r="D349" i="13"/>
  <c r="K349" i="13" s="1"/>
  <c r="E349" i="13"/>
  <c r="F349" i="13"/>
  <c r="G349" i="13"/>
  <c r="H349" i="13"/>
  <c r="A350" i="13"/>
  <c r="J350" i="13" s="1"/>
  <c r="B350" i="13"/>
  <c r="C350" i="13"/>
  <c r="D350" i="13"/>
  <c r="K350" i="13" s="1"/>
  <c r="E350" i="13"/>
  <c r="F350" i="13"/>
  <c r="G350" i="13"/>
  <c r="H350" i="13"/>
  <c r="A351" i="13"/>
  <c r="M351" i="13" s="1"/>
  <c r="B351" i="13"/>
  <c r="C351" i="13"/>
  <c r="D351" i="13"/>
  <c r="K351" i="13" s="1"/>
  <c r="E351" i="13"/>
  <c r="F351" i="13"/>
  <c r="G351" i="13"/>
  <c r="H351" i="13"/>
  <c r="J351" i="13"/>
  <c r="L351" i="13" s="1"/>
  <c r="A352" i="13"/>
  <c r="B352" i="13"/>
  <c r="C352" i="13"/>
  <c r="D352" i="13"/>
  <c r="E352" i="13"/>
  <c r="F352" i="13"/>
  <c r="G352" i="13"/>
  <c r="H352" i="13"/>
  <c r="J352" i="13"/>
  <c r="L352" i="13" s="1"/>
  <c r="K352" i="13"/>
  <c r="A353" i="13"/>
  <c r="J353" i="13" s="1"/>
  <c r="B353" i="13"/>
  <c r="C353" i="13"/>
  <c r="D353" i="13"/>
  <c r="E353" i="13"/>
  <c r="F353" i="13"/>
  <c r="G353" i="13"/>
  <c r="K353" i="13"/>
  <c r="A354" i="13"/>
  <c r="J354" i="13" s="1"/>
  <c r="B354" i="13"/>
  <c r="C354" i="13"/>
  <c r="D354" i="13"/>
  <c r="K354" i="13" s="1"/>
  <c r="E354" i="13"/>
  <c r="F354" i="13"/>
  <c r="G354" i="13"/>
  <c r="A355" i="13"/>
  <c r="B355" i="13"/>
  <c r="C355" i="13"/>
  <c r="D355" i="13"/>
  <c r="E355" i="13"/>
  <c r="F355" i="13"/>
  <c r="G355" i="13"/>
  <c r="J355" i="13"/>
  <c r="K355" i="13"/>
  <c r="A356" i="13"/>
  <c r="B356" i="13"/>
  <c r="C356" i="13"/>
  <c r="D356" i="13"/>
  <c r="K356" i="13" s="1"/>
  <c r="E356" i="13"/>
  <c r="F356" i="13"/>
  <c r="G356" i="13"/>
  <c r="H356" i="13"/>
  <c r="A357" i="13"/>
  <c r="J357" i="13" s="1"/>
  <c r="B357" i="13"/>
  <c r="C357" i="13"/>
  <c r="D357" i="13"/>
  <c r="K357" i="13" s="1"/>
  <c r="E357" i="13"/>
  <c r="F357" i="13"/>
  <c r="G357" i="13"/>
  <c r="A358" i="13"/>
  <c r="B358" i="13"/>
  <c r="C358" i="13"/>
  <c r="D358" i="13"/>
  <c r="E358" i="13"/>
  <c r="F358" i="13"/>
  <c r="G358" i="13"/>
  <c r="J358" i="13"/>
  <c r="K358" i="13"/>
  <c r="A359" i="13"/>
  <c r="B359" i="13"/>
  <c r="J359" i="13" s="1"/>
  <c r="C359" i="13"/>
  <c r="D359" i="13"/>
  <c r="E359" i="13"/>
  <c r="F359" i="13"/>
  <c r="G359" i="13"/>
  <c r="K359" i="13"/>
  <c r="A360" i="13"/>
  <c r="J360" i="13" s="1"/>
  <c r="B360" i="13"/>
  <c r="C360" i="13"/>
  <c r="D360" i="13"/>
  <c r="E360" i="13"/>
  <c r="F360" i="13"/>
  <c r="G360" i="13"/>
  <c r="K360" i="13"/>
  <c r="A361" i="13"/>
  <c r="B361" i="13"/>
  <c r="C361" i="13"/>
  <c r="D361" i="13"/>
  <c r="E361" i="13"/>
  <c r="F361" i="13"/>
  <c r="G361" i="13"/>
  <c r="J361" i="13"/>
  <c r="K361" i="13"/>
  <c r="A362" i="13"/>
  <c r="J362" i="13" s="1"/>
  <c r="B362" i="13"/>
  <c r="C362" i="13"/>
  <c r="D362" i="13"/>
  <c r="E362" i="13"/>
  <c r="F362" i="13"/>
  <c r="G362" i="13"/>
  <c r="K362" i="13"/>
  <c r="A363" i="13"/>
  <c r="J363" i="13" s="1"/>
  <c r="B363" i="13"/>
  <c r="C363" i="13"/>
  <c r="D363" i="13"/>
  <c r="E363" i="13"/>
  <c r="F363" i="13"/>
  <c r="G363" i="13"/>
  <c r="K363" i="13"/>
  <c r="A364" i="13"/>
  <c r="B364" i="13"/>
  <c r="C364" i="13"/>
  <c r="D364" i="13"/>
  <c r="K364" i="13" s="1"/>
  <c r="E364" i="13"/>
  <c r="F364" i="13"/>
  <c r="G364" i="13"/>
  <c r="J364" i="13"/>
  <c r="A365" i="13"/>
  <c r="B365" i="13"/>
  <c r="C365" i="13"/>
  <c r="D365" i="13"/>
  <c r="E365" i="13"/>
  <c r="F365" i="13"/>
  <c r="G365" i="13"/>
  <c r="J365" i="13"/>
  <c r="K365" i="13"/>
  <c r="A366" i="13"/>
  <c r="J366" i="13" s="1"/>
  <c r="B366" i="13"/>
  <c r="C366" i="13"/>
  <c r="D366" i="13"/>
  <c r="E366" i="13"/>
  <c r="F366" i="13"/>
  <c r="G366" i="13"/>
  <c r="K366" i="13"/>
  <c r="A367" i="13"/>
  <c r="J367" i="13" s="1"/>
  <c r="B367" i="13"/>
  <c r="C367" i="13"/>
  <c r="D367" i="13"/>
  <c r="K367" i="13" s="1"/>
  <c r="E367" i="13"/>
  <c r="F367" i="13"/>
  <c r="G367" i="13"/>
  <c r="A368" i="13"/>
  <c r="B368" i="13"/>
  <c r="C368" i="13"/>
  <c r="D368" i="13"/>
  <c r="E368" i="13"/>
  <c r="F368" i="13"/>
  <c r="G368" i="13"/>
  <c r="J368" i="13"/>
  <c r="K368" i="13"/>
  <c r="A369" i="13"/>
  <c r="B369" i="13"/>
  <c r="J369" i="13" s="1"/>
  <c r="C369" i="13"/>
  <c r="D369" i="13"/>
  <c r="E369" i="13"/>
  <c r="F369" i="13"/>
  <c r="G369" i="13"/>
  <c r="K369" i="13"/>
  <c r="A370" i="13"/>
  <c r="J370" i="13" s="1"/>
  <c r="B370" i="13"/>
  <c r="C370" i="13"/>
  <c r="D370" i="13"/>
  <c r="K370" i="13" s="1"/>
  <c r="E370" i="13"/>
  <c r="F370" i="13"/>
  <c r="G370" i="13"/>
  <c r="H370" i="13"/>
  <c r="A371" i="13"/>
  <c r="B371" i="13"/>
  <c r="C371" i="13"/>
  <c r="D371" i="13"/>
  <c r="K371" i="13" s="1"/>
  <c r="E371" i="13"/>
  <c r="F371" i="13"/>
  <c r="G371" i="13"/>
  <c r="H371" i="13"/>
  <c r="J371" i="13"/>
  <c r="A372" i="13"/>
  <c r="B372" i="13"/>
  <c r="C372" i="13"/>
  <c r="D372" i="13"/>
  <c r="E372" i="13"/>
  <c r="F372" i="13"/>
  <c r="G372" i="13"/>
  <c r="H372" i="13"/>
  <c r="J372" i="13"/>
  <c r="K372" i="13"/>
  <c r="A373" i="13"/>
  <c r="J373" i="13" s="1"/>
  <c r="B373" i="13"/>
  <c r="C373" i="13"/>
  <c r="D373" i="13"/>
  <c r="E373" i="13"/>
  <c r="F373" i="13"/>
  <c r="G373" i="13"/>
  <c r="H373" i="13"/>
  <c r="K373" i="13"/>
  <c r="A374" i="13"/>
  <c r="J374" i="13" s="1"/>
  <c r="B374" i="13"/>
  <c r="C374" i="13"/>
  <c r="D374" i="13"/>
  <c r="K374" i="13" s="1"/>
  <c r="E374" i="13"/>
  <c r="F374" i="13"/>
  <c r="G374" i="13"/>
  <c r="H374" i="13"/>
  <c r="A375" i="13"/>
  <c r="B375" i="13"/>
  <c r="C375" i="13"/>
  <c r="D375" i="13"/>
  <c r="E375" i="13"/>
  <c r="F375" i="13"/>
  <c r="G375" i="13"/>
  <c r="H375" i="13"/>
  <c r="J375" i="13"/>
  <c r="K375" i="13"/>
  <c r="A376" i="13"/>
  <c r="B376" i="13"/>
  <c r="C376" i="13"/>
  <c r="D376" i="13"/>
  <c r="E376" i="13"/>
  <c r="F376" i="13"/>
  <c r="G376" i="13"/>
  <c r="H376" i="13"/>
  <c r="J376" i="13"/>
  <c r="K376" i="13"/>
  <c r="A377" i="13"/>
  <c r="J377" i="13" s="1"/>
  <c r="B377" i="13"/>
  <c r="C377" i="13"/>
  <c r="D377" i="13"/>
  <c r="E377" i="13"/>
  <c r="F377" i="13"/>
  <c r="G377" i="13"/>
  <c r="H377" i="13"/>
  <c r="K377" i="13"/>
  <c r="A378" i="13"/>
  <c r="J378" i="13" s="1"/>
  <c r="B378" i="13"/>
  <c r="C378" i="13"/>
  <c r="D378" i="13"/>
  <c r="K378" i="13" s="1"/>
  <c r="E378" i="13"/>
  <c r="F378" i="13"/>
  <c r="G378" i="13"/>
  <c r="H378" i="13"/>
  <c r="A379" i="13"/>
  <c r="B379" i="13"/>
  <c r="C379" i="13"/>
  <c r="D379" i="13"/>
  <c r="K379" i="13" s="1"/>
  <c r="E379" i="13"/>
  <c r="F379" i="13"/>
  <c r="G379" i="13"/>
  <c r="H379" i="13"/>
  <c r="J379" i="13"/>
  <c r="A380" i="13"/>
  <c r="B380" i="13"/>
  <c r="C380" i="13"/>
  <c r="D380" i="13"/>
  <c r="E380" i="13"/>
  <c r="F380" i="13"/>
  <c r="G380" i="13"/>
  <c r="H380" i="13"/>
  <c r="J380" i="13"/>
  <c r="K380" i="13"/>
  <c r="A381" i="13"/>
  <c r="J381" i="13" s="1"/>
  <c r="B381" i="13"/>
  <c r="C381" i="13"/>
  <c r="D381" i="13"/>
  <c r="E381" i="13"/>
  <c r="F381" i="13"/>
  <c r="G381" i="13"/>
  <c r="H381" i="13"/>
  <c r="K381" i="13"/>
  <c r="A382" i="13"/>
  <c r="J382" i="13" s="1"/>
  <c r="B382" i="13"/>
  <c r="C382" i="13"/>
  <c r="D382" i="13"/>
  <c r="K382" i="13" s="1"/>
  <c r="E382" i="13"/>
  <c r="F382" i="13"/>
  <c r="G382" i="13"/>
  <c r="H382" i="13"/>
  <c r="A383" i="13"/>
  <c r="B383" i="13"/>
  <c r="C383" i="13"/>
  <c r="D383" i="13"/>
  <c r="E383" i="13"/>
  <c r="F383" i="13"/>
  <c r="G383" i="13"/>
  <c r="H383" i="13"/>
  <c r="J383" i="13"/>
  <c r="K383" i="13"/>
  <c r="A384" i="13"/>
  <c r="B384" i="13"/>
  <c r="C384" i="13"/>
  <c r="D384" i="13"/>
  <c r="E384" i="13"/>
  <c r="F384" i="13"/>
  <c r="G384" i="13"/>
  <c r="H384" i="13"/>
  <c r="J384" i="13"/>
  <c r="K384" i="13"/>
  <c r="A385" i="13"/>
  <c r="J385" i="13" s="1"/>
  <c r="B385" i="13"/>
  <c r="C385" i="13"/>
  <c r="D385" i="13"/>
  <c r="E385" i="13"/>
  <c r="F385" i="13"/>
  <c r="G385" i="13"/>
  <c r="H385" i="13"/>
  <c r="K385" i="13"/>
  <c r="A386" i="13"/>
  <c r="J386" i="13" s="1"/>
  <c r="B386" i="13"/>
  <c r="C386" i="13"/>
  <c r="D386" i="13"/>
  <c r="K386" i="13" s="1"/>
  <c r="E386" i="13"/>
  <c r="F386" i="13"/>
  <c r="G386" i="13"/>
  <c r="H386" i="13"/>
  <c r="A387" i="13"/>
  <c r="B387" i="13"/>
  <c r="C387" i="13"/>
  <c r="D387" i="13"/>
  <c r="K387" i="13" s="1"/>
  <c r="E387" i="13"/>
  <c r="F387" i="13"/>
  <c r="G387" i="13"/>
  <c r="H387" i="13"/>
  <c r="J387" i="13"/>
  <c r="A388" i="13"/>
  <c r="B388" i="13"/>
  <c r="C388" i="13"/>
  <c r="D388" i="13"/>
  <c r="E388" i="13"/>
  <c r="F388" i="13"/>
  <c r="G388" i="13"/>
  <c r="H388" i="13"/>
  <c r="J388" i="13"/>
  <c r="K388" i="13"/>
  <c r="A389" i="13"/>
  <c r="J389" i="13" s="1"/>
  <c r="B389" i="13"/>
  <c r="C389" i="13"/>
  <c r="D389" i="13"/>
  <c r="E389" i="13"/>
  <c r="F389" i="13"/>
  <c r="G389" i="13"/>
  <c r="H389" i="13"/>
  <c r="K389" i="13"/>
  <c r="A390" i="13"/>
  <c r="J390" i="13" s="1"/>
  <c r="B390" i="13"/>
  <c r="C390" i="13"/>
  <c r="D390" i="13"/>
  <c r="K390" i="13" s="1"/>
  <c r="E390" i="13"/>
  <c r="F390" i="13"/>
  <c r="G390" i="13"/>
  <c r="H390" i="13"/>
  <c r="A391" i="13"/>
  <c r="B391" i="13"/>
  <c r="C391" i="13"/>
  <c r="D391" i="13"/>
  <c r="E391" i="13"/>
  <c r="F391" i="13"/>
  <c r="G391" i="13"/>
  <c r="H391" i="13"/>
  <c r="J391" i="13"/>
  <c r="K391" i="13"/>
  <c r="A392" i="13"/>
  <c r="B392" i="13"/>
  <c r="C392" i="13"/>
  <c r="D392" i="13"/>
  <c r="E392" i="13"/>
  <c r="F392" i="13"/>
  <c r="G392" i="13"/>
  <c r="H392" i="13"/>
  <c r="J392" i="13"/>
  <c r="K392" i="13"/>
  <c r="A393" i="13"/>
  <c r="J393" i="13" s="1"/>
  <c r="B393" i="13"/>
  <c r="C393" i="13"/>
  <c r="D393" i="13"/>
  <c r="E393" i="13"/>
  <c r="F393" i="13"/>
  <c r="G393" i="13"/>
  <c r="H393" i="13"/>
  <c r="K393" i="13"/>
  <c r="A394" i="13"/>
  <c r="J394" i="13" s="1"/>
  <c r="B394" i="13"/>
  <c r="C394" i="13"/>
  <c r="D394" i="13"/>
  <c r="K394" i="13" s="1"/>
  <c r="E394" i="13"/>
  <c r="F394" i="13"/>
  <c r="G394" i="13"/>
  <c r="H394" i="13"/>
  <c r="A395" i="13"/>
  <c r="B395" i="13"/>
  <c r="C395" i="13"/>
  <c r="D395" i="13"/>
  <c r="K395" i="13" s="1"/>
  <c r="E395" i="13"/>
  <c r="F395" i="13"/>
  <c r="G395" i="13"/>
  <c r="H395" i="13"/>
  <c r="J395" i="13"/>
  <c r="A396" i="13"/>
  <c r="B396" i="13"/>
  <c r="C396" i="13"/>
  <c r="D396" i="13"/>
  <c r="E396" i="13"/>
  <c r="F396" i="13"/>
  <c r="G396" i="13"/>
  <c r="H396" i="13"/>
  <c r="J396" i="13"/>
  <c r="K396" i="13"/>
  <c r="A397" i="13"/>
  <c r="J397" i="13" s="1"/>
  <c r="B397" i="13"/>
  <c r="C397" i="13"/>
  <c r="D397" i="13"/>
  <c r="E397" i="13"/>
  <c r="F397" i="13"/>
  <c r="G397" i="13"/>
  <c r="H397" i="13"/>
  <c r="K397" i="13"/>
  <c r="A398" i="13"/>
  <c r="J398" i="13" s="1"/>
  <c r="B398" i="13"/>
  <c r="C398" i="13"/>
  <c r="D398" i="13"/>
  <c r="K398" i="13" s="1"/>
  <c r="E398" i="13"/>
  <c r="F398" i="13"/>
  <c r="G398" i="13"/>
  <c r="H398" i="13"/>
  <c r="A399" i="13"/>
  <c r="B399" i="13"/>
  <c r="C399" i="13"/>
  <c r="D399" i="13"/>
  <c r="E399" i="13"/>
  <c r="F399" i="13"/>
  <c r="G399" i="13"/>
  <c r="H399" i="13"/>
  <c r="J399" i="13"/>
  <c r="K399" i="13"/>
  <c r="A400" i="13"/>
  <c r="B400" i="13"/>
  <c r="C400" i="13"/>
  <c r="D400" i="13"/>
  <c r="E400" i="13"/>
  <c r="F400" i="13"/>
  <c r="G400" i="13"/>
  <c r="H400" i="13"/>
  <c r="J400" i="13"/>
  <c r="K400" i="13"/>
  <c r="A401" i="13"/>
  <c r="J401" i="13" s="1"/>
  <c r="B401" i="13"/>
  <c r="C401" i="13"/>
  <c r="D401" i="13"/>
  <c r="E401" i="13"/>
  <c r="F401" i="13"/>
  <c r="G401" i="13"/>
  <c r="H401" i="13"/>
  <c r="K401" i="13"/>
  <c r="A402" i="13"/>
  <c r="J402" i="13" s="1"/>
  <c r="B402" i="13"/>
  <c r="C402" i="13"/>
  <c r="D402" i="13"/>
  <c r="K402" i="13" s="1"/>
  <c r="E402" i="13"/>
  <c r="F402" i="13"/>
  <c r="G402" i="13"/>
  <c r="H402" i="13"/>
  <c r="A403" i="13"/>
  <c r="B403" i="13"/>
  <c r="C403" i="13"/>
  <c r="D403" i="13"/>
  <c r="K403" i="13" s="1"/>
  <c r="E403" i="13"/>
  <c r="F403" i="13"/>
  <c r="G403" i="13"/>
  <c r="H403" i="13"/>
  <c r="J403" i="13"/>
  <c r="A404" i="13"/>
  <c r="B404" i="13"/>
  <c r="C404" i="13"/>
  <c r="D404" i="13"/>
  <c r="E404" i="13"/>
  <c r="F404" i="13"/>
  <c r="G404" i="13"/>
  <c r="H404" i="13"/>
  <c r="J404" i="13"/>
  <c r="K404" i="13"/>
  <c r="A405" i="13"/>
  <c r="J405" i="13" s="1"/>
  <c r="B405" i="13"/>
  <c r="C405" i="13"/>
  <c r="D405" i="13"/>
  <c r="K405" i="13" s="1"/>
  <c r="E405" i="13"/>
  <c r="F405" i="13"/>
  <c r="G405" i="13"/>
  <c r="A406" i="13"/>
  <c r="J406" i="13" s="1"/>
  <c r="B406" i="13"/>
  <c r="C406" i="13"/>
  <c r="D406" i="13"/>
  <c r="K406" i="13" s="1"/>
  <c r="E406" i="13"/>
  <c r="F406" i="13"/>
  <c r="G406" i="13"/>
  <c r="A407" i="13"/>
  <c r="B407" i="13"/>
  <c r="C407" i="13"/>
  <c r="D407" i="13"/>
  <c r="E407" i="13"/>
  <c r="F407" i="13"/>
  <c r="G407" i="13"/>
  <c r="J407" i="13"/>
  <c r="K407" i="13"/>
  <c r="A408" i="13"/>
  <c r="J408" i="13" s="1"/>
  <c r="B408" i="13"/>
  <c r="C408" i="13"/>
  <c r="D408" i="13"/>
  <c r="K408" i="13" s="1"/>
  <c r="E408" i="13"/>
  <c r="F408" i="13"/>
  <c r="G408" i="13"/>
  <c r="H408" i="13"/>
  <c r="A409" i="13"/>
  <c r="J409" i="13" s="1"/>
  <c r="B409" i="13"/>
  <c r="C409" i="13"/>
  <c r="D409" i="13"/>
  <c r="K409" i="13" s="1"/>
  <c r="E409" i="13"/>
  <c r="F409" i="13"/>
  <c r="G409" i="13"/>
  <c r="H409" i="13"/>
  <c r="A410" i="13"/>
  <c r="B410" i="13"/>
  <c r="C410" i="13"/>
  <c r="D410" i="13"/>
  <c r="K410" i="13" s="1"/>
  <c r="E410" i="13"/>
  <c r="F410" i="13"/>
  <c r="G410" i="13"/>
  <c r="H410" i="13"/>
  <c r="J410" i="13"/>
  <c r="A411" i="13"/>
  <c r="B411" i="13"/>
  <c r="C411" i="13"/>
  <c r="D411" i="13"/>
  <c r="E411" i="13"/>
  <c r="F411" i="13"/>
  <c r="G411" i="13"/>
  <c r="H411" i="13"/>
  <c r="J411" i="13"/>
  <c r="K411" i="13"/>
  <c r="A412" i="13"/>
  <c r="B412" i="13"/>
  <c r="J412" i="13" s="1"/>
  <c r="C412" i="13"/>
  <c r="D412" i="13"/>
  <c r="E412" i="13"/>
  <c r="F412" i="13"/>
  <c r="G412" i="13"/>
  <c r="H412" i="13"/>
  <c r="K412" i="13"/>
  <c r="A413" i="13"/>
  <c r="J413" i="13" s="1"/>
  <c r="B413" i="13"/>
  <c r="C413" i="13"/>
  <c r="D413" i="13"/>
  <c r="K413" i="13" s="1"/>
  <c r="E413" i="13"/>
  <c r="F413" i="13"/>
  <c r="G413" i="13"/>
  <c r="H413" i="13"/>
  <c r="A414" i="13"/>
  <c r="J414" i="13" s="1"/>
  <c r="B414" i="13"/>
  <c r="C414" i="13"/>
  <c r="D414" i="13"/>
  <c r="K414" i="13" s="1"/>
  <c r="E414" i="13"/>
  <c r="F414" i="13"/>
  <c r="G414" i="13"/>
  <c r="H414" i="13"/>
  <c r="A415" i="13"/>
  <c r="B415" i="13"/>
  <c r="C415" i="13"/>
  <c r="D415" i="13"/>
  <c r="E415" i="13"/>
  <c r="F415" i="13"/>
  <c r="G415" i="13"/>
  <c r="H415" i="13"/>
  <c r="J415" i="13"/>
  <c r="K415" i="13"/>
  <c r="A416" i="13"/>
  <c r="B416" i="13"/>
  <c r="C416" i="13"/>
  <c r="D416" i="13"/>
  <c r="K416" i="13" s="1"/>
  <c r="E416" i="13"/>
  <c r="F416" i="13"/>
  <c r="G416" i="13"/>
  <c r="H416" i="13"/>
  <c r="A417" i="13"/>
  <c r="J417" i="13" s="1"/>
  <c r="B417" i="13"/>
  <c r="C417" i="13"/>
  <c r="D417" i="13"/>
  <c r="K417" i="13" s="1"/>
  <c r="E417" i="13"/>
  <c r="F417" i="13"/>
  <c r="G417" i="13"/>
  <c r="H417" i="13"/>
  <c r="A418" i="13"/>
  <c r="B418" i="13"/>
  <c r="C418" i="13"/>
  <c r="D418" i="13"/>
  <c r="K418" i="13" s="1"/>
  <c r="E418" i="13"/>
  <c r="F418" i="13"/>
  <c r="G418" i="13"/>
  <c r="H418" i="13"/>
  <c r="J418" i="13"/>
  <c r="A419" i="13"/>
  <c r="B419" i="13"/>
  <c r="C419" i="13"/>
  <c r="D419" i="13"/>
  <c r="E419" i="13"/>
  <c r="F419" i="13"/>
  <c r="G419" i="13"/>
  <c r="H419" i="13"/>
  <c r="J419" i="13"/>
  <c r="K419" i="13"/>
  <c r="A420" i="13"/>
  <c r="B420" i="13"/>
  <c r="J420" i="13" s="1"/>
  <c r="C420" i="13"/>
  <c r="D420" i="13"/>
  <c r="E420" i="13"/>
  <c r="F420" i="13"/>
  <c r="G420" i="13"/>
  <c r="H420" i="13"/>
  <c r="K420" i="13"/>
  <c r="A421" i="13"/>
  <c r="J421" i="13" s="1"/>
  <c r="B421" i="13"/>
  <c r="C421" i="13"/>
  <c r="D421" i="13"/>
  <c r="K421" i="13" s="1"/>
  <c r="E421" i="13"/>
  <c r="F421" i="13"/>
  <c r="G421" i="13"/>
  <c r="H421" i="13"/>
  <c r="A422" i="13"/>
  <c r="B422" i="13"/>
  <c r="C422" i="13"/>
  <c r="D422" i="13"/>
  <c r="K422" i="13" s="1"/>
  <c r="E422" i="13"/>
  <c r="F422" i="13"/>
  <c r="G422" i="13"/>
  <c r="J422" i="13"/>
  <c r="A423" i="13"/>
  <c r="B423" i="13"/>
  <c r="C423" i="13"/>
  <c r="D423" i="13"/>
  <c r="E423" i="13"/>
  <c r="F423" i="13"/>
  <c r="G423" i="13"/>
  <c r="H423" i="13"/>
  <c r="J423" i="13"/>
  <c r="K423" i="13"/>
  <c r="A424" i="13"/>
  <c r="J424" i="13" s="1"/>
  <c r="B424" i="13"/>
  <c r="C424" i="13"/>
  <c r="D424" i="13"/>
  <c r="E424" i="13"/>
  <c r="F424" i="13"/>
  <c r="G424" i="13"/>
  <c r="H424" i="13"/>
  <c r="K424" i="13"/>
  <c r="A425" i="13"/>
  <c r="J425" i="13" s="1"/>
  <c r="B425" i="13"/>
  <c r="C425" i="13"/>
  <c r="D425" i="13"/>
  <c r="K425" i="13" s="1"/>
  <c r="E425" i="13"/>
  <c r="F425" i="13"/>
  <c r="G425" i="13"/>
  <c r="H425" i="13"/>
  <c r="A426" i="13"/>
  <c r="B426" i="13"/>
  <c r="C426" i="13"/>
  <c r="D426" i="13"/>
  <c r="E426" i="13"/>
  <c r="F426" i="13"/>
  <c r="G426" i="13"/>
  <c r="H426" i="13"/>
  <c r="J426" i="13"/>
  <c r="K426" i="13"/>
  <c r="A427" i="13"/>
  <c r="B427" i="13"/>
  <c r="C427" i="13"/>
  <c r="D427" i="13"/>
  <c r="E427" i="13"/>
  <c r="F427" i="13"/>
  <c r="G427" i="13"/>
  <c r="H427" i="13"/>
  <c r="J427" i="13"/>
  <c r="K427" i="13"/>
  <c r="A428" i="13"/>
  <c r="J428" i="13" s="1"/>
  <c r="B428" i="13"/>
  <c r="C428" i="13"/>
  <c r="D428" i="13"/>
  <c r="E428" i="13"/>
  <c r="F428" i="13"/>
  <c r="G428" i="13"/>
  <c r="H428" i="13"/>
  <c r="K428" i="13"/>
  <c r="A429" i="13"/>
  <c r="J429" i="13" s="1"/>
  <c r="B429" i="13"/>
  <c r="C429" i="13"/>
  <c r="D429" i="13"/>
  <c r="K429" i="13" s="1"/>
  <c r="E429" i="13"/>
  <c r="F429" i="13"/>
  <c r="G429" i="13"/>
  <c r="H429" i="13"/>
  <c r="A430" i="13"/>
  <c r="B430" i="13"/>
  <c r="C430" i="13"/>
  <c r="D430" i="13"/>
  <c r="K430" i="13" s="1"/>
  <c r="E430" i="13"/>
  <c r="F430" i="13"/>
  <c r="G430" i="13"/>
  <c r="H430" i="13"/>
  <c r="J430" i="13"/>
  <c r="A431" i="13"/>
  <c r="B431" i="13"/>
  <c r="C431" i="13"/>
  <c r="D431" i="13"/>
  <c r="E431" i="13"/>
  <c r="F431" i="13"/>
  <c r="G431" i="13"/>
  <c r="H431" i="13"/>
  <c r="J431" i="13"/>
  <c r="K431" i="13"/>
  <c r="A432" i="13"/>
  <c r="J432" i="13" s="1"/>
  <c r="B432" i="13"/>
  <c r="C432" i="13"/>
  <c r="D432" i="13"/>
  <c r="E432" i="13"/>
  <c r="F432" i="13"/>
  <c r="G432" i="13"/>
  <c r="H432" i="13"/>
  <c r="K432" i="13"/>
  <c r="A433" i="13"/>
  <c r="J433" i="13" s="1"/>
  <c r="B433" i="13"/>
  <c r="C433" i="13"/>
  <c r="D433" i="13"/>
  <c r="K433" i="13" s="1"/>
  <c r="E433" i="13"/>
  <c r="F433" i="13"/>
  <c r="G433" i="13"/>
  <c r="H433" i="13"/>
  <c r="A434" i="13"/>
  <c r="B434" i="13"/>
  <c r="C434" i="13"/>
  <c r="D434" i="13"/>
  <c r="E434" i="13"/>
  <c r="F434" i="13"/>
  <c r="G434" i="13"/>
  <c r="H434" i="13"/>
  <c r="J434" i="13"/>
  <c r="K434" i="13"/>
  <c r="A435" i="13"/>
  <c r="B435" i="13"/>
  <c r="C435" i="13"/>
  <c r="D435" i="13"/>
  <c r="E435" i="13"/>
  <c r="F435" i="13"/>
  <c r="G435" i="13"/>
  <c r="H435" i="13"/>
  <c r="J435" i="13"/>
  <c r="K435" i="13"/>
  <c r="A436" i="13"/>
  <c r="J436" i="13" s="1"/>
  <c r="B436" i="13"/>
  <c r="C436" i="13"/>
  <c r="D436" i="13"/>
  <c r="E436" i="13"/>
  <c r="F436" i="13"/>
  <c r="G436" i="13"/>
  <c r="H436" i="13"/>
  <c r="K436" i="13"/>
  <c r="A437" i="13"/>
  <c r="J437" i="13" s="1"/>
  <c r="B437" i="13"/>
  <c r="C437" i="13"/>
  <c r="D437" i="13"/>
  <c r="K437" i="13" s="1"/>
  <c r="E437" i="13"/>
  <c r="F437" i="13"/>
  <c r="G437" i="13"/>
  <c r="H437" i="13"/>
  <c r="A438" i="13"/>
  <c r="B438" i="13"/>
  <c r="C438" i="13"/>
  <c r="D438" i="13"/>
  <c r="K438" i="13" s="1"/>
  <c r="E438" i="13"/>
  <c r="F438" i="13"/>
  <c r="G438" i="13"/>
  <c r="H438" i="13"/>
  <c r="J438" i="13"/>
  <c r="A439" i="13"/>
  <c r="B439" i="13"/>
  <c r="C439" i="13"/>
  <c r="D439" i="13"/>
  <c r="E439" i="13"/>
  <c r="F439" i="13"/>
  <c r="G439" i="13"/>
  <c r="H439" i="13"/>
  <c r="J439" i="13"/>
  <c r="K439" i="13"/>
  <c r="A440" i="13"/>
  <c r="J440" i="13" s="1"/>
  <c r="B440" i="13"/>
  <c r="C440" i="13"/>
  <c r="D440" i="13"/>
  <c r="E440" i="13"/>
  <c r="F440" i="13"/>
  <c r="G440" i="13"/>
  <c r="H440" i="13"/>
  <c r="K440" i="13"/>
  <c r="A441" i="13"/>
  <c r="J441" i="13" s="1"/>
  <c r="B441" i="13"/>
  <c r="C441" i="13"/>
  <c r="D441" i="13"/>
  <c r="K441" i="13" s="1"/>
  <c r="E441" i="13"/>
  <c r="F441" i="13"/>
  <c r="G441" i="13"/>
  <c r="H441" i="13"/>
  <c r="A442" i="13"/>
  <c r="B442" i="13"/>
  <c r="C442" i="13"/>
  <c r="D442" i="13"/>
  <c r="E442" i="13"/>
  <c r="F442" i="13"/>
  <c r="G442" i="13"/>
  <c r="J442" i="13"/>
  <c r="K442" i="13"/>
  <c r="A443" i="13"/>
  <c r="B443" i="13"/>
  <c r="J443" i="13" s="1"/>
  <c r="C443" i="13"/>
  <c r="D443" i="13"/>
  <c r="E443" i="13"/>
  <c r="F443" i="13"/>
  <c r="G443" i="13"/>
  <c r="H443" i="13"/>
  <c r="K443" i="13"/>
  <c r="A444" i="13"/>
  <c r="J444" i="13" s="1"/>
  <c r="B444" i="13"/>
  <c r="C444" i="13"/>
  <c r="D444" i="13"/>
  <c r="K444" i="13" s="1"/>
  <c r="E444" i="13"/>
  <c r="F444" i="13"/>
  <c r="G444" i="13"/>
  <c r="H444" i="13"/>
  <c r="A445" i="13"/>
  <c r="J445" i="13" s="1"/>
  <c r="B445" i="13"/>
  <c r="C445" i="13"/>
  <c r="D445" i="13"/>
  <c r="K445" i="13" s="1"/>
  <c r="E445" i="13"/>
  <c r="F445" i="13"/>
  <c r="G445" i="13"/>
  <c r="H445" i="13"/>
  <c r="A446" i="13"/>
  <c r="B446" i="13"/>
  <c r="C446" i="13"/>
  <c r="D446" i="13"/>
  <c r="E446" i="13"/>
  <c r="F446" i="13"/>
  <c r="G446" i="13"/>
  <c r="H446" i="13"/>
  <c r="J446" i="13"/>
  <c r="K446" i="13"/>
  <c r="A447" i="13"/>
  <c r="B447" i="13"/>
  <c r="C447" i="13"/>
  <c r="D447" i="13"/>
  <c r="E447" i="13"/>
  <c r="F447" i="13"/>
  <c r="G447" i="13"/>
  <c r="H447" i="13"/>
  <c r="J447" i="13"/>
  <c r="K447" i="13"/>
  <c r="A448" i="13"/>
  <c r="J448" i="13" s="1"/>
  <c r="B448" i="13"/>
  <c r="C448" i="13"/>
  <c r="D448" i="13"/>
  <c r="E448" i="13"/>
  <c r="F448" i="13"/>
  <c r="G448" i="13"/>
  <c r="H448" i="13"/>
  <c r="K448" i="13"/>
  <c r="A449" i="13"/>
  <c r="J449" i="13" s="1"/>
  <c r="B449" i="13"/>
  <c r="C449" i="13"/>
  <c r="D449" i="13"/>
  <c r="K449" i="13" s="1"/>
  <c r="E449" i="13"/>
  <c r="F449" i="13"/>
  <c r="G449" i="13"/>
  <c r="H449" i="13"/>
  <c r="A450" i="13"/>
  <c r="B450" i="13"/>
  <c r="C450" i="13"/>
  <c r="D450" i="13"/>
  <c r="E450" i="13"/>
  <c r="F450" i="13"/>
  <c r="G450" i="13"/>
  <c r="H450" i="13"/>
  <c r="J450" i="13"/>
  <c r="K450" i="13"/>
  <c r="A451" i="13"/>
  <c r="B451" i="13"/>
  <c r="C451" i="13"/>
  <c r="D451" i="13"/>
  <c r="E451" i="13"/>
  <c r="F451" i="13"/>
  <c r="G451" i="13"/>
  <c r="H451" i="13"/>
  <c r="J451" i="13"/>
  <c r="K451" i="13"/>
  <c r="A452" i="13"/>
  <c r="J452" i="13" s="1"/>
  <c r="B452" i="13"/>
  <c r="C452" i="13"/>
  <c r="D452" i="13"/>
  <c r="K452" i="13" s="1"/>
  <c r="E452" i="13"/>
  <c r="F452" i="13"/>
  <c r="G452" i="13"/>
  <c r="H452" i="13"/>
  <c r="A453" i="13"/>
  <c r="J453" i="13" s="1"/>
  <c r="B453" i="13"/>
  <c r="C453" i="13"/>
  <c r="D453" i="13"/>
  <c r="K453" i="13" s="1"/>
  <c r="E453" i="13"/>
  <c r="F453" i="13"/>
  <c r="G453" i="13"/>
  <c r="H453" i="13"/>
  <c r="A454" i="13"/>
  <c r="B454" i="13"/>
  <c r="C454" i="13"/>
  <c r="D454" i="13"/>
  <c r="E454" i="13"/>
  <c r="F454" i="13"/>
  <c r="G454" i="13"/>
  <c r="J454" i="13"/>
  <c r="K454" i="13"/>
  <c r="A455" i="13"/>
  <c r="B455" i="13"/>
  <c r="C455" i="13"/>
  <c r="D455" i="13"/>
  <c r="E455" i="13"/>
  <c r="F455" i="13"/>
  <c r="G455" i="13"/>
  <c r="H455" i="13"/>
  <c r="J455" i="13"/>
  <c r="K455" i="13"/>
  <c r="A456" i="13"/>
  <c r="J456" i="13" s="1"/>
  <c r="B456" i="13"/>
  <c r="C456" i="13"/>
  <c r="D456" i="13"/>
  <c r="K456" i="13" s="1"/>
  <c r="E456" i="13"/>
  <c r="F456" i="13"/>
  <c r="G456" i="13"/>
  <c r="H456" i="13"/>
  <c r="A457" i="13"/>
  <c r="J457" i="13" s="1"/>
  <c r="B457" i="13"/>
  <c r="C457" i="13"/>
  <c r="D457" i="13"/>
  <c r="K457" i="13" s="1"/>
  <c r="E457" i="13"/>
  <c r="F457" i="13"/>
  <c r="G457" i="13"/>
  <c r="H457" i="13"/>
  <c r="A458" i="13"/>
  <c r="B458" i="13"/>
  <c r="C458" i="13"/>
  <c r="D458" i="13"/>
  <c r="E458" i="13"/>
  <c r="F458" i="13"/>
  <c r="G458" i="13"/>
  <c r="H458" i="13"/>
  <c r="J458" i="13"/>
  <c r="K458" i="13"/>
  <c r="A459" i="13"/>
  <c r="B459" i="13"/>
  <c r="C459" i="13"/>
  <c r="D459" i="13"/>
  <c r="K459" i="13" s="1"/>
  <c r="E459" i="13"/>
  <c r="F459" i="13"/>
  <c r="G459" i="13"/>
  <c r="H459" i="13"/>
  <c r="J459" i="13"/>
  <c r="A460" i="13"/>
  <c r="J460" i="13" s="1"/>
  <c r="B460" i="13"/>
  <c r="C460" i="13"/>
  <c r="D460" i="13"/>
  <c r="E460" i="13"/>
  <c r="F460" i="13"/>
  <c r="G460" i="13"/>
  <c r="H460" i="13"/>
  <c r="K460" i="13"/>
  <c r="A461" i="13"/>
  <c r="J461" i="13" s="1"/>
  <c r="B461" i="13"/>
  <c r="C461" i="13"/>
  <c r="D461" i="13"/>
  <c r="K461" i="13" s="1"/>
  <c r="E461" i="13"/>
  <c r="F461" i="13"/>
  <c r="G461" i="13"/>
  <c r="H461" i="13"/>
  <c r="A462" i="13"/>
  <c r="B462" i="13"/>
  <c r="C462" i="13"/>
  <c r="D462" i="13"/>
  <c r="E462" i="13"/>
  <c r="F462" i="13"/>
  <c r="G462" i="13"/>
  <c r="H462" i="13"/>
  <c r="J462" i="13"/>
  <c r="K462" i="13"/>
  <c r="A463" i="13"/>
  <c r="B463" i="13"/>
  <c r="C463" i="13"/>
  <c r="D463" i="13"/>
  <c r="E463" i="13"/>
  <c r="F463" i="13"/>
  <c r="G463" i="13"/>
  <c r="H463" i="13"/>
  <c r="J463" i="13"/>
  <c r="K463" i="13"/>
  <c r="A234" i="13"/>
  <c r="B234" i="13"/>
  <c r="J234" i="13" s="1"/>
  <c r="C234" i="13"/>
  <c r="D234" i="13"/>
  <c r="K234" i="13" s="1"/>
  <c r="E234" i="13"/>
  <c r="F234" i="13"/>
  <c r="G234" i="13"/>
  <c r="H234" i="13"/>
  <c r="A235" i="13"/>
  <c r="B235" i="13"/>
  <c r="C235" i="13"/>
  <c r="D235" i="13"/>
  <c r="K235" i="13" s="1"/>
  <c r="E235" i="13"/>
  <c r="F235" i="13"/>
  <c r="G235" i="13"/>
  <c r="H235" i="13"/>
  <c r="J235" i="13"/>
  <c r="L235" i="13" s="1"/>
  <c r="A236" i="13"/>
  <c r="J236" i="13" s="1"/>
  <c r="B236" i="13"/>
  <c r="C236" i="13"/>
  <c r="D236" i="13"/>
  <c r="K236" i="13" s="1"/>
  <c r="E236" i="13"/>
  <c r="F236" i="13"/>
  <c r="G236" i="13"/>
  <c r="H236" i="13"/>
  <c r="A237" i="13"/>
  <c r="B237" i="13"/>
  <c r="J237" i="13" s="1"/>
  <c r="C237" i="13"/>
  <c r="D237" i="13"/>
  <c r="K237" i="13" s="1"/>
  <c r="E237" i="13"/>
  <c r="F237" i="13"/>
  <c r="G237" i="13"/>
  <c r="H237" i="13"/>
  <c r="A238" i="13"/>
  <c r="B238" i="13"/>
  <c r="C238" i="13"/>
  <c r="D238" i="13"/>
  <c r="E238" i="13"/>
  <c r="F238" i="13"/>
  <c r="G238" i="13"/>
  <c r="H238" i="13"/>
  <c r="J238" i="13"/>
  <c r="K238" i="13"/>
  <c r="A239" i="13"/>
  <c r="J239" i="13" s="1"/>
  <c r="B239" i="13"/>
  <c r="C239" i="13"/>
  <c r="D239" i="13"/>
  <c r="K239" i="13" s="1"/>
  <c r="E239" i="13"/>
  <c r="F239" i="13"/>
  <c r="G239" i="13"/>
  <c r="H239" i="13"/>
  <c r="A240" i="13"/>
  <c r="B240" i="13"/>
  <c r="J240" i="13" s="1"/>
  <c r="C240" i="13"/>
  <c r="D240" i="13"/>
  <c r="K240" i="13" s="1"/>
  <c r="E240" i="13"/>
  <c r="F240" i="13"/>
  <c r="G240" i="13"/>
  <c r="H240" i="13"/>
  <c r="A241" i="13"/>
  <c r="B241" i="13"/>
  <c r="C241" i="13"/>
  <c r="D241" i="13"/>
  <c r="E241" i="13"/>
  <c r="F241" i="13"/>
  <c r="G241" i="13"/>
  <c r="H241" i="13"/>
  <c r="J241" i="13"/>
  <c r="K241" i="13"/>
  <c r="A242" i="13"/>
  <c r="B242" i="13"/>
  <c r="J242" i="13" s="1"/>
  <c r="C242" i="13"/>
  <c r="D242" i="13"/>
  <c r="K242" i="13" s="1"/>
  <c r="E242" i="13"/>
  <c r="F242" i="13"/>
  <c r="G242" i="13"/>
  <c r="H242" i="13"/>
  <c r="A243" i="13"/>
  <c r="B243" i="13"/>
  <c r="C243" i="13"/>
  <c r="D243" i="13"/>
  <c r="E243" i="13"/>
  <c r="F243" i="13"/>
  <c r="G243" i="13"/>
  <c r="H243" i="13"/>
  <c r="J243" i="13"/>
  <c r="K243" i="13"/>
  <c r="A244" i="13"/>
  <c r="J244" i="13" s="1"/>
  <c r="B244" i="13"/>
  <c r="C244" i="13"/>
  <c r="D244" i="13"/>
  <c r="K244" i="13" s="1"/>
  <c r="E244" i="13"/>
  <c r="F244" i="13"/>
  <c r="G244" i="13"/>
  <c r="H244" i="13"/>
  <c r="A245" i="13"/>
  <c r="B245" i="13"/>
  <c r="J245" i="13" s="1"/>
  <c r="C245" i="13"/>
  <c r="D245" i="13"/>
  <c r="E245" i="13"/>
  <c r="F245" i="13"/>
  <c r="G245" i="13"/>
  <c r="H245" i="13"/>
  <c r="K245" i="13"/>
  <c r="A246" i="13"/>
  <c r="B246" i="13"/>
  <c r="C246" i="13"/>
  <c r="D246" i="13"/>
  <c r="E246" i="13"/>
  <c r="F246" i="13"/>
  <c r="G246" i="13"/>
  <c r="H246" i="13"/>
  <c r="J246" i="13"/>
  <c r="K246" i="13"/>
  <c r="A247" i="13"/>
  <c r="J247" i="13" s="1"/>
  <c r="B247" i="13"/>
  <c r="C247" i="13"/>
  <c r="D247" i="13"/>
  <c r="K247" i="13" s="1"/>
  <c r="E247" i="13"/>
  <c r="F247" i="13"/>
  <c r="G247" i="13"/>
  <c r="H247" i="13"/>
  <c r="A248" i="13"/>
  <c r="B248" i="13"/>
  <c r="J248" i="13" s="1"/>
  <c r="C248" i="13"/>
  <c r="D248" i="13"/>
  <c r="K248" i="13" s="1"/>
  <c r="E248" i="13"/>
  <c r="F248" i="13"/>
  <c r="G248" i="13"/>
  <c r="H248" i="13"/>
  <c r="A249" i="13"/>
  <c r="B249" i="13"/>
  <c r="C249" i="13"/>
  <c r="D249" i="13"/>
  <c r="E249" i="13"/>
  <c r="F249" i="13"/>
  <c r="G249" i="13"/>
  <c r="H249" i="13"/>
  <c r="J249" i="13"/>
  <c r="K249" i="13"/>
  <c r="A250" i="13"/>
  <c r="B250" i="13"/>
  <c r="J250" i="13" s="1"/>
  <c r="C250" i="13"/>
  <c r="D250" i="13"/>
  <c r="K250" i="13" s="1"/>
  <c r="E250" i="13"/>
  <c r="F250" i="13"/>
  <c r="G250" i="13"/>
  <c r="H250" i="13"/>
  <c r="A251" i="13"/>
  <c r="B251" i="13"/>
  <c r="C251" i="13"/>
  <c r="D251" i="13"/>
  <c r="E251" i="13"/>
  <c r="F251" i="13"/>
  <c r="G251" i="13"/>
  <c r="H251" i="13"/>
  <c r="J251" i="13"/>
  <c r="K251" i="13"/>
  <c r="A252" i="13"/>
  <c r="J252" i="13" s="1"/>
  <c r="B252" i="13"/>
  <c r="C252" i="13"/>
  <c r="D252" i="13"/>
  <c r="K252" i="13" s="1"/>
  <c r="E252" i="13"/>
  <c r="F252" i="13"/>
  <c r="G252" i="13"/>
  <c r="H252" i="13"/>
  <c r="A253" i="13"/>
  <c r="B253" i="13"/>
  <c r="J253" i="13" s="1"/>
  <c r="C253" i="13"/>
  <c r="D253" i="13"/>
  <c r="E253" i="13"/>
  <c r="F253" i="13"/>
  <c r="G253" i="13"/>
  <c r="H253" i="13"/>
  <c r="K253" i="13"/>
  <c r="A254" i="13"/>
  <c r="B254" i="13"/>
  <c r="C254" i="13"/>
  <c r="D254" i="13"/>
  <c r="E254" i="13"/>
  <c r="F254" i="13"/>
  <c r="G254" i="13"/>
  <c r="H254" i="13"/>
  <c r="J254" i="13"/>
  <c r="K254" i="13"/>
  <c r="A255" i="13"/>
  <c r="J255" i="13" s="1"/>
  <c r="B255" i="13"/>
  <c r="C255" i="13"/>
  <c r="D255" i="13"/>
  <c r="K255" i="13" s="1"/>
  <c r="E255" i="13"/>
  <c r="F255" i="13"/>
  <c r="G255" i="13"/>
  <c r="H255" i="13"/>
  <c r="A256" i="13"/>
  <c r="B256" i="13"/>
  <c r="J256" i="13" s="1"/>
  <c r="C256" i="13"/>
  <c r="D256" i="13"/>
  <c r="K256" i="13" s="1"/>
  <c r="E256" i="13"/>
  <c r="F256" i="13"/>
  <c r="G256" i="13"/>
  <c r="H256" i="13"/>
  <c r="A257" i="13"/>
  <c r="B257" i="13"/>
  <c r="C257" i="13"/>
  <c r="D257" i="13"/>
  <c r="E257" i="13"/>
  <c r="F257" i="13"/>
  <c r="G257" i="13"/>
  <c r="H257" i="13"/>
  <c r="J257" i="13"/>
  <c r="K257" i="13"/>
  <c r="A258" i="13"/>
  <c r="J258" i="13" s="1"/>
  <c r="B258" i="13"/>
  <c r="C258" i="13"/>
  <c r="D258" i="13"/>
  <c r="K258" i="13" s="1"/>
  <c r="E258" i="13"/>
  <c r="F258" i="13"/>
  <c r="G258" i="13"/>
  <c r="H258" i="13"/>
  <c r="A259" i="13"/>
  <c r="B259" i="13"/>
  <c r="C259" i="13"/>
  <c r="D259" i="13"/>
  <c r="E259" i="13"/>
  <c r="F259" i="13"/>
  <c r="G259" i="13"/>
  <c r="H259" i="13"/>
  <c r="J259" i="13"/>
  <c r="K259" i="13"/>
  <c r="A260" i="13"/>
  <c r="J260" i="13" s="1"/>
  <c r="B260" i="13"/>
  <c r="C260" i="13"/>
  <c r="D260" i="13"/>
  <c r="K260" i="13" s="1"/>
  <c r="E260" i="13"/>
  <c r="F260" i="13"/>
  <c r="G260" i="13"/>
  <c r="H260" i="13"/>
  <c r="A261" i="13"/>
  <c r="B261" i="13"/>
  <c r="J261" i="13" s="1"/>
  <c r="C261" i="13"/>
  <c r="D261" i="13"/>
  <c r="E261" i="13"/>
  <c r="F261" i="13"/>
  <c r="G261" i="13"/>
  <c r="H261" i="13"/>
  <c r="K261" i="13"/>
  <c r="A262" i="13"/>
  <c r="B262" i="13"/>
  <c r="C262" i="13"/>
  <c r="D262" i="13"/>
  <c r="E262" i="13"/>
  <c r="F262" i="13"/>
  <c r="G262" i="13"/>
  <c r="H262" i="13"/>
  <c r="J262" i="13"/>
  <c r="K262" i="13"/>
  <c r="A263" i="13"/>
  <c r="J263" i="13" s="1"/>
  <c r="B263" i="13"/>
  <c r="C263" i="13"/>
  <c r="D263" i="13"/>
  <c r="K263" i="13" s="1"/>
  <c r="E263" i="13"/>
  <c r="F263" i="13"/>
  <c r="G263" i="13"/>
  <c r="H263" i="13"/>
  <c r="A264" i="13"/>
  <c r="B264" i="13"/>
  <c r="J264" i="13" s="1"/>
  <c r="C264" i="13"/>
  <c r="D264" i="13"/>
  <c r="K264" i="13" s="1"/>
  <c r="E264" i="13"/>
  <c r="F264" i="13"/>
  <c r="G264" i="13"/>
  <c r="H264" i="13"/>
  <c r="A265" i="13"/>
  <c r="B265" i="13"/>
  <c r="C265" i="13"/>
  <c r="D265" i="13"/>
  <c r="E265" i="13"/>
  <c r="F265" i="13"/>
  <c r="G265" i="13"/>
  <c r="H265" i="13"/>
  <c r="J265" i="13"/>
  <c r="K265" i="13"/>
  <c r="A266" i="13"/>
  <c r="J266" i="13" s="1"/>
  <c r="B266" i="13"/>
  <c r="C266" i="13"/>
  <c r="D266" i="13"/>
  <c r="K266" i="13" s="1"/>
  <c r="E266" i="13"/>
  <c r="F266" i="13"/>
  <c r="G266" i="13"/>
  <c r="H266" i="13"/>
  <c r="A267" i="13"/>
  <c r="B267" i="13"/>
  <c r="C267" i="13"/>
  <c r="D267" i="13"/>
  <c r="E267" i="13"/>
  <c r="F267" i="13"/>
  <c r="G267" i="13"/>
  <c r="H267" i="13"/>
  <c r="J267" i="13"/>
  <c r="K267" i="13"/>
  <c r="A268" i="13"/>
  <c r="J268" i="13" s="1"/>
  <c r="B268" i="13"/>
  <c r="C268" i="13"/>
  <c r="D268" i="13"/>
  <c r="K268" i="13" s="1"/>
  <c r="E268" i="13"/>
  <c r="F268" i="13"/>
  <c r="G268" i="13"/>
  <c r="H268" i="13"/>
  <c r="A269" i="13"/>
  <c r="B269" i="13"/>
  <c r="J269" i="13" s="1"/>
  <c r="C269" i="13"/>
  <c r="D269" i="13"/>
  <c r="E269" i="13"/>
  <c r="F269" i="13"/>
  <c r="G269" i="13"/>
  <c r="H269" i="13"/>
  <c r="K269" i="13"/>
  <c r="A270" i="13"/>
  <c r="B270" i="13"/>
  <c r="J270" i="13" s="1"/>
  <c r="C270" i="13"/>
  <c r="D270" i="13"/>
  <c r="E270" i="13"/>
  <c r="F270" i="13"/>
  <c r="G270" i="13"/>
  <c r="H270" i="13"/>
  <c r="K270" i="13"/>
  <c r="A271" i="13"/>
  <c r="J271" i="13" s="1"/>
  <c r="B271" i="13"/>
  <c r="C271" i="13"/>
  <c r="D271" i="13"/>
  <c r="K271" i="13" s="1"/>
  <c r="E271" i="13"/>
  <c r="F271" i="13"/>
  <c r="G271" i="13"/>
  <c r="H271" i="13"/>
  <c r="A272" i="13"/>
  <c r="B272" i="13"/>
  <c r="J272" i="13" s="1"/>
  <c r="C272" i="13"/>
  <c r="D272" i="13"/>
  <c r="K272" i="13" s="1"/>
  <c r="E272" i="13"/>
  <c r="F272" i="13"/>
  <c r="G272" i="13"/>
  <c r="H272" i="13"/>
  <c r="A273" i="13"/>
  <c r="B273" i="13"/>
  <c r="C273" i="13"/>
  <c r="D273" i="13"/>
  <c r="E273" i="13"/>
  <c r="F273" i="13"/>
  <c r="G273" i="13"/>
  <c r="H273" i="13"/>
  <c r="J273" i="13"/>
  <c r="K273" i="13"/>
  <c r="A274" i="13"/>
  <c r="J274" i="13" s="1"/>
  <c r="B274" i="13"/>
  <c r="C274" i="13"/>
  <c r="D274" i="13"/>
  <c r="K274" i="13" s="1"/>
  <c r="E274" i="13"/>
  <c r="F274" i="13"/>
  <c r="G274" i="13"/>
  <c r="H274" i="13"/>
  <c r="A275" i="13"/>
  <c r="B275" i="13"/>
  <c r="C275" i="13"/>
  <c r="D275" i="13"/>
  <c r="E275" i="13"/>
  <c r="F275" i="13"/>
  <c r="G275" i="13"/>
  <c r="H275" i="13"/>
  <c r="J275" i="13"/>
  <c r="K275" i="13"/>
  <c r="A276" i="13"/>
  <c r="J276" i="13" s="1"/>
  <c r="B276" i="13"/>
  <c r="C276" i="13"/>
  <c r="D276" i="13"/>
  <c r="K276" i="13" s="1"/>
  <c r="E276" i="13"/>
  <c r="F276" i="13"/>
  <c r="G276" i="13"/>
  <c r="H276" i="13"/>
  <c r="A277" i="13"/>
  <c r="B277" i="13"/>
  <c r="J277" i="13" s="1"/>
  <c r="C277" i="13"/>
  <c r="D277" i="13"/>
  <c r="E277" i="13"/>
  <c r="F277" i="13"/>
  <c r="G277" i="13"/>
  <c r="H277" i="13"/>
  <c r="K277" i="13"/>
  <c r="A278" i="13"/>
  <c r="B278" i="13"/>
  <c r="J278" i="13" s="1"/>
  <c r="C278" i="13"/>
  <c r="D278" i="13"/>
  <c r="E278" i="13"/>
  <c r="F278" i="13"/>
  <c r="G278" i="13"/>
  <c r="H278" i="13"/>
  <c r="K278" i="13"/>
  <c r="A279" i="13"/>
  <c r="J279" i="13" s="1"/>
  <c r="B279" i="13"/>
  <c r="C279" i="13"/>
  <c r="D279" i="13"/>
  <c r="K279" i="13" s="1"/>
  <c r="E279" i="13"/>
  <c r="F279" i="13"/>
  <c r="G279" i="13"/>
  <c r="H279" i="13"/>
  <c r="A280" i="13"/>
  <c r="B280" i="13"/>
  <c r="J280" i="13" s="1"/>
  <c r="C280" i="13"/>
  <c r="D280" i="13"/>
  <c r="K280" i="13" s="1"/>
  <c r="E280" i="13"/>
  <c r="F280" i="13"/>
  <c r="G280" i="13"/>
  <c r="H280" i="13"/>
  <c r="A281" i="13"/>
  <c r="B281" i="13"/>
  <c r="C281" i="13"/>
  <c r="D281" i="13"/>
  <c r="E281" i="13"/>
  <c r="F281" i="13"/>
  <c r="G281" i="13"/>
  <c r="H281" i="13"/>
  <c r="J281" i="13"/>
  <c r="K281" i="13"/>
  <c r="A282" i="13"/>
  <c r="B282" i="13"/>
  <c r="J282" i="13" s="1"/>
  <c r="C282" i="13"/>
  <c r="D282" i="13"/>
  <c r="K282" i="13" s="1"/>
  <c r="E282" i="13"/>
  <c r="F282" i="13"/>
  <c r="G282" i="13"/>
  <c r="A283" i="13"/>
  <c r="J283" i="13" s="1"/>
  <c r="B283" i="13"/>
  <c r="C283" i="13"/>
  <c r="D283" i="13"/>
  <c r="K283" i="13" s="1"/>
  <c r="E283" i="13"/>
  <c r="F283" i="13"/>
  <c r="G283" i="13"/>
  <c r="A284" i="13"/>
  <c r="B284" i="13"/>
  <c r="C284" i="13"/>
  <c r="D284" i="13"/>
  <c r="E284" i="13"/>
  <c r="F284" i="13"/>
  <c r="G284" i="13"/>
  <c r="J284" i="13"/>
  <c r="K284" i="13"/>
  <c r="A285" i="13"/>
  <c r="J285" i="13" s="1"/>
  <c r="B285" i="13"/>
  <c r="C285" i="13"/>
  <c r="D285" i="13"/>
  <c r="E285" i="13"/>
  <c r="F285" i="13"/>
  <c r="G285" i="13"/>
  <c r="K285" i="13"/>
  <c r="A286" i="13"/>
  <c r="B286" i="13"/>
  <c r="C286" i="13"/>
  <c r="D286" i="13"/>
  <c r="E286" i="13"/>
  <c r="F286" i="13"/>
  <c r="G286" i="13"/>
  <c r="H286" i="13"/>
  <c r="J286" i="13"/>
  <c r="K286" i="13"/>
  <c r="A287" i="13"/>
  <c r="J287" i="13" s="1"/>
  <c r="B287" i="13"/>
  <c r="C287" i="13"/>
  <c r="D287" i="13"/>
  <c r="K287" i="13" s="1"/>
  <c r="E287" i="13"/>
  <c r="F287" i="13"/>
  <c r="G287" i="13"/>
  <c r="H287" i="13"/>
  <c r="A288" i="13"/>
  <c r="J288" i="13" s="1"/>
  <c r="B288" i="13"/>
  <c r="C288" i="13"/>
  <c r="D288" i="13"/>
  <c r="E288" i="13"/>
  <c r="F288" i="13"/>
  <c r="G288" i="13"/>
  <c r="H288" i="13"/>
  <c r="K288" i="13"/>
  <c r="A289" i="13"/>
  <c r="B289" i="13"/>
  <c r="J289" i="13" s="1"/>
  <c r="C289" i="13"/>
  <c r="D289" i="13"/>
  <c r="E289" i="13"/>
  <c r="F289" i="13"/>
  <c r="G289" i="13"/>
  <c r="H289" i="13"/>
  <c r="K289" i="13"/>
  <c r="A290" i="13"/>
  <c r="J290" i="13" s="1"/>
  <c r="B290" i="13"/>
  <c r="C290" i="13"/>
  <c r="D290" i="13"/>
  <c r="K290" i="13" s="1"/>
  <c r="E290" i="13"/>
  <c r="F290" i="13"/>
  <c r="G290" i="13"/>
  <c r="H290" i="13"/>
  <c r="A291" i="13"/>
  <c r="B291" i="13"/>
  <c r="J291" i="13" s="1"/>
  <c r="C291" i="13"/>
  <c r="D291" i="13"/>
  <c r="K291" i="13" s="1"/>
  <c r="E291" i="13"/>
  <c r="F291" i="13"/>
  <c r="G291" i="13"/>
  <c r="H291" i="13"/>
  <c r="A292" i="13"/>
  <c r="B292" i="13"/>
  <c r="C292" i="13"/>
  <c r="D292" i="13"/>
  <c r="E292" i="13"/>
  <c r="F292" i="13"/>
  <c r="G292" i="13"/>
  <c r="H292" i="13"/>
  <c r="J292" i="13"/>
  <c r="K292" i="13"/>
  <c r="A293" i="13"/>
  <c r="B293" i="13"/>
  <c r="J293" i="13" s="1"/>
  <c r="C293" i="13"/>
  <c r="D293" i="13"/>
  <c r="K293" i="13" s="1"/>
  <c r="E293" i="13"/>
  <c r="F293" i="13"/>
  <c r="G293" i="13"/>
  <c r="A294" i="13"/>
  <c r="J294" i="13" s="1"/>
  <c r="B294" i="13"/>
  <c r="C294" i="13"/>
  <c r="D294" i="13"/>
  <c r="K294" i="13" s="1"/>
  <c r="E294" i="13"/>
  <c r="F294" i="13"/>
  <c r="G294" i="13"/>
  <c r="A295" i="13"/>
  <c r="B295" i="13"/>
  <c r="C295" i="13"/>
  <c r="D295" i="13"/>
  <c r="E295" i="13"/>
  <c r="F295" i="13"/>
  <c r="G295" i="13"/>
  <c r="J295" i="13"/>
  <c r="K295" i="13"/>
  <c r="A296" i="13"/>
  <c r="B296" i="13"/>
  <c r="J296" i="13" s="1"/>
  <c r="L296" i="13" s="1"/>
  <c r="C296" i="13"/>
  <c r="D296" i="13"/>
  <c r="E296" i="13"/>
  <c r="F296" i="13"/>
  <c r="G296" i="13"/>
  <c r="H296" i="13"/>
  <c r="K296" i="13"/>
  <c r="A297" i="13"/>
  <c r="B297" i="13"/>
  <c r="J297" i="13" s="1"/>
  <c r="C297" i="13"/>
  <c r="D297" i="13"/>
  <c r="E297" i="13"/>
  <c r="F297" i="13"/>
  <c r="G297" i="13"/>
  <c r="K297" i="13"/>
  <c r="A298" i="13"/>
  <c r="J298" i="13" s="1"/>
  <c r="B298" i="13"/>
  <c r="C298" i="13"/>
  <c r="D298" i="13"/>
  <c r="K298" i="13" s="1"/>
  <c r="E298" i="13"/>
  <c r="F298" i="13"/>
  <c r="G298" i="13"/>
  <c r="H298" i="13"/>
  <c r="A299" i="13"/>
  <c r="B299" i="13"/>
  <c r="J299" i="13" s="1"/>
  <c r="C299" i="13"/>
  <c r="D299" i="13"/>
  <c r="K299" i="13" s="1"/>
  <c r="E299" i="13"/>
  <c r="F299" i="13"/>
  <c r="G299" i="13"/>
  <c r="A300" i="13"/>
  <c r="B300" i="13"/>
  <c r="C300" i="13"/>
  <c r="D300" i="13"/>
  <c r="E300" i="13"/>
  <c r="F300" i="13"/>
  <c r="M300" i="13" s="1"/>
  <c r="G300" i="13"/>
  <c r="J300" i="13"/>
  <c r="K300" i="13"/>
  <c r="A301" i="13"/>
  <c r="B301" i="13"/>
  <c r="C301" i="13"/>
  <c r="D301" i="13"/>
  <c r="K301" i="13" s="1"/>
  <c r="E301" i="13"/>
  <c r="F301" i="13"/>
  <c r="G301" i="13"/>
  <c r="A302" i="13"/>
  <c r="J302" i="13" s="1"/>
  <c r="B302" i="13"/>
  <c r="C302" i="13"/>
  <c r="D302" i="13"/>
  <c r="E302" i="13"/>
  <c r="F302" i="13"/>
  <c r="G302" i="13"/>
  <c r="K302" i="13"/>
  <c r="A303" i="13"/>
  <c r="B303" i="13"/>
  <c r="C303" i="13"/>
  <c r="D303" i="13"/>
  <c r="K303" i="13" s="1"/>
  <c r="E303" i="13"/>
  <c r="F303" i="13"/>
  <c r="G303" i="13"/>
  <c r="J303" i="13"/>
  <c r="A304" i="13"/>
  <c r="J304" i="13" s="1"/>
  <c r="B304" i="13"/>
  <c r="C304" i="13"/>
  <c r="D304" i="13"/>
  <c r="K304" i="13" s="1"/>
  <c r="E304" i="13"/>
  <c r="F304" i="13"/>
  <c r="G304" i="13"/>
  <c r="A305" i="13"/>
  <c r="B305" i="13"/>
  <c r="C305" i="13"/>
  <c r="D305" i="13"/>
  <c r="K305" i="13" s="1"/>
  <c r="E305" i="13"/>
  <c r="F305" i="13"/>
  <c r="G305" i="13"/>
  <c r="J305" i="13"/>
  <c r="A306" i="13"/>
  <c r="J306" i="13" s="1"/>
  <c r="B306" i="13"/>
  <c r="C306" i="13"/>
  <c r="D306" i="13"/>
  <c r="K306" i="13" s="1"/>
  <c r="E306" i="13"/>
  <c r="F306" i="13"/>
  <c r="G306" i="13"/>
  <c r="A307" i="13"/>
  <c r="B307" i="13"/>
  <c r="J307" i="13" s="1"/>
  <c r="C307" i="13"/>
  <c r="D307" i="13"/>
  <c r="K307" i="13" s="1"/>
  <c r="E307" i="13"/>
  <c r="F307" i="13"/>
  <c r="G307" i="13"/>
  <c r="A308" i="13"/>
  <c r="B308" i="13"/>
  <c r="C308" i="13"/>
  <c r="D308" i="13"/>
  <c r="K308" i="13" s="1"/>
  <c r="E308" i="13"/>
  <c r="F308" i="13"/>
  <c r="G308" i="13"/>
  <c r="J308" i="13"/>
  <c r="A309" i="13"/>
  <c r="B309" i="13"/>
  <c r="C309" i="13"/>
  <c r="D309" i="13"/>
  <c r="E309" i="13"/>
  <c r="F309" i="13"/>
  <c r="G309" i="13"/>
  <c r="J309" i="13"/>
  <c r="K309" i="13"/>
  <c r="A310" i="13"/>
  <c r="J310" i="13" s="1"/>
  <c r="B310" i="13"/>
  <c r="C310" i="13"/>
  <c r="D310" i="13"/>
  <c r="K310" i="13" s="1"/>
  <c r="E310" i="13"/>
  <c r="F310" i="13"/>
  <c r="G310" i="13"/>
  <c r="H310" i="13"/>
  <c r="A311" i="13"/>
  <c r="B311" i="13"/>
  <c r="C311" i="13"/>
  <c r="D311" i="13"/>
  <c r="E311" i="13"/>
  <c r="F311" i="13"/>
  <c r="G311" i="13"/>
  <c r="H311" i="13"/>
  <c r="K311" i="13"/>
  <c r="A312" i="13"/>
  <c r="B312" i="13"/>
  <c r="C312" i="13"/>
  <c r="D312" i="13"/>
  <c r="E312" i="13"/>
  <c r="F312" i="13"/>
  <c r="G312" i="13"/>
  <c r="H312" i="13"/>
  <c r="J312" i="13"/>
  <c r="K312" i="13"/>
  <c r="A313" i="13"/>
  <c r="B313" i="13"/>
  <c r="J313" i="13" s="1"/>
  <c r="C313" i="13"/>
  <c r="D313" i="13"/>
  <c r="E313" i="13"/>
  <c r="F313" i="13"/>
  <c r="G313" i="13"/>
  <c r="H313" i="13"/>
  <c r="K313" i="13"/>
  <c r="A314" i="13"/>
  <c r="B314" i="13"/>
  <c r="J314" i="13" s="1"/>
  <c r="C314" i="13"/>
  <c r="D314" i="13"/>
  <c r="E314" i="13"/>
  <c r="F314" i="13"/>
  <c r="G314" i="13"/>
  <c r="H314" i="13"/>
  <c r="K314" i="13"/>
  <c r="A315" i="13"/>
  <c r="J315" i="13" s="1"/>
  <c r="B315" i="13"/>
  <c r="C315" i="13"/>
  <c r="D315" i="13"/>
  <c r="K315" i="13" s="1"/>
  <c r="E315" i="13"/>
  <c r="F315" i="13"/>
  <c r="G315" i="13"/>
  <c r="H315" i="13"/>
  <c r="A316" i="13"/>
  <c r="J316" i="13" s="1"/>
  <c r="B316" i="13"/>
  <c r="C316" i="13"/>
  <c r="D316" i="13"/>
  <c r="E316" i="13"/>
  <c r="F316" i="13"/>
  <c r="G316" i="13"/>
  <c r="H316" i="13"/>
  <c r="K316" i="13"/>
  <c r="A317" i="13"/>
  <c r="B317" i="13"/>
  <c r="J317" i="13" s="1"/>
  <c r="C317" i="13"/>
  <c r="D317" i="13"/>
  <c r="K317" i="13" s="1"/>
  <c r="E317" i="13"/>
  <c r="F317" i="13"/>
  <c r="G317" i="13"/>
  <c r="A318" i="13"/>
  <c r="J318" i="13" s="1"/>
  <c r="B318" i="13"/>
  <c r="C318" i="13"/>
  <c r="D318" i="13"/>
  <c r="K318" i="13" s="1"/>
  <c r="E318" i="13"/>
  <c r="F318" i="13"/>
  <c r="G318" i="13"/>
  <c r="A319" i="13"/>
  <c r="B319" i="13"/>
  <c r="C319" i="13"/>
  <c r="D319" i="13"/>
  <c r="K319" i="13" s="1"/>
  <c r="E319" i="13"/>
  <c r="F319" i="13"/>
  <c r="G319" i="13"/>
  <c r="J319" i="13"/>
  <c r="A320" i="13"/>
  <c r="B320" i="13"/>
  <c r="C320" i="13"/>
  <c r="D320" i="13"/>
  <c r="E320" i="13"/>
  <c r="F320" i="13"/>
  <c r="G320" i="13"/>
  <c r="J320" i="13"/>
  <c r="K320" i="13"/>
  <c r="A321" i="13"/>
  <c r="J321" i="13" s="1"/>
  <c r="B321" i="13"/>
  <c r="C321" i="13"/>
  <c r="D321" i="13"/>
  <c r="E321" i="13"/>
  <c r="F321" i="13"/>
  <c r="G321" i="13"/>
  <c r="K321" i="13"/>
  <c r="A322" i="13"/>
  <c r="B322" i="13"/>
  <c r="J322" i="13" s="1"/>
  <c r="C322" i="13"/>
  <c r="D322" i="13"/>
  <c r="K322" i="13" s="1"/>
  <c r="E322" i="13"/>
  <c r="F322" i="13"/>
  <c r="G322" i="13"/>
  <c r="A323" i="13"/>
  <c r="B323" i="13"/>
  <c r="C323" i="13"/>
  <c r="D323" i="13"/>
  <c r="E323" i="13"/>
  <c r="F323" i="13"/>
  <c r="G323" i="13"/>
  <c r="J323" i="13"/>
  <c r="K323" i="13"/>
  <c r="A324" i="13"/>
  <c r="J324" i="13" s="1"/>
  <c r="B324" i="13"/>
  <c r="C324" i="13"/>
  <c r="D324" i="13"/>
  <c r="K324" i="13" s="1"/>
  <c r="E324" i="13"/>
  <c r="F324" i="13"/>
  <c r="G324" i="13"/>
  <c r="A325" i="13"/>
  <c r="J325" i="13" s="1"/>
  <c r="B325" i="13"/>
  <c r="C325" i="13"/>
  <c r="D325" i="13"/>
  <c r="K325" i="13" s="1"/>
  <c r="E325" i="13"/>
  <c r="F325" i="13"/>
  <c r="G325" i="13"/>
  <c r="A326" i="13"/>
  <c r="B326" i="13"/>
  <c r="C326" i="13"/>
  <c r="D326" i="13"/>
  <c r="E326" i="13"/>
  <c r="F326" i="13"/>
  <c r="G326" i="13"/>
  <c r="J326" i="13"/>
  <c r="K326" i="13"/>
  <c r="A327" i="13"/>
  <c r="J327" i="13" s="1"/>
  <c r="B327" i="13"/>
  <c r="C327" i="13"/>
  <c r="D327" i="13"/>
  <c r="K327" i="13" s="1"/>
  <c r="E327" i="13"/>
  <c r="F327" i="13"/>
  <c r="G327" i="13"/>
  <c r="H327" i="13"/>
  <c r="A328" i="13"/>
  <c r="J328" i="13" s="1"/>
  <c r="B328" i="13"/>
  <c r="C328" i="13"/>
  <c r="D328" i="13"/>
  <c r="K328" i="13" s="1"/>
  <c r="E328" i="13"/>
  <c r="F328" i="13"/>
  <c r="G328" i="13"/>
  <c r="H328" i="13"/>
  <c r="A329" i="13"/>
  <c r="B329" i="13"/>
  <c r="C329" i="13"/>
  <c r="D329" i="13"/>
  <c r="K329" i="13" s="1"/>
  <c r="E329" i="13"/>
  <c r="F329" i="13"/>
  <c r="G329" i="13"/>
  <c r="H329" i="13"/>
  <c r="J329" i="13"/>
  <c r="A330" i="13"/>
  <c r="J330" i="13" s="1"/>
  <c r="B330" i="13"/>
  <c r="C330" i="13"/>
  <c r="D330" i="13"/>
  <c r="K330" i="13" s="1"/>
  <c r="E330" i="13"/>
  <c r="F330" i="13"/>
  <c r="G330" i="13"/>
  <c r="H330" i="13"/>
  <c r="A331" i="13"/>
  <c r="B331" i="13"/>
  <c r="C331" i="13"/>
  <c r="D331" i="13"/>
  <c r="K331" i="13" s="1"/>
  <c r="E331" i="13"/>
  <c r="F331" i="13"/>
  <c r="G331" i="13"/>
  <c r="H331" i="13"/>
  <c r="J331" i="13"/>
  <c r="A332" i="13"/>
  <c r="J332" i="13" s="1"/>
  <c r="B332" i="13"/>
  <c r="C332" i="13"/>
  <c r="D332" i="13"/>
  <c r="K332" i="13" s="1"/>
  <c r="E332" i="13"/>
  <c r="F332" i="13"/>
  <c r="G332" i="13"/>
  <c r="H332" i="13"/>
  <c r="A333" i="13"/>
  <c r="B333" i="13"/>
  <c r="C333" i="13"/>
  <c r="D333" i="13"/>
  <c r="K333" i="13" s="1"/>
  <c r="E333" i="13"/>
  <c r="F333" i="13"/>
  <c r="G333" i="13"/>
  <c r="H333" i="13"/>
  <c r="J333" i="13"/>
  <c r="A334" i="13"/>
  <c r="B334" i="13"/>
  <c r="C334" i="13"/>
  <c r="D334" i="13"/>
  <c r="E334" i="13"/>
  <c r="F334" i="13"/>
  <c r="G334" i="13"/>
  <c r="H334" i="13"/>
  <c r="J334" i="13"/>
  <c r="K334" i="13"/>
  <c r="A335" i="13"/>
  <c r="J335" i="13" s="1"/>
  <c r="B335" i="13"/>
  <c r="C335" i="13"/>
  <c r="D335" i="13"/>
  <c r="K335" i="13" s="1"/>
  <c r="E335" i="13"/>
  <c r="F335" i="13"/>
  <c r="G335" i="13"/>
  <c r="H335" i="13"/>
  <c r="A336" i="13"/>
  <c r="J336" i="13" s="1"/>
  <c r="B336" i="13"/>
  <c r="C336" i="13"/>
  <c r="D336" i="13"/>
  <c r="K336" i="13" s="1"/>
  <c r="E336" i="13"/>
  <c r="F336" i="13"/>
  <c r="G336" i="13"/>
  <c r="H336" i="13"/>
  <c r="A337" i="13"/>
  <c r="B337" i="13"/>
  <c r="C337" i="13"/>
  <c r="D337" i="13"/>
  <c r="K337" i="13" s="1"/>
  <c r="E337" i="13"/>
  <c r="F337" i="13"/>
  <c r="G337" i="13"/>
  <c r="H337" i="13"/>
  <c r="J337" i="13"/>
  <c r="A338" i="13"/>
  <c r="J338" i="13" s="1"/>
  <c r="B338" i="13"/>
  <c r="C338" i="13"/>
  <c r="D338" i="13"/>
  <c r="E338" i="13"/>
  <c r="F338" i="13"/>
  <c r="G338" i="13"/>
  <c r="K338" i="13"/>
  <c r="A339" i="13"/>
  <c r="J339" i="13" s="1"/>
  <c r="B339" i="13"/>
  <c r="C339" i="13"/>
  <c r="D339" i="13"/>
  <c r="E339" i="13"/>
  <c r="F339" i="13"/>
  <c r="G339" i="13"/>
  <c r="H339" i="13"/>
  <c r="K339" i="13"/>
  <c r="A340" i="13"/>
  <c r="J340" i="13" s="1"/>
  <c r="B340" i="13"/>
  <c r="C340" i="13"/>
  <c r="D340" i="13"/>
  <c r="K340" i="13" s="1"/>
  <c r="E340" i="13"/>
  <c r="F340" i="13"/>
  <c r="G340" i="13"/>
  <c r="H340" i="13"/>
  <c r="A341" i="13"/>
  <c r="B341" i="13"/>
  <c r="C341" i="13"/>
  <c r="D341" i="13"/>
  <c r="K341" i="13" s="1"/>
  <c r="E341" i="13"/>
  <c r="F341" i="13"/>
  <c r="G341" i="13"/>
  <c r="H341" i="13"/>
  <c r="J341" i="13"/>
  <c r="A342" i="13"/>
  <c r="B342" i="13"/>
  <c r="C342" i="13"/>
  <c r="D342" i="13"/>
  <c r="E342" i="13"/>
  <c r="F342" i="13"/>
  <c r="G342" i="13"/>
  <c r="H342" i="13"/>
  <c r="J342" i="13"/>
  <c r="K342" i="13"/>
  <c r="A343" i="13"/>
  <c r="J343" i="13" s="1"/>
  <c r="B343" i="13"/>
  <c r="C343" i="13"/>
  <c r="D343" i="13"/>
  <c r="K343" i="13" s="1"/>
  <c r="E343" i="13"/>
  <c r="F343" i="13"/>
  <c r="G343" i="13"/>
  <c r="H343" i="13"/>
  <c r="A344" i="13"/>
  <c r="J344" i="13" s="1"/>
  <c r="B344" i="13"/>
  <c r="C344" i="13"/>
  <c r="D344" i="13"/>
  <c r="E344" i="13"/>
  <c r="F344" i="13"/>
  <c r="G344" i="13"/>
  <c r="H344" i="13"/>
  <c r="K344" i="13"/>
  <c r="A345" i="13"/>
  <c r="B345" i="13"/>
  <c r="C345" i="13"/>
  <c r="D345" i="13"/>
  <c r="E345" i="13"/>
  <c r="F345" i="13"/>
  <c r="G345" i="13"/>
  <c r="H345" i="13"/>
  <c r="J345" i="13"/>
  <c r="K345" i="13"/>
  <c r="A346" i="13"/>
  <c r="B346" i="13"/>
  <c r="J346" i="13" s="1"/>
  <c r="C346" i="13"/>
  <c r="D346" i="13"/>
  <c r="K346" i="13" s="1"/>
  <c r="E346" i="13"/>
  <c r="F346" i="13"/>
  <c r="G346" i="13"/>
  <c r="H346" i="13"/>
  <c r="A347" i="13"/>
  <c r="J347" i="13" s="1"/>
  <c r="B347" i="13"/>
  <c r="C347" i="13"/>
  <c r="D347" i="13"/>
  <c r="E347" i="13"/>
  <c r="F347" i="13"/>
  <c r="G347" i="13"/>
  <c r="H347" i="13"/>
  <c r="K347" i="13"/>
  <c r="A348" i="13"/>
  <c r="J348" i="13" s="1"/>
  <c r="B348" i="13"/>
  <c r="C348" i="13"/>
  <c r="D348" i="13"/>
  <c r="K348" i="13" s="1"/>
  <c r="E348" i="13"/>
  <c r="F348" i="13"/>
  <c r="G348" i="13"/>
  <c r="H348" i="13"/>
  <c r="A119" i="13"/>
  <c r="B119" i="13"/>
  <c r="C119" i="13"/>
  <c r="D119" i="13"/>
  <c r="K119" i="13" s="1"/>
  <c r="E119" i="13"/>
  <c r="F119" i="13"/>
  <c r="G119" i="13"/>
  <c r="H119" i="13"/>
  <c r="J119" i="13"/>
  <c r="A120" i="13"/>
  <c r="J120" i="13" s="1"/>
  <c r="B120" i="13"/>
  <c r="C120" i="13"/>
  <c r="D120" i="13"/>
  <c r="K120" i="13" s="1"/>
  <c r="E120" i="13"/>
  <c r="F120" i="13"/>
  <c r="G120" i="13"/>
  <c r="H120" i="13"/>
  <c r="A121" i="13"/>
  <c r="J121" i="13" s="1"/>
  <c r="B121" i="13"/>
  <c r="C121" i="13"/>
  <c r="D121" i="13"/>
  <c r="E121" i="13"/>
  <c r="F121" i="13"/>
  <c r="G121" i="13"/>
  <c r="H121" i="13"/>
  <c r="K121" i="13"/>
  <c r="A122" i="13"/>
  <c r="B122" i="13"/>
  <c r="C122" i="13"/>
  <c r="D122" i="13"/>
  <c r="E122" i="13"/>
  <c r="F122" i="13"/>
  <c r="G122" i="13"/>
  <c r="H122" i="13"/>
  <c r="J122" i="13"/>
  <c r="K122" i="13"/>
  <c r="A123" i="13"/>
  <c r="J123" i="13" s="1"/>
  <c r="B123" i="13"/>
  <c r="C123" i="13"/>
  <c r="D123" i="13"/>
  <c r="K123" i="13" s="1"/>
  <c r="E123" i="13"/>
  <c r="F123" i="13"/>
  <c r="G123" i="13"/>
  <c r="A124" i="13"/>
  <c r="B124" i="13"/>
  <c r="C124" i="13"/>
  <c r="D124" i="13"/>
  <c r="K124" i="13" s="1"/>
  <c r="E124" i="13"/>
  <c r="F124" i="13"/>
  <c r="G124" i="13"/>
  <c r="J124" i="13"/>
  <c r="A125" i="13"/>
  <c r="B125" i="13"/>
  <c r="C125" i="13"/>
  <c r="D125" i="13"/>
  <c r="E125" i="13"/>
  <c r="F125" i="13"/>
  <c r="G125" i="13"/>
  <c r="J125" i="13"/>
  <c r="K125" i="13"/>
  <c r="A126" i="13"/>
  <c r="L126" i="13" s="1"/>
  <c r="B126" i="13"/>
  <c r="C126" i="13"/>
  <c r="D126" i="13"/>
  <c r="K126" i="13" s="1"/>
  <c r="E126" i="13"/>
  <c r="F126" i="13"/>
  <c r="G126" i="13"/>
  <c r="J126" i="13"/>
  <c r="A127" i="13"/>
  <c r="B127" i="13"/>
  <c r="C127" i="13"/>
  <c r="D127" i="13"/>
  <c r="K127" i="13" s="1"/>
  <c r="E127" i="13"/>
  <c r="F127" i="13"/>
  <c r="G127" i="13"/>
  <c r="J127" i="13"/>
  <c r="A128" i="13"/>
  <c r="B128" i="13"/>
  <c r="C128" i="13"/>
  <c r="D128" i="13"/>
  <c r="E128" i="13"/>
  <c r="F128" i="13"/>
  <c r="G128" i="13"/>
  <c r="J128" i="13"/>
  <c r="K128" i="13"/>
  <c r="A129" i="13"/>
  <c r="B129" i="13"/>
  <c r="J129" i="13" s="1"/>
  <c r="C129" i="13"/>
  <c r="D129" i="13"/>
  <c r="K129" i="13" s="1"/>
  <c r="E129" i="13"/>
  <c r="F129" i="13"/>
  <c r="G129" i="13"/>
  <c r="A130" i="13"/>
  <c r="B130" i="13"/>
  <c r="C130" i="13"/>
  <c r="D130" i="13"/>
  <c r="E130" i="13"/>
  <c r="F130" i="13"/>
  <c r="G130" i="13"/>
  <c r="J130" i="13"/>
  <c r="K130" i="13"/>
  <c r="A131" i="13"/>
  <c r="J131" i="13" s="1"/>
  <c r="B131" i="13"/>
  <c r="C131" i="13"/>
  <c r="D131" i="13"/>
  <c r="K131" i="13" s="1"/>
  <c r="E131" i="13"/>
  <c r="F131" i="13"/>
  <c r="G131" i="13"/>
  <c r="A132" i="13"/>
  <c r="J132" i="13" s="1"/>
  <c r="B132" i="13"/>
  <c r="C132" i="13"/>
  <c r="D132" i="13"/>
  <c r="K132" i="13" s="1"/>
  <c r="E132" i="13"/>
  <c r="F132" i="13"/>
  <c r="G132" i="13"/>
  <c r="A133" i="13"/>
  <c r="B133" i="13"/>
  <c r="C133" i="13"/>
  <c r="D133" i="13"/>
  <c r="E133" i="13"/>
  <c r="F133" i="13"/>
  <c r="G133" i="13"/>
  <c r="J133" i="13"/>
  <c r="L133" i="13" s="1"/>
  <c r="K133" i="13"/>
  <c r="A134" i="13"/>
  <c r="J134" i="13" s="1"/>
  <c r="M134" i="13" s="1"/>
  <c r="B134" i="13"/>
  <c r="C134" i="13"/>
  <c r="D134" i="13"/>
  <c r="K134" i="13" s="1"/>
  <c r="E134" i="13"/>
  <c r="F134" i="13"/>
  <c r="G134" i="13"/>
  <c r="A135" i="13"/>
  <c r="B135" i="13"/>
  <c r="C135" i="13"/>
  <c r="D135" i="13"/>
  <c r="K135" i="13" s="1"/>
  <c r="E135" i="13"/>
  <c r="F135" i="13"/>
  <c r="G135" i="13"/>
  <c r="A136" i="13"/>
  <c r="B136" i="13"/>
  <c r="C136" i="13"/>
  <c r="D136" i="13"/>
  <c r="E136" i="13"/>
  <c r="F136" i="13"/>
  <c r="G136" i="13"/>
  <c r="J136" i="13"/>
  <c r="K136" i="13"/>
  <c r="A137" i="13"/>
  <c r="J137" i="13" s="1"/>
  <c r="B137" i="13"/>
  <c r="C137" i="13"/>
  <c r="D137" i="13"/>
  <c r="K137" i="13" s="1"/>
  <c r="E137" i="13"/>
  <c r="F137" i="13"/>
  <c r="G137" i="13"/>
  <c r="H137" i="13"/>
  <c r="A138" i="13"/>
  <c r="B138" i="13"/>
  <c r="C138" i="13"/>
  <c r="D138" i="13"/>
  <c r="K138" i="13" s="1"/>
  <c r="E138" i="13"/>
  <c r="F138" i="13"/>
  <c r="G138" i="13"/>
  <c r="H138" i="13"/>
  <c r="A139" i="13"/>
  <c r="B139" i="13"/>
  <c r="C139" i="13"/>
  <c r="D139" i="13"/>
  <c r="E139" i="13"/>
  <c r="F139" i="13"/>
  <c r="G139" i="13"/>
  <c r="H139" i="13"/>
  <c r="J139" i="13"/>
  <c r="K139" i="13"/>
  <c r="A140" i="13"/>
  <c r="J140" i="13" s="1"/>
  <c r="B140" i="13"/>
  <c r="C140" i="13"/>
  <c r="D140" i="13"/>
  <c r="E140" i="13"/>
  <c r="F140" i="13"/>
  <c r="G140" i="13"/>
  <c r="H140" i="13"/>
  <c r="K140" i="13"/>
  <c r="A141" i="13"/>
  <c r="B141" i="13"/>
  <c r="C141" i="13"/>
  <c r="D141" i="13"/>
  <c r="E141" i="13"/>
  <c r="F141" i="13"/>
  <c r="G141" i="13"/>
  <c r="H141" i="13"/>
  <c r="J141" i="13"/>
  <c r="K141" i="13"/>
  <c r="A142" i="13"/>
  <c r="B142" i="13"/>
  <c r="C142" i="13"/>
  <c r="D142" i="13"/>
  <c r="E142" i="13"/>
  <c r="F142" i="13"/>
  <c r="G142" i="13"/>
  <c r="H142" i="13"/>
  <c r="J142" i="13"/>
  <c r="K142" i="13"/>
  <c r="A143" i="13"/>
  <c r="J143" i="13" s="1"/>
  <c r="B143" i="13"/>
  <c r="C143" i="13"/>
  <c r="D143" i="13"/>
  <c r="K143" i="13" s="1"/>
  <c r="E143" i="13"/>
  <c r="F143" i="13"/>
  <c r="G143" i="13"/>
  <c r="H143" i="13"/>
  <c r="A144" i="13"/>
  <c r="B144" i="13"/>
  <c r="C144" i="13"/>
  <c r="D144" i="13"/>
  <c r="E144" i="13"/>
  <c r="F144" i="13"/>
  <c r="G144" i="13"/>
  <c r="H144" i="13"/>
  <c r="J144" i="13"/>
  <c r="K144" i="13"/>
  <c r="A145" i="13"/>
  <c r="J145" i="13" s="1"/>
  <c r="B145" i="13"/>
  <c r="C145" i="13"/>
  <c r="D145" i="13"/>
  <c r="K145" i="13" s="1"/>
  <c r="E145" i="13"/>
  <c r="F145" i="13"/>
  <c r="G145" i="13"/>
  <c r="H145" i="13"/>
  <c r="A146" i="13"/>
  <c r="B146" i="13"/>
  <c r="C146" i="13"/>
  <c r="D146" i="13"/>
  <c r="K146" i="13" s="1"/>
  <c r="E146" i="13"/>
  <c r="F146" i="13"/>
  <c r="G146" i="13"/>
  <c r="H146" i="13"/>
  <c r="A147" i="13"/>
  <c r="B147" i="13"/>
  <c r="C147" i="13"/>
  <c r="D147" i="13"/>
  <c r="K147" i="13" s="1"/>
  <c r="E147" i="13"/>
  <c r="F147" i="13"/>
  <c r="G147" i="13"/>
  <c r="H147" i="13"/>
  <c r="J147" i="13"/>
  <c r="A148" i="13"/>
  <c r="J148" i="13" s="1"/>
  <c r="B148" i="13"/>
  <c r="C148" i="13"/>
  <c r="D148" i="13"/>
  <c r="E148" i="13"/>
  <c r="F148" i="13"/>
  <c r="G148" i="13"/>
  <c r="H148" i="13"/>
  <c r="K148" i="13"/>
  <c r="A149" i="13"/>
  <c r="B149" i="13"/>
  <c r="C149" i="13"/>
  <c r="D149" i="13"/>
  <c r="E149" i="13"/>
  <c r="F149" i="13"/>
  <c r="G149" i="13"/>
  <c r="H149" i="13"/>
  <c r="J149" i="13"/>
  <c r="K149" i="13"/>
  <c r="A150" i="13"/>
  <c r="B150" i="13"/>
  <c r="C150" i="13"/>
  <c r="D150" i="13"/>
  <c r="E150" i="13"/>
  <c r="F150" i="13"/>
  <c r="G150" i="13"/>
  <c r="H150" i="13"/>
  <c r="J150" i="13"/>
  <c r="K150" i="13"/>
  <c r="A151" i="13"/>
  <c r="J151" i="13" s="1"/>
  <c r="B151" i="13"/>
  <c r="C151" i="13"/>
  <c r="D151" i="13"/>
  <c r="K151" i="13" s="1"/>
  <c r="E151" i="13"/>
  <c r="F151" i="13"/>
  <c r="G151" i="13"/>
  <c r="H151" i="13"/>
  <c r="A152" i="13"/>
  <c r="B152" i="13"/>
  <c r="C152" i="13"/>
  <c r="D152" i="13"/>
  <c r="E152" i="13"/>
  <c r="F152" i="13"/>
  <c r="G152" i="13"/>
  <c r="H152" i="13"/>
  <c r="J152" i="13"/>
  <c r="K152" i="13"/>
  <c r="A153" i="13"/>
  <c r="J153" i="13" s="1"/>
  <c r="B153" i="13"/>
  <c r="C153" i="13"/>
  <c r="D153" i="13"/>
  <c r="K153" i="13" s="1"/>
  <c r="E153" i="13"/>
  <c r="F153" i="13"/>
  <c r="G153" i="13"/>
  <c r="H153" i="13"/>
  <c r="A154" i="13"/>
  <c r="B154" i="13"/>
  <c r="C154" i="13"/>
  <c r="D154" i="13"/>
  <c r="K154" i="13" s="1"/>
  <c r="E154" i="13"/>
  <c r="F154" i="13"/>
  <c r="G154" i="13"/>
  <c r="H154" i="13"/>
  <c r="A155" i="13"/>
  <c r="B155" i="13"/>
  <c r="C155" i="13"/>
  <c r="D155" i="13"/>
  <c r="K155" i="13" s="1"/>
  <c r="E155" i="13"/>
  <c r="F155" i="13"/>
  <c r="G155" i="13"/>
  <c r="H155" i="13"/>
  <c r="J155" i="13"/>
  <c r="A156" i="13"/>
  <c r="B156" i="13"/>
  <c r="C156" i="13"/>
  <c r="D156" i="13"/>
  <c r="E156" i="13"/>
  <c r="F156" i="13"/>
  <c r="G156" i="13"/>
  <c r="K156" i="13"/>
  <c r="A157" i="13"/>
  <c r="J157" i="13" s="1"/>
  <c r="B157" i="13"/>
  <c r="C157" i="13"/>
  <c r="D157" i="13"/>
  <c r="E157" i="13"/>
  <c r="F157" i="13"/>
  <c r="G157" i="13"/>
  <c r="K157" i="13"/>
  <c r="A158" i="13"/>
  <c r="B158" i="13"/>
  <c r="J158" i="13" s="1"/>
  <c r="C158" i="13"/>
  <c r="D158" i="13"/>
  <c r="E158" i="13"/>
  <c r="F158" i="13"/>
  <c r="G158" i="13"/>
  <c r="K158" i="13"/>
  <c r="A159" i="13"/>
  <c r="J159" i="13" s="1"/>
  <c r="B159" i="13"/>
  <c r="C159" i="13"/>
  <c r="D159" i="13"/>
  <c r="E159" i="13"/>
  <c r="F159" i="13"/>
  <c r="G159" i="13"/>
  <c r="K159" i="13"/>
  <c r="A160" i="13"/>
  <c r="B160" i="13"/>
  <c r="C160" i="13"/>
  <c r="D160" i="13"/>
  <c r="E160" i="13"/>
  <c r="F160" i="13"/>
  <c r="G160" i="13"/>
  <c r="J160" i="13"/>
  <c r="K160" i="13"/>
  <c r="A161" i="13"/>
  <c r="B161" i="13"/>
  <c r="C161" i="13"/>
  <c r="D161" i="13"/>
  <c r="E161" i="13"/>
  <c r="F161" i="13"/>
  <c r="G161" i="13"/>
  <c r="J161" i="13"/>
  <c r="K161" i="13"/>
  <c r="A162" i="13"/>
  <c r="B162" i="13"/>
  <c r="C162" i="13"/>
  <c r="D162" i="13"/>
  <c r="K162" i="13" s="1"/>
  <c r="E162" i="13"/>
  <c r="F162" i="13"/>
  <c r="G162" i="13"/>
  <c r="J162" i="13"/>
  <c r="A163" i="13"/>
  <c r="B163" i="13"/>
  <c r="C163" i="13"/>
  <c r="D163" i="13"/>
  <c r="E163" i="13"/>
  <c r="F163" i="13"/>
  <c r="G163" i="13"/>
  <c r="J163" i="13"/>
  <c r="K163" i="13"/>
  <c r="A164" i="13"/>
  <c r="B164" i="13"/>
  <c r="C164" i="13"/>
  <c r="D164" i="13"/>
  <c r="E164" i="13"/>
  <c r="F164" i="13"/>
  <c r="G164" i="13"/>
  <c r="J164" i="13"/>
  <c r="K164" i="13"/>
  <c r="A165" i="13"/>
  <c r="J165" i="13" s="1"/>
  <c r="B165" i="13"/>
  <c r="C165" i="13"/>
  <c r="D165" i="13"/>
  <c r="E165" i="13"/>
  <c r="F165" i="13"/>
  <c r="G165" i="13"/>
  <c r="K165" i="13"/>
  <c r="A166" i="13"/>
  <c r="B166" i="13"/>
  <c r="C166" i="13"/>
  <c r="D166" i="13"/>
  <c r="E166" i="13"/>
  <c r="F166" i="13"/>
  <c r="G166" i="13"/>
  <c r="J166" i="13"/>
  <c r="K166" i="13"/>
  <c r="A167" i="13"/>
  <c r="B167" i="13"/>
  <c r="C167" i="13"/>
  <c r="D167" i="13"/>
  <c r="E167" i="13"/>
  <c r="F167" i="13"/>
  <c r="G167" i="13"/>
  <c r="J167" i="13"/>
  <c r="K167" i="13"/>
  <c r="A168" i="13"/>
  <c r="B168" i="13"/>
  <c r="C168" i="13"/>
  <c r="D168" i="13"/>
  <c r="K168" i="13" s="1"/>
  <c r="E168" i="13"/>
  <c r="F168" i="13"/>
  <c r="G168" i="13"/>
  <c r="J168" i="13"/>
  <c r="A169" i="13"/>
  <c r="B169" i="13"/>
  <c r="C169" i="13"/>
  <c r="D169" i="13"/>
  <c r="E169" i="13"/>
  <c r="F169" i="13"/>
  <c r="G169" i="13"/>
  <c r="J169" i="13"/>
  <c r="K169" i="13"/>
  <c r="A170" i="13"/>
  <c r="J170" i="13" s="1"/>
  <c r="B170" i="13"/>
  <c r="C170" i="13"/>
  <c r="D170" i="13"/>
  <c r="K170" i="13" s="1"/>
  <c r="E170" i="13"/>
  <c r="F170" i="13"/>
  <c r="G170" i="13"/>
  <c r="A171" i="13"/>
  <c r="J171" i="13" s="1"/>
  <c r="B171" i="13"/>
  <c r="C171" i="13"/>
  <c r="D171" i="13"/>
  <c r="K171" i="13" s="1"/>
  <c r="E171" i="13"/>
  <c r="F171" i="13"/>
  <c r="G171" i="13"/>
  <c r="A172" i="13"/>
  <c r="B172" i="13"/>
  <c r="C172" i="13"/>
  <c r="D172" i="13"/>
  <c r="E172" i="13"/>
  <c r="F172" i="13"/>
  <c r="G172" i="13"/>
  <c r="J172" i="13"/>
  <c r="K172" i="13"/>
  <c r="A173" i="13"/>
  <c r="J173" i="13" s="1"/>
  <c r="B173" i="13"/>
  <c r="C173" i="13"/>
  <c r="D173" i="13"/>
  <c r="K173" i="13" s="1"/>
  <c r="E173" i="13"/>
  <c r="F173" i="13"/>
  <c r="G173" i="13"/>
  <c r="A174" i="13"/>
  <c r="J174" i="13" s="1"/>
  <c r="B174" i="13"/>
  <c r="C174" i="13"/>
  <c r="D174" i="13"/>
  <c r="K174" i="13" s="1"/>
  <c r="E174" i="13"/>
  <c r="F174" i="13"/>
  <c r="G174" i="13"/>
  <c r="A175" i="13"/>
  <c r="B175" i="13"/>
  <c r="C175" i="13"/>
  <c r="D175" i="13"/>
  <c r="E175" i="13"/>
  <c r="F175" i="13"/>
  <c r="G175" i="13"/>
  <c r="J175" i="13"/>
  <c r="K175" i="13"/>
  <c r="A176" i="13"/>
  <c r="J176" i="13" s="1"/>
  <c r="B176" i="13"/>
  <c r="C176" i="13"/>
  <c r="D176" i="13"/>
  <c r="K176" i="13" s="1"/>
  <c r="E176" i="13"/>
  <c r="F176" i="13"/>
  <c r="G176" i="13"/>
  <c r="A177" i="13"/>
  <c r="B177" i="13"/>
  <c r="C177" i="13"/>
  <c r="D177" i="13"/>
  <c r="K177" i="13" s="1"/>
  <c r="E177" i="13"/>
  <c r="F177" i="13"/>
  <c r="G177" i="13"/>
  <c r="A178" i="13"/>
  <c r="B178" i="13"/>
  <c r="C178" i="13"/>
  <c r="D178" i="13"/>
  <c r="E178" i="13"/>
  <c r="F178" i="13"/>
  <c r="G178" i="13"/>
  <c r="J178" i="13"/>
  <c r="K178" i="13"/>
  <c r="A179" i="13"/>
  <c r="B179" i="13"/>
  <c r="C179" i="13"/>
  <c r="D179" i="13"/>
  <c r="K179" i="13" s="1"/>
  <c r="E179" i="13"/>
  <c r="F179" i="13"/>
  <c r="G179" i="13"/>
  <c r="A180" i="13"/>
  <c r="B180" i="13"/>
  <c r="C180" i="13"/>
  <c r="D180" i="13"/>
  <c r="K180" i="13" s="1"/>
  <c r="E180" i="13"/>
  <c r="F180" i="13"/>
  <c r="G180" i="13"/>
  <c r="A181" i="13"/>
  <c r="B181" i="13"/>
  <c r="C181" i="13"/>
  <c r="D181" i="13"/>
  <c r="K181" i="13" s="1"/>
  <c r="E181" i="13"/>
  <c r="F181" i="13"/>
  <c r="G181" i="13"/>
  <c r="H181" i="13"/>
  <c r="J181" i="13"/>
  <c r="A182" i="13"/>
  <c r="J182" i="13" s="1"/>
  <c r="B182" i="13"/>
  <c r="C182" i="13"/>
  <c r="D182" i="13"/>
  <c r="E182" i="13"/>
  <c r="F182" i="13"/>
  <c r="G182" i="13"/>
  <c r="K182" i="13"/>
  <c r="A183" i="13"/>
  <c r="J183" i="13" s="1"/>
  <c r="B183" i="13"/>
  <c r="C183" i="13"/>
  <c r="D183" i="13"/>
  <c r="E183" i="13"/>
  <c r="F183" i="13"/>
  <c r="G183" i="13"/>
  <c r="H183" i="13"/>
  <c r="K183" i="13"/>
  <c r="A184" i="13"/>
  <c r="B184" i="13"/>
  <c r="C184" i="13"/>
  <c r="D184" i="13"/>
  <c r="E184" i="13"/>
  <c r="F184" i="13"/>
  <c r="G184" i="13"/>
  <c r="H184" i="13"/>
  <c r="J184" i="13"/>
  <c r="K184" i="13"/>
  <c r="A185" i="13"/>
  <c r="B185" i="13"/>
  <c r="C185" i="13"/>
  <c r="D185" i="13"/>
  <c r="E185" i="13"/>
  <c r="F185" i="13"/>
  <c r="G185" i="13"/>
  <c r="J185" i="13"/>
  <c r="K185" i="13"/>
  <c r="A186" i="13"/>
  <c r="B186" i="13"/>
  <c r="C186" i="13"/>
  <c r="D186" i="13"/>
  <c r="E186" i="13"/>
  <c r="F186" i="13"/>
  <c r="G186" i="13"/>
  <c r="J186" i="13"/>
  <c r="K186" i="13"/>
  <c r="A187" i="13"/>
  <c r="B187" i="13"/>
  <c r="C187" i="13"/>
  <c r="D187" i="13"/>
  <c r="E187" i="13"/>
  <c r="F187" i="13"/>
  <c r="G187" i="13"/>
  <c r="H187" i="13"/>
  <c r="J187" i="13"/>
  <c r="K187" i="13"/>
  <c r="A188" i="13"/>
  <c r="J188" i="13" s="1"/>
  <c r="B188" i="13"/>
  <c r="C188" i="13"/>
  <c r="D188" i="13"/>
  <c r="K188" i="13" s="1"/>
  <c r="E188" i="13"/>
  <c r="F188" i="13"/>
  <c r="G188" i="13"/>
  <c r="H188" i="13"/>
  <c r="A189" i="13"/>
  <c r="B189" i="13"/>
  <c r="C189" i="13"/>
  <c r="D189" i="13"/>
  <c r="E189" i="13"/>
  <c r="F189" i="13"/>
  <c r="G189" i="13"/>
  <c r="H189" i="13"/>
  <c r="J189" i="13"/>
  <c r="K189" i="13"/>
  <c r="A190" i="13"/>
  <c r="J190" i="13" s="1"/>
  <c r="B190" i="13"/>
  <c r="C190" i="13"/>
  <c r="D190" i="13"/>
  <c r="K190" i="13" s="1"/>
  <c r="E190" i="13"/>
  <c r="F190" i="13"/>
  <c r="G190" i="13"/>
  <c r="H190" i="13"/>
  <c r="A191" i="13"/>
  <c r="B191" i="13"/>
  <c r="C191" i="13"/>
  <c r="D191" i="13"/>
  <c r="K191" i="13" s="1"/>
  <c r="E191" i="13"/>
  <c r="F191" i="13"/>
  <c r="G191" i="13"/>
  <c r="H191" i="13"/>
  <c r="A192" i="13"/>
  <c r="B192" i="13"/>
  <c r="J192" i="13" s="1"/>
  <c r="C192" i="13"/>
  <c r="D192" i="13"/>
  <c r="K192" i="13" s="1"/>
  <c r="E192" i="13"/>
  <c r="F192" i="13"/>
  <c r="G192" i="13"/>
  <c r="H192" i="13"/>
  <c r="A193" i="13"/>
  <c r="J193" i="13" s="1"/>
  <c r="B193" i="13"/>
  <c r="C193" i="13"/>
  <c r="D193" i="13"/>
  <c r="E193" i="13"/>
  <c r="F193" i="13"/>
  <c r="G193" i="13"/>
  <c r="H193" i="13"/>
  <c r="K193" i="13"/>
  <c r="A194" i="13"/>
  <c r="B194" i="13"/>
  <c r="C194" i="13"/>
  <c r="D194" i="13"/>
  <c r="E194" i="13"/>
  <c r="F194" i="13"/>
  <c r="G194" i="13"/>
  <c r="H194" i="13"/>
  <c r="J194" i="13"/>
  <c r="K194" i="13"/>
  <c r="A195" i="13"/>
  <c r="B195" i="13"/>
  <c r="C195" i="13"/>
  <c r="D195" i="13"/>
  <c r="E195" i="13"/>
  <c r="F195" i="13"/>
  <c r="G195" i="13"/>
  <c r="H195" i="13"/>
  <c r="J195" i="13"/>
  <c r="K195" i="13"/>
  <c r="A196" i="13"/>
  <c r="J196" i="13" s="1"/>
  <c r="B196" i="13"/>
  <c r="C196" i="13"/>
  <c r="D196" i="13"/>
  <c r="K196" i="13" s="1"/>
  <c r="E196" i="13"/>
  <c r="F196" i="13"/>
  <c r="G196" i="13"/>
  <c r="H196" i="13"/>
  <c r="A197" i="13"/>
  <c r="B197" i="13"/>
  <c r="C197" i="13"/>
  <c r="D197" i="13"/>
  <c r="E197" i="13"/>
  <c r="F197" i="13"/>
  <c r="G197" i="13"/>
  <c r="H197" i="13"/>
  <c r="J197" i="13"/>
  <c r="K197" i="13"/>
  <c r="A198" i="13"/>
  <c r="J198" i="13" s="1"/>
  <c r="B198" i="13"/>
  <c r="C198" i="13"/>
  <c r="D198" i="13"/>
  <c r="K198" i="13" s="1"/>
  <c r="E198" i="13"/>
  <c r="F198" i="13"/>
  <c r="G198" i="13"/>
  <c r="H198" i="13"/>
  <c r="A199" i="13"/>
  <c r="B199" i="13"/>
  <c r="C199" i="13"/>
  <c r="D199" i="13"/>
  <c r="K199" i="13" s="1"/>
  <c r="E199" i="13"/>
  <c r="F199" i="13"/>
  <c r="G199" i="13"/>
  <c r="H199" i="13"/>
  <c r="A200" i="13"/>
  <c r="B200" i="13"/>
  <c r="J200" i="13" s="1"/>
  <c r="C200" i="13"/>
  <c r="D200" i="13"/>
  <c r="K200" i="13" s="1"/>
  <c r="E200" i="13"/>
  <c r="F200" i="13"/>
  <c r="G200" i="13"/>
  <c r="H200" i="13"/>
  <c r="A201" i="13"/>
  <c r="J201" i="13" s="1"/>
  <c r="B201" i="13"/>
  <c r="C201" i="13"/>
  <c r="D201" i="13"/>
  <c r="E201" i="13"/>
  <c r="F201" i="13"/>
  <c r="G201" i="13"/>
  <c r="H201" i="13"/>
  <c r="K201" i="13"/>
  <c r="A202" i="13"/>
  <c r="B202" i="13"/>
  <c r="C202" i="13"/>
  <c r="D202" i="13"/>
  <c r="E202" i="13"/>
  <c r="F202" i="13"/>
  <c r="G202" i="13"/>
  <c r="J202" i="13"/>
  <c r="K202" i="13"/>
  <c r="A203" i="13"/>
  <c r="B203" i="13"/>
  <c r="C203" i="13"/>
  <c r="D203" i="13"/>
  <c r="E203" i="13"/>
  <c r="F203" i="13"/>
  <c r="G203" i="13"/>
  <c r="H203" i="13"/>
  <c r="J203" i="13"/>
  <c r="K203" i="13"/>
  <c r="A204" i="13"/>
  <c r="B204" i="13"/>
  <c r="C204" i="13"/>
  <c r="D204" i="13"/>
  <c r="K204" i="13" s="1"/>
  <c r="E204" i="13"/>
  <c r="F204" i="13"/>
  <c r="G204" i="13"/>
  <c r="H204" i="13"/>
  <c r="J204" i="13"/>
  <c r="A205" i="13"/>
  <c r="B205" i="13"/>
  <c r="C205" i="13"/>
  <c r="D205" i="13"/>
  <c r="E205" i="13"/>
  <c r="F205" i="13"/>
  <c r="G205" i="13"/>
  <c r="H205" i="13"/>
  <c r="J205" i="13"/>
  <c r="K205" i="13"/>
  <c r="A206" i="13"/>
  <c r="J206" i="13" s="1"/>
  <c r="B206" i="13"/>
  <c r="C206" i="13"/>
  <c r="D206" i="13"/>
  <c r="K206" i="13" s="1"/>
  <c r="E206" i="13"/>
  <c r="F206" i="13"/>
  <c r="G206" i="13"/>
  <c r="H206" i="13"/>
  <c r="A207" i="13"/>
  <c r="B207" i="13"/>
  <c r="C207" i="13"/>
  <c r="D207" i="13"/>
  <c r="K207" i="13" s="1"/>
  <c r="E207" i="13"/>
  <c r="F207" i="13"/>
  <c r="G207" i="13"/>
  <c r="H207" i="13"/>
  <c r="A208" i="13"/>
  <c r="B208" i="13"/>
  <c r="C208" i="13"/>
  <c r="D208" i="13"/>
  <c r="K208" i="13" s="1"/>
  <c r="E208" i="13"/>
  <c r="F208" i="13"/>
  <c r="G208" i="13"/>
  <c r="H208" i="13"/>
  <c r="J208" i="13"/>
  <c r="A209" i="13"/>
  <c r="J209" i="13" s="1"/>
  <c r="B209" i="13"/>
  <c r="C209" i="13"/>
  <c r="D209" i="13"/>
  <c r="E209" i="13"/>
  <c r="F209" i="13"/>
  <c r="G209" i="13"/>
  <c r="H209" i="13"/>
  <c r="K209" i="13"/>
  <c r="A210" i="13"/>
  <c r="J210" i="13" s="1"/>
  <c r="B210" i="13"/>
  <c r="C210" i="13"/>
  <c r="D210" i="13"/>
  <c r="E210" i="13"/>
  <c r="F210" i="13"/>
  <c r="G210" i="13"/>
  <c r="H210" i="13"/>
  <c r="K210" i="13"/>
  <c r="A211" i="13"/>
  <c r="B211" i="13"/>
  <c r="C211" i="13"/>
  <c r="D211" i="13"/>
  <c r="E211" i="13"/>
  <c r="F211" i="13"/>
  <c r="G211" i="13"/>
  <c r="H211" i="13"/>
  <c r="J211" i="13"/>
  <c r="K211" i="13"/>
  <c r="A212" i="13"/>
  <c r="B212" i="13"/>
  <c r="C212" i="13"/>
  <c r="D212" i="13"/>
  <c r="K212" i="13" s="1"/>
  <c r="E212" i="13"/>
  <c r="F212" i="13"/>
  <c r="G212" i="13"/>
  <c r="H212" i="13"/>
  <c r="J212" i="13"/>
  <c r="A213" i="13"/>
  <c r="B213" i="13"/>
  <c r="C213" i="13"/>
  <c r="D213" i="13"/>
  <c r="E213" i="13"/>
  <c r="F213" i="13"/>
  <c r="G213" i="13"/>
  <c r="H213" i="13"/>
  <c r="J213" i="13"/>
  <c r="K213" i="13"/>
  <c r="A214" i="13"/>
  <c r="J214" i="13" s="1"/>
  <c r="B214" i="13"/>
  <c r="C214" i="13"/>
  <c r="D214" i="13"/>
  <c r="K214" i="13" s="1"/>
  <c r="E214" i="13"/>
  <c r="F214" i="13"/>
  <c r="G214" i="13"/>
  <c r="H214" i="13"/>
  <c r="A215" i="13"/>
  <c r="B215" i="13"/>
  <c r="C215" i="13"/>
  <c r="D215" i="13"/>
  <c r="K215" i="13" s="1"/>
  <c r="E215" i="13"/>
  <c r="F215" i="13"/>
  <c r="G215" i="13"/>
  <c r="H215" i="13"/>
  <c r="A216" i="13"/>
  <c r="B216" i="13"/>
  <c r="C216" i="13"/>
  <c r="D216" i="13"/>
  <c r="K216" i="13" s="1"/>
  <c r="E216" i="13"/>
  <c r="F216" i="13"/>
  <c r="G216" i="13"/>
  <c r="H216" i="13"/>
  <c r="J216" i="13"/>
  <c r="A217" i="13"/>
  <c r="J217" i="13" s="1"/>
  <c r="B217" i="13"/>
  <c r="C217" i="13"/>
  <c r="D217" i="13"/>
  <c r="E217" i="13"/>
  <c r="F217" i="13"/>
  <c r="G217" i="13"/>
  <c r="K217" i="13"/>
  <c r="A218" i="13"/>
  <c r="B218" i="13"/>
  <c r="C218" i="13"/>
  <c r="D218" i="13"/>
  <c r="K218" i="13" s="1"/>
  <c r="E218" i="13"/>
  <c r="F218" i="13"/>
  <c r="G218" i="13"/>
  <c r="A219" i="13"/>
  <c r="J219" i="13" s="1"/>
  <c r="B219" i="13"/>
  <c r="C219" i="13"/>
  <c r="D219" i="13"/>
  <c r="K219" i="13" s="1"/>
  <c r="E219" i="13"/>
  <c r="F219" i="13"/>
  <c r="G219" i="13"/>
  <c r="A220" i="13"/>
  <c r="J220" i="13" s="1"/>
  <c r="B220" i="13"/>
  <c r="C220" i="13"/>
  <c r="D220" i="13"/>
  <c r="E220" i="13"/>
  <c r="F220" i="13"/>
  <c r="G220" i="13"/>
  <c r="H220" i="13"/>
  <c r="K220" i="13"/>
  <c r="A221" i="13"/>
  <c r="B221" i="13"/>
  <c r="C221" i="13"/>
  <c r="D221" i="13"/>
  <c r="E221" i="13"/>
  <c r="F221" i="13"/>
  <c r="G221" i="13"/>
  <c r="H221" i="13"/>
  <c r="J221" i="13"/>
  <c r="K221" i="13"/>
  <c r="A222" i="13"/>
  <c r="B222" i="13"/>
  <c r="C222" i="13"/>
  <c r="D222" i="13"/>
  <c r="E222" i="13"/>
  <c r="F222" i="13"/>
  <c r="G222" i="13"/>
  <c r="H222" i="13"/>
  <c r="J222" i="13"/>
  <c r="K222" i="13"/>
  <c r="A223" i="13"/>
  <c r="J223" i="13" s="1"/>
  <c r="B223" i="13"/>
  <c r="C223" i="13"/>
  <c r="D223" i="13"/>
  <c r="K223" i="13" s="1"/>
  <c r="E223" i="13"/>
  <c r="F223" i="13"/>
  <c r="G223" i="13"/>
  <c r="H223" i="13"/>
  <c r="A224" i="13"/>
  <c r="B224" i="13"/>
  <c r="C224" i="13"/>
  <c r="D224" i="13"/>
  <c r="E224" i="13"/>
  <c r="F224" i="13"/>
  <c r="G224" i="13"/>
  <c r="H224" i="13"/>
  <c r="J224" i="13"/>
  <c r="K224" i="13"/>
  <c r="A225" i="13"/>
  <c r="J225" i="13" s="1"/>
  <c r="B225" i="13"/>
  <c r="C225" i="13"/>
  <c r="D225" i="13"/>
  <c r="K225" i="13" s="1"/>
  <c r="E225" i="13"/>
  <c r="F225" i="13"/>
  <c r="G225" i="13"/>
  <c r="H225" i="13"/>
  <c r="A226" i="13"/>
  <c r="B226" i="13"/>
  <c r="C226" i="13"/>
  <c r="D226" i="13"/>
  <c r="K226" i="13" s="1"/>
  <c r="E226" i="13"/>
  <c r="F226" i="13"/>
  <c r="G226" i="13"/>
  <c r="H226" i="13"/>
  <c r="A227" i="13"/>
  <c r="B227" i="13"/>
  <c r="J227" i="13" s="1"/>
  <c r="C227" i="13"/>
  <c r="D227" i="13"/>
  <c r="K227" i="13" s="1"/>
  <c r="E227" i="13"/>
  <c r="F227" i="13"/>
  <c r="G227" i="13"/>
  <c r="H227" i="13"/>
  <c r="A228" i="13"/>
  <c r="J228" i="13" s="1"/>
  <c r="B228" i="13"/>
  <c r="C228" i="13"/>
  <c r="D228" i="13"/>
  <c r="E228" i="13"/>
  <c r="F228" i="13"/>
  <c r="G228" i="13"/>
  <c r="K228" i="13"/>
  <c r="A229" i="13"/>
  <c r="J229" i="13" s="1"/>
  <c r="B229" i="13"/>
  <c r="C229" i="13"/>
  <c r="D229" i="13"/>
  <c r="E229" i="13"/>
  <c r="F229" i="13"/>
  <c r="G229" i="13"/>
  <c r="H229" i="13"/>
  <c r="K229" i="13"/>
  <c r="A230" i="13"/>
  <c r="B230" i="13"/>
  <c r="C230" i="13"/>
  <c r="D230" i="13"/>
  <c r="E230" i="13"/>
  <c r="F230" i="13"/>
  <c r="G230" i="13"/>
  <c r="H230" i="13"/>
  <c r="J230" i="13"/>
  <c r="K230" i="13"/>
  <c r="A231" i="13"/>
  <c r="B231" i="13"/>
  <c r="C231" i="13"/>
  <c r="D231" i="13"/>
  <c r="K231" i="13" s="1"/>
  <c r="E231" i="13"/>
  <c r="F231" i="13"/>
  <c r="G231" i="13"/>
  <c r="H231" i="13"/>
  <c r="J231" i="13"/>
  <c r="A232" i="13"/>
  <c r="B232" i="13"/>
  <c r="C232" i="13"/>
  <c r="D232" i="13"/>
  <c r="E232" i="13"/>
  <c r="F232" i="13"/>
  <c r="G232" i="13"/>
  <c r="H232" i="13"/>
  <c r="J232" i="13"/>
  <c r="K232" i="13"/>
  <c r="A233" i="13"/>
  <c r="J233" i="13" s="1"/>
  <c r="B233" i="13"/>
  <c r="C233" i="13"/>
  <c r="D233" i="13"/>
  <c r="K233" i="13" s="1"/>
  <c r="E233" i="13"/>
  <c r="F233" i="13"/>
  <c r="G233" i="13"/>
  <c r="H233" i="13"/>
  <c r="A4" i="13"/>
  <c r="B4" i="13"/>
  <c r="C4" i="13"/>
  <c r="D4" i="13"/>
  <c r="E4" i="13"/>
  <c r="F4" i="13"/>
  <c r="G4" i="13"/>
  <c r="J4" i="13"/>
  <c r="K4" i="13"/>
  <c r="L4" i="13"/>
  <c r="M4" i="13"/>
  <c r="A5" i="13"/>
  <c r="L5" i="13" s="1"/>
  <c r="B5" i="13"/>
  <c r="J5" i="13" s="1"/>
  <c r="C5" i="13"/>
  <c r="D5" i="13"/>
  <c r="K5" i="13" s="1"/>
  <c r="E5" i="13"/>
  <c r="F5" i="13"/>
  <c r="G5" i="13"/>
  <c r="A6" i="13"/>
  <c r="M6" i="13" s="1"/>
  <c r="B6" i="13"/>
  <c r="C6" i="13"/>
  <c r="D6" i="13"/>
  <c r="E6" i="13"/>
  <c r="F6" i="13"/>
  <c r="G6" i="13"/>
  <c r="J6" i="13"/>
  <c r="K6" i="13"/>
  <c r="A7" i="13"/>
  <c r="B7" i="13"/>
  <c r="J7" i="13" s="1"/>
  <c r="C7" i="13"/>
  <c r="D7" i="13"/>
  <c r="K7" i="13" s="1"/>
  <c r="E7" i="13"/>
  <c r="F7" i="13"/>
  <c r="G7" i="13"/>
  <c r="A8" i="13"/>
  <c r="J8" i="13" s="1"/>
  <c r="B8" i="13"/>
  <c r="C8" i="13"/>
  <c r="D8" i="13"/>
  <c r="K8" i="13" s="1"/>
  <c r="E8" i="13"/>
  <c r="F8" i="13"/>
  <c r="G8" i="13"/>
  <c r="A9" i="13"/>
  <c r="B9" i="13"/>
  <c r="C9" i="13"/>
  <c r="D9" i="13"/>
  <c r="E9" i="13"/>
  <c r="F9" i="13"/>
  <c r="G9" i="13"/>
  <c r="J9" i="13"/>
  <c r="K9" i="13"/>
  <c r="A10" i="13"/>
  <c r="J10" i="13" s="1"/>
  <c r="B10" i="13"/>
  <c r="C10" i="13"/>
  <c r="D10" i="13"/>
  <c r="E10" i="13"/>
  <c r="F10" i="13"/>
  <c r="G10" i="13"/>
  <c r="K10" i="13"/>
  <c r="A11" i="13"/>
  <c r="J11" i="13" s="1"/>
  <c r="B11" i="13"/>
  <c r="C11" i="13"/>
  <c r="D11" i="13"/>
  <c r="K11" i="13" s="1"/>
  <c r="E11" i="13"/>
  <c r="F11" i="13"/>
  <c r="G11" i="13"/>
  <c r="A12" i="13"/>
  <c r="B12" i="13"/>
  <c r="C12" i="13"/>
  <c r="D12" i="13"/>
  <c r="K12" i="13" s="1"/>
  <c r="E12" i="13"/>
  <c r="F12" i="13"/>
  <c r="G12" i="13"/>
  <c r="J12" i="13"/>
  <c r="A13" i="13"/>
  <c r="B13" i="13"/>
  <c r="C13" i="13"/>
  <c r="D13" i="13"/>
  <c r="E13" i="13"/>
  <c r="F13" i="13"/>
  <c r="G13" i="13"/>
  <c r="J13" i="13"/>
  <c r="K13" i="13"/>
  <c r="A14" i="13"/>
  <c r="J14" i="13" s="1"/>
  <c r="B14" i="13"/>
  <c r="C14" i="13"/>
  <c r="D14" i="13"/>
  <c r="E14" i="13"/>
  <c r="F14" i="13"/>
  <c r="G14" i="13"/>
  <c r="K14" i="13"/>
  <c r="A15" i="13"/>
  <c r="J15" i="13" s="1"/>
  <c r="B15" i="13"/>
  <c r="C15" i="13"/>
  <c r="D15" i="13"/>
  <c r="K15" i="13" s="1"/>
  <c r="E15" i="13"/>
  <c r="F15" i="13"/>
  <c r="G15" i="13"/>
  <c r="A16" i="13"/>
  <c r="J16" i="13" s="1"/>
  <c r="B16" i="13"/>
  <c r="C16" i="13"/>
  <c r="D16" i="13"/>
  <c r="E16" i="13"/>
  <c r="F16" i="13"/>
  <c r="G16" i="13"/>
  <c r="K16" i="13"/>
  <c r="A17" i="13"/>
  <c r="J17" i="13" s="1"/>
  <c r="B17" i="13"/>
  <c r="C17" i="13"/>
  <c r="D17" i="13"/>
  <c r="K17" i="13" s="1"/>
  <c r="E17" i="13"/>
  <c r="F17" i="13"/>
  <c r="G17" i="13"/>
  <c r="A18" i="13"/>
  <c r="J18" i="13" s="1"/>
  <c r="B18" i="13"/>
  <c r="C18" i="13"/>
  <c r="D18" i="13"/>
  <c r="K18" i="13" s="1"/>
  <c r="E18" i="13"/>
  <c r="F18" i="13"/>
  <c r="G18" i="13"/>
  <c r="A19" i="13"/>
  <c r="B19" i="13"/>
  <c r="C19" i="13"/>
  <c r="D19" i="13"/>
  <c r="E19" i="13"/>
  <c r="F19" i="13"/>
  <c r="G19" i="13"/>
  <c r="J19" i="13"/>
  <c r="L19" i="13" s="1"/>
  <c r="K19" i="13"/>
  <c r="A20" i="13"/>
  <c r="B20" i="13"/>
  <c r="C20" i="13"/>
  <c r="D20" i="13"/>
  <c r="E20" i="13"/>
  <c r="F20" i="13"/>
  <c r="G20" i="13"/>
  <c r="J20" i="13"/>
  <c r="K20" i="13"/>
  <c r="A21" i="13"/>
  <c r="B21" i="13"/>
  <c r="C21" i="13"/>
  <c r="D21" i="13"/>
  <c r="K21" i="13" s="1"/>
  <c r="E21" i="13"/>
  <c r="F21" i="13"/>
  <c r="G21" i="13"/>
  <c r="J21" i="13"/>
  <c r="A22" i="13"/>
  <c r="B22" i="13"/>
  <c r="C22" i="13"/>
  <c r="D22" i="13"/>
  <c r="E22" i="13"/>
  <c r="F22" i="13"/>
  <c r="G22" i="13"/>
  <c r="J22" i="13"/>
  <c r="K22" i="13"/>
  <c r="A23" i="13"/>
  <c r="B23" i="13"/>
  <c r="J23" i="13" s="1"/>
  <c r="C23" i="13"/>
  <c r="D23" i="13"/>
  <c r="E23" i="13"/>
  <c r="F23" i="13"/>
  <c r="G23" i="13"/>
  <c r="K23" i="13"/>
  <c r="A24" i="13"/>
  <c r="B24" i="13"/>
  <c r="J24" i="13" s="1"/>
  <c r="C24" i="13"/>
  <c r="D24" i="13"/>
  <c r="K24" i="13" s="1"/>
  <c r="E24" i="13"/>
  <c r="F24" i="13"/>
  <c r="G24" i="13"/>
  <c r="H24" i="13"/>
  <c r="A25" i="13"/>
  <c r="B25" i="13"/>
  <c r="C25" i="13"/>
  <c r="D25" i="13"/>
  <c r="K25" i="13" s="1"/>
  <c r="E25" i="13"/>
  <c r="F25" i="13"/>
  <c r="G25" i="13"/>
  <c r="J25" i="13"/>
  <c r="A26" i="13"/>
  <c r="B26" i="13"/>
  <c r="C26" i="13"/>
  <c r="D26" i="13"/>
  <c r="E26" i="13"/>
  <c r="F26" i="13"/>
  <c r="G26" i="13"/>
  <c r="J26" i="13"/>
  <c r="K26" i="13"/>
  <c r="A27" i="13"/>
  <c r="J27" i="13" s="1"/>
  <c r="B27" i="13"/>
  <c r="C27" i="13"/>
  <c r="D27" i="13"/>
  <c r="K27" i="13" s="1"/>
  <c r="E27" i="13"/>
  <c r="F27" i="13"/>
  <c r="G27" i="13"/>
  <c r="H27" i="13"/>
  <c r="A28" i="13"/>
  <c r="J28" i="13" s="1"/>
  <c r="B28" i="13"/>
  <c r="C28" i="13"/>
  <c r="D28" i="13"/>
  <c r="K28" i="13" s="1"/>
  <c r="E28" i="13"/>
  <c r="F28" i="13"/>
  <c r="G28" i="13"/>
  <c r="A29" i="13"/>
  <c r="B29" i="13"/>
  <c r="C29" i="13"/>
  <c r="D29" i="13"/>
  <c r="E29" i="13"/>
  <c r="F29" i="13"/>
  <c r="G29" i="13"/>
  <c r="J29" i="13"/>
  <c r="K29" i="13"/>
  <c r="A30" i="13"/>
  <c r="B30" i="13"/>
  <c r="C30" i="13"/>
  <c r="D30" i="13"/>
  <c r="E30" i="13"/>
  <c r="F30" i="13"/>
  <c r="G30" i="13"/>
  <c r="H30" i="13"/>
  <c r="J30" i="13"/>
  <c r="K30" i="13"/>
  <c r="A31" i="13"/>
  <c r="J31" i="13" s="1"/>
  <c r="B31" i="13"/>
  <c r="C31" i="13"/>
  <c r="D31" i="13"/>
  <c r="K31" i="13" s="1"/>
  <c r="E31" i="13"/>
  <c r="F31" i="13"/>
  <c r="G31" i="13"/>
  <c r="H31" i="13"/>
  <c r="A32" i="13"/>
  <c r="B32" i="13"/>
  <c r="C32" i="13"/>
  <c r="D32" i="13"/>
  <c r="K32" i="13" s="1"/>
  <c r="E32" i="13"/>
  <c r="F32" i="13"/>
  <c r="G32" i="13"/>
  <c r="J32" i="13"/>
  <c r="A33" i="13"/>
  <c r="B33" i="13"/>
  <c r="C33" i="13"/>
  <c r="D33" i="13"/>
  <c r="E33" i="13"/>
  <c r="F33" i="13"/>
  <c r="G33" i="13"/>
  <c r="J33" i="13"/>
  <c r="K33" i="13"/>
  <c r="A34" i="13"/>
  <c r="J34" i="13" s="1"/>
  <c r="B34" i="13"/>
  <c r="C34" i="13"/>
  <c r="D34" i="13"/>
  <c r="E34" i="13"/>
  <c r="F34" i="13"/>
  <c r="G34" i="13"/>
  <c r="K34" i="13"/>
  <c r="A35" i="13"/>
  <c r="J35" i="13" s="1"/>
  <c r="B35" i="13"/>
  <c r="C35" i="13"/>
  <c r="D35" i="13"/>
  <c r="K35" i="13" s="1"/>
  <c r="E35" i="13"/>
  <c r="F35" i="13"/>
  <c r="G35" i="13"/>
  <c r="A36" i="13"/>
  <c r="J36" i="13" s="1"/>
  <c r="B36" i="13"/>
  <c r="C36" i="13"/>
  <c r="D36" i="13"/>
  <c r="E36" i="13"/>
  <c r="F36" i="13"/>
  <c r="G36" i="13"/>
  <c r="K36" i="13"/>
  <c r="A37" i="13"/>
  <c r="J37" i="13" s="1"/>
  <c r="B37" i="13"/>
  <c r="C37" i="13"/>
  <c r="D37" i="13"/>
  <c r="K37" i="13" s="1"/>
  <c r="E37" i="13"/>
  <c r="F37" i="13"/>
  <c r="G37" i="13"/>
  <c r="A38" i="13"/>
  <c r="J38" i="13" s="1"/>
  <c r="M38" i="13" s="1"/>
  <c r="B38" i="13"/>
  <c r="C38" i="13"/>
  <c r="D38" i="13"/>
  <c r="K38" i="13" s="1"/>
  <c r="E38" i="13"/>
  <c r="F38" i="13"/>
  <c r="G38" i="13"/>
  <c r="A39" i="13"/>
  <c r="B39" i="13"/>
  <c r="C39" i="13"/>
  <c r="D39" i="13"/>
  <c r="E39" i="13"/>
  <c r="F39" i="13"/>
  <c r="G39" i="13"/>
  <c r="J39" i="13"/>
  <c r="K39" i="13"/>
  <c r="A40" i="13"/>
  <c r="B40" i="13"/>
  <c r="C40" i="13"/>
  <c r="D40" i="13"/>
  <c r="E40" i="13"/>
  <c r="F40" i="13"/>
  <c r="G40" i="13"/>
  <c r="J40" i="13"/>
  <c r="K40" i="13"/>
  <c r="A41" i="13"/>
  <c r="B41" i="13"/>
  <c r="J41" i="13" s="1"/>
  <c r="C41" i="13"/>
  <c r="D41" i="13"/>
  <c r="K41" i="13" s="1"/>
  <c r="E41" i="13"/>
  <c r="F41" i="13"/>
  <c r="G41" i="13"/>
  <c r="A42" i="13"/>
  <c r="B42" i="13"/>
  <c r="C42" i="13"/>
  <c r="D42" i="13"/>
  <c r="E42" i="13"/>
  <c r="F42" i="13"/>
  <c r="G42" i="13"/>
  <c r="J42" i="13"/>
  <c r="K42" i="13"/>
  <c r="A43" i="13"/>
  <c r="B43" i="13"/>
  <c r="J43" i="13" s="1"/>
  <c r="C43" i="13"/>
  <c r="D43" i="13"/>
  <c r="E43" i="13"/>
  <c r="F43" i="13"/>
  <c r="G43" i="13"/>
  <c r="K43" i="13"/>
  <c r="A44" i="13"/>
  <c r="J44" i="13" s="1"/>
  <c r="B44" i="13"/>
  <c r="C44" i="13"/>
  <c r="D44" i="13"/>
  <c r="K44" i="13" s="1"/>
  <c r="E44" i="13"/>
  <c r="F44" i="13"/>
  <c r="G44" i="13"/>
  <c r="A45" i="13"/>
  <c r="B45" i="13"/>
  <c r="C45" i="13"/>
  <c r="D45" i="13"/>
  <c r="E45" i="13"/>
  <c r="F45" i="13"/>
  <c r="G45" i="13"/>
  <c r="J45" i="13"/>
  <c r="K45" i="13"/>
  <c r="A46" i="13"/>
  <c r="B46" i="13"/>
  <c r="C46" i="13"/>
  <c r="D46" i="13"/>
  <c r="E46" i="13"/>
  <c r="F46" i="13"/>
  <c r="G46" i="13"/>
  <c r="J46" i="13"/>
  <c r="K46" i="13"/>
  <c r="A47" i="13"/>
  <c r="J47" i="13" s="1"/>
  <c r="B47" i="13"/>
  <c r="C47" i="13"/>
  <c r="D47" i="13"/>
  <c r="E47" i="13"/>
  <c r="F47" i="13"/>
  <c r="G47" i="13"/>
  <c r="K47" i="13"/>
  <c r="A48" i="13"/>
  <c r="B48" i="13"/>
  <c r="C48" i="13"/>
  <c r="D48" i="13"/>
  <c r="K48" i="13" s="1"/>
  <c r="E48" i="13"/>
  <c r="F48" i="13"/>
  <c r="G48" i="13"/>
  <c r="J48" i="13"/>
  <c r="A49" i="13"/>
  <c r="B49" i="13"/>
  <c r="C49" i="13"/>
  <c r="D49" i="13"/>
  <c r="E49" i="13"/>
  <c r="F49" i="13"/>
  <c r="G49" i="13"/>
  <c r="J49" i="13"/>
  <c r="K49" i="13"/>
  <c r="A50" i="13"/>
  <c r="J50" i="13" s="1"/>
  <c r="B50" i="13"/>
  <c r="C50" i="13"/>
  <c r="D50" i="13"/>
  <c r="K50" i="13" s="1"/>
  <c r="E50" i="13"/>
  <c r="F50" i="13"/>
  <c r="G50" i="13"/>
  <c r="A51" i="13"/>
  <c r="J51" i="13" s="1"/>
  <c r="B51" i="13"/>
  <c r="C51" i="13"/>
  <c r="D51" i="13"/>
  <c r="K51" i="13" s="1"/>
  <c r="E51" i="13"/>
  <c r="F51" i="13"/>
  <c r="G51" i="13"/>
  <c r="A52" i="13"/>
  <c r="B52" i="13"/>
  <c r="C52" i="13"/>
  <c r="D52" i="13"/>
  <c r="E52" i="13"/>
  <c r="F52" i="13"/>
  <c r="G52" i="13"/>
  <c r="J52" i="13"/>
  <c r="K52" i="13"/>
  <c r="A53" i="13"/>
  <c r="J53" i="13" s="1"/>
  <c r="B53" i="13"/>
  <c r="C53" i="13"/>
  <c r="D53" i="13"/>
  <c r="K53" i="13" s="1"/>
  <c r="E53" i="13"/>
  <c r="F53" i="13"/>
  <c r="G53" i="13"/>
  <c r="A54" i="13"/>
  <c r="J54" i="13" s="1"/>
  <c r="B54" i="13"/>
  <c r="C54" i="13"/>
  <c r="D54" i="13"/>
  <c r="K54" i="13" s="1"/>
  <c r="E54" i="13"/>
  <c r="F54" i="13"/>
  <c r="G54" i="13"/>
  <c r="A55" i="13"/>
  <c r="B55" i="13"/>
  <c r="C55" i="13"/>
  <c r="D55" i="13"/>
  <c r="E55" i="13"/>
  <c r="F55" i="13"/>
  <c r="G55" i="13"/>
  <c r="J55" i="13"/>
  <c r="K55" i="13"/>
  <c r="A56" i="13"/>
  <c r="B56" i="13"/>
  <c r="J56" i="13" s="1"/>
  <c r="C56" i="13"/>
  <c r="D56" i="13"/>
  <c r="E56" i="13"/>
  <c r="F56" i="13"/>
  <c r="G56" i="13"/>
  <c r="K56" i="13"/>
  <c r="A57" i="13"/>
  <c r="J57" i="13" s="1"/>
  <c r="B57" i="13"/>
  <c r="C57" i="13"/>
  <c r="D57" i="13"/>
  <c r="K57" i="13" s="1"/>
  <c r="E57" i="13"/>
  <c r="F57" i="13"/>
  <c r="G57" i="13"/>
  <c r="A58" i="13"/>
  <c r="B58" i="13"/>
  <c r="C58" i="13"/>
  <c r="D58" i="13"/>
  <c r="E58" i="13"/>
  <c r="F58" i="13"/>
  <c r="G58" i="13"/>
  <c r="H58" i="13"/>
  <c r="J58" i="13"/>
  <c r="K58" i="13"/>
  <c r="A59" i="13"/>
  <c r="B59" i="13"/>
  <c r="C59" i="13"/>
  <c r="D59" i="13"/>
  <c r="E59" i="13"/>
  <c r="F59" i="13"/>
  <c r="G59" i="13"/>
  <c r="H59" i="13"/>
  <c r="J59" i="13"/>
  <c r="K59" i="13"/>
  <c r="A60" i="13"/>
  <c r="J60" i="13" s="1"/>
  <c r="B60" i="13"/>
  <c r="C60" i="13"/>
  <c r="D60" i="13"/>
  <c r="E60" i="13"/>
  <c r="F60" i="13"/>
  <c r="G60" i="13"/>
  <c r="H60" i="13"/>
  <c r="K60" i="13"/>
  <c r="A61" i="13"/>
  <c r="J61" i="13" s="1"/>
  <c r="B61" i="13"/>
  <c r="C61" i="13"/>
  <c r="D61" i="13"/>
  <c r="K61" i="13" s="1"/>
  <c r="E61" i="13"/>
  <c r="F61" i="13"/>
  <c r="G61" i="13"/>
  <c r="H61" i="13"/>
  <c r="A62" i="13"/>
  <c r="B62" i="13"/>
  <c r="C62" i="13"/>
  <c r="D62" i="13"/>
  <c r="E62" i="13"/>
  <c r="F62" i="13"/>
  <c r="G62" i="13"/>
  <c r="H62" i="13"/>
  <c r="J62" i="13"/>
  <c r="K62" i="13"/>
  <c r="A63" i="13"/>
  <c r="B63" i="13"/>
  <c r="C63" i="13"/>
  <c r="D63" i="13"/>
  <c r="E63" i="13"/>
  <c r="F63" i="13"/>
  <c r="G63" i="13"/>
  <c r="H63" i="13"/>
  <c r="J63" i="13"/>
  <c r="K63" i="13"/>
  <c r="A64" i="13"/>
  <c r="J64" i="13" s="1"/>
  <c r="B64" i="13"/>
  <c r="C64" i="13"/>
  <c r="D64" i="13"/>
  <c r="K64" i="13" s="1"/>
  <c r="E64" i="13"/>
  <c r="F64" i="13"/>
  <c r="G64" i="13"/>
  <c r="H64" i="13"/>
  <c r="A65" i="13"/>
  <c r="J65" i="13" s="1"/>
  <c r="B65" i="13"/>
  <c r="C65" i="13"/>
  <c r="D65" i="13"/>
  <c r="K65" i="13" s="1"/>
  <c r="E65" i="13"/>
  <c r="F65" i="13"/>
  <c r="G65" i="13"/>
  <c r="H65" i="13"/>
  <c r="A66" i="13"/>
  <c r="B66" i="13"/>
  <c r="C66" i="13"/>
  <c r="D66" i="13"/>
  <c r="E66" i="13"/>
  <c r="F66" i="13"/>
  <c r="G66" i="13"/>
  <c r="H66" i="13"/>
  <c r="J66" i="13"/>
  <c r="K66" i="13"/>
  <c r="A67" i="13"/>
  <c r="B67" i="13"/>
  <c r="C67" i="13"/>
  <c r="D67" i="13"/>
  <c r="E67" i="13"/>
  <c r="F67" i="13"/>
  <c r="G67" i="13"/>
  <c r="J67" i="13"/>
  <c r="K67" i="13"/>
  <c r="A68" i="13"/>
  <c r="J68" i="13" s="1"/>
  <c r="B68" i="13"/>
  <c r="C68" i="13"/>
  <c r="D68" i="13"/>
  <c r="K68" i="13" s="1"/>
  <c r="E68" i="13"/>
  <c r="F68" i="13"/>
  <c r="G68" i="13"/>
  <c r="A69" i="13"/>
  <c r="B69" i="13"/>
  <c r="C69" i="13"/>
  <c r="D69" i="13"/>
  <c r="K69" i="13" s="1"/>
  <c r="E69" i="13"/>
  <c r="F69" i="13"/>
  <c r="G69" i="13"/>
  <c r="J69" i="13"/>
  <c r="M69" i="13" s="1"/>
  <c r="A70" i="13"/>
  <c r="B70" i="13"/>
  <c r="C70" i="13"/>
  <c r="D70" i="13"/>
  <c r="E70" i="13"/>
  <c r="F70" i="13"/>
  <c r="G70" i="13"/>
  <c r="J70" i="13"/>
  <c r="K70" i="13"/>
  <c r="A71" i="13"/>
  <c r="J71" i="13" s="1"/>
  <c r="B71" i="13"/>
  <c r="C71" i="13"/>
  <c r="D71" i="13"/>
  <c r="E71" i="13"/>
  <c r="F71" i="13"/>
  <c r="G71" i="13"/>
  <c r="K71" i="13"/>
  <c r="A72" i="13"/>
  <c r="J72" i="13" s="1"/>
  <c r="B72" i="13"/>
  <c r="C72" i="13"/>
  <c r="D72" i="13"/>
  <c r="K72" i="13" s="1"/>
  <c r="E72" i="13"/>
  <c r="F72" i="13"/>
  <c r="G72" i="13"/>
  <c r="A73" i="13"/>
  <c r="B73" i="13"/>
  <c r="C73" i="13"/>
  <c r="D73" i="13"/>
  <c r="E73" i="13"/>
  <c r="F73" i="13"/>
  <c r="G73" i="13"/>
  <c r="H73" i="13"/>
  <c r="J73" i="13"/>
  <c r="L73" i="13" s="1"/>
  <c r="K73" i="13"/>
  <c r="A74" i="13"/>
  <c r="B74" i="13"/>
  <c r="C74" i="13"/>
  <c r="D74" i="13"/>
  <c r="E74" i="13"/>
  <c r="F74" i="13"/>
  <c r="G74" i="13"/>
  <c r="H74" i="13"/>
  <c r="J74" i="13"/>
  <c r="K74" i="13"/>
  <c r="A75" i="13"/>
  <c r="J75" i="13" s="1"/>
  <c r="B75" i="13"/>
  <c r="C75" i="13"/>
  <c r="D75" i="13"/>
  <c r="K75" i="13" s="1"/>
  <c r="E75" i="13"/>
  <c r="F75" i="13"/>
  <c r="G75" i="13"/>
  <c r="A76" i="13"/>
  <c r="B76" i="13"/>
  <c r="C76" i="13"/>
  <c r="D76" i="13"/>
  <c r="E76" i="13"/>
  <c r="F76" i="13"/>
  <c r="G76" i="13"/>
  <c r="J76" i="13"/>
  <c r="K76" i="13"/>
  <c r="A77" i="13"/>
  <c r="B77" i="13"/>
  <c r="C77" i="13"/>
  <c r="D77" i="13"/>
  <c r="E77" i="13"/>
  <c r="F77" i="13"/>
  <c r="G77" i="13"/>
  <c r="H77" i="13"/>
  <c r="J77" i="13"/>
  <c r="K77" i="13"/>
  <c r="A78" i="13"/>
  <c r="J78" i="13" s="1"/>
  <c r="B78" i="13"/>
  <c r="C78" i="13"/>
  <c r="D78" i="13"/>
  <c r="K78" i="13" s="1"/>
  <c r="E78" i="13"/>
  <c r="F78" i="13"/>
  <c r="G78" i="13"/>
  <c r="H78" i="13"/>
  <c r="A79" i="13"/>
  <c r="J79" i="13" s="1"/>
  <c r="B79" i="13"/>
  <c r="C79" i="13"/>
  <c r="D79" i="13"/>
  <c r="K79" i="13" s="1"/>
  <c r="E79" i="13"/>
  <c r="F79" i="13"/>
  <c r="G79" i="13"/>
  <c r="H79" i="13"/>
  <c r="A80" i="13"/>
  <c r="B80" i="13"/>
  <c r="C80" i="13"/>
  <c r="D80" i="13"/>
  <c r="E80" i="13"/>
  <c r="F80" i="13"/>
  <c r="G80" i="13"/>
  <c r="H80" i="13"/>
  <c r="J80" i="13"/>
  <c r="K80" i="13"/>
  <c r="A81" i="13"/>
  <c r="B81" i="13"/>
  <c r="C81" i="13"/>
  <c r="D81" i="13"/>
  <c r="E81" i="13"/>
  <c r="F81" i="13"/>
  <c r="G81" i="13"/>
  <c r="J81" i="13"/>
  <c r="K81" i="13"/>
  <c r="A82" i="13"/>
  <c r="J82" i="13" s="1"/>
  <c r="B82" i="13"/>
  <c r="C82" i="13"/>
  <c r="D82" i="13"/>
  <c r="E82" i="13"/>
  <c r="F82" i="13"/>
  <c r="G82" i="13"/>
  <c r="H82" i="13"/>
  <c r="K82" i="13"/>
  <c r="A83" i="13"/>
  <c r="J83" i="13" s="1"/>
  <c r="B83" i="13"/>
  <c r="C83" i="13"/>
  <c r="D83" i="13"/>
  <c r="K83" i="13" s="1"/>
  <c r="E83" i="13"/>
  <c r="F83" i="13"/>
  <c r="G83" i="13"/>
  <c r="A84" i="13"/>
  <c r="B84" i="13"/>
  <c r="C84" i="13"/>
  <c r="D84" i="13"/>
  <c r="E84" i="13"/>
  <c r="F84" i="13"/>
  <c r="G84" i="13"/>
  <c r="H84" i="13"/>
  <c r="J84" i="13"/>
  <c r="K84" i="13"/>
  <c r="A85" i="13"/>
  <c r="B85" i="13"/>
  <c r="C85" i="13"/>
  <c r="D85" i="13"/>
  <c r="E85" i="13"/>
  <c r="F85" i="13"/>
  <c r="G85" i="13"/>
  <c r="H85" i="13"/>
  <c r="J85" i="13"/>
  <c r="K85" i="13"/>
  <c r="A86" i="13"/>
  <c r="B86" i="13"/>
  <c r="J86" i="13" s="1"/>
  <c r="C86" i="13"/>
  <c r="D86" i="13"/>
  <c r="K86" i="13" s="1"/>
  <c r="E86" i="13"/>
  <c r="F86" i="13"/>
  <c r="G86" i="13"/>
  <c r="H86" i="13"/>
  <c r="A87" i="13"/>
  <c r="J87" i="13" s="1"/>
  <c r="B87" i="13"/>
  <c r="C87" i="13"/>
  <c r="D87" i="13"/>
  <c r="K87" i="13" s="1"/>
  <c r="E87" i="13"/>
  <c r="F87" i="13"/>
  <c r="G87" i="13"/>
  <c r="H87" i="13"/>
  <c r="A88" i="13"/>
  <c r="B88" i="13"/>
  <c r="C88" i="13"/>
  <c r="D88" i="13"/>
  <c r="E88" i="13"/>
  <c r="F88" i="13"/>
  <c r="G88" i="13"/>
  <c r="H88" i="13"/>
  <c r="J88" i="13"/>
  <c r="K88" i="13"/>
  <c r="A89" i="13"/>
  <c r="B89" i="13"/>
  <c r="C89" i="13"/>
  <c r="D89" i="13"/>
  <c r="E89" i="13"/>
  <c r="F89" i="13"/>
  <c r="G89" i="13"/>
  <c r="H89" i="13"/>
  <c r="J89" i="13"/>
  <c r="K89" i="13"/>
  <c r="A90" i="13"/>
  <c r="J90" i="13" s="1"/>
  <c r="B90" i="13"/>
  <c r="C90" i="13"/>
  <c r="D90" i="13"/>
  <c r="K90" i="13" s="1"/>
  <c r="E90" i="13"/>
  <c r="F90" i="13"/>
  <c r="G90" i="13"/>
  <c r="H90" i="13"/>
  <c r="A91" i="13"/>
  <c r="J91" i="13" s="1"/>
  <c r="B91" i="13"/>
  <c r="C91" i="13"/>
  <c r="D91" i="13"/>
  <c r="K91" i="13" s="1"/>
  <c r="E91" i="13"/>
  <c r="F91" i="13"/>
  <c r="G91" i="13"/>
  <c r="H91" i="13"/>
  <c r="A92" i="13"/>
  <c r="B92" i="13"/>
  <c r="C92" i="13"/>
  <c r="D92" i="13"/>
  <c r="E92" i="13"/>
  <c r="F92" i="13"/>
  <c r="G92" i="13"/>
  <c r="J92" i="13"/>
  <c r="K92" i="13"/>
  <c r="A93" i="13"/>
  <c r="J93" i="13" s="1"/>
  <c r="B93" i="13"/>
  <c r="C93" i="13"/>
  <c r="D93" i="13"/>
  <c r="K93" i="13" s="1"/>
  <c r="E93" i="13"/>
  <c r="F93" i="13"/>
  <c r="G93" i="13"/>
  <c r="A94" i="13"/>
  <c r="J94" i="13" s="1"/>
  <c r="B94" i="13"/>
  <c r="C94" i="13"/>
  <c r="D94" i="13"/>
  <c r="K94" i="13" s="1"/>
  <c r="E94" i="13"/>
  <c r="F94" i="13"/>
  <c r="G94" i="13"/>
  <c r="A95" i="13"/>
  <c r="B95" i="13"/>
  <c r="C95" i="13"/>
  <c r="D95" i="13"/>
  <c r="E95" i="13"/>
  <c r="F95" i="13"/>
  <c r="G95" i="13"/>
  <c r="H95" i="13"/>
  <c r="J95" i="13"/>
  <c r="K95" i="13"/>
  <c r="A96" i="13"/>
  <c r="B96" i="13"/>
  <c r="J96" i="13" s="1"/>
  <c r="C96" i="13"/>
  <c r="D96" i="13"/>
  <c r="E96" i="13"/>
  <c r="F96" i="13"/>
  <c r="G96" i="13"/>
  <c r="K96" i="13"/>
  <c r="A97" i="13"/>
  <c r="J97" i="13" s="1"/>
  <c r="B97" i="13"/>
  <c r="C97" i="13"/>
  <c r="D97" i="13"/>
  <c r="K97" i="13" s="1"/>
  <c r="E97" i="13"/>
  <c r="F97" i="13"/>
  <c r="G97" i="13"/>
  <c r="A98" i="13"/>
  <c r="B98" i="13"/>
  <c r="C98" i="13"/>
  <c r="D98" i="13"/>
  <c r="E98" i="13"/>
  <c r="F98" i="13"/>
  <c r="G98" i="13"/>
  <c r="J98" i="13"/>
  <c r="K98" i="13"/>
  <c r="A99" i="13"/>
  <c r="B99" i="13"/>
  <c r="C99" i="13"/>
  <c r="D99" i="13"/>
  <c r="E99" i="13"/>
  <c r="F99" i="13"/>
  <c r="G99" i="13"/>
  <c r="H99" i="13"/>
  <c r="J99" i="13"/>
  <c r="K99" i="13"/>
  <c r="A100" i="13"/>
  <c r="J100" i="13" s="1"/>
  <c r="B100" i="13"/>
  <c r="C100" i="13"/>
  <c r="D100" i="13"/>
  <c r="K100" i="13" s="1"/>
  <c r="E100" i="13"/>
  <c r="F100" i="13"/>
  <c r="G100" i="13"/>
  <c r="H100" i="13"/>
  <c r="A101" i="13"/>
  <c r="J101" i="13" s="1"/>
  <c r="B101" i="13"/>
  <c r="C101" i="13"/>
  <c r="D101" i="13"/>
  <c r="K101" i="13" s="1"/>
  <c r="E101" i="13"/>
  <c r="F101" i="13"/>
  <c r="G101" i="13"/>
  <c r="H101" i="13"/>
  <c r="A102" i="13"/>
  <c r="B102" i="13"/>
  <c r="C102" i="13"/>
  <c r="D102" i="13"/>
  <c r="E102" i="13"/>
  <c r="F102" i="13"/>
  <c r="G102" i="13"/>
  <c r="H102" i="13"/>
  <c r="J102" i="13"/>
  <c r="K102" i="13"/>
  <c r="A103" i="13"/>
  <c r="B103" i="13"/>
  <c r="C103" i="13"/>
  <c r="D103" i="13"/>
  <c r="E103" i="13"/>
  <c r="F103" i="13"/>
  <c r="G103" i="13"/>
  <c r="H103" i="13"/>
  <c r="J103" i="13"/>
  <c r="K103" i="13"/>
  <c r="A104" i="13"/>
  <c r="J104" i="13" s="1"/>
  <c r="B104" i="13"/>
  <c r="C104" i="13"/>
  <c r="D104" i="13"/>
  <c r="E104" i="13"/>
  <c r="F104" i="13"/>
  <c r="G104" i="13"/>
  <c r="H104" i="13"/>
  <c r="K104" i="13"/>
  <c r="A105" i="13"/>
  <c r="J105" i="13" s="1"/>
  <c r="B105" i="13"/>
  <c r="C105" i="13"/>
  <c r="D105" i="13"/>
  <c r="K105" i="13" s="1"/>
  <c r="E105" i="13"/>
  <c r="F105" i="13"/>
  <c r="G105" i="13"/>
  <c r="H105" i="13"/>
  <c r="A106" i="13"/>
  <c r="B106" i="13"/>
  <c r="C106" i="13"/>
  <c r="D106" i="13"/>
  <c r="E106" i="13"/>
  <c r="F106" i="13"/>
  <c r="G106" i="13"/>
  <c r="H106" i="13"/>
  <c r="J106" i="13"/>
  <c r="K106" i="13"/>
  <c r="A107" i="13"/>
  <c r="B107" i="13"/>
  <c r="C107" i="13"/>
  <c r="D107" i="13"/>
  <c r="E107" i="13"/>
  <c r="F107" i="13"/>
  <c r="G107" i="13"/>
  <c r="H107" i="13"/>
  <c r="J107" i="13"/>
  <c r="K107" i="13"/>
  <c r="A108" i="13"/>
  <c r="J108" i="13" s="1"/>
  <c r="B108" i="13"/>
  <c r="C108" i="13"/>
  <c r="D108" i="13"/>
  <c r="K108" i="13" s="1"/>
  <c r="E108" i="13"/>
  <c r="F108" i="13"/>
  <c r="G108" i="13"/>
  <c r="H108" i="13"/>
  <c r="A109" i="13"/>
  <c r="J109" i="13" s="1"/>
  <c r="B109" i="13"/>
  <c r="C109" i="13"/>
  <c r="D109" i="13"/>
  <c r="K109" i="13" s="1"/>
  <c r="E109" i="13"/>
  <c r="F109" i="13"/>
  <c r="G109" i="13"/>
  <c r="H109" i="13"/>
  <c r="A110" i="13"/>
  <c r="B110" i="13"/>
  <c r="C110" i="13"/>
  <c r="D110" i="13"/>
  <c r="E110" i="13"/>
  <c r="F110" i="13"/>
  <c r="G110" i="13"/>
  <c r="H110" i="13"/>
  <c r="J110" i="13"/>
  <c r="K110" i="13"/>
  <c r="A111" i="13"/>
  <c r="B111" i="13"/>
  <c r="C111" i="13"/>
  <c r="D111" i="13"/>
  <c r="K111" i="13" s="1"/>
  <c r="E111" i="13"/>
  <c r="F111" i="13"/>
  <c r="G111" i="13"/>
  <c r="H111" i="13"/>
  <c r="J111" i="13"/>
  <c r="A112" i="13"/>
  <c r="B112" i="13"/>
  <c r="C112" i="13"/>
  <c r="D112" i="13"/>
  <c r="E112" i="13"/>
  <c r="F112" i="13"/>
  <c r="G112" i="13"/>
  <c r="H112" i="13"/>
  <c r="K112" i="13"/>
  <c r="A113" i="13"/>
  <c r="J113" i="13" s="1"/>
  <c r="B113" i="13"/>
  <c r="C113" i="13"/>
  <c r="D113" i="13"/>
  <c r="K113" i="13" s="1"/>
  <c r="E113" i="13"/>
  <c r="F113" i="13"/>
  <c r="G113" i="13"/>
  <c r="H113" i="13"/>
  <c r="A114" i="13"/>
  <c r="B114" i="13"/>
  <c r="C114" i="13"/>
  <c r="D114" i="13"/>
  <c r="E114" i="13"/>
  <c r="F114" i="13"/>
  <c r="G114" i="13"/>
  <c r="H114" i="13"/>
  <c r="J114" i="13"/>
  <c r="K114" i="13"/>
  <c r="A115" i="13"/>
  <c r="B115" i="13"/>
  <c r="C115" i="13"/>
  <c r="D115" i="13"/>
  <c r="E115" i="13"/>
  <c r="F115" i="13"/>
  <c r="G115" i="13"/>
  <c r="J115" i="13"/>
  <c r="K115" i="13"/>
  <c r="A116" i="13"/>
  <c r="J116" i="13" s="1"/>
  <c r="B116" i="13"/>
  <c r="C116" i="13"/>
  <c r="D116" i="13"/>
  <c r="E116" i="13"/>
  <c r="F116" i="13"/>
  <c r="G116" i="13"/>
  <c r="H116" i="13"/>
  <c r="K116" i="13"/>
  <c r="A117" i="13"/>
  <c r="J117" i="13" s="1"/>
  <c r="B117" i="13"/>
  <c r="C117" i="13"/>
  <c r="D117" i="13"/>
  <c r="K117" i="13" s="1"/>
  <c r="E117" i="13"/>
  <c r="F117" i="13"/>
  <c r="G117" i="13"/>
  <c r="H117" i="13"/>
  <c r="A118" i="13"/>
  <c r="B118" i="13"/>
  <c r="C118" i="13"/>
  <c r="D118" i="13"/>
  <c r="E118" i="13"/>
  <c r="F118" i="13"/>
  <c r="G118" i="13"/>
  <c r="H118" i="13"/>
  <c r="J118" i="13"/>
  <c r="K118" i="13"/>
  <c r="J448" i="12" l="1" a="1"/>
  <c r="J448" i="12" s="1"/>
  <c r="J450" i="12" a="1"/>
  <c r="J450" i="12" s="1"/>
  <c r="J417" i="12" a="1"/>
  <c r="J417" i="12" s="1"/>
  <c r="J390" i="12" a="1"/>
  <c r="J390" i="12" s="1"/>
  <c r="J457" i="12" a="1"/>
  <c r="J457" i="12" s="1"/>
  <c r="J446" i="12" a="1"/>
  <c r="J446" i="12" s="1"/>
  <c r="J435" i="12" a="1"/>
  <c r="J435" i="12" s="1"/>
  <c r="J426" i="12" a="1"/>
  <c r="J426" i="12" s="1"/>
  <c r="J375" i="12" a="1"/>
  <c r="J375" i="12" s="1"/>
  <c r="J433" i="12" a="1"/>
  <c r="J433" i="12" s="1"/>
  <c r="J455" i="12" a="1"/>
  <c r="J455" i="12" s="1"/>
  <c r="J411" i="12" a="1"/>
  <c r="J411" i="12" s="1"/>
  <c r="J371" i="12" a="1"/>
  <c r="J371" i="12" s="1"/>
  <c r="J413" i="12" a="1"/>
  <c r="J413" i="12" s="1"/>
  <c r="J422" i="12" a="1"/>
  <c r="J422" i="12" s="1"/>
  <c r="J377" i="12" a="1"/>
  <c r="J377" i="12" s="1"/>
  <c r="J449" i="12" a="1"/>
  <c r="J449" i="12" s="1"/>
  <c r="J405" i="12" a="1"/>
  <c r="J405" i="12" s="1"/>
  <c r="J399" i="12" a="1"/>
  <c r="J399" i="12" s="1"/>
  <c r="J387" i="12" a="1"/>
  <c r="J387" i="12" s="1"/>
  <c r="J385" i="12" a="1"/>
  <c r="J385" i="12" s="1"/>
  <c r="J453" i="12" a="1"/>
  <c r="J453" i="12" s="1"/>
  <c r="J409" i="12" a="1"/>
  <c r="J409" i="12" s="1"/>
  <c r="J397" i="12" a="1"/>
  <c r="J397" i="12" s="1"/>
  <c r="J383" i="12" a="1"/>
  <c r="J383" i="12" s="1"/>
  <c r="J468" i="12" a="1"/>
  <c r="J468" i="12" s="1"/>
  <c r="J464" i="12" a="1"/>
  <c r="J464" i="12" s="1"/>
  <c r="J462" i="12" a="1"/>
  <c r="J462" i="12" s="1"/>
  <c r="J451" i="12" a="1"/>
  <c r="J451" i="12" s="1"/>
  <c r="J407" i="12" a="1"/>
  <c r="J407" i="12" s="1"/>
  <c r="J381" i="12" a="1"/>
  <c r="J381" i="12" s="1"/>
  <c r="J460" i="12" a="1"/>
  <c r="J460" i="12" s="1"/>
  <c r="J401" i="12" a="1"/>
  <c r="J401" i="12" s="1"/>
  <c r="J395" i="12" a="1"/>
  <c r="J395" i="12" s="1"/>
  <c r="J393" i="12" a="1"/>
  <c r="J393" i="12" s="1"/>
  <c r="J389" i="12" a="1"/>
  <c r="J389" i="12" s="1"/>
  <c r="J353" i="12" a="1"/>
  <c r="J353" i="12" s="1"/>
  <c r="J429" i="12" a="1"/>
  <c r="J429" i="12" s="1"/>
  <c r="J418" i="12" a="1"/>
  <c r="J418" i="12" s="1"/>
  <c r="J466" i="12" a="1"/>
  <c r="J466" i="12" s="1"/>
  <c r="J442" i="12" a="1"/>
  <c r="J442" i="12" s="1"/>
  <c r="J445" i="12" a="1"/>
  <c r="J445" i="12" s="1"/>
  <c r="J447" i="12" a="1"/>
  <c r="J447" i="12" s="1"/>
  <c r="J438" i="12" a="1"/>
  <c r="J438" i="12" s="1"/>
  <c r="J414" i="12" a="1"/>
  <c r="J414" i="12" s="1"/>
  <c r="J412" i="12" a="1"/>
  <c r="J412" i="12" s="1"/>
  <c r="J376" i="12" a="1"/>
  <c r="J376" i="12" s="1"/>
  <c r="J384" i="12" a="1"/>
  <c r="J384" i="12" s="1"/>
  <c r="J463" i="12" a="1"/>
  <c r="J463" i="12" s="1"/>
  <c r="J461" i="12" a="1"/>
  <c r="J461" i="12" s="1"/>
  <c r="J408" i="12" a="1"/>
  <c r="J408" i="12" s="1"/>
  <c r="J406" i="12" a="1"/>
  <c r="J406" i="12" s="1"/>
  <c r="J404" i="12" a="1"/>
  <c r="J404" i="12" s="1"/>
  <c r="J386" i="12" a="1"/>
  <c r="J386" i="12" s="1"/>
  <c r="J467" i="12" a="1"/>
  <c r="J467" i="12" s="1"/>
  <c r="J430" i="12" a="1"/>
  <c r="J430" i="12" s="1"/>
  <c r="J421" i="12" a="1"/>
  <c r="J421" i="12" s="1"/>
  <c r="J388" i="12" a="1"/>
  <c r="J388" i="12" s="1"/>
  <c r="J378" i="12" a="1"/>
  <c r="J378" i="12" s="1"/>
  <c r="J402" i="12" a="1"/>
  <c r="J402" i="12" s="1"/>
  <c r="J396" i="12" a="1"/>
  <c r="J396" i="12" s="1"/>
  <c r="J394" i="12" a="1"/>
  <c r="J394" i="12" s="1"/>
  <c r="J321" i="12" a="1"/>
  <c r="J321" i="12" s="1"/>
  <c r="J319" i="12" a="1"/>
  <c r="J319" i="12" s="1"/>
  <c r="J293" i="12" a="1"/>
  <c r="J293" i="12" s="1"/>
  <c r="J349" i="12" a="1"/>
  <c r="J349" i="12" s="1"/>
  <c r="J317" i="12" a="1"/>
  <c r="J317" i="12" s="1"/>
  <c r="J291" i="12" a="1"/>
  <c r="J291" i="12" s="1"/>
  <c r="J363" i="12" a="1"/>
  <c r="J363" i="12" s="1"/>
  <c r="J329" i="12" a="1"/>
  <c r="J329" i="12" s="1"/>
  <c r="J335" i="12" a="1"/>
  <c r="J335" i="12" s="1"/>
  <c r="J337" i="12" a="1"/>
  <c r="J337" i="12" s="1"/>
  <c r="J366" i="12" a="1"/>
  <c r="J366" i="12" s="1"/>
  <c r="J343" i="12" a="1"/>
  <c r="J343" i="12" s="1"/>
  <c r="J339" i="12" a="1"/>
  <c r="J339" i="12" s="1"/>
  <c r="J341" i="12" a="1"/>
  <c r="J341" i="12" s="1"/>
  <c r="J354" i="12" a="1"/>
  <c r="J354" i="12" s="1"/>
  <c r="J308" i="12" a="1"/>
  <c r="J308" i="12" s="1"/>
  <c r="J310" i="12" a="1"/>
  <c r="J310" i="12" s="1"/>
  <c r="J304" i="12" a="1"/>
  <c r="J304" i="12" s="1"/>
  <c r="J302" i="12" a="1"/>
  <c r="J302" i="12" s="1"/>
  <c r="J316" i="12" a="1"/>
  <c r="J316" i="12" s="1"/>
  <c r="J312" i="12" a="1"/>
  <c r="J312" i="12" s="1"/>
  <c r="J314" i="12" a="1"/>
  <c r="J314" i="12" s="1"/>
  <c r="J324" i="12" a="1"/>
  <c r="J324" i="12" s="1"/>
  <c r="J306" i="12" a="1"/>
  <c r="J306" i="12" s="1"/>
  <c r="J348" i="12" a="1"/>
  <c r="J348" i="12" s="1"/>
  <c r="J326" i="12" a="1"/>
  <c r="J326" i="12" s="1"/>
  <c r="J322" i="12" a="1"/>
  <c r="J322" i="12" s="1"/>
  <c r="J296" i="12" a="1"/>
  <c r="J296" i="12" s="1"/>
  <c r="J274" i="12" a="1"/>
  <c r="J274" i="12" s="1"/>
  <c r="J367" i="12" a="1"/>
  <c r="J367" i="12" s="1"/>
  <c r="J373" i="12" a="1"/>
  <c r="J373" i="12" s="1"/>
  <c r="J346" i="12" a="1"/>
  <c r="J346" i="12" s="1"/>
  <c r="J330" i="12" a="1"/>
  <c r="J330" i="12" s="1"/>
  <c r="J357" i="12" a="1"/>
  <c r="J357" i="12" s="1"/>
  <c r="J328" i="12" a="1"/>
  <c r="J328" i="12" s="1"/>
  <c r="J362" i="12" a="1"/>
  <c r="J362" i="12" s="1"/>
  <c r="J344" i="12" a="1"/>
  <c r="J344" i="12" s="1"/>
  <c r="J336" i="12" a="1"/>
  <c r="J336" i="12" s="1"/>
  <c r="J332" i="12" a="1"/>
  <c r="J332" i="12" s="1"/>
  <c r="J282" i="12" a="1"/>
  <c r="J282" i="12" s="1"/>
  <c r="J340" i="12" a="1"/>
  <c r="J340" i="12" s="1"/>
  <c r="J338" i="12" a="1"/>
  <c r="J338" i="12" s="1"/>
  <c r="J286" i="12" a="1"/>
  <c r="J286" i="12" s="1"/>
  <c r="J360" i="12" a="1"/>
  <c r="J360" i="12" s="1"/>
  <c r="J301" i="12" a="1"/>
  <c r="J301" i="12" s="1"/>
  <c r="J299" i="12" a="1"/>
  <c r="J299" i="12" s="1"/>
  <c r="J309" i="12" a="1"/>
  <c r="J309" i="12" s="1"/>
  <c r="J297" i="12" a="1"/>
  <c r="J297" i="12" s="1"/>
  <c r="J313" i="12" a="1"/>
  <c r="J313" i="12" s="1"/>
  <c r="J368" i="12" a="1"/>
  <c r="J368" i="12" s="1"/>
  <c r="J307" i="12" a="1"/>
  <c r="J307" i="12" s="1"/>
  <c r="J351" i="12" a="1"/>
  <c r="J351" i="12" s="1"/>
  <c r="J323" i="12" a="1"/>
  <c r="J323" i="12" s="1"/>
  <c r="J315" i="12" a="1"/>
  <c r="J315" i="12" s="1"/>
  <c r="J311" i="12" a="1"/>
  <c r="J311" i="12" s="1"/>
  <c r="J305" i="12" a="1"/>
  <c r="J305" i="12" s="1"/>
  <c r="J303" i="12" a="1"/>
  <c r="J303" i="12" s="1"/>
  <c r="J270" i="12" a="1"/>
  <c r="J270" i="12" s="1"/>
  <c r="J259" i="12" a="1"/>
  <c r="J259" i="12" s="1"/>
  <c r="J226" i="12" a="1"/>
  <c r="J226" i="12" s="1"/>
  <c r="J268" i="12" a="1"/>
  <c r="J268" i="12" s="1"/>
  <c r="J257" i="12" a="1"/>
  <c r="J257" i="12" s="1"/>
  <c r="J280" i="12" a="1"/>
  <c r="J280" i="12" s="1"/>
  <c r="J246" i="12" a="1"/>
  <c r="J246" i="12" s="1"/>
  <c r="J235" i="12" a="1"/>
  <c r="J235" i="12" s="1"/>
  <c r="J233" i="12" a="1"/>
  <c r="J233" i="12" s="1"/>
  <c r="J266" i="12" a="1"/>
  <c r="J266" i="12" s="1"/>
  <c r="J255" i="12" a="1"/>
  <c r="J255" i="12" s="1"/>
  <c r="J218" i="12" a="1"/>
  <c r="J218" i="12" s="1"/>
  <c r="J288" i="12" a="1"/>
  <c r="J288" i="12" s="1"/>
  <c r="J264" i="12" a="1"/>
  <c r="J264" i="12" s="1"/>
  <c r="J253" i="12" a="1"/>
  <c r="J253" i="12" s="1"/>
  <c r="J231" i="12" a="1"/>
  <c r="J231" i="12" s="1"/>
  <c r="J210" i="12" a="1"/>
  <c r="J210" i="12" s="1"/>
  <c r="J242" i="12" a="1"/>
  <c r="J242" i="12" s="1"/>
  <c r="J240" i="12" a="1"/>
  <c r="J240" i="12" s="1"/>
  <c r="J229" i="12" a="1"/>
  <c r="J229" i="12" s="1"/>
  <c r="J283" i="12" a="1"/>
  <c r="J283" i="12" s="1"/>
  <c r="J271" i="12" a="1"/>
  <c r="J271" i="12" s="1"/>
  <c r="J300" i="12" a="1"/>
  <c r="J300" i="12" s="1"/>
  <c r="J227" i="12" a="1"/>
  <c r="J227" i="12" s="1"/>
  <c r="J223" i="12" a="1"/>
  <c r="J223" i="12" s="1"/>
  <c r="J269" i="12" a="1"/>
  <c r="J269" i="12" s="1"/>
  <c r="J260" i="12" a="1"/>
  <c r="J260" i="12" s="1"/>
  <c r="J294" i="12" a="1"/>
  <c r="J294" i="12" s="1"/>
  <c r="J258" i="12" a="1"/>
  <c r="J258" i="12" s="1"/>
  <c r="J238" i="12" a="1"/>
  <c r="J238" i="12" s="1"/>
  <c r="J276" i="12" a="1"/>
  <c r="J276" i="12" s="1"/>
  <c r="J256" i="12" a="1"/>
  <c r="J256" i="12" s="1"/>
  <c r="J249" i="12" a="1"/>
  <c r="J249" i="12" s="1"/>
  <c r="J225" i="12" a="1"/>
  <c r="J225" i="12" s="1"/>
  <c r="J281" i="12" a="1"/>
  <c r="J281" i="12" s="1"/>
  <c r="J245" i="12" a="1"/>
  <c r="J245" i="12" s="1"/>
  <c r="J289" i="12" a="1"/>
  <c r="J289" i="12" s="1"/>
  <c r="J265" i="12" a="1"/>
  <c r="J265" i="12" s="1"/>
  <c r="J182" i="12" a="1"/>
  <c r="J182" i="12" s="1"/>
  <c r="J254" i="12" a="1"/>
  <c r="J254" i="12" s="1"/>
  <c r="J230" i="12" a="1"/>
  <c r="J230" i="12" s="1"/>
  <c r="J292" i="12" a="1"/>
  <c r="J292" i="12" s="1"/>
  <c r="J243" i="12" a="1"/>
  <c r="J243" i="12" s="1"/>
  <c r="J215" i="12" a="1"/>
  <c r="J215" i="12" s="1"/>
  <c r="J298" i="12" a="1"/>
  <c r="J298" i="12" s="1"/>
  <c r="J211" i="12" a="1"/>
  <c r="J211" i="12" s="1"/>
  <c r="J287" i="12" a="1"/>
  <c r="J287" i="12" s="1"/>
  <c r="J272" i="12" a="1"/>
  <c r="J272" i="12" s="1"/>
  <c r="J187" i="12" a="1"/>
  <c r="J187" i="12" s="1"/>
  <c r="J152" i="12" a="1"/>
  <c r="J152" i="12" s="1"/>
  <c r="J146" i="12" a="1"/>
  <c r="J146" i="12" s="1"/>
  <c r="J198" i="12" a="1"/>
  <c r="J198" i="12" s="1"/>
  <c r="J144" i="12" a="1"/>
  <c r="J144" i="12" s="1"/>
  <c r="J140" i="12" a="1"/>
  <c r="J140" i="12" s="1"/>
  <c r="J123" i="12" a="1"/>
  <c r="J123" i="12" s="1"/>
  <c r="J117" i="12" a="1"/>
  <c r="J117" i="12" s="1"/>
  <c r="J179" i="12" a="1"/>
  <c r="J179" i="12" s="1"/>
  <c r="J213" i="12" a="1"/>
  <c r="J213" i="12" s="1"/>
  <c r="J138" i="12" a="1"/>
  <c r="J138" i="12" s="1"/>
  <c r="J165" i="12" a="1"/>
  <c r="J165" i="12" s="1"/>
  <c r="J132" i="12" a="1"/>
  <c r="J132" i="12" s="1"/>
  <c r="J208" i="12" a="1"/>
  <c r="J208" i="12" s="1"/>
  <c r="J203" i="12" a="1"/>
  <c r="J203" i="12" s="1"/>
  <c r="J163" i="12" a="1"/>
  <c r="J163" i="12" s="1"/>
  <c r="J159" i="12" a="1"/>
  <c r="J159" i="12" s="1"/>
  <c r="J128" i="12" a="1"/>
  <c r="J128" i="12" s="1"/>
  <c r="J192" i="12" a="1"/>
  <c r="J192" i="12" s="1"/>
  <c r="J130" i="12" a="1"/>
  <c r="J130" i="12" s="1"/>
  <c r="J224" i="12" a="1"/>
  <c r="J224" i="12" s="1"/>
  <c r="J201" i="12" a="1"/>
  <c r="J201" i="12" s="1"/>
  <c r="J190" i="12" a="1"/>
  <c r="J190" i="12" s="1"/>
  <c r="J161" i="12" a="1"/>
  <c r="J161" i="12" s="1"/>
  <c r="J157" i="12" a="1"/>
  <c r="J157" i="12" s="1"/>
  <c r="J188" i="12" a="1"/>
  <c r="J188" i="12" s="1"/>
  <c r="J199" i="12" a="1"/>
  <c r="J199" i="12" s="1"/>
  <c r="J186" i="12" a="1"/>
  <c r="J186" i="12" s="1"/>
  <c r="J145" i="12" a="1"/>
  <c r="J145" i="12" s="1"/>
  <c r="J122" i="12" a="1"/>
  <c r="J122" i="12" s="1"/>
  <c r="J228" i="12" a="1"/>
  <c r="J228" i="12" s="1"/>
  <c r="J184" i="12" a="1"/>
  <c r="J184" i="12" s="1"/>
  <c r="J178" i="12" a="1"/>
  <c r="J178" i="12" s="1"/>
  <c r="J147" i="12" a="1"/>
  <c r="J147" i="12" s="1"/>
  <c r="J143" i="12" a="1"/>
  <c r="J143" i="12" s="1"/>
  <c r="J141" i="12" a="1"/>
  <c r="J141" i="12" s="1"/>
  <c r="J197" i="12" a="1"/>
  <c r="J197" i="12" s="1"/>
  <c r="J180" i="12" a="1"/>
  <c r="J180" i="12" s="1"/>
  <c r="J149" i="12" a="1"/>
  <c r="J149" i="12" s="1"/>
  <c r="J118" i="12" a="1"/>
  <c r="J118" i="12" s="1"/>
  <c r="J219" i="12" a="1"/>
  <c r="J219" i="12" s="1"/>
  <c r="J176" i="12" a="1"/>
  <c r="J176" i="12" s="1"/>
  <c r="J174" i="12" a="1"/>
  <c r="J174" i="12" s="1"/>
  <c r="J232" i="12" a="1"/>
  <c r="J232" i="12" s="1"/>
  <c r="J214" i="12" a="1"/>
  <c r="J214" i="12" s="1"/>
  <c r="J170" i="12" a="1"/>
  <c r="J170" i="12" s="1"/>
  <c r="J135" i="12" a="1"/>
  <c r="J135" i="12" s="1"/>
  <c r="J222" i="12" a="1"/>
  <c r="J222" i="12" s="1"/>
  <c r="J209" i="12" a="1"/>
  <c r="J209" i="12" s="1"/>
  <c r="J137" i="12" a="1"/>
  <c r="J137" i="12" s="1"/>
  <c r="J168" i="12" a="1"/>
  <c r="J168" i="12" s="1"/>
  <c r="J139" i="12" a="1"/>
  <c r="J139" i="12" s="1"/>
  <c r="J236" i="12" a="1"/>
  <c r="J236" i="12" s="1"/>
  <c r="J207" i="12" a="1"/>
  <c r="J207" i="12" s="1"/>
  <c r="J202" i="12" a="1"/>
  <c r="J202" i="12" s="1"/>
  <c r="J164" i="12" a="1"/>
  <c r="J164" i="12" s="1"/>
  <c r="J131" i="12" a="1"/>
  <c r="J131" i="12" s="1"/>
  <c r="J162" i="12" a="1"/>
  <c r="J162" i="12" s="1"/>
  <c r="J133" i="12" a="1"/>
  <c r="J133" i="12" s="1"/>
  <c r="J160" i="12" a="1"/>
  <c r="J160" i="12" s="1"/>
  <c r="J189" i="12" a="1"/>
  <c r="J189" i="12" s="1"/>
  <c r="J156" i="12" a="1"/>
  <c r="J156" i="12" s="1"/>
  <c r="J154" i="12" a="1"/>
  <c r="J154" i="12" s="1"/>
  <c r="J200" i="12" a="1"/>
  <c r="J200" i="12" s="1"/>
  <c r="J158" i="12" a="1"/>
  <c r="J158" i="12" s="1"/>
  <c r="J127" i="12" a="1"/>
  <c r="J127" i="12" s="1"/>
  <c r="J125" i="12" a="1"/>
  <c r="J125" i="12" s="1"/>
  <c r="J108" i="12" a="1"/>
  <c r="J108" i="12" s="1"/>
  <c r="J85" i="12" a="1"/>
  <c r="J85" i="12" s="1"/>
  <c r="J61" i="12" a="1"/>
  <c r="J61" i="12" s="1"/>
  <c r="J51" i="12" a="1"/>
  <c r="J51" i="12" s="1"/>
  <c r="J96" i="12" a="1"/>
  <c r="J96" i="12" s="1"/>
  <c r="J78" i="12" a="1"/>
  <c r="J78" i="12" s="1"/>
  <c r="J100" i="12" a="1"/>
  <c r="J100" i="12" s="1"/>
  <c r="J106" i="12" a="1"/>
  <c r="J106" i="12" s="1"/>
  <c r="J98" i="12" a="1"/>
  <c r="J98" i="12" s="1"/>
  <c r="J89" i="12" a="1"/>
  <c r="J89" i="12" s="1"/>
  <c r="J48" i="12" a="1"/>
  <c r="J48" i="12" s="1"/>
  <c r="J20" i="12" a="1"/>
  <c r="J20" i="12" s="1"/>
  <c r="J111" i="12" a="1"/>
  <c r="J111" i="12" s="1"/>
  <c r="J68" i="12" a="1"/>
  <c r="J68" i="12" s="1"/>
  <c r="J80" i="12" a="1"/>
  <c r="J80" i="12" s="1"/>
  <c r="J65" i="12" a="1"/>
  <c r="J65" i="12" s="1"/>
  <c r="J53" i="12" a="1"/>
  <c r="J53" i="12" s="1"/>
  <c r="J40" i="12" a="1"/>
  <c r="J40" i="12" s="1"/>
  <c r="J93" i="12" a="1"/>
  <c r="J93" i="12" s="1"/>
  <c r="J82" i="12" a="1"/>
  <c r="J82" i="12" s="1"/>
  <c r="J114" i="12" a="1"/>
  <c r="J114" i="12" s="1"/>
  <c r="J109" i="12" a="1"/>
  <c r="J109" i="12" s="1"/>
  <c r="J84" i="12" a="1"/>
  <c r="J84" i="12" s="1"/>
  <c r="J22" i="12" a="1"/>
  <c r="J22" i="12" s="1"/>
  <c r="J27" i="12" a="1"/>
  <c r="J27" i="12" s="1"/>
  <c r="J126" i="12" a="1"/>
  <c r="J126" i="12" s="1"/>
  <c r="J105" i="12" a="1"/>
  <c r="J105" i="12" s="1"/>
  <c r="J97" i="12" a="1"/>
  <c r="J97" i="12" s="1"/>
  <c r="J86" i="12" a="1"/>
  <c r="J86" i="12" s="1"/>
  <c r="J101" i="12" a="1"/>
  <c r="J101" i="12" s="1"/>
  <c r="J29" i="12" a="1"/>
  <c r="J29" i="12" s="1"/>
  <c r="J79" i="12" a="1"/>
  <c r="J79" i="12" s="1"/>
  <c r="J74" i="12" a="1"/>
  <c r="J74" i="12" s="1"/>
  <c r="J34" i="12" a="1"/>
  <c r="J34" i="12" s="1"/>
  <c r="J24" i="12" a="1"/>
  <c r="J24" i="12" s="1"/>
  <c r="J92" i="12" a="1"/>
  <c r="J92" i="12" s="1"/>
  <c r="J64" i="12" a="1"/>
  <c r="J64" i="12" s="1"/>
  <c r="J21" i="12" a="1"/>
  <c r="J21" i="12" s="1"/>
  <c r="J76" i="12" a="1"/>
  <c r="J76" i="12" s="1"/>
  <c r="J94" i="12" a="1"/>
  <c r="J94" i="12" s="1"/>
  <c r="J10" i="12" a="1"/>
  <c r="J10" i="12" s="1"/>
  <c r="J15" i="12" a="1"/>
  <c r="J15" i="12" s="1"/>
  <c r="J12" i="12" a="1"/>
  <c r="J12" i="12" s="1"/>
  <c r="J14" i="12" a="1"/>
  <c r="J14" i="12" s="1"/>
  <c r="J7" i="12" a="1"/>
  <c r="J7" i="12" s="1"/>
  <c r="J9" i="12" a="1"/>
  <c r="J9" i="12" s="1"/>
  <c r="J16" i="12" a="1"/>
  <c r="J16" i="12" s="1"/>
  <c r="J11" i="12" a="1"/>
  <c r="J11" i="12" s="1"/>
  <c r="J6" i="12" a="1"/>
  <c r="J6" i="12" s="1"/>
  <c r="L943" i="13"/>
  <c r="L965" i="13"/>
  <c r="L1005" i="13"/>
  <c r="L942" i="13"/>
  <c r="M931" i="13"/>
  <c r="M930" i="13"/>
  <c r="J1000" i="13"/>
  <c r="M1000" i="13" s="1"/>
  <c r="J974" i="13"/>
  <c r="M974" i="13" s="1"/>
  <c r="J966" i="13"/>
  <c r="M955" i="13"/>
  <c r="L931" i="13"/>
  <c r="M939" i="13"/>
  <c r="M1008" i="13"/>
  <c r="M979" i="13"/>
  <c r="M952" i="13"/>
  <c r="L944" i="13"/>
  <c r="L928" i="13"/>
  <c r="J1003" i="13"/>
  <c r="L1003" i="13" s="1"/>
  <c r="M925" i="13"/>
  <c r="L930" i="13"/>
  <c r="M959" i="13"/>
  <c r="M951" i="13"/>
  <c r="L995" i="13"/>
  <c r="M992" i="13"/>
  <c r="M989" i="13"/>
  <c r="J948" i="13"/>
  <c r="L948" i="13" s="1"/>
  <c r="J940" i="13"/>
  <c r="L940" i="13" s="1"/>
  <c r="J932" i="13"/>
  <c r="M984" i="13" s="1"/>
  <c r="M935" i="13"/>
  <c r="M929" i="13"/>
  <c r="M1012" i="13"/>
  <c r="L986" i="13"/>
  <c r="M983" i="13"/>
  <c r="J972" i="13"/>
  <c r="L972" i="13" s="1"/>
  <c r="M961" i="13"/>
  <c r="M953" i="13"/>
  <c r="L929" i="13"/>
  <c r="L1012" i="13"/>
  <c r="M1009" i="13"/>
  <c r="L983" i="13"/>
  <c r="M980" i="13"/>
  <c r="M969" i="13"/>
  <c r="M926" i="13"/>
  <c r="M1003" i="13"/>
  <c r="M958" i="13"/>
  <c r="L835" i="13"/>
  <c r="M835" i="13"/>
  <c r="M857" i="13"/>
  <c r="L827" i="13"/>
  <c r="M827" i="13"/>
  <c r="L846" i="13"/>
  <c r="L838" i="13"/>
  <c r="M838" i="13"/>
  <c r="L819" i="13"/>
  <c r="M819" i="13"/>
  <c r="L833" i="13"/>
  <c r="L868" i="13"/>
  <c r="L860" i="13"/>
  <c r="M860" i="13"/>
  <c r="M859" i="13"/>
  <c r="L830" i="13"/>
  <c r="M830" i="13"/>
  <c r="L811" i="13"/>
  <c r="M811" i="13"/>
  <c r="L825" i="13"/>
  <c r="L855" i="13"/>
  <c r="M822" i="13"/>
  <c r="L822" i="13"/>
  <c r="L852" i="13"/>
  <c r="M852" i="13"/>
  <c r="M841" i="13"/>
  <c r="L836" i="13"/>
  <c r="M814" i="13"/>
  <c r="L814" i="13"/>
  <c r="L847" i="13"/>
  <c r="L863" i="13"/>
  <c r="M817" i="13"/>
  <c r="M833" i="13"/>
  <c r="M863" i="13"/>
  <c r="L902" i="13"/>
  <c r="M824" i="13"/>
  <c r="M879" i="13"/>
  <c r="M832" i="13"/>
  <c r="L921" i="13"/>
  <c r="L859" i="13"/>
  <c r="L851" i="13"/>
  <c r="M816" i="13"/>
  <c r="M825" i="13"/>
  <c r="L844" i="13"/>
  <c r="M874" i="13"/>
  <c r="M862" i="13"/>
  <c r="L862" i="13"/>
  <c r="L915" i="13"/>
  <c r="M915" i="13"/>
  <c r="L896" i="13"/>
  <c r="L854" i="13"/>
  <c r="M843" i="13"/>
  <c r="J923" i="13"/>
  <c r="M923" i="13" s="1"/>
  <c r="J904" i="13"/>
  <c r="M904" i="13" s="1"/>
  <c r="J882" i="13"/>
  <c r="L882" i="13" s="1"/>
  <c r="J865" i="13"/>
  <c r="M893" i="13" s="1"/>
  <c r="M917" i="13"/>
  <c r="M909" i="13"/>
  <c r="M898" i="13"/>
  <c r="M829" i="13"/>
  <c r="M821" i="13"/>
  <c r="M813" i="13"/>
  <c r="M856" i="13"/>
  <c r="M848" i="13"/>
  <c r="M840" i="13"/>
  <c r="L829" i="13"/>
  <c r="L821" i="13"/>
  <c r="L813" i="13"/>
  <c r="M884" i="13"/>
  <c r="L870" i="13"/>
  <c r="L856" i="13"/>
  <c r="L848" i="13"/>
  <c r="L840" i="13"/>
  <c r="M837" i="13"/>
  <c r="M914" i="13"/>
  <c r="M906" i="13"/>
  <c r="M895" i="13"/>
  <c r="L884" i="13"/>
  <c r="L837" i="13"/>
  <c r="L914" i="13"/>
  <c r="L906" i="13"/>
  <c r="L895" i="13"/>
  <c r="M867" i="13"/>
  <c r="M834" i="13"/>
  <c r="M826" i="13"/>
  <c r="M818" i="13"/>
  <c r="M810" i="13"/>
  <c r="M922" i="13"/>
  <c r="M903" i="13"/>
  <c r="L867" i="13"/>
  <c r="M864" i="13"/>
  <c r="M853" i="13"/>
  <c r="M845" i="13"/>
  <c r="L834" i="13"/>
  <c r="L826" i="13"/>
  <c r="L818" i="13"/>
  <c r="L810" i="13"/>
  <c r="L922" i="13"/>
  <c r="L903" i="13"/>
  <c r="M892" i="13"/>
  <c r="M881" i="13"/>
  <c r="L864" i="13"/>
  <c r="L853" i="13"/>
  <c r="L845" i="13"/>
  <c r="M911" i="13"/>
  <c r="M900" i="13"/>
  <c r="L892" i="13"/>
  <c r="M889" i="13"/>
  <c r="L881" i="13"/>
  <c r="M861" i="13"/>
  <c r="L919" i="13"/>
  <c r="L911" i="13"/>
  <c r="L900" i="13"/>
  <c r="L889" i="13"/>
  <c r="L861" i="13"/>
  <c r="M831" i="13"/>
  <c r="M823" i="13"/>
  <c r="M815" i="13"/>
  <c r="M878" i="13"/>
  <c r="M858" i="13"/>
  <c r="M850" i="13"/>
  <c r="M842" i="13"/>
  <c r="L831" i="13"/>
  <c r="L823" i="13"/>
  <c r="L815" i="13"/>
  <c r="L878" i="13"/>
  <c r="M875" i="13"/>
  <c r="L858" i="13"/>
  <c r="L850" i="13"/>
  <c r="L842" i="13"/>
  <c r="M916" i="13"/>
  <c r="M908" i="13"/>
  <c r="M897" i="13"/>
  <c r="L875" i="13"/>
  <c r="M872" i="13"/>
  <c r="M869" i="13"/>
  <c r="M839" i="13"/>
  <c r="M828" i="13"/>
  <c r="M820" i="13"/>
  <c r="M812" i="13"/>
  <c r="M855" i="13"/>
  <c r="M847" i="13"/>
  <c r="M836" i="13"/>
  <c r="M883" i="13"/>
  <c r="M809" i="13"/>
  <c r="M844" i="13"/>
  <c r="L877" i="13"/>
  <c r="M885" i="13"/>
  <c r="M871" i="13"/>
  <c r="L857" i="13"/>
  <c r="L849" i="13"/>
  <c r="L841" i="13"/>
  <c r="L885" i="13"/>
  <c r="L871" i="13"/>
  <c r="M854" i="13"/>
  <c r="M846" i="13"/>
  <c r="M882" i="13"/>
  <c r="M865" i="13"/>
  <c r="L703" i="13"/>
  <c r="M737" i="13"/>
  <c r="L774" i="13"/>
  <c r="M792" i="13"/>
  <c r="L792" i="13"/>
  <c r="L705" i="13"/>
  <c r="M708" i="13"/>
  <c r="M705" i="13"/>
  <c r="M716" i="13"/>
  <c r="L759" i="13"/>
  <c r="L697" i="13"/>
  <c r="L708" i="13"/>
  <c r="M697" i="13"/>
  <c r="L704" i="13"/>
  <c r="M712" i="13"/>
  <c r="M704" i="13"/>
  <c r="L716" i="13"/>
  <c r="L731" i="13"/>
  <c r="L745" i="13"/>
  <c r="L698" i="13"/>
  <c r="M698" i="13"/>
  <c r="L740" i="13"/>
  <c r="M701" i="13"/>
  <c r="M733" i="13"/>
  <c r="M725" i="13"/>
  <c r="M717" i="13"/>
  <c r="M709" i="13"/>
  <c r="J795" i="13"/>
  <c r="L795" i="13" s="1"/>
  <c r="L773" i="13"/>
  <c r="M746" i="13"/>
  <c r="M730" i="13"/>
  <c r="M722" i="13"/>
  <c r="M714" i="13"/>
  <c r="L706" i="13"/>
  <c r="M695" i="13"/>
  <c r="J757" i="13"/>
  <c r="M757" i="13" s="1"/>
  <c r="L725" i="13"/>
  <c r="L717" i="13"/>
  <c r="M749" i="13"/>
  <c r="L806" i="13"/>
  <c r="M773" i="13"/>
  <c r="L738" i="13"/>
  <c r="L714" i="13"/>
  <c r="L695" i="13"/>
  <c r="L803" i="13"/>
  <c r="M800" i="13"/>
  <c r="M754" i="13"/>
  <c r="M789" i="13"/>
  <c r="M781" i="13"/>
  <c r="M703" i="13"/>
  <c r="M743" i="13"/>
  <c r="M735" i="13"/>
  <c r="M711" i="13"/>
  <c r="M700" i="13"/>
  <c r="M748" i="13"/>
  <c r="M702" i="13"/>
  <c r="M788" i="13"/>
  <c r="M780" i="13"/>
  <c r="L761" i="13"/>
  <c r="J745" i="13"/>
  <c r="J737" i="13"/>
  <c r="J729" i="13"/>
  <c r="M729" i="13" s="1"/>
  <c r="J721" i="13"/>
  <c r="M775" i="13" s="1"/>
  <c r="J713" i="13"/>
  <c r="L787" i="13" s="1"/>
  <c r="L702" i="13"/>
  <c r="L788" i="13"/>
  <c r="L780" i="13"/>
  <c r="M742" i="13"/>
  <c r="M734" i="13"/>
  <c r="M726" i="13"/>
  <c r="M718" i="13"/>
  <c r="M710" i="13"/>
  <c r="M699" i="13"/>
  <c r="M799" i="13"/>
  <c r="L799" i="13"/>
  <c r="M796" i="13"/>
  <c r="J769" i="13"/>
  <c r="M797" i="13" s="1"/>
  <c r="J761" i="13"/>
  <c r="M761" i="13" s="1"/>
  <c r="J753" i="13"/>
  <c r="M753" i="13" s="1"/>
  <c r="L734" i="13"/>
  <c r="L726" i="13"/>
  <c r="L710" i="13"/>
  <c r="L699" i="13"/>
  <c r="M745" i="13"/>
  <c r="M721" i="13"/>
  <c r="M713" i="13"/>
  <c r="L737" i="13"/>
  <c r="L729" i="13"/>
  <c r="M766" i="13"/>
  <c r="M758" i="13"/>
  <c r="M750" i="13"/>
  <c r="M777" i="13"/>
  <c r="L766" i="13"/>
  <c r="L758" i="13"/>
  <c r="L750" i="13"/>
  <c r="M707" i="13"/>
  <c r="M723" i="13"/>
  <c r="M793" i="13"/>
  <c r="M774" i="13"/>
  <c r="M731" i="13"/>
  <c r="M715" i="13"/>
  <c r="M696" i="13"/>
  <c r="M804" i="13"/>
  <c r="L747" i="13"/>
  <c r="L739" i="13"/>
  <c r="L777" i="13"/>
  <c r="L707" i="13"/>
  <c r="M611" i="13"/>
  <c r="L599" i="13"/>
  <c r="M587" i="13"/>
  <c r="L582" i="13"/>
  <c r="L651" i="13"/>
  <c r="L600" i="13"/>
  <c r="M607" i="13"/>
  <c r="L591" i="13"/>
  <c r="L592" i="13"/>
  <c r="M582" i="13"/>
  <c r="L583" i="13"/>
  <c r="M583" i="13"/>
  <c r="L627" i="13"/>
  <c r="M644" i="13"/>
  <c r="M586" i="13"/>
  <c r="J597" i="13"/>
  <c r="L597" i="13" s="1"/>
  <c r="L586" i="13"/>
  <c r="M638" i="13"/>
  <c r="M624" i="13"/>
  <c r="M616" i="13"/>
  <c r="M580" i="13"/>
  <c r="L580" i="13"/>
  <c r="M671" i="13"/>
  <c r="M660" i="13"/>
  <c r="M585" i="13"/>
  <c r="J665" i="13"/>
  <c r="M665" i="13" s="1"/>
  <c r="J631" i="13"/>
  <c r="M631" i="13" s="1"/>
  <c r="L620" i="13"/>
  <c r="J601" i="13"/>
  <c r="M601" i="13" s="1"/>
  <c r="J590" i="13"/>
  <c r="M590" i="13" s="1"/>
  <c r="J681" i="13"/>
  <c r="M681" i="13" s="1"/>
  <c r="J642" i="13"/>
  <c r="J598" i="13"/>
  <c r="M584" i="13"/>
  <c r="J662" i="13"/>
  <c r="L662" i="13" s="1"/>
  <c r="J628" i="13"/>
  <c r="M628" i="13" s="1"/>
  <c r="J612" i="13"/>
  <c r="M612" i="13" s="1"/>
  <c r="J587" i="13"/>
  <c r="M599" i="13" s="1"/>
  <c r="L584" i="13"/>
  <c r="M617" i="13"/>
  <c r="M581" i="13"/>
  <c r="L665" i="13"/>
  <c r="L581" i="13"/>
  <c r="L492" i="13"/>
  <c r="L511" i="13"/>
  <c r="M511" i="13"/>
  <c r="M529" i="13"/>
  <c r="L471" i="13"/>
  <c r="M471" i="13"/>
  <c r="L536" i="13"/>
  <c r="M536" i="13"/>
  <c r="M478" i="13"/>
  <c r="L524" i="13"/>
  <c r="L496" i="13"/>
  <c r="M496" i="13"/>
  <c r="L543" i="13"/>
  <c r="M543" i="13"/>
  <c r="L503" i="13"/>
  <c r="M503" i="13"/>
  <c r="L484" i="13"/>
  <c r="L545" i="13"/>
  <c r="L528" i="13"/>
  <c r="M528" i="13"/>
  <c r="M481" i="13"/>
  <c r="L552" i="13"/>
  <c r="L516" i="13"/>
  <c r="L488" i="13"/>
  <c r="M488" i="13"/>
  <c r="M542" i="13"/>
  <c r="L535" i="13"/>
  <c r="M535" i="13"/>
  <c r="L548" i="13"/>
  <c r="L495" i="13"/>
  <c r="M495" i="13"/>
  <c r="M502" i="13"/>
  <c r="L520" i="13"/>
  <c r="M520" i="13"/>
  <c r="L527" i="13"/>
  <c r="M527" i="13"/>
  <c r="L508" i="13"/>
  <c r="L480" i="13"/>
  <c r="M480" i="13"/>
  <c r="M534" i="13"/>
  <c r="L559" i="13"/>
  <c r="L487" i="13"/>
  <c r="M487" i="13"/>
  <c r="L476" i="13"/>
  <c r="M476" i="13"/>
  <c r="M494" i="13"/>
  <c r="L540" i="13"/>
  <c r="L512" i="13"/>
  <c r="M512" i="13"/>
  <c r="L519" i="13"/>
  <c r="M519" i="13"/>
  <c r="L500" i="13"/>
  <c r="M526" i="13"/>
  <c r="L468" i="13"/>
  <c r="M468" i="13"/>
  <c r="L472" i="13"/>
  <c r="M472" i="13"/>
  <c r="L569" i="13"/>
  <c r="M569" i="13"/>
  <c r="L479" i="13"/>
  <c r="M479" i="13"/>
  <c r="M486" i="13"/>
  <c r="L557" i="13"/>
  <c r="L504" i="13"/>
  <c r="M504" i="13"/>
  <c r="L493" i="13"/>
  <c r="L549" i="13"/>
  <c r="L477" i="13"/>
  <c r="L533" i="13"/>
  <c r="L485" i="13"/>
  <c r="L501" i="13"/>
  <c r="M485" i="13"/>
  <c r="L469" i="13"/>
  <c r="M517" i="13"/>
  <c r="M469" i="13"/>
  <c r="M477" i="13"/>
  <c r="M525" i="13"/>
  <c r="L464" i="13"/>
  <c r="M464" i="13"/>
  <c r="M544" i="13"/>
  <c r="M572" i="13"/>
  <c r="M541" i="13"/>
  <c r="M501" i="13"/>
  <c r="M533" i="13"/>
  <c r="M509" i="13"/>
  <c r="M549" i="13"/>
  <c r="M545" i="13"/>
  <c r="M537" i="13"/>
  <c r="L564" i="13"/>
  <c r="M564" i="13"/>
  <c r="M493" i="13"/>
  <c r="L541" i="13"/>
  <c r="L517" i="13"/>
  <c r="L525" i="13"/>
  <c r="L509" i="13"/>
  <c r="M557" i="13"/>
  <c r="L578" i="13"/>
  <c r="M575" i="13"/>
  <c r="M567" i="13"/>
  <c r="M559" i="13"/>
  <c r="L551" i="13"/>
  <c r="J570" i="13"/>
  <c r="L574" i="13" s="1"/>
  <c r="J562" i="13"/>
  <c r="L562" i="13" s="1"/>
  <c r="J554" i="13"/>
  <c r="L554" i="13" s="1"/>
  <c r="M578" i="13"/>
  <c r="M551" i="13"/>
  <c r="M548" i="13"/>
  <c r="M540" i="13"/>
  <c r="M532" i="13"/>
  <c r="M524" i="13"/>
  <c r="M516" i="13"/>
  <c r="M508" i="13"/>
  <c r="M500" i="13"/>
  <c r="M492" i="13"/>
  <c r="M484" i="13"/>
  <c r="M556" i="13"/>
  <c r="M465" i="13"/>
  <c r="M553" i="13"/>
  <c r="L529" i="13"/>
  <c r="L521" i="13"/>
  <c r="L513" i="13"/>
  <c r="L505" i="13"/>
  <c r="L497" i="13"/>
  <c r="L489" i="13"/>
  <c r="L481" i="13"/>
  <c r="L473" i="13"/>
  <c r="L465" i="13"/>
  <c r="L553" i="13"/>
  <c r="M577" i="13"/>
  <c r="M550" i="13"/>
  <c r="L542" i="13"/>
  <c r="L534" i="13"/>
  <c r="L526" i="13"/>
  <c r="L518" i="13"/>
  <c r="L510" i="13"/>
  <c r="L502" i="13"/>
  <c r="L494" i="13"/>
  <c r="L486" i="13"/>
  <c r="L478" i="13"/>
  <c r="L470" i="13"/>
  <c r="L577" i="13"/>
  <c r="M566" i="13"/>
  <c r="M558" i="13"/>
  <c r="L550" i="13"/>
  <c r="L566" i="13"/>
  <c r="L558" i="13"/>
  <c r="M574" i="13"/>
  <c r="M547" i="13"/>
  <c r="M539" i="13"/>
  <c r="M531" i="13"/>
  <c r="M523" i="13"/>
  <c r="M515" i="13"/>
  <c r="M507" i="13"/>
  <c r="M499" i="13"/>
  <c r="M491" i="13"/>
  <c r="M483" i="13"/>
  <c r="M475" i="13"/>
  <c r="M467" i="13"/>
  <c r="M555" i="13"/>
  <c r="M571" i="13"/>
  <c r="M563" i="13"/>
  <c r="M568" i="13"/>
  <c r="M560" i="13"/>
  <c r="M573" i="13"/>
  <c r="M565" i="13"/>
  <c r="L573" i="13"/>
  <c r="L565" i="13"/>
  <c r="M538" i="13"/>
  <c r="M530" i="13"/>
  <c r="M522" i="13"/>
  <c r="M514" i="13"/>
  <c r="M506" i="13"/>
  <c r="M498" i="13"/>
  <c r="M490" i="13"/>
  <c r="M482" i="13"/>
  <c r="M474" i="13"/>
  <c r="M554" i="13"/>
  <c r="L546" i="13"/>
  <c r="L538" i="13"/>
  <c r="L530" i="13"/>
  <c r="L522" i="13"/>
  <c r="L514" i="13"/>
  <c r="L506" i="13"/>
  <c r="L498" i="13"/>
  <c r="L490" i="13"/>
  <c r="L482" i="13"/>
  <c r="L474" i="13"/>
  <c r="L466" i="13"/>
  <c r="M562" i="13"/>
  <c r="M570" i="13"/>
  <c r="L438" i="13"/>
  <c r="M377" i="13"/>
  <c r="L462" i="13"/>
  <c r="L387" i="13"/>
  <c r="L383" i="13"/>
  <c r="M462" i="13"/>
  <c r="M368" i="13"/>
  <c r="M364" i="13"/>
  <c r="L450" i="13"/>
  <c r="L418" i="13"/>
  <c r="L403" i="13"/>
  <c r="L375" i="13"/>
  <c r="M404" i="13"/>
  <c r="L407" i="13"/>
  <c r="L415" i="13"/>
  <c r="M349" i="13"/>
  <c r="M372" i="13"/>
  <c r="M463" i="13"/>
  <c r="L355" i="13"/>
  <c r="M355" i="13"/>
  <c r="M458" i="13"/>
  <c r="L376" i="13"/>
  <c r="L419" i="13"/>
  <c r="L411" i="13"/>
  <c r="L365" i="13"/>
  <c r="M365" i="13"/>
  <c r="L400" i="13"/>
  <c r="L368" i="13"/>
  <c r="M384" i="13"/>
  <c r="M392" i="13"/>
  <c r="L384" i="13"/>
  <c r="L427" i="13"/>
  <c r="M408" i="13"/>
  <c r="M440" i="13"/>
  <c r="L408" i="13"/>
  <c r="M448" i="13"/>
  <c r="L440" i="13"/>
  <c r="L424" i="13"/>
  <c r="M405" i="13"/>
  <c r="L397" i="13"/>
  <c r="L389" i="13"/>
  <c r="L381" i="13"/>
  <c r="M353" i="13"/>
  <c r="M389" i="13"/>
  <c r="M373" i="13"/>
  <c r="M456" i="13"/>
  <c r="L448" i="13"/>
  <c r="J416" i="13"/>
  <c r="L451" i="13" s="1"/>
  <c r="L405" i="13"/>
  <c r="J356" i="13"/>
  <c r="M454" i="13" s="1"/>
  <c r="L353" i="13"/>
  <c r="M432" i="13"/>
  <c r="L356" i="13"/>
  <c r="L413" i="13"/>
  <c r="M402" i="13"/>
  <c r="M386" i="13"/>
  <c r="M370" i="13"/>
  <c r="M350" i="13"/>
  <c r="M429" i="13"/>
  <c r="M378" i="13"/>
  <c r="M445" i="13"/>
  <c r="L437" i="13"/>
  <c r="L429" i="13"/>
  <c r="L402" i="13"/>
  <c r="L394" i="13"/>
  <c r="L386" i="13"/>
  <c r="L378" i="13"/>
  <c r="L370" i="13"/>
  <c r="L350" i="13"/>
  <c r="L453" i="13"/>
  <c r="L445" i="13"/>
  <c r="M367" i="13"/>
  <c r="M418" i="13"/>
  <c r="M410" i="13"/>
  <c r="L367" i="13"/>
  <c r="M434" i="13"/>
  <c r="M399" i="13"/>
  <c r="M361" i="13"/>
  <c r="M442" i="13"/>
  <c r="M358" i="13"/>
  <c r="M352" i="13"/>
  <c r="M452" i="13"/>
  <c r="M444" i="13"/>
  <c r="L436" i="13"/>
  <c r="L428" i="13"/>
  <c r="L401" i="13"/>
  <c r="L393" i="13"/>
  <c r="L385" i="13"/>
  <c r="L377" i="13"/>
  <c r="M366" i="13"/>
  <c r="L349" i="13"/>
  <c r="M460" i="13"/>
  <c r="L452" i="13"/>
  <c r="L444" i="13"/>
  <c r="L366" i="13"/>
  <c r="M363" i="13"/>
  <c r="L460" i="13"/>
  <c r="M417" i="13"/>
  <c r="M409" i="13"/>
  <c r="L363" i="13"/>
  <c r="M360" i="13"/>
  <c r="L398" i="13"/>
  <c r="L390" i="13"/>
  <c r="L382" i="13"/>
  <c r="L374" i="13"/>
  <c r="L357" i="13"/>
  <c r="M382" i="13"/>
  <c r="L360" i="13"/>
  <c r="M357" i="13"/>
  <c r="M449" i="13"/>
  <c r="L433" i="13"/>
  <c r="M457" i="13"/>
  <c r="L449" i="13"/>
  <c r="M406" i="13"/>
  <c r="M354" i="13"/>
  <c r="M441" i="13"/>
  <c r="M433" i="13"/>
  <c r="M398" i="13"/>
  <c r="M390" i="13"/>
  <c r="M374" i="13"/>
  <c r="L441" i="13"/>
  <c r="L425" i="13"/>
  <c r="L457" i="13"/>
  <c r="M414" i="13"/>
  <c r="L406" i="13"/>
  <c r="L354" i="13"/>
  <c r="M438" i="13"/>
  <c r="M430" i="13"/>
  <c r="M422" i="13"/>
  <c r="L414" i="13"/>
  <c r="M446" i="13"/>
  <c r="L285" i="13"/>
  <c r="M285" i="13"/>
  <c r="L251" i="13"/>
  <c r="L300" i="13"/>
  <c r="L288" i="13"/>
  <c r="M288" i="13"/>
  <c r="L244" i="13"/>
  <c r="M244" i="13"/>
  <c r="M252" i="13"/>
  <c r="L252" i="13"/>
  <c r="L270" i="13"/>
  <c r="M270" i="13"/>
  <c r="L280" i="13"/>
  <c r="M280" i="13"/>
  <c r="L269" i="13"/>
  <c r="M269" i="13"/>
  <c r="L243" i="13"/>
  <c r="M284" i="13"/>
  <c r="L240" i="13"/>
  <c r="M240" i="13"/>
  <c r="L258" i="13"/>
  <c r="M258" i="13"/>
  <c r="L248" i="13"/>
  <c r="M248" i="13"/>
  <c r="L299" i="13"/>
  <c r="M299" i="13"/>
  <c r="L291" i="13"/>
  <c r="M291" i="13"/>
  <c r="L276" i="13"/>
  <c r="M276" i="13"/>
  <c r="L237" i="13"/>
  <c r="M237" i="13"/>
  <c r="M295" i="13"/>
  <c r="L236" i="13"/>
  <c r="M236" i="13"/>
  <c r="M296" i="13"/>
  <c r="L275" i="13"/>
  <c r="M287" i="13"/>
  <c r="L287" i="13"/>
  <c r="L272" i="13"/>
  <c r="M272" i="13"/>
  <c r="L277" i="13"/>
  <c r="M277" i="13"/>
  <c r="L261" i="13"/>
  <c r="M261" i="13"/>
  <c r="L286" i="13"/>
  <c r="L283" i="13"/>
  <c r="L250" i="13"/>
  <c r="M250" i="13"/>
  <c r="L268" i="13"/>
  <c r="M268" i="13"/>
  <c r="M298" i="13"/>
  <c r="L298" i="13"/>
  <c r="L294" i="13"/>
  <c r="L267" i="13"/>
  <c r="L264" i="13"/>
  <c r="M264" i="13"/>
  <c r="L282" i="13"/>
  <c r="M282" i="13"/>
  <c r="L253" i="13"/>
  <c r="M253" i="13"/>
  <c r="L242" i="13"/>
  <c r="M242" i="13"/>
  <c r="L260" i="13"/>
  <c r="M260" i="13"/>
  <c r="M297" i="13"/>
  <c r="L297" i="13"/>
  <c r="L293" i="13"/>
  <c r="M293" i="13"/>
  <c r="M278" i="13"/>
  <c r="L278" i="13"/>
  <c r="L266" i="13"/>
  <c r="M266" i="13"/>
  <c r="L259" i="13"/>
  <c r="L256" i="13"/>
  <c r="M256" i="13"/>
  <c r="L289" i="13"/>
  <c r="M289" i="13"/>
  <c r="L273" i="13"/>
  <c r="M238" i="13"/>
  <c r="M241" i="13"/>
  <c r="M281" i="13"/>
  <c r="L234" i="13"/>
  <c r="M273" i="13"/>
  <c r="M234" i="13"/>
  <c r="M267" i="13"/>
  <c r="M262" i="13"/>
  <c r="L284" i="13"/>
  <c r="L257" i="13"/>
  <c r="L292" i="13"/>
  <c r="M257" i="13"/>
  <c r="M259" i="13"/>
  <c r="M286" i="13"/>
  <c r="M292" i="13"/>
  <c r="M275" i="13"/>
  <c r="M326" i="13"/>
  <c r="M251" i="13"/>
  <c r="M249" i="13"/>
  <c r="L262" i="13"/>
  <c r="L249" i="13"/>
  <c r="L265" i="13"/>
  <c r="M235" i="13"/>
  <c r="M246" i="13"/>
  <c r="L281" i="13"/>
  <c r="M243" i="13"/>
  <c r="M254" i="13"/>
  <c r="L238" i="13"/>
  <c r="L295" i="13"/>
  <c r="L246" i="13"/>
  <c r="L254" i="13"/>
  <c r="M265" i="13"/>
  <c r="L241" i="13"/>
  <c r="L274" i="13"/>
  <c r="M274" i="13"/>
  <c r="L245" i="13"/>
  <c r="M245" i="13"/>
  <c r="L339" i="13"/>
  <c r="M336" i="13"/>
  <c r="M328" i="13"/>
  <c r="M294" i="13"/>
  <c r="M283" i="13"/>
  <c r="J311" i="13"/>
  <c r="L311" i="13" s="1"/>
  <c r="L330" i="13"/>
  <c r="L343" i="13"/>
  <c r="M324" i="13"/>
  <c r="L324" i="13"/>
  <c r="M321" i="13"/>
  <c r="L310" i="13"/>
  <c r="M290" i="13"/>
  <c r="M279" i="13"/>
  <c r="M271" i="13"/>
  <c r="M263" i="13"/>
  <c r="M255" i="13"/>
  <c r="M247" i="13"/>
  <c r="M239" i="13"/>
  <c r="L290" i="13"/>
  <c r="L279" i="13"/>
  <c r="L271" i="13"/>
  <c r="L263" i="13"/>
  <c r="L255" i="13"/>
  <c r="L247" i="13"/>
  <c r="L239" i="13"/>
  <c r="L340" i="13"/>
  <c r="M315" i="13"/>
  <c r="L337" i="13"/>
  <c r="J301" i="13"/>
  <c r="L331" i="13" s="1"/>
  <c r="L125" i="13"/>
  <c r="L129" i="13"/>
  <c r="M125" i="13"/>
  <c r="M151" i="13"/>
  <c r="L145" i="13"/>
  <c r="L121" i="13"/>
  <c r="M121" i="13"/>
  <c r="L212" i="13"/>
  <c r="L211" i="13"/>
  <c r="L124" i="13"/>
  <c r="M158" i="13"/>
  <c r="L158" i="13"/>
  <c r="L154" i="13"/>
  <c r="L128" i="13"/>
  <c r="M136" i="13"/>
  <c r="M192" i="13"/>
  <c r="L192" i="13"/>
  <c r="M210" i="13"/>
  <c r="L177" i="13"/>
  <c r="L122" i="13"/>
  <c r="L139" i="13"/>
  <c r="L144" i="13"/>
  <c r="M133" i="13"/>
  <c r="M155" i="13"/>
  <c r="L150" i="13"/>
  <c r="M161" i="13"/>
  <c r="M224" i="13"/>
  <c r="L195" i="13"/>
  <c r="L153" i="13"/>
  <c r="M153" i="13"/>
  <c r="L123" i="13"/>
  <c r="M143" i="13"/>
  <c r="M176" i="13"/>
  <c r="M152" i="13"/>
  <c r="M122" i="13"/>
  <c r="L142" i="13"/>
  <c r="J218" i="13"/>
  <c r="L218" i="13" s="1"/>
  <c r="J191" i="13"/>
  <c r="J215" i="13"/>
  <c r="L215" i="13" s="1"/>
  <c r="J207" i="13"/>
  <c r="M207" i="13" s="1"/>
  <c r="J180" i="13"/>
  <c r="M180" i="13" s="1"/>
  <c r="L174" i="13"/>
  <c r="M171" i="13"/>
  <c r="L135" i="13"/>
  <c r="M132" i="13"/>
  <c r="M231" i="13"/>
  <c r="L223" i="13"/>
  <c r="M212" i="13"/>
  <c r="M204" i="13"/>
  <c r="J177" i="13"/>
  <c r="M177" i="13" s="1"/>
  <c r="L171" i="13"/>
  <c r="M168" i="13"/>
  <c r="L151" i="13"/>
  <c r="L143" i="13"/>
  <c r="L132" i="13"/>
  <c r="M129" i="13"/>
  <c r="J226" i="13"/>
  <c r="L226" i="13" s="1"/>
  <c r="M174" i="13"/>
  <c r="J146" i="13"/>
  <c r="L146" i="13" s="1"/>
  <c r="M165" i="13"/>
  <c r="J135" i="13"/>
  <c r="M144" i="13" s="1"/>
  <c r="M126" i="13"/>
  <c r="J199" i="13"/>
  <c r="L199" i="13" s="1"/>
  <c r="J154" i="13"/>
  <c r="J138" i="13"/>
  <c r="L138" i="13" s="1"/>
  <c r="L165" i="13"/>
  <c r="M123" i="13"/>
  <c r="L166" i="13"/>
  <c r="M193" i="13"/>
  <c r="M159" i="13"/>
  <c r="M148" i="13"/>
  <c r="M140" i="13"/>
  <c r="L186" i="13"/>
  <c r="L159" i="13"/>
  <c r="M156" i="13"/>
  <c r="L148" i="13"/>
  <c r="L140" i="13"/>
  <c r="M120" i="13"/>
  <c r="L120" i="13"/>
  <c r="M163" i="13"/>
  <c r="J156" i="13"/>
  <c r="L156" i="13" s="1"/>
  <c r="L176" i="13"/>
  <c r="M173" i="13"/>
  <c r="L233" i="13"/>
  <c r="J179" i="13"/>
  <c r="L173" i="13"/>
  <c r="M170" i="13"/>
  <c r="L134" i="13"/>
  <c r="M131" i="13"/>
  <c r="L170" i="13"/>
  <c r="M167" i="13"/>
  <c r="M150" i="13"/>
  <c r="M142" i="13"/>
  <c r="L131" i="13"/>
  <c r="M128" i="13"/>
  <c r="M164" i="13"/>
  <c r="M119" i="13"/>
  <c r="L155" i="13"/>
  <c r="M178" i="13"/>
  <c r="L119" i="13"/>
  <c r="M169" i="13"/>
  <c r="M130" i="13"/>
  <c r="L169" i="13"/>
  <c r="M166" i="13"/>
  <c r="L130" i="13"/>
  <c r="M127" i="13"/>
  <c r="M149" i="13"/>
  <c r="M141" i="13"/>
  <c r="L127" i="13"/>
  <c r="M124" i="13"/>
  <c r="L149" i="13"/>
  <c r="L141" i="13"/>
  <c r="L160" i="13"/>
  <c r="M157" i="13"/>
  <c r="L157" i="13"/>
  <c r="L163" i="13"/>
  <c r="M138" i="13"/>
  <c r="M154" i="13"/>
  <c r="M146" i="13"/>
  <c r="L66" i="13"/>
  <c r="L7" i="13"/>
  <c r="M7" i="13"/>
  <c r="L15" i="13"/>
  <c r="L110" i="13"/>
  <c r="M42" i="13"/>
  <c r="L23" i="13"/>
  <c r="M23" i="13"/>
  <c r="L76" i="13"/>
  <c r="L26" i="13"/>
  <c r="L113" i="13"/>
  <c r="M113" i="13"/>
  <c r="L91" i="13"/>
  <c r="M91" i="13"/>
  <c r="M22" i="13"/>
  <c r="L69" i="13"/>
  <c r="L80" i="13"/>
  <c r="L49" i="13"/>
  <c r="L46" i="13"/>
  <c r="L102" i="13"/>
  <c r="M76" i="13"/>
  <c r="M10" i="13"/>
  <c r="M25" i="13"/>
  <c r="L45" i="13"/>
  <c r="L61" i="13"/>
  <c r="L105" i="13"/>
  <c r="M105" i="13"/>
  <c r="M94" i="13"/>
  <c r="M21" i="13"/>
  <c r="M18" i="13"/>
  <c r="M9" i="13"/>
  <c r="L87" i="13"/>
  <c r="L41" i="13"/>
  <c r="M41" i="13"/>
  <c r="M48" i="13"/>
  <c r="L21" i="13"/>
  <c r="L86" i="13"/>
  <c r="M45" i="13"/>
  <c r="M32" i="13"/>
  <c r="M81" i="13"/>
  <c r="M67" i="13"/>
  <c r="L95" i="13"/>
  <c r="M111" i="13"/>
  <c r="L30" i="13"/>
  <c r="L89" i="13"/>
  <c r="L59" i="13"/>
  <c r="L70" i="13"/>
  <c r="L103" i="13"/>
  <c r="M30" i="13"/>
  <c r="L67" i="13"/>
  <c r="L81" i="13"/>
  <c r="M89" i="13"/>
  <c r="L33" i="13"/>
  <c r="L111" i="13"/>
  <c r="L13" i="13"/>
  <c r="M19" i="13"/>
  <c r="L22" i="13"/>
  <c r="M73" i="13"/>
  <c r="M20" i="13"/>
  <c r="M99" i="13"/>
  <c r="M88" i="13"/>
  <c r="L52" i="13"/>
  <c r="L118" i="13"/>
  <c r="M59" i="13"/>
  <c r="M70" i="13"/>
  <c r="M13" i="13"/>
  <c r="L85" i="13"/>
  <c r="M49" i="13"/>
  <c r="M52" i="13"/>
  <c r="L42" i="13"/>
  <c r="L6" i="13"/>
  <c r="L115" i="13"/>
  <c r="M39" i="13"/>
  <c r="L74" i="13"/>
  <c r="M107" i="13"/>
  <c r="L29" i="13"/>
  <c r="M103" i="13"/>
  <c r="L20" i="13"/>
  <c r="L40" i="13"/>
  <c r="M40" i="13"/>
  <c r="L88" i="13"/>
  <c r="M33" i="13"/>
  <c r="M77" i="13"/>
  <c r="M29" i="13"/>
  <c r="M74" i="13"/>
  <c r="M85" i="13"/>
  <c r="L92" i="13"/>
  <c r="M115" i="13"/>
  <c r="M63" i="13"/>
  <c r="M84" i="13"/>
  <c r="M26" i="13"/>
  <c r="L55" i="13"/>
  <c r="M55" i="13"/>
  <c r="M95" i="13"/>
  <c r="L107" i="13"/>
  <c r="L25" i="13"/>
  <c r="L97" i="13"/>
  <c r="L9" i="13"/>
  <c r="M12" i="13"/>
  <c r="M92" i="13"/>
  <c r="L43" i="13"/>
  <c r="M43" i="13"/>
  <c r="L98" i="13"/>
  <c r="M56" i="13"/>
  <c r="L56" i="13"/>
  <c r="L48" i="13"/>
  <c r="L77" i="13"/>
  <c r="L63" i="13"/>
  <c r="L58" i="13"/>
  <c r="L75" i="13"/>
  <c r="M36" i="13"/>
  <c r="L36" i="13"/>
  <c r="L32" i="13"/>
  <c r="M118" i="13"/>
  <c r="L96" i="13"/>
  <c r="M96" i="13"/>
  <c r="L39" i="13"/>
  <c r="L24" i="13"/>
  <c r="L99" i="13"/>
  <c r="L62" i="13"/>
  <c r="L16" i="13"/>
  <c r="L12" i="13"/>
  <c r="L106" i="13"/>
  <c r="L84" i="13"/>
  <c r="M46" i="13"/>
  <c r="M60" i="13"/>
  <c r="M37" i="13"/>
  <c r="M17" i="13"/>
  <c r="M104" i="13"/>
  <c r="M93" i="13"/>
  <c r="L104" i="13"/>
  <c r="L93" i="13"/>
  <c r="M82" i="13"/>
  <c r="M71" i="13"/>
  <c r="L60" i="13"/>
  <c r="L37" i="13"/>
  <c r="M34" i="13"/>
  <c r="L17" i="13"/>
  <c r="M14" i="13"/>
  <c r="M90" i="13"/>
  <c r="L82" i="13"/>
  <c r="L71" i="13"/>
  <c r="M68" i="13"/>
  <c r="L34" i="13"/>
  <c r="M31" i="13"/>
  <c r="L14" i="13"/>
  <c r="M11" i="13"/>
  <c r="J112" i="13"/>
  <c r="L90" i="13"/>
  <c r="L68" i="13"/>
  <c r="L31" i="13"/>
  <c r="L11" i="13"/>
  <c r="M8" i="13"/>
  <c r="M101" i="13"/>
  <c r="M79" i="13"/>
  <c r="M65" i="13"/>
  <c r="M57" i="13"/>
  <c r="L8" i="13"/>
  <c r="M5" i="13"/>
  <c r="M109" i="13"/>
  <c r="M117" i="13"/>
  <c r="L109" i="13"/>
  <c r="L101" i="13"/>
  <c r="L79" i="13"/>
  <c r="L65" i="13"/>
  <c r="L57" i="13"/>
  <c r="M54" i="13"/>
  <c r="M28" i="13"/>
  <c r="L117" i="13"/>
  <c r="M87" i="13"/>
  <c r="L54" i="13"/>
  <c r="M51" i="13"/>
  <c r="L28" i="13"/>
  <c r="L51" i="13"/>
  <c r="M114" i="13"/>
  <c r="M106" i="13"/>
  <c r="M98" i="13"/>
  <c r="M62" i="13"/>
  <c r="M16" i="13"/>
  <c r="L10" i="13"/>
  <c r="M78" i="13"/>
  <c r="M64" i="13"/>
  <c r="M116" i="13"/>
  <c r="L108" i="13"/>
  <c r="L100" i="13"/>
  <c r="M108" i="13"/>
  <c r="L116" i="13"/>
  <c r="M100" i="13"/>
  <c r="M53" i="13"/>
  <c r="M27" i="13"/>
  <c r="L78" i="13"/>
  <c r="L64" i="13"/>
  <c r="L53" i="13"/>
  <c r="M50" i="13"/>
  <c r="L27" i="13"/>
  <c r="M86" i="13"/>
  <c r="L50" i="13"/>
  <c r="M47" i="13"/>
  <c r="M24" i="13"/>
  <c r="M97" i="13"/>
  <c r="M75" i="13"/>
  <c r="L47" i="13"/>
  <c r="M44" i="13"/>
  <c r="M61" i="13"/>
  <c r="L44" i="13"/>
  <c r="M83" i="13"/>
  <c r="M72" i="13"/>
  <c r="L38" i="13"/>
  <c r="M35" i="13"/>
  <c r="L18" i="13"/>
  <c r="M15" i="13"/>
  <c r="L94" i="13"/>
  <c r="L72" i="13"/>
  <c r="L35" i="13"/>
  <c r="M110" i="13"/>
  <c r="M80" i="13"/>
  <c r="M58" i="13"/>
  <c r="L83" i="13"/>
  <c r="M102" i="13"/>
  <c r="M66" i="13"/>
  <c r="L960" i="13" l="1"/>
  <c r="L987" i="13"/>
  <c r="M938" i="13"/>
  <c r="L975" i="13"/>
  <c r="L933" i="13"/>
  <c r="M960" i="13"/>
  <c r="M1005" i="13"/>
  <c r="L958" i="13"/>
  <c r="M940" i="13"/>
  <c r="L998" i="13"/>
  <c r="M936" i="13"/>
  <c r="L959" i="13"/>
  <c r="L954" i="13"/>
  <c r="L981" i="13"/>
  <c r="M943" i="13"/>
  <c r="L955" i="13"/>
  <c r="M944" i="13"/>
  <c r="L978" i="13"/>
  <c r="M1010" i="13"/>
  <c r="M963" i="13"/>
  <c r="L971" i="13"/>
  <c r="M975" i="13"/>
  <c r="L984" i="13"/>
  <c r="L956" i="13"/>
  <c r="M971" i="13"/>
  <c r="L1011" i="13"/>
  <c r="M996" i="13"/>
  <c r="L937" i="13"/>
  <c r="M988" i="13"/>
  <c r="L957" i="13"/>
  <c r="L996" i="13"/>
  <c r="M998" i="13"/>
  <c r="M964" i="13"/>
  <c r="L945" i="13"/>
  <c r="M972" i="13"/>
  <c r="L991" i="13"/>
  <c r="M970" i="13"/>
  <c r="M949" i="13"/>
  <c r="M948" i="13"/>
  <c r="L1004" i="13"/>
  <c r="M947" i="13"/>
  <c r="L932" i="13"/>
  <c r="M976" i="13"/>
  <c r="M978" i="13"/>
  <c r="L950" i="13"/>
  <c r="L988" i="13"/>
  <c r="L939" i="13"/>
  <c r="L1006" i="13"/>
  <c r="L976" i="13"/>
  <c r="L947" i="13"/>
  <c r="M967" i="13"/>
  <c r="L934" i="13"/>
  <c r="M1007" i="13"/>
  <c r="L935" i="13"/>
  <c r="L941" i="13"/>
  <c r="M962" i="13"/>
  <c r="L966" i="13"/>
  <c r="M968" i="13"/>
  <c r="L951" i="13"/>
  <c r="M934" i="13"/>
  <c r="L974" i="13"/>
  <c r="L994" i="13"/>
  <c r="L1007" i="13"/>
  <c r="L938" i="13"/>
  <c r="M991" i="13"/>
  <c r="L936" i="13"/>
  <c r="M933" i="13"/>
  <c r="M937" i="13"/>
  <c r="L946" i="13"/>
  <c r="L1000" i="13"/>
  <c r="M946" i="13"/>
  <c r="M966" i="13"/>
  <c r="M954" i="13"/>
  <c r="M990" i="13"/>
  <c r="M973" i="13"/>
  <c r="M1006" i="13"/>
  <c r="M986" i="13"/>
  <c r="M987" i="13"/>
  <c r="L963" i="13"/>
  <c r="M982" i="13"/>
  <c r="L970" i="13"/>
  <c r="M942" i="13"/>
  <c r="L969" i="13"/>
  <c r="L989" i="13"/>
  <c r="L990" i="13"/>
  <c r="M985" i="13"/>
  <c r="L999" i="13"/>
  <c r="L952" i="13"/>
  <c r="M994" i="13"/>
  <c r="M1011" i="13"/>
  <c r="M945" i="13"/>
  <c r="L992" i="13"/>
  <c r="M1004" i="13"/>
  <c r="L973" i="13"/>
  <c r="L993" i="13"/>
  <c r="M1001" i="13"/>
  <c r="M977" i="13"/>
  <c r="M999" i="13"/>
  <c r="L949" i="13"/>
  <c r="M993" i="13"/>
  <c r="L985" i="13"/>
  <c r="M956" i="13"/>
  <c r="L1002" i="13"/>
  <c r="L982" i="13"/>
  <c r="M1002" i="13"/>
  <c r="L997" i="13"/>
  <c r="M950" i="13"/>
  <c r="M957" i="13"/>
  <c r="M981" i="13"/>
  <c r="M995" i="13"/>
  <c r="L979" i="13"/>
  <c r="L968" i="13"/>
  <c r="M965" i="13"/>
  <c r="M997" i="13"/>
  <c r="L1010" i="13"/>
  <c r="L964" i="13"/>
  <c r="L1009" i="13"/>
  <c r="L967" i="13"/>
  <c r="L1008" i="13"/>
  <c r="L962" i="13"/>
  <c r="L977" i="13"/>
  <c r="L980" i="13"/>
  <c r="L953" i="13"/>
  <c r="M932" i="13"/>
  <c r="L961" i="13"/>
  <c r="L1001" i="13"/>
  <c r="M941" i="13"/>
  <c r="L923" i="13"/>
  <c r="M866" i="13"/>
  <c r="M876" i="13"/>
  <c r="L876" i="13"/>
  <c r="M886" i="13"/>
  <c r="M910" i="13"/>
  <c r="L886" i="13"/>
  <c r="L890" i="13"/>
  <c r="L910" i="13"/>
  <c r="M870" i="13"/>
  <c r="M890" i="13"/>
  <c r="L873" i="13"/>
  <c r="L908" i="13"/>
  <c r="L913" i="13"/>
  <c r="L897" i="13"/>
  <c r="L883" i="13"/>
  <c r="M902" i="13"/>
  <c r="M912" i="13"/>
  <c r="M913" i="13"/>
  <c r="M873" i="13"/>
  <c r="M887" i="13"/>
  <c r="L898" i="13"/>
  <c r="L912" i="13"/>
  <c r="M899" i="13"/>
  <c r="L909" i="13"/>
  <c r="L866" i="13"/>
  <c r="L899" i="13"/>
  <c r="L917" i="13"/>
  <c r="L887" i="13"/>
  <c r="M921" i="13"/>
  <c r="M905" i="13"/>
  <c r="L905" i="13"/>
  <c r="M888" i="13"/>
  <c r="L893" i="13"/>
  <c r="L879" i="13"/>
  <c r="L888" i="13"/>
  <c r="L920" i="13"/>
  <c r="L916" i="13"/>
  <c r="M877" i="13"/>
  <c r="M894" i="13"/>
  <c r="M907" i="13"/>
  <c r="M880" i="13"/>
  <c r="L907" i="13"/>
  <c r="L880" i="13"/>
  <c r="M918" i="13"/>
  <c r="M920" i="13"/>
  <c r="L918" i="13"/>
  <c r="M919" i="13"/>
  <c r="L865" i="13"/>
  <c r="M896" i="13"/>
  <c r="L894" i="13"/>
  <c r="L872" i="13"/>
  <c r="L874" i="13"/>
  <c r="L891" i="13"/>
  <c r="L904" i="13"/>
  <c r="M891" i="13"/>
  <c r="L901" i="13"/>
  <c r="L869" i="13"/>
  <c r="M901" i="13"/>
  <c r="M868" i="13"/>
  <c r="M759" i="13"/>
  <c r="L721" i="13"/>
  <c r="M762" i="13"/>
  <c r="M795" i="13"/>
  <c r="L713" i="13"/>
  <c r="L805" i="13"/>
  <c r="M739" i="13"/>
  <c r="M770" i="13"/>
  <c r="M763" i="13"/>
  <c r="M778" i="13"/>
  <c r="L757" i="13"/>
  <c r="M783" i="13"/>
  <c r="M771" i="13"/>
  <c r="M786" i="13"/>
  <c r="L789" i="13"/>
  <c r="M782" i="13"/>
  <c r="L786" i="13"/>
  <c r="L800" i="13"/>
  <c r="M741" i="13"/>
  <c r="M720" i="13"/>
  <c r="L764" i="13"/>
  <c r="M785" i="13"/>
  <c r="L722" i="13"/>
  <c r="M779" i="13"/>
  <c r="L763" i="13"/>
  <c r="L724" i="13"/>
  <c r="L807" i="13"/>
  <c r="L730" i="13"/>
  <c r="M787" i="13"/>
  <c r="M756" i="13"/>
  <c r="L720" i="13"/>
  <c r="L756" i="13"/>
  <c r="M764" i="13"/>
  <c r="L746" i="13"/>
  <c r="L723" i="13"/>
  <c r="L771" i="13"/>
  <c r="M791" i="13"/>
  <c r="M767" i="13"/>
  <c r="M738" i="13"/>
  <c r="L762" i="13"/>
  <c r="M798" i="13"/>
  <c r="L802" i="13"/>
  <c r="L804" i="13"/>
  <c r="L796" i="13"/>
  <c r="L749" i="13"/>
  <c r="M751" i="13"/>
  <c r="M760" i="13"/>
  <c r="L808" i="13"/>
  <c r="L735" i="13"/>
  <c r="M807" i="13"/>
  <c r="L753" i="13"/>
  <c r="L765" i="13"/>
  <c r="M769" i="13"/>
  <c r="M768" i="13"/>
  <c r="M740" i="13"/>
  <c r="L797" i="13"/>
  <c r="M752" i="13"/>
  <c r="L791" i="13"/>
  <c r="L793" i="13"/>
  <c r="L769" i="13"/>
  <c r="L776" i="13"/>
  <c r="M744" i="13"/>
  <c r="L801" i="13"/>
  <c r="L732" i="13"/>
  <c r="M806" i="13"/>
  <c r="L736" i="13"/>
  <c r="L778" i="13"/>
  <c r="M755" i="13"/>
  <c r="M808" i="13"/>
  <c r="L790" i="13"/>
  <c r="L783" i="13"/>
  <c r="L754" i="13"/>
  <c r="M776" i="13"/>
  <c r="L752" i="13"/>
  <c r="L744" i="13"/>
  <c r="L772" i="13"/>
  <c r="L748" i="13"/>
  <c r="M801" i="13"/>
  <c r="L755" i="13"/>
  <c r="M736" i="13"/>
  <c r="M732" i="13"/>
  <c r="L768" i="13"/>
  <c r="L794" i="13"/>
  <c r="L718" i="13"/>
  <c r="M794" i="13"/>
  <c r="L733" i="13"/>
  <c r="M805" i="13"/>
  <c r="L798" i="13"/>
  <c r="L779" i="13"/>
  <c r="L741" i="13"/>
  <c r="L781" i="13"/>
  <c r="M728" i="13"/>
  <c r="M790" i="13"/>
  <c r="M747" i="13"/>
  <c r="L719" i="13"/>
  <c r="L782" i="13"/>
  <c r="L751" i="13"/>
  <c r="L715" i="13"/>
  <c r="L785" i="13"/>
  <c r="L742" i="13"/>
  <c r="M803" i="13"/>
  <c r="M772" i="13"/>
  <c r="L728" i="13"/>
  <c r="M802" i="13"/>
  <c r="L743" i="13"/>
  <c r="M719" i="13"/>
  <c r="L784" i="13"/>
  <c r="L727" i="13"/>
  <c r="M765" i="13"/>
  <c r="M727" i="13"/>
  <c r="M784" i="13"/>
  <c r="L767" i="13"/>
  <c r="L775" i="13"/>
  <c r="L770" i="13"/>
  <c r="M724" i="13"/>
  <c r="L760" i="13"/>
  <c r="M605" i="13"/>
  <c r="M683" i="13"/>
  <c r="L613" i="13"/>
  <c r="L648" i="13"/>
  <c r="M610" i="13"/>
  <c r="M609" i="13"/>
  <c r="L612" i="13"/>
  <c r="L608" i="13"/>
  <c r="M627" i="13"/>
  <c r="L692" i="13"/>
  <c r="L623" i="13"/>
  <c r="M621" i="13"/>
  <c r="L639" i="13"/>
  <c r="L638" i="13"/>
  <c r="L679" i="13"/>
  <c r="M687" i="13"/>
  <c r="L607" i="13"/>
  <c r="L643" i="13"/>
  <c r="M656" i="13"/>
  <c r="M652" i="13"/>
  <c r="L657" i="13"/>
  <c r="M645" i="13"/>
  <c r="L647" i="13"/>
  <c r="L655" i="13"/>
  <c r="L642" i="13"/>
  <c r="M651" i="13"/>
  <c r="L664" i="13"/>
  <c r="L604" i="13"/>
  <c r="M664" i="13"/>
  <c r="M642" i="13"/>
  <c r="L611" i="13"/>
  <c r="M593" i="13"/>
  <c r="M598" i="13"/>
  <c r="L630" i="13"/>
  <c r="L601" i="13"/>
  <c r="M647" i="13"/>
  <c r="L594" i="13"/>
  <c r="M663" i="13"/>
  <c r="L618" i="13"/>
  <c r="L645" i="13"/>
  <c r="M675" i="13"/>
  <c r="L693" i="13"/>
  <c r="L678" i="13"/>
  <c r="L676" i="13"/>
  <c r="L614" i="13"/>
  <c r="L677" i="13"/>
  <c r="M632" i="13"/>
  <c r="L636" i="13"/>
  <c r="M691" i="13"/>
  <c r="L595" i="13"/>
  <c r="M640" i="13"/>
  <c r="M608" i="13"/>
  <c r="M589" i="13"/>
  <c r="L589" i="13"/>
  <c r="L626" i="13"/>
  <c r="M682" i="13"/>
  <c r="M679" i="13"/>
  <c r="M655" i="13"/>
  <c r="L683" i="13"/>
  <c r="M693" i="13"/>
  <c r="L593" i="13"/>
  <c r="L640" i="13"/>
  <c r="M596" i="13"/>
  <c r="L658" i="13"/>
  <c r="L603" i="13"/>
  <c r="M668" i="13"/>
  <c r="M615" i="13"/>
  <c r="M686" i="13"/>
  <c r="M648" i="13"/>
  <c r="M602" i="13"/>
  <c r="M594" i="13"/>
  <c r="L666" i="13"/>
  <c r="L637" i="13"/>
  <c r="M629" i="13"/>
  <c r="M635" i="13"/>
  <c r="M658" i="13"/>
  <c r="L689" i="13"/>
  <c r="L668" i="13"/>
  <c r="L675" i="13"/>
  <c r="M641" i="13"/>
  <c r="L632" i="13"/>
  <c r="L649" i="13"/>
  <c r="L631" i="13"/>
  <c r="M672" i="13"/>
  <c r="L650" i="13"/>
  <c r="M634" i="13"/>
  <c r="L602" i="13"/>
  <c r="L690" i="13"/>
  <c r="M669" i="13"/>
  <c r="M689" i="13"/>
  <c r="L610" i="13"/>
  <c r="M613" i="13"/>
  <c r="M619" i="13"/>
  <c r="M676" i="13"/>
  <c r="M600" i="13"/>
  <c r="M650" i="13"/>
  <c r="M666" i="13"/>
  <c r="M659" i="13"/>
  <c r="M606" i="13"/>
  <c r="L687" i="13"/>
  <c r="L633" i="13"/>
  <c r="L609" i="13"/>
  <c r="L605" i="13"/>
  <c r="L641" i="13"/>
  <c r="M588" i="13"/>
  <c r="L615" i="13"/>
  <c r="L644" i="13"/>
  <c r="M630" i="13"/>
  <c r="M677" i="13"/>
  <c r="M678" i="13"/>
  <c r="L660" i="13"/>
  <c r="L598" i="13"/>
  <c r="L688" i="13"/>
  <c r="M670" i="13"/>
  <c r="L685" i="13"/>
  <c r="L617" i="13"/>
  <c r="M620" i="13"/>
  <c r="L616" i="13"/>
  <c r="M661" i="13"/>
  <c r="L588" i="13"/>
  <c r="M654" i="13"/>
  <c r="L622" i="13"/>
  <c r="M625" i="13"/>
  <c r="L659" i="13"/>
  <c r="M680" i="13"/>
  <c r="M646" i="13"/>
  <c r="M595" i="13"/>
  <c r="M685" i="13"/>
  <c r="M597" i="13"/>
  <c r="L625" i="13"/>
  <c r="L673" i="13"/>
  <c r="L624" i="13"/>
  <c r="L672" i="13"/>
  <c r="L674" i="13"/>
  <c r="M637" i="13"/>
  <c r="M643" i="13"/>
  <c r="L596" i="13"/>
  <c r="L669" i="13"/>
  <c r="M603" i="13"/>
  <c r="M667" i="13"/>
  <c r="M674" i="13"/>
  <c r="M649" i="13"/>
  <c r="M623" i="13"/>
  <c r="L682" i="13"/>
  <c r="L653" i="13"/>
  <c r="M639" i="13"/>
  <c r="M591" i="13"/>
  <c r="M592" i="13"/>
  <c r="L671" i="13"/>
  <c r="L619" i="13"/>
  <c r="M653" i="13"/>
  <c r="M673" i="13"/>
  <c r="L652" i="13"/>
  <c r="M614" i="13"/>
  <c r="L635" i="13"/>
  <c r="L634" i="13"/>
  <c r="L621" i="13"/>
  <c r="L628" i="13"/>
  <c r="M662" i="13"/>
  <c r="M618" i="13"/>
  <c r="L686" i="13"/>
  <c r="L661" i="13"/>
  <c r="L606" i="13"/>
  <c r="L681" i="13"/>
  <c r="L656" i="13"/>
  <c r="M688" i="13"/>
  <c r="M622" i="13"/>
  <c r="M657" i="13"/>
  <c r="L667" i="13"/>
  <c r="M626" i="13"/>
  <c r="L629" i="13"/>
  <c r="L684" i="13"/>
  <c r="L670" i="13"/>
  <c r="M604" i="13"/>
  <c r="M684" i="13"/>
  <c r="L646" i="13"/>
  <c r="L654" i="13"/>
  <c r="M636" i="13"/>
  <c r="L680" i="13"/>
  <c r="M692" i="13"/>
  <c r="L590" i="13"/>
  <c r="L587" i="13"/>
  <c r="L691" i="13"/>
  <c r="M633" i="13"/>
  <c r="L663" i="13"/>
  <c r="M690" i="13"/>
  <c r="L555" i="13"/>
  <c r="L556" i="13"/>
  <c r="L575" i="13"/>
  <c r="L576" i="13"/>
  <c r="M576" i="13"/>
  <c r="L570" i="13"/>
  <c r="L568" i="13"/>
  <c r="L563" i="13"/>
  <c r="L560" i="13"/>
  <c r="M561" i="13"/>
  <c r="L561" i="13"/>
  <c r="L567" i="13"/>
  <c r="L571" i="13"/>
  <c r="L572" i="13"/>
  <c r="M450" i="13"/>
  <c r="M362" i="13"/>
  <c r="L373" i="13"/>
  <c r="L392" i="13"/>
  <c r="M419" i="13"/>
  <c r="L362" i="13"/>
  <c r="L454" i="13"/>
  <c r="L442" i="13"/>
  <c r="L388" i="13"/>
  <c r="L380" i="13"/>
  <c r="M453" i="13"/>
  <c r="L432" i="13"/>
  <c r="M380" i="13"/>
  <c r="L430" i="13"/>
  <c r="M443" i="13"/>
  <c r="M447" i="13"/>
  <c r="L443" i="13"/>
  <c r="M369" i="13"/>
  <c r="M379" i="13"/>
  <c r="M381" i="13"/>
  <c r="M396" i="13"/>
  <c r="L369" i="13"/>
  <c r="L358" i="13"/>
  <c r="L372" i="13"/>
  <c r="L434" i="13"/>
  <c r="L416" i="13"/>
  <c r="M423" i="13"/>
  <c r="L379" i="13"/>
  <c r="L439" i="13"/>
  <c r="M394" i="13"/>
  <c r="M424" i="13"/>
  <c r="M439" i="13"/>
  <c r="M387" i="13"/>
  <c r="L391" i="13"/>
  <c r="L463" i="13"/>
  <c r="M420" i="13"/>
  <c r="M403" i="13"/>
  <c r="M415" i="13"/>
  <c r="L420" i="13"/>
  <c r="M359" i="13"/>
  <c r="M427" i="13"/>
  <c r="M388" i="13"/>
  <c r="L423" i="13"/>
  <c r="L359" i="13"/>
  <c r="M437" i="13"/>
  <c r="L435" i="13"/>
  <c r="M407" i="13"/>
  <c r="M395" i="13"/>
  <c r="M428" i="13"/>
  <c r="M375" i="13"/>
  <c r="M451" i="13"/>
  <c r="L412" i="13"/>
  <c r="L446" i="13"/>
  <c r="L421" i="13"/>
  <c r="L409" i="13"/>
  <c r="M413" i="13"/>
  <c r="L447" i="13"/>
  <c r="L417" i="13"/>
  <c r="M383" i="13"/>
  <c r="M421" i="13"/>
  <c r="L459" i="13"/>
  <c r="M435" i="13"/>
  <c r="M412" i="13"/>
  <c r="M371" i="13"/>
  <c r="M425" i="13"/>
  <c r="M391" i="13"/>
  <c r="L456" i="13"/>
  <c r="M400" i="13"/>
  <c r="M455" i="13"/>
  <c r="M356" i="13"/>
  <c r="L431" i="13"/>
  <c r="M393" i="13"/>
  <c r="M385" i="13"/>
  <c r="M426" i="13"/>
  <c r="M397" i="13"/>
  <c r="M376" i="13"/>
  <c r="M431" i="13"/>
  <c r="M401" i="13"/>
  <c r="L410" i="13"/>
  <c r="L426" i="13"/>
  <c r="L364" i="13"/>
  <c r="L455" i="13"/>
  <c r="L404" i="13"/>
  <c r="L399" i="13"/>
  <c r="M459" i="13"/>
  <c r="L458" i="13"/>
  <c r="M416" i="13"/>
  <c r="M411" i="13"/>
  <c r="L395" i="13"/>
  <c r="L371" i="13"/>
  <c r="L396" i="13"/>
  <c r="M461" i="13"/>
  <c r="L422" i="13"/>
  <c r="L461" i="13"/>
  <c r="M436" i="13"/>
  <c r="L361" i="13"/>
  <c r="M303" i="13"/>
  <c r="L335" i="13"/>
  <c r="L313" i="13"/>
  <c r="M327" i="13"/>
  <c r="M320" i="13"/>
  <c r="L329" i="13"/>
  <c r="L315" i="13"/>
  <c r="L332" i="13"/>
  <c r="L338" i="13"/>
  <c r="M309" i="13"/>
  <c r="L320" i="13"/>
  <c r="M322" i="13"/>
  <c r="M338" i="13"/>
  <c r="M323" i="13"/>
  <c r="L305" i="13"/>
  <c r="L322" i="13"/>
  <c r="M340" i="13"/>
  <c r="M346" i="13"/>
  <c r="M333" i="13"/>
  <c r="L302" i="13"/>
  <c r="L307" i="13"/>
  <c r="M348" i="13"/>
  <c r="M330" i="13"/>
  <c r="L333" i="13"/>
  <c r="M302" i="13"/>
  <c r="L342" i="13"/>
  <c r="L316" i="13"/>
  <c r="M316" i="13"/>
  <c r="L312" i="13"/>
  <c r="L327" i="13"/>
  <c r="M308" i="13"/>
  <c r="M331" i="13"/>
  <c r="M307" i="13"/>
  <c r="M334" i="13"/>
  <c r="M317" i="13"/>
  <c r="M345" i="13"/>
  <c r="M318" i="13"/>
  <c r="M319" i="13"/>
  <c r="L317" i="13"/>
  <c r="L345" i="13"/>
  <c r="M341" i="13"/>
  <c r="M305" i="13"/>
  <c r="L348" i="13"/>
  <c r="L321" i="13"/>
  <c r="M332" i="13"/>
  <c r="L325" i="13"/>
  <c r="L309" i="13"/>
  <c r="M311" i="13"/>
  <c r="M325" i="13"/>
  <c r="M306" i="13"/>
  <c r="L344" i="13"/>
  <c r="L323" i="13"/>
  <c r="L336" i="13"/>
  <c r="L306" i="13"/>
  <c r="M304" i="13"/>
  <c r="L301" i="13"/>
  <c r="M337" i="13"/>
  <c r="L308" i="13"/>
  <c r="L318" i="13"/>
  <c r="M313" i="13"/>
  <c r="M344" i="13"/>
  <c r="M342" i="13"/>
  <c r="M312" i="13"/>
  <c r="L303" i="13"/>
  <c r="L346" i="13"/>
  <c r="L341" i="13"/>
  <c r="L328" i="13"/>
  <c r="M329" i="13"/>
  <c r="M343" i="13"/>
  <c r="M347" i="13"/>
  <c r="L334" i="13"/>
  <c r="L347" i="13"/>
  <c r="M301" i="13"/>
  <c r="M335" i="13"/>
  <c r="M339" i="13"/>
  <c r="M314" i="13"/>
  <c r="L304" i="13"/>
  <c r="M310" i="13"/>
  <c r="L326" i="13"/>
  <c r="L314" i="13"/>
  <c r="L319" i="13"/>
  <c r="L203" i="13"/>
  <c r="M200" i="13"/>
  <c r="M220" i="13"/>
  <c r="L202" i="13"/>
  <c r="L200" i="13"/>
  <c r="L181" i="13"/>
  <c r="L222" i="13"/>
  <c r="L206" i="13"/>
  <c r="M185" i="13"/>
  <c r="M145" i="13"/>
  <c r="L185" i="13"/>
  <c r="M215" i="13"/>
  <c r="L205" i="13"/>
  <c r="M221" i="13"/>
  <c r="L197" i="13"/>
  <c r="M182" i="13"/>
  <c r="M186" i="13"/>
  <c r="L213" i="13"/>
  <c r="L175" i="13"/>
  <c r="M137" i="13"/>
  <c r="M213" i="13"/>
  <c r="M179" i="13"/>
  <c r="M198" i="13"/>
  <c r="L137" i="13"/>
  <c r="L209" i="13"/>
  <c r="L207" i="13"/>
  <c r="L180" i="13"/>
  <c r="M216" i="13"/>
  <c r="L198" i="13"/>
  <c r="M233" i="13"/>
  <c r="M217" i="13"/>
  <c r="L221" i="13"/>
  <c r="L161" i="13"/>
  <c r="M225" i="13"/>
  <c r="L189" i="13"/>
  <c r="O478" i="12" a="1"/>
  <c r="O478" i="12" s="1"/>
  <c r="L228" i="13"/>
  <c r="L204" i="13"/>
  <c r="M160" i="13"/>
  <c r="L224" i="13"/>
  <c r="M229" i="13"/>
  <c r="L230" i="13"/>
  <c r="L214" i="13"/>
  <c r="M196" i="13"/>
  <c r="M226" i="13"/>
  <c r="L152" i="13"/>
  <c r="M214" i="13"/>
  <c r="M205" i="13"/>
  <c r="M199" i="13"/>
  <c r="M203" i="13"/>
  <c r="M218" i="13"/>
  <c r="M211" i="13"/>
  <c r="L182" i="13"/>
  <c r="L164" i="13"/>
  <c r="M147" i="13"/>
  <c r="M189" i="13"/>
  <c r="M188" i="13"/>
  <c r="M223" i="13"/>
  <c r="L225" i="13"/>
  <c r="M202" i="13"/>
  <c r="M230" i="13"/>
  <c r="L217" i="13"/>
  <c r="M184" i="13"/>
  <c r="L136" i="13"/>
  <c r="L187" i="13"/>
  <c r="L162" i="13"/>
  <c r="L232" i="13"/>
  <c r="M194" i="13"/>
  <c r="L191" i="13"/>
  <c r="L184" i="13"/>
  <c r="M183" i="13"/>
  <c r="L194" i="13"/>
  <c r="M227" i="13"/>
  <c r="M191" i="13"/>
  <c r="M139" i="13"/>
  <c r="L178" i="13"/>
  <c r="L227" i="13"/>
  <c r="L231" i="13"/>
  <c r="M206" i="13"/>
  <c r="M181" i="13"/>
  <c r="M162" i="13"/>
  <c r="M175" i="13"/>
  <c r="L183" i="13"/>
  <c r="L193" i="13"/>
  <c r="M135" i="13"/>
  <c r="L147" i="13"/>
  <c r="L179" i="13"/>
  <c r="L210" i="13"/>
  <c r="L201" i="13"/>
  <c r="L168" i="13"/>
  <c r="M232" i="13"/>
  <c r="M219" i="13"/>
  <c r="L190" i="13"/>
  <c r="M187" i="13"/>
  <c r="M209" i="13"/>
  <c r="L216" i="13"/>
  <c r="M172" i="13"/>
  <c r="L219" i="13"/>
  <c r="M190" i="13"/>
  <c r="M195" i="13"/>
  <c r="L220" i="13"/>
  <c r="L208" i="13"/>
  <c r="L167" i="13"/>
  <c r="L229" i="13"/>
  <c r="M222" i="13"/>
  <c r="M228" i="13"/>
  <c r="L188" i="13"/>
  <c r="M208" i="13"/>
  <c r="M197" i="13"/>
  <c r="M201" i="13"/>
  <c r="L196" i="13"/>
  <c r="L172" i="13"/>
  <c r="M112" i="13"/>
  <c r="O476" i="12" a="1"/>
  <c r="O476" i="12" s="1"/>
  <c r="O475" i="12" a="1"/>
  <c r="O475" i="12" s="1"/>
  <c r="L112" i="13"/>
  <c r="L114" i="13"/>
  <c r="O480" i="12" a="1"/>
  <c r="O480" i="12" s="1"/>
  <c r="O479" i="12" a="1"/>
  <c r="O479" i="12" s="1"/>
  <c r="O477" i="12" a="1"/>
  <c r="O477" i="12" s="1"/>
  <c r="O470" i="12" a="1"/>
  <c r="O470" i="12" s="1"/>
  <c r="O472" i="12" a="1"/>
  <c r="O472" i="12" s="1"/>
  <c r="O469" i="12" a="1"/>
  <c r="O469" i="12" s="1"/>
  <c r="O473" i="12" a="1"/>
  <c r="O473" i="12" s="1"/>
  <c r="O471" i="12" a="1"/>
  <c r="O471" i="12" s="1"/>
  <c r="O474" i="12" a="1"/>
  <c r="O474" i="12" s="1"/>
  <c r="B5" i="12"/>
  <c r="A5" i="12"/>
  <c r="Q5" i="1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<sst xmlns="http://schemas.openxmlformats.org/spreadsheetml/2006/main" count="13198" uniqueCount="2032">
  <si>
    <t>Графіки вивезення ТПВ КП "Послуга" — Прилуцька міська рада</t>
  </si>
  <si>
    <t>Джерело: 9 сканованих графіків (SCAN0584-SCAN0592). Кожен лист відповідає одному скану.</t>
  </si>
  <si>
    <t>№</t>
  </si>
  <si>
    <t>Лист</t>
  </si>
  <si>
    <t>Опис</t>
  </si>
  <si>
    <t>М5_МАЗ4381_0592</t>
  </si>
  <si>
    <t>Графік вивезення ТПВ (побутові відходи) — Маршрут №5, автомобіль МАЗ 4381, реєстр. №СВ 81-71 ВК</t>
  </si>
  <si>
    <t>М1_КАМАЗ55111_0591</t>
  </si>
  <si>
    <t>Графік вивезення ТПВ — Маршрут №1, автомобіль КАМАЗ 55111, реєстр. №СВ 50-33 АР</t>
  </si>
  <si>
    <t>М3-4_ГАЗ3309_0590</t>
  </si>
  <si>
    <t>Графік вивезення ТПВ — Маршрут №3 і №4, автомобіль ГАЗ 3309, реєстр. №СВ 17-85 ВН</t>
  </si>
  <si>
    <t>М2_ВГВ_РеноЛендер_0589</t>
  </si>
  <si>
    <t>Графік вивезення великогабаритних побутових відходів — Маршрут №2, автомобіль Рено Лендер, реєстр. №СВ 52-62 СА</t>
  </si>
  <si>
    <t>М2_АТ4021-1120_0588</t>
  </si>
  <si>
    <t>Графік вивезення ТПВ — Маршрут №2, автомобіль АТ 4021/1120, реєстр. №СВ 64-11 ЕТ</t>
  </si>
  <si>
    <t>М3_МАЗ4371_0587</t>
  </si>
  <si>
    <t>Графік вивезення ТПВ — Маршрут №3, автомобіль МАЗ-4371, реєстр. №СВ 53-06 СА</t>
  </si>
  <si>
    <t>М6_АТ4021_0586</t>
  </si>
  <si>
    <t>Графік вивезення ТПВ — Маршрут №6, автомобіль АТ 4021, реєстр. №СВ 33-16 ЕО*</t>
  </si>
  <si>
    <t>М1-2_АТ4021-1120_0585</t>
  </si>
  <si>
    <t>Графік вивезення ТПВ — Маршрут №1 і №2, автомобіль АТ-4021/1120, реєстр. №СВ 14-65 ЕО</t>
  </si>
  <si>
    <t>М4_АТ4042ROD_0584</t>
  </si>
  <si>
    <t>Графік вивезення ТПВ — Маршрут №4, автомобіль АТ 40-42/ROD21003, реєстр. №СВ 33-15 ЕО</t>
  </si>
  <si>
    <t>Понеділок</t>
  </si>
  <si>
    <t>Назва вулиці</t>
  </si>
  <si>
    <t>Номер будинку / об'єкт</t>
  </si>
  <si>
    <t>Час</t>
  </si>
  <si>
    <t>Км</t>
  </si>
  <si>
    <t>м³</t>
  </si>
  <si>
    <t>ГАРАЖ</t>
  </si>
  <si>
    <t>6:50</t>
  </si>
  <si>
    <t>вул. Гвардійська</t>
  </si>
  <si>
    <t>7:00</t>
  </si>
  <si>
    <t>вул. Братів Ревуцьких</t>
  </si>
  <si>
    <t>7:10</t>
  </si>
  <si>
    <t>вул. І. Богуна</t>
  </si>
  <si>
    <t>7:20</t>
  </si>
  <si>
    <t>вул. 18 Вересня</t>
  </si>
  <si>
    <t>7:30</t>
  </si>
  <si>
    <t>7:40</t>
  </si>
  <si>
    <t>вул. Г. Сагайдачного</t>
  </si>
  <si>
    <t>7:50</t>
  </si>
  <si>
    <t>провул. Г. Сагайдачного</t>
  </si>
  <si>
    <t>8:00</t>
  </si>
  <si>
    <t>2 пров. Дослідний</t>
  </si>
  <si>
    <t>8:15</t>
  </si>
  <si>
    <t>3 пров. Дослідний</t>
  </si>
  <si>
    <t>8:30</t>
  </si>
  <si>
    <t>4 пров. Дослідний</t>
  </si>
  <si>
    <t>8:40</t>
  </si>
  <si>
    <t>1 пров. П. Комуни</t>
  </si>
  <si>
    <t>8:50</t>
  </si>
  <si>
    <t>вул. М. Міхновського</t>
  </si>
  <si>
    <t>8:55</t>
  </si>
  <si>
    <t>2 пров. П. Комуни</t>
  </si>
  <si>
    <t>9:15</t>
  </si>
  <si>
    <t>3 пров. П. Комуни</t>
  </si>
  <si>
    <t>9:30</t>
  </si>
  <si>
    <t>вул. Оранжерейна</t>
  </si>
  <si>
    <t>9:50</t>
  </si>
  <si>
    <t>1 пров. Південний</t>
  </si>
  <si>
    <t>10:10</t>
  </si>
  <si>
    <t>вул. Південна</t>
  </si>
  <si>
    <t>10:30</t>
  </si>
  <si>
    <t>вул. Малківська</t>
  </si>
  <si>
    <t>10:50</t>
  </si>
  <si>
    <t>вул. Климачівська</t>
  </si>
  <si>
    <t>11:00</t>
  </si>
  <si>
    <t>вул. 2-га Південна</t>
  </si>
  <si>
    <t>11:10</t>
  </si>
  <si>
    <t>вул. Зелена</t>
  </si>
  <si>
    <t>11:25</t>
  </si>
  <si>
    <t>1 пров. Зелений</t>
  </si>
  <si>
    <t>11:45</t>
  </si>
  <si>
    <t>СМІТТЄЗВАЛИЩЕ</t>
  </si>
  <si>
    <t>12:00</t>
  </si>
  <si>
    <t>2 пров. Зелений</t>
  </si>
  <si>
    <t>12:40</t>
  </si>
  <si>
    <t>вул. Ветеранська</t>
  </si>
  <si>
    <t>12:55</t>
  </si>
  <si>
    <t>вул. Д. Шкоропада</t>
  </si>
  <si>
    <t>13:10</t>
  </si>
  <si>
    <t>2 пров. Змагання</t>
  </si>
  <si>
    <t>13:30</t>
  </si>
  <si>
    <t>вул. Небесної Сотні</t>
  </si>
  <si>
    <t>13:45</t>
  </si>
  <si>
    <t>пров. Ветеранський</t>
  </si>
  <si>
    <t>14:00</t>
  </si>
  <si>
    <t>вул. Іванівська</t>
  </si>
  <si>
    <t>14:20</t>
  </si>
  <si>
    <t>1 пров. Скоропадського</t>
  </si>
  <si>
    <t>14:40</t>
  </si>
  <si>
    <t>Замовлення</t>
  </si>
  <si>
    <t>14:55</t>
  </si>
  <si>
    <t>15:45</t>
  </si>
  <si>
    <t>ВСЬОГО:</t>
  </si>
  <si>
    <t>Вівторок</t>
  </si>
  <si>
    <t>вул. Л. Українки</t>
  </si>
  <si>
    <t>вул. Січових Стрільців</t>
  </si>
  <si>
    <t>пров. Залізничний</t>
  </si>
  <si>
    <t>вул. М. Яковченка</t>
  </si>
  <si>
    <t>вул. Короленка</t>
  </si>
  <si>
    <t>вул. Світанкова</t>
  </si>
  <si>
    <t>пров. Л. Українки</t>
  </si>
  <si>
    <t>вул. І. Мазепи</t>
  </si>
  <si>
    <t>пров. І. Мазепи</t>
  </si>
  <si>
    <t>8:35</t>
  </si>
  <si>
    <t>вул. Залізнична</t>
  </si>
  <si>
    <t>вул. Паркова</t>
  </si>
  <si>
    <t>9:20</t>
  </si>
  <si>
    <t>вул. Перемоги</t>
  </si>
  <si>
    <t>9:35</t>
  </si>
  <si>
    <t>вул. М. Маркевича</t>
  </si>
  <si>
    <t>базар</t>
  </si>
  <si>
    <t>10:05</t>
  </si>
  <si>
    <t>вул. Західна</t>
  </si>
  <si>
    <t>10:25</t>
  </si>
  <si>
    <t>пров. Західний</t>
  </si>
  <si>
    <t>10:45</t>
  </si>
  <si>
    <t>11:15</t>
  </si>
  <si>
    <t>вул. І. Сірка</t>
  </si>
  <si>
    <t>12:05</t>
  </si>
  <si>
    <t>3 пров. І. Сірка</t>
  </si>
  <si>
    <t>12:10</t>
  </si>
  <si>
    <t>1 пров. І. Сірка</t>
  </si>
  <si>
    <t>12:20</t>
  </si>
  <si>
    <t>2 пров. І. Сірка</t>
  </si>
  <si>
    <t>12:30</t>
  </si>
  <si>
    <t>вул. Ніжинська</t>
  </si>
  <si>
    <t>вул. Трубарівська</t>
  </si>
  <si>
    <t>12:50</t>
  </si>
  <si>
    <t>пров. Трубарівський</t>
  </si>
  <si>
    <t>13:05</t>
  </si>
  <si>
    <t>вул. Низова</t>
  </si>
  <si>
    <t>13:20</t>
  </si>
  <si>
    <t>вул. Нова</t>
  </si>
  <si>
    <t>вул. М. Старицького</t>
  </si>
  <si>
    <t>В/ч 12</t>
  </si>
  <si>
    <t>вул. Земська</t>
  </si>
  <si>
    <t>14:25</t>
  </si>
  <si>
    <t>вул. Скоропадського</t>
  </si>
  <si>
    <t>15:00</t>
  </si>
  <si>
    <t>вул. Військова</t>
  </si>
  <si>
    <t>15:15</t>
  </si>
  <si>
    <t>15:25</t>
  </si>
  <si>
    <t>Середа</t>
  </si>
  <si>
    <t>вул. П. Сагайдачного</t>
  </si>
  <si>
    <t>пров. П. Сагайдачного</t>
  </si>
  <si>
    <t>7:15</t>
  </si>
  <si>
    <t>пров. Заводський</t>
  </si>
  <si>
    <t>7:25</t>
  </si>
  <si>
    <t>вул. Героїв Крут</t>
  </si>
  <si>
    <t>7:35</t>
  </si>
  <si>
    <t>вул. Яблунівська</t>
  </si>
  <si>
    <t>7:45</t>
  </si>
  <si>
    <t>вул. М. Приймаченка</t>
  </si>
  <si>
    <t>вул. Н. Левинського</t>
  </si>
  <si>
    <t>вул. Ю. Коваленка</t>
  </si>
  <si>
    <t>9:00</t>
  </si>
  <si>
    <t>пров. Ю. Коваленка</t>
  </si>
  <si>
    <t>пров. М. Приймаченко</t>
  </si>
  <si>
    <t>М-н "Ірина"</t>
  </si>
  <si>
    <t>9:45</t>
  </si>
  <si>
    <t>1 пров. Андріївський</t>
  </si>
  <si>
    <t>10:40</t>
  </si>
  <si>
    <t>вул. Молодіжна</t>
  </si>
  <si>
    <t>10:55</t>
  </si>
  <si>
    <t>вул. І. Піддубного</t>
  </si>
  <si>
    <t>12:25</t>
  </si>
  <si>
    <t>вул. Квашинська</t>
  </si>
  <si>
    <t>12:45</t>
  </si>
  <si>
    <t>вул. Кругова</t>
  </si>
  <si>
    <t>13:00</t>
  </si>
  <si>
    <t>вул. Партизанська</t>
  </si>
  <si>
    <t>13:15</t>
  </si>
  <si>
    <t>вул. Шкоропада</t>
  </si>
  <si>
    <t>вул. Ботанічна</t>
  </si>
  <si>
    <t>пров. Партизанський</t>
  </si>
  <si>
    <t>вул. Європейська</t>
  </si>
  <si>
    <t>14:15</t>
  </si>
  <si>
    <t>вул. Сковороди</t>
  </si>
  <si>
    <t>14:30</t>
  </si>
  <si>
    <t>3 пров. Європейський</t>
  </si>
  <si>
    <t>14:45</t>
  </si>
  <si>
    <t>вул. Червона Рута</t>
  </si>
  <si>
    <t>м-н Акваріум</t>
  </si>
  <si>
    <t>15:20</t>
  </si>
  <si>
    <t>вул. Ярмаркова</t>
  </si>
  <si>
    <t>15:35</t>
  </si>
  <si>
    <t>15:50</t>
  </si>
  <si>
    <t>Четвер</t>
  </si>
  <si>
    <t>вул. Леонтовича</t>
  </si>
  <si>
    <t>вул. Пирятинська</t>
  </si>
  <si>
    <t>вул. Андріївська</t>
  </si>
  <si>
    <t>8:10</t>
  </si>
  <si>
    <t>2 пров. Європейський</t>
  </si>
  <si>
    <t>8:25</t>
  </si>
  <si>
    <t>пров. Прорізний</t>
  </si>
  <si>
    <t>вул. Козача</t>
  </si>
  <si>
    <t>8:45</t>
  </si>
  <si>
    <t>1 пров. Європейський</t>
  </si>
  <si>
    <t>вул. Рокітна</t>
  </si>
  <si>
    <t>9:55</t>
  </si>
  <si>
    <t>2 пров. Рокітний</t>
  </si>
  <si>
    <t>10:35</t>
  </si>
  <si>
    <t>вул. В. Чорновола</t>
  </si>
  <si>
    <t>11:20</t>
  </si>
  <si>
    <t>вул. Вокзальна</t>
  </si>
  <si>
    <t>11:50</t>
  </si>
  <si>
    <t>вул. Київська</t>
  </si>
  <si>
    <t>вул. Вербна</t>
  </si>
  <si>
    <t>вул. Дачна</t>
  </si>
  <si>
    <t>12:15</t>
  </si>
  <si>
    <t>вул. Житня</t>
  </si>
  <si>
    <t>вул. В. Стуса</t>
  </si>
  <si>
    <t>12:35</t>
  </si>
  <si>
    <t>1 пров. В. Стуса</t>
  </si>
  <si>
    <t>2 пров. В. Стуса</t>
  </si>
  <si>
    <t>вул. С. Величка</t>
  </si>
  <si>
    <t>М'ясокомбінат</t>
  </si>
  <si>
    <t>13:40</t>
  </si>
  <si>
    <t>вул. Миколаївська</t>
  </si>
  <si>
    <t>вул. Мединська</t>
  </si>
  <si>
    <t>вул. Дубинського</t>
  </si>
  <si>
    <t>вул. Миротворців</t>
  </si>
  <si>
    <t>вул. О. Пчілки</t>
  </si>
  <si>
    <t>15:30</t>
  </si>
  <si>
    <t>П'ятниця</t>
  </si>
  <si>
    <t>2 пров. В. Чорновола</t>
  </si>
  <si>
    <t>1 пров. Змагання</t>
  </si>
  <si>
    <t>вул. М. Андріяшева</t>
  </si>
  <si>
    <t>вул. Л. Лук'яненка</t>
  </si>
  <si>
    <t>вул. Ждановича</t>
  </si>
  <si>
    <t>пров. М. Старицького</t>
  </si>
  <si>
    <t>пров. О. Вересая</t>
  </si>
  <si>
    <t>9:05</t>
  </si>
  <si>
    <t>пров. Ждановича</t>
  </si>
  <si>
    <t>вул. І. Франка</t>
  </si>
  <si>
    <t>10:00</t>
  </si>
  <si>
    <t>пров. І. Франка</t>
  </si>
  <si>
    <t>1 пров. Оранжерейний</t>
  </si>
  <si>
    <t>вул. П. Орлика</t>
  </si>
  <si>
    <t>пров. П. Орлика</t>
  </si>
  <si>
    <t>1 пров. Колгоспний</t>
  </si>
  <si>
    <t>11:05</t>
  </si>
  <si>
    <t>11:35</t>
  </si>
  <si>
    <t>11:55</t>
  </si>
  <si>
    <t>вул. Польова</t>
  </si>
  <si>
    <t>2 в'їзд Вишневий</t>
  </si>
  <si>
    <t>1 в'їзд Вишневий</t>
  </si>
  <si>
    <t>вул. Б. Носенка</t>
  </si>
  <si>
    <t>пров. Польовий</t>
  </si>
  <si>
    <t>вул. Половецька</t>
  </si>
  <si>
    <t>13:50</t>
  </si>
  <si>
    <t>2 пров. Східний</t>
  </si>
  <si>
    <t>1 пров. Східний</t>
  </si>
  <si>
    <t>пров. Східний</t>
  </si>
  <si>
    <t>14:50</t>
  </si>
  <si>
    <t>вул. Грушевського</t>
  </si>
  <si>
    <t>15:40</t>
  </si>
  <si>
    <t>Контейнери</t>
  </si>
  <si>
    <t>3 магазин</t>
  </si>
  <si>
    <t>7:05</t>
  </si>
  <si>
    <t>Ощадбанк</t>
  </si>
  <si>
    <t>Центральна площа</t>
  </si>
  <si>
    <t>стовпи</t>
  </si>
  <si>
    <t>парк Вічної Слави</t>
  </si>
  <si>
    <t>вул. Київська-Козача</t>
  </si>
  <si>
    <t>зупинка</t>
  </si>
  <si>
    <t>Райлікарня</t>
  </si>
  <si>
    <t>7:55</t>
  </si>
  <si>
    <t>5 магазин</t>
  </si>
  <si>
    <t>санстанція</t>
  </si>
  <si>
    <t>8:20</t>
  </si>
  <si>
    <t>ЦМЛ</t>
  </si>
  <si>
    <t>буд. 3</t>
  </si>
  <si>
    <t>вул. Київська-І. Сірка</t>
  </si>
  <si>
    <t>перехрестя</t>
  </si>
  <si>
    <t>вул. Ю. Мірюти</t>
  </si>
  <si>
    <t>кінцева зупинка</t>
  </si>
  <si>
    <t>автовокзал</t>
  </si>
  <si>
    <t>БАМ</t>
  </si>
  <si>
    <t>вул. Котляревського</t>
  </si>
  <si>
    <t>ВОГ</t>
  </si>
  <si>
    <t>вул. Садова</t>
  </si>
  <si>
    <t>м-н М'ясний край</t>
  </si>
  <si>
    <t>вул. Переяславська</t>
  </si>
  <si>
    <t>Фора</t>
  </si>
  <si>
    <t>М-н Маркетопт</t>
  </si>
  <si>
    <t>М-н Практика</t>
  </si>
  <si>
    <t>10:20</t>
  </si>
  <si>
    <t>Мийка</t>
  </si>
  <si>
    <t>Сільпо</t>
  </si>
  <si>
    <t>В/м</t>
  </si>
  <si>
    <t>вул. Саксаганського</t>
  </si>
  <si>
    <t>20</t>
  </si>
  <si>
    <t>Аврора</t>
  </si>
  <si>
    <t>16:00</t>
  </si>
  <si>
    <t>9:40</t>
  </si>
  <si>
    <t>72 (ТІМ)</t>
  </si>
  <si>
    <t>Панорама</t>
  </si>
  <si>
    <t>Д/с</t>
  </si>
  <si>
    <t>11:30</t>
  </si>
  <si>
    <t>АЗС</t>
  </si>
  <si>
    <t>Епіцентр</t>
  </si>
  <si>
    <t>10:15</t>
  </si>
  <si>
    <t>11:40</t>
  </si>
  <si>
    <t>колонія</t>
  </si>
  <si>
    <t>Субота</t>
  </si>
  <si>
    <t>Увага: у первинному скані сторінки з маршрутом №3 і №4 чергуються (порядок збережено як в оригіналі).</t>
  </si>
  <si>
    <t>Маршрут №3 — Четвер</t>
  </si>
  <si>
    <t>шк. 7</t>
  </si>
  <si>
    <t>"Ідеал"</t>
  </si>
  <si>
    <t>3</t>
  </si>
  <si>
    <t>108</t>
  </si>
  <si>
    <t>перехрестя Земська-Скоропадського</t>
  </si>
  <si>
    <t>вул. Індустріальна</t>
  </si>
  <si>
    <t>7</t>
  </si>
  <si>
    <t>7а</t>
  </si>
  <si>
    <t>47</t>
  </si>
  <si>
    <t>вул. Героїв Чорнобиля</t>
  </si>
  <si>
    <t>80</t>
  </si>
  <si>
    <t>вул. Шевченка</t>
  </si>
  <si>
    <t>Профілакторій</t>
  </si>
  <si>
    <t>Д/с 9</t>
  </si>
  <si>
    <t>Приймальний пункт</t>
  </si>
  <si>
    <t>113</t>
  </si>
  <si>
    <t>109 а</t>
  </si>
  <si>
    <t>13:35</t>
  </si>
  <si>
    <t>13:55</t>
  </si>
  <si>
    <t>вул. Галаганівська</t>
  </si>
  <si>
    <t>арка</t>
  </si>
  <si>
    <t>14:10</t>
  </si>
  <si>
    <t>14:35</t>
  </si>
  <si>
    <t>110</t>
  </si>
  <si>
    <t>15:10</t>
  </si>
  <si>
    <t>(двір Вокзальна, 19)</t>
  </si>
  <si>
    <t>16:15</t>
  </si>
  <si>
    <t>Маршрут №3 — Неділя</t>
  </si>
  <si>
    <t>вул. Шкільна</t>
  </si>
  <si>
    <t>2</t>
  </si>
  <si>
    <t>Маршрут №4 — Середа</t>
  </si>
  <si>
    <t>1</t>
  </si>
  <si>
    <t>29 а</t>
  </si>
  <si>
    <t>вул. Гімназична</t>
  </si>
  <si>
    <t>навпроти центр. Кладовища</t>
  </si>
  <si>
    <t>9:10</t>
  </si>
  <si>
    <t>вул. Соборна</t>
  </si>
  <si>
    <t>125</t>
  </si>
  <si>
    <t>котельня</t>
  </si>
  <si>
    <t>вул. Чернігівська</t>
  </si>
  <si>
    <t>стадіон</t>
  </si>
  <si>
    <t>буд. 31 а</t>
  </si>
  <si>
    <t>ЦМЛ (швидка)</t>
  </si>
  <si>
    <t>13:25</t>
  </si>
  <si>
    <t>35</t>
  </si>
  <si>
    <t>в/м 17</t>
  </si>
  <si>
    <t>в/м 12</t>
  </si>
  <si>
    <t>92</t>
  </si>
  <si>
    <t>15:55</t>
  </si>
  <si>
    <t>Маршрут №4 — Субота</t>
  </si>
  <si>
    <t>Маршрут №3 — Понеділок</t>
  </si>
  <si>
    <t>вул. Сорочинська</t>
  </si>
  <si>
    <t>шк. 13</t>
  </si>
  <si>
    <t>вул. Густинська</t>
  </si>
  <si>
    <t>пластик-сервіс</t>
  </si>
  <si>
    <t>2 в-д Небесної Сотні</t>
  </si>
  <si>
    <t>НВК</t>
  </si>
  <si>
    <t>8:05</t>
  </si>
  <si>
    <t>МБК</t>
  </si>
  <si>
    <t>вул. Чорновола</t>
  </si>
  <si>
    <t>ЦТДЮ</t>
  </si>
  <si>
    <t>шк. 2</t>
  </si>
  <si>
    <t>"Дивоцін"</t>
  </si>
  <si>
    <t>гуртожиток</t>
  </si>
  <si>
    <t>шк. мистецтв</t>
  </si>
  <si>
    <t>поліція</t>
  </si>
  <si>
    <t>шк.-інтернат</t>
  </si>
  <si>
    <t>"Сова"</t>
  </si>
  <si>
    <t>вул. Коновальця</t>
  </si>
  <si>
    <t>Д/с 27</t>
  </si>
  <si>
    <t>УГГ</t>
  </si>
  <si>
    <t>дит.лікарня</t>
  </si>
  <si>
    <t>Д/с 29</t>
  </si>
  <si>
    <t>НРЦ</t>
  </si>
  <si>
    <t>"Надія"</t>
  </si>
  <si>
    <t>"Удай"</t>
  </si>
  <si>
    <t>вул. Кільцева</t>
  </si>
  <si>
    <t>Виробнича</t>
  </si>
  <si>
    <t>Тиждень (кожна вулиця — свій день)</t>
  </si>
  <si>
    <t>День тижня</t>
  </si>
  <si>
    <t>30</t>
  </si>
  <si>
    <t>52</t>
  </si>
  <si>
    <t>вул. Архиповича</t>
  </si>
  <si>
    <t>14</t>
  </si>
  <si>
    <t>114</t>
  </si>
  <si>
    <t>87-А</t>
  </si>
  <si>
    <t>41/9</t>
  </si>
  <si>
    <t>107</t>
  </si>
  <si>
    <t>Іжбат</t>
  </si>
  <si>
    <t>вул. М. Леонтовича</t>
  </si>
  <si>
    <t>Флагман</t>
  </si>
  <si>
    <t>Нова пошта</t>
  </si>
  <si>
    <t>12</t>
  </si>
  <si>
    <t>центр зайнятості</t>
  </si>
  <si>
    <t>жіноча конс-ція</t>
  </si>
  <si>
    <t>вул. Ковалівська</t>
  </si>
  <si>
    <t>Лижна база</t>
  </si>
  <si>
    <t>9:25</t>
  </si>
  <si>
    <t>вул. Незалежності</t>
  </si>
  <si>
    <t>Пляж</t>
  </si>
  <si>
    <t>буд. 10</t>
  </si>
  <si>
    <t>64</t>
  </si>
  <si>
    <t>(центр. Цвинтар)</t>
  </si>
  <si>
    <t>карамелька</t>
  </si>
  <si>
    <t>СПТУ</t>
  </si>
  <si>
    <t>старий ринок</t>
  </si>
  <si>
    <t>Універмаг</t>
  </si>
  <si>
    <t>15:05</t>
  </si>
  <si>
    <t>Франсуа</t>
  </si>
  <si>
    <t>АТБ</t>
  </si>
  <si>
    <t>м-н "Драйв"</t>
  </si>
  <si>
    <t>16:10</t>
  </si>
  <si>
    <t>ФОП Лупоненко</t>
  </si>
  <si>
    <t>"Андріївський"</t>
  </si>
  <si>
    <t>вул. Михайлівський</t>
  </si>
  <si>
    <t>ОСББ</t>
  </si>
  <si>
    <t>УБР</t>
  </si>
  <si>
    <t>Швейна</t>
  </si>
  <si>
    <t>16:05</t>
  </si>
  <si>
    <t>Нова пошта 3 біля АТБ</t>
  </si>
  <si>
    <t>"Дача"</t>
  </si>
  <si>
    <t>Неділя</t>
  </si>
  <si>
    <t>Заправка</t>
  </si>
  <si>
    <t>Скоропадського</t>
  </si>
  <si>
    <t>Котляревського</t>
  </si>
  <si>
    <t>кафе "Бандера"</t>
  </si>
  <si>
    <t>військомат</t>
  </si>
  <si>
    <t>"Лімон"</t>
  </si>
  <si>
    <t>109а</t>
  </si>
  <si>
    <t>райлікарня</t>
  </si>
  <si>
    <t>180</t>
  </si>
  <si>
    <t>22</t>
  </si>
  <si>
    <t>виконком</t>
  </si>
  <si>
    <t>84</t>
  </si>
  <si>
    <t>перехрестя Київська-Котляревського</t>
  </si>
  <si>
    <t>33</t>
  </si>
  <si>
    <t>райрада</t>
  </si>
  <si>
    <t>2 в'їзд Василя Стуса</t>
  </si>
  <si>
    <t>Оригінал — таблиця "дні вивозу ТПВ" (пн-нд) з єдиним стовпцем позначки Х; кожна сторінка скану відповідає одному дню, конкретна назва дня тижня в оригіналі не завжди однозначно читається — перевірте за сканом за потреби.</t>
  </si>
  <si>
    <t>День 1</t>
  </si>
  <si>
    <t>21,5</t>
  </si>
  <si>
    <t>вул. В. Завітневича</t>
  </si>
  <si>
    <t>33,17</t>
  </si>
  <si>
    <t>вул. Піщана</t>
  </si>
  <si>
    <t>30,36  20,5</t>
  </si>
  <si>
    <t>5</t>
  </si>
  <si>
    <t>вул. Героїв Прилук</t>
  </si>
  <si>
    <t>76</t>
  </si>
  <si>
    <t>вул. Миролюбна</t>
  </si>
  <si>
    <t>48,82  33,19</t>
  </si>
  <si>
    <t>вул. Фабрична</t>
  </si>
  <si>
    <t>69,79  59,86</t>
  </si>
  <si>
    <t>вул. І. Білгородського</t>
  </si>
  <si>
    <t>28,25  15,10</t>
  </si>
  <si>
    <t>1 пров. Пирогівський</t>
  </si>
  <si>
    <t>30,24  15,2</t>
  </si>
  <si>
    <t>2 пров. Пирогівський</t>
  </si>
  <si>
    <t>4,6  14,27</t>
  </si>
  <si>
    <t>46,30  22,12</t>
  </si>
  <si>
    <t>вул. Родини Горленків</t>
  </si>
  <si>
    <t>7,12  22,18</t>
  </si>
  <si>
    <t>пров. Фабричний</t>
  </si>
  <si>
    <t>27,42  50</t>
  </si>
  <si>
    <t>вул. Пирогівська</t>
  </si>
  <si>
    <t>45,31  21</t>
  </si>
  <si>
    <t>вул. Миру</t>
  </si>
  <si>
    <t>24</t>
  </si>
  <si>
    <t>вул. М. Лисенка</t>
  </si>
  <si>
    <t>26,16  11,5</t>
  </si>
  <si>
    <t>пров. М. Лисенка</t>
  </si>
  <si>
    <t>3,9  13,20</t>
  </si>
  <si>
    <t>вул. Кар'єрна</t>
  </si>
  <si>
    <t>11,2</t>
  </si>
  <si>
    <t>вул. Межова</t>
  </si>
  <si>
    <t>2,12</t>
  </si>
  <si>
    <t>2 пров. Межовий</t>
  </si>
  <si>
    <t>3,4</t>
  </si>
  <si>
    <t>1 пров. Межовий</t>
  </si>
  <si>
    <t>1,2  5,8</t>
  </si>
  <si>
    <t>147,107,57</t>
  </si>
  <si>
    <t>161,157,145</t>
  </si>
  <si>
    <t>пров. Шевченка</t>
  </si>
  <si>
    <t>21,25</t>
  </si>
  <si>
    <t>14,10  3,1</t>
  </si>
  <si>
    <t>1 пров. Удайський</t>
  </si>
  <si>
    <t>23,33  15,5</t>
  </si>
  <si>
    <t>2 пров. Удайський</t>
  </si>
  <si>
    <t>12,4</t>
  </si>
  <si>
    <t>3 пров. Удайський</t>
  </si>
  <si>
    <t>6,11  45,33</t>
  </si>
  <si>
    <t>День 2</t>
  </si>
  <si>
    <t>87,69  27,20</t>
  </si>
  <si>
    <t>41,47  88</t>
  </si>
  <si>
    <t>14,21  50,121</t>
  </si>
  <si>
    <t>1,10  15</t>
  </si>
  <si>
    <t>пров. Героїв Прилук</t>
  </si>
  <si>
    <t>33,44  20,18</t>
  </si>
  <si>
    <t>вул. П. Дорошенка</t>
  </si>
  <si>
    <t>11,16  20,39</t>
  </si>
  <si>
    <t>18,29</t>
  </si>
  <si>
    <t>3,15  11</t>
  </si>
  <si>
    <t>10,7  5</t>
  </si>
  <si>
    <t>37,80  163  193</t>
  </si>
  <si>
    <t>80,64  94  103</t>
  </si>
  <si>
    <t>2 пров. Шевченка</t>
  </si>
  <si>
    <t>4,15</t>
  </si>
  <si>
    <t>вул. Кустівська</t>
  </si>
  <si>
    <t>5,37  47,61</t>
  </si>
  <si>
    <t>пров. Кустівський</t>
  </si>
  <si>
    <t>1,2  15,20</t>
  </si>
  <si>
    <t>53,51  39</t>
  </si>
  <si>
    <t>18,41  52</t>
  </si>
  <si>
    <t>вул. Берегова</t>
  </si>
  <si>
    <t>144  123,93</t>
  </si>
  <si>
    <t>2 пров. Героїв Чорнобиля</t>
  </si>
  <si>
    <t>27,20  7,2</t>
  </si>
  <si>
    <t>вул. Шарапівська</t>
  </si>
  <si>
    <t>56,31  25,15</t>
  </si>
  <si>
    <t>1,2 в'їзд Шарапівський</t>
  </si>
  <si>
    <t>1,2  6,7</t>
  </si>
  <si>
    <t>вул. Волошинівська</t>
  </si>
  <si>
    <t>3,23  42,60</t>
  </si>
  <si>
    <t>вул. Берегова Рута</t>
  </si>
  <si>
    <t>8,16  21</t>
  </si>
  <si>
    <t>2,5  3,36</t>
  </si>
  <si>
    <t>пров. Північний</t>
  </si>
  <si>
    <t>24,15  7</t>
  </si>
  <si>
    <t>вул. Гоголя</t>
  </si>
  <si>
    <t>100  108</t>
  </si>
  <si>
    <t>День 3</t>
  </si>
  <si>
    <t>4</t>
  </si>
  <si>
    <t>75,62</t>
  </si>
  <si>
    <t>40,46</t>
  </si>
  <si>
    <t>62,94  101,120</t>
  </si>
  <si>
    <t>96</t>
  </si>
  <si>
    <t>58</t>
  </si>
  <si>
    <t>2,9  18,24</t>
  </si>
  <si>
    <t>пров. Фізкультурника</t>
  </si>
  <si>
    <t>4,12</t>
  </si>
  <si>
    <t>169,167</t>
  </si>
  <si>
    <t>пров. М. Леонтовича</t>
  </si>
  <si>
    <t>17</t>
  </si>
  <si>
    <t>пров. Пирятинський</t>
  </si>
  <si>
    <t>12,32  54</t>
  </si>
  <si>
    <t>вул. Авіації</t>
  </si>
  <si>
    <t>36,28  22,165</t>
  </si>
  <si>
    <t>163,153,135,91</t>
  </si>
  <si>
    <t>вул. Кощюбинського</t>
  </si>
  <si>
    <t>1,4  10,20</t>
  </si>
  <si>
    <t>83,77  61,23</t>
  </si>
  <si>
    <t>5,22  32,50</t>
  </si>
  <si>
    <t>30,28  19,17</t>
  </si>
  <si>
    <t>69,71</t>
  </si>
  <si>
    <t>пров. Іподромний</t>
  </si>
  <si>
    <t>17,9  3,1</t>
  </si>
  <si>
    <t>вул. Б. Хмельницького</t>
  </si>
  <si>
    <t>18,20  28,31</t>
  </si>
  <si>
    <t>вул. Л. Забашти</t>
  </si>
  <si>
    <t>3,10  16,23</t>
  </si>
  <si>
    <t>провв. Л. Забашти</t>
  </si>
  <si>
    <t>22,15  9,2</t>
  </si>
  <si>
    <t>2,16  58,80</t>
  </si>
  <si>
    <t>130</t>
  </si>
  <si>
    <t>вул. Дідівська</t>
  </si>
  <si>
    <t>35,47  55,61</t>
  </si>
  <si>
    <t>вул. Лохвицька</t>
  </si>
  <si>
    <t>75</t>
  </si>
  <si>
    <t>2 пров. Педагогічний</t>
  </si>
  <si>
    <t>5,11  14,20</t>
  </si>
  <si>
    <t>4 пров. Педагогічний</t>
  </si>
  <si>
    <t>21,19  14</t>
  </si>
  <si>
    <t>1 пров. Педагогічний</t>
  </si>
  <si>
    <t>9,11  6,3</t>
  </si>
  <si>
    <t>вул. Педагогічна</t>
  </si>
  <si>
    <t>57,23</t>
  </si>
  <si>
    <t>День 4</t>
  </si>
  <si>
    <t>Д/с 8</t>
  </si>
  <si>
    <t>17,19  13,10</t>
  </si>
  <si>
    <t>145,150  152</t>
  </si>
  <si>
    <t>85,82  76,96</t>
  </si>
  <si>
    <t>4,8  19,23</t>
  </si>
  <si>
    <t>13,26  33</t>
  </si>
  <si>
    <t>5,12</t>
  </si>
  <si>
    <t>м-н "Оазис"</t>
  </si>
  <si>
    <t>12,10  8,5</t>
  </si>
  <si>
    <t>в'їзд Густинський</t>
  </si>
  <si>
    <t>8,1</t>
  </si>
  <si>
    <t>140</t>
  </si>
  <si>
    <t>3 пров. Замостянський</t>
  </si>
  <si>
    <t>12,9,5</t>
  </si>
  <si>
    <t>4 пров. Замостянський</t>
  </si>
  <si>
    <t>1,3  6,14</t>
  </si>
  <si>
    <t>1 пров. Замостянський</t>
  </si>
  <si>
    <t>36,42  54</t>
  </si>
  <si>
    <t>м-н "Еко"</t>
  </si>
  <si>
    <t>1,21</t>
  </si>
  <si>
    <t>210  192  178</t>
  </si>
  <si>
    <t>3,23  49,55</t>
  </si>
  <si>
    <t>1,5  11,15</t>
  </si>
  <si>
    <t>7,18  23,29</t>
  </si>
  <si>
    <t>2 в'їзд Гоголя</t>
  </si>
  <si>
    <t>4,14</t>
  </si>
  <si>
    <t>3 пров. Гімназичний</t>
  </si>
  <si>
    <t>3,9</t>
  </si>
  <si>
    <t>вул. Гостинна</t>
  </si>
  <si>
    <t>2,6  12</t>
  </si>
  <si>
    <t>2,4  16</t>
  </si>
  <si>
    <t>6,14  21,27</t>
  </si>
  <si>
    <t>вул. Степова</t>
  </si>
  <si>
    <t>8,13</t>
  </si>
  <si>
    <t>вул. Варвинська</t>
  </si>
  <si>
    <t>14,18  28,42</t>
  </si>
  <si>
    <t>вул. Голубівська</t>
  </si>
  <si>
    <t>4,16</t>
  </si>
  <si>
    <t>вул. Будівельників</t>
  </si>
  <si>
    <t>3,17  25</t>
  </si>
  <si>
    <t>День 5</t>
  </si>
  <si>
    <t>пров. Густинський</t>
  </si>
  <si>
    <t>48,42  27,19</t>
  </si>
  <si>
    <t>82,55  48,41</t>
  </si>
  <si>
    <t>31,41  51,27</t>
  </si>
  <si>
    <t>17,15  48</t>
  </si>
  <si>
    <t>23,31  39,45</t>
  </si>
  <si>
    <t>2 пров. Героїв Прилук</t>
  </si>
  <si>
    <t>4, Гаражі</t>
  </si>
  <si>
    <t>1,5  11,20</t>
  </si>
  <si>
    <t>вул. Макаренка</t>
  </si>
  <si>
    <t>7,16  22,75</t>
  </si>
  <si>
    <t>вул. Лісовська</t>
  </si>
  <si>
    <t>6,28  30,35</t>
  </si>
  <si>
    <t>49,33  13,2</t>
  </si>
  <si>
    <t>1 пров. Героїв Чорнобиля</t>
  </si>
  <si>
    <t>2,10  24</t>
  </si>
  <si>
    <t>11,55</t>
  </si>
  <si>
    <t>пров. Трудовий</t>
  </si>
  <si>
    <t>1,2  21,24</t>
  </si>
  <si>
    <t>5 в'їзд Гоголя</t>
  </si>
  <si>
    <t>6,11  13</t>
  </si>
  <si>
    <t>від вул. Перемоги до</t>
  </si>
  <si>
    <t>вул. Раскова</t>
  </si>
  <si>
    <t>вул. Герцена</t>
  </si>
  <si>
    <t>вул. Осипенка</t>
  </si>
  <si>
    <t>вул. Ладанська</t>
  </si>
  <si>
    <t>4,28  30,35</t>
  </si>
  <si>
    <t>469,479,519</t>
  </si>
  <si>
    <t>вул. Аерофлотська</t>
  </si>
  <si>
    <t>вул. Плискунівська</t>
  </si>
  <si>
    <t>Увага: у первинному скані сторінки з маршрутом №1 і №2 чергуються (порядок збережено як в оригіналі). Сторінки "середа" і "субота" (маршрут №2) в оригіналі містять ідентичні дані.</t>
  </si>
  <si>
    <t>Маршрут №1 — Понеділок</t>
  </si>
  <si>
    <t>Привокзальну площа</t>
  </si>
  <si>
    <t>Нова пошта 1</t>
  </si>
  <si>
    <t>Шкільний</t>
  </si>
  <si>
    <t>Д/с 4</t>
  </si>
  <si>
    <t>Таврія</t>
  </si>
  <si>
    <t>Океан</t>
  </si>
  <si>
    <t>77</t>
  </si>
  <si>
    <t>В/м 12</t>
  </si>
  <si>
    <t>Д/с 3</t>
  </si>
  <si>
    <t>Актив</t>
  </si>
  <si>
    <t>Престиж</t>
  </si>
  <si>
    <t>Укр.ковбаси</t>
  </si>
  <si>
    <t>УПО</t>
  </si>
  <si>
    <t>шк. 1</t>
  </si>
  <si>
    <t>СТО</t>
  </si>
  <si>
    <t>д/с 9</t>
  </si>
  <si>
    <t>Н/П 6</t>
  </si>
  <si>
    <t>шк. 6</t>
  </si>
  <si>
    <t>"Акваріум"</t>
  </si>
  <si>
    <t>"Траш"</t>
  </si>
  <si>
    <t>"Скло"</t>
  </si>
  <si>
    <t>"Барвінок"</t>
  </si>
  <si>
    <t>133</t>
  </si>
  <si>
    <t>ППЗТ</t>
  </si>
  <si>
    <t>АІР</t>
  </si>
  <si>
    <t>98</t>
  </si>
  <si>
    <t>16:20</t>
  </si>
  <si>
    <t>Маршрут №2 — Середа</t>
  </si>
  <si>
    <t>67 АЗС</t>
  </si>
  <si>
    <t>Маршрут №2 — Субота</t>
  </si>
  <si>
    <t>Маршрут №1 — Четвер</t>
  </si>
  <si>
    <t>м-н Епіцентр</t>
  </si>
  <si>
    <t>Суд</t>
  </si>
  <si>
    <t>Маршрут №1 — Неділя</t>
  </si>
  <si>
    <t>вул. Ракітна, П. Комуни</t>
  </si>
  <si>
    <t>29</t>
  </si>
  <si>
    <t>літописець</t>
  </si>
  <si>
    <t>м-н "Веселка"</t>
  </si>
  <si>
    <t>газове</t>
  </si>
  <si>
    <t>265</t>
  </si>
  <si>
    <t>РЕМ</t>
  </si>
  <si>
    <t>115</t>
  </si>
  <si>
    <t>машинері</t>
  </si>
  <si>
    <t>25,5</t>
  </si>
  <si>
    <t>буд. 31а</t>
  </si>
  <si>
    <t>Траш</t>
  </si>
  <si>
    <t>5 ліцей</t>
  </si>
  <si>
    <t>ДЕПО</t>
  </si>
  <si>
    <t>ямщик</t>
  </si>
  <si>
    <t>2 пров. Андріївський</t>
  </si>
  <si>
    <t>Моноліт</t>
  </si>
  <si>
    <t>29а</t>
  </si>
  <si>
    <t>педколедж</t>
  </si>
  <si>
    <t>трубна база</t>
  </si>
  <si>
    <t>9 ліцей</t>
  </si>
  <si>
    <t>вул. Сагайдачного</t>
  </si>
  <si>
    <t>Д/с 26</t>
  </si>
  <si>
    <t>пожежна</t>
  </si>
  <si>
    <t>6 км</t>
  </si>
  <si>
    <t>ГПЗ</t>
  </si>
  <si>
    <t>Зведений графік вивезення ТПВ — усі адреси (детально)</t>
  </si>
  <si>
    <t>Будинок / об'єкт</t>
  </si>
  <si>
    <t>Маршрут</t>
  </si>
  <si>
    <t>Автомобіль</t>
  </si>
  <si>
    <t>Реєстр. №</t>
  </si>
  <si>
    <t>Лист-джерело</t>
  </si>
  <si>
    <t>№5</t>
  </si>
  <si>
    <t>МАЗ 4381</t>
  </si>
  <si>
    <t>СВ 81-71 ВК</t>
  </si>
  <si>
    <t>№6</t>
  </si>
  <si>
    <t>АТ 4021</t>
  </si>
  <si>
    <t>СВ 33-16 ЕО</t>
  </si>
  <si>
    <t>№3</t>
  </si>
  <si>
    <t>МАЗ-4371</t>
  </si>
  <si>
    <t>СВ 53-06 СА</t>
  </si>
  <si>
    <t>ГАЗ 3309</t>
  </si>
  <si>
    <t>СВ 17-85 ВН</t>
  </si>
  <si>
    <t>№4</t>
  </si>
  <si>
    <t>АТ 40-42/ROD21003</t>
  </si>
  <si>
    <t>СВ 33-15 ЕО</t>
  </si>
  <si>
    <t>№1</t>
  </si>
  <si>
    <t>КАМАЗ 55111</t>
  </si>
  <si>
    <t>СВ 50-33 АР</t>
  </si>
  <si>
    <t>АТ-4021/1120</t>
  </si>
  <si>
    <t>СВ 14-65 ЕО</t>
  </si>
  <si>
    <t>№2 (ВГВ)</t>
  </si>
  <si>
    <t>Рено Лендер</t>
  </si>
  <si>
    <t>СВ 52-62 СА</t>
  </si>
  <si>
    <t>№2</t>
  </si>
  <si>
    <t>АТ 4021/1120</t>
  </si>
  <si>
    <t>СВ 64-11 ЕТ</t>
  </si>
  <si>
    <t>Зведена таблиця вивезення ТПВ — за адресами (час вивозу за днями тижня)</t>
  </si>
  <si>
    <t>Вивозів/тиж.</t>
  </si>
  <si>
    <t>Маршрут(и)</t>
  </si>
  <si>
    <t>Автомобіль(і)</t>
  </si>
  <si>
    <t>Зведені таблиці</t>
  </si>
  <si>
    <t>Зведена_по_адресах</t>
  </si>
  <si>
    <t>Зведена_детальна</t>
  </si>
  <si>
    <t>Детальний перелік усіх 1009 зупинок: вулиця, будинок, день, час, маршрут, авто, контейнери, лист-джерело</t>
  </si>
  <si>
    <t/>
  </si>
  <si>
    <t>Проміжний аркуш: посилання на вихідні графіки. Не редагувати вручну — усі значення тягнуться формулами.</t>
  </si>
  <si>
    <t>Вулиця</t>
  </si>
  <si>
    <t>Будинок</t>
  </si>
  <si>
    <t>Ключ (вулиця|будинок)</t>
  </si>
  <si>
    <t>Ключ</t>
  </si>
  <si>
    <t>Зведена таблиця (на формулах): унікальні адреси × дні тижня з часом вивозу, вивозів/тиждень, маршрут, автомобіль. Оновлюється автоматично.</t>
  </si>
  <si>
    <t>Дані_зв'язок</t>
  </si>
  <si>
    <t>Службовий аркуш: формульні посилання на всі 1009 рядків вихідних графіків. Ланцюг: вихідні аркуші → Дані_зв'язок → Зведена_по_адресах.</t>
  </si>
  <si>
    <t>Час (число)</t>
  </si>
  <si>
    <t>Номер для геокоду</t>
  </si>
  <si>
    <t>Повна адреса для запиту</t>
  </si>
  <si>
    <t>Широта</t>
  </si>
  <si>
    <t>Довгота</t>
  </si>
  <si>
    <t>Адреса</t>
  </si>
  <si>
    <t>Формалізована адреса</t>
  </si>
  <si>
    <t>Прилуки, Чернігівська обл., 1 пров. Андріївський</t>
  </si>
  <si>
    <t>Прилуки, Чернігівська обл., 1 пров. В. Стуса</t>
  </si>
  <si>
    <t>Прилуки, Чернігівська обл., 1 пров. Героїв Чорнобиля, 2</t>
  </si>
  <si>
    <t>Прилуки, Чернігівська обл., 1 пров. Європейський</t>
  </si>
  <si>
    <t>Прилуки, Чернігівська обл., 1 пров. Замостянський, 36</t>
  </si>
  <si>
    <t>Прилуки, Чернігівська обл., 1 пров. Зелений</t>
  </si>
  <si>
    <t>Прилуки, Чернігівська обл., 1 пров. Змагання</t>
  </si>
  <si>
    <t>Прилуки, Чернігівська обл., 1 пров. І. Сірка</t>
  </si>
  <si>
    <t>Прилуки, Чернігівська обл., 1 пров. Колгоспний</t>
  </si>
  <si>
    <t>Прилуки, Чернігівська обл., 1 пров. Межовий, 1</t>
  </si>
  <si>
    <t>Прилуки, Чернігівська обл., 1 пров. Оранжерейний</t>
  </si>
  <si>
    <t>Прилуки, Чернігівська обл., 1 пров. П. Комуни</t>
  </si>
  <si>
    <t>Прилуки, Чернігівська обл., 1 пров. Педагогічний, 3</t>
  </si>
  <si>
    <t>Прилуки, Чернігівська обл., 1 пров. Пирогівський, 2</t>
  </si>
  <si>
    <t>Прилуки, Чернігівська обл., 1 пров. Південний</t>
  </si>
  <si>
    <t>Прилуки, Чернігівська обл., 1 пров. Скоропадського</t>
  </si>
  <si>
    <t>Прилуки, Чернігівська обл., 1 пров. Східний</t>
  </si>
  <si>
    <t>Прилуки, Чернігівська обл., 1 пров. Удайський, 5</t>
  </si>
  <si>
    <t>Прилуки, Чернігівська обл., 1, 2 в'їзд Шарапівський, 1</t>
  </si>
  <si>
    <t>Прилуки, Чернігівська обл., 2 в-д Небесної Сотні</t>
  </si>
  <si>
    <t>Прилуки, Чернігівська обл., 2 в'їзд Василя Стуса</t>
  </si>
  <si>
    <t>Прилуки, Чернігівська обл., 2 в'їзд Вишневий</t>
  </si>
  <si>
    <t>Прилуки, Чернігівська обл., 2 в'їзд Гоголя, 4</t>
  </si>
  <si>
    <t>Прилуки, Чернігівська обл., 2 пров. Андріївський</t>
  </si>
  <si>
    <t>Прилуки, Чернігівська обл., 2 пров. В. Стуса</t>
  </si>
  <si>
    <t>Прилуки, Чернігівська обл., 2 пров. В. Чорновола</t>
  </si>
  <si>
    <t>Прилуки, Чернігівська обл., 2 пров. Героїв Прилук, 4</t>
  </si>
  <si>
    <t>Прилуки, Чернігівська обл., 2 пров. Героїв Чорнобиля, 2</t>
  </si>
  <si>
    <t>Прилуки, Чернігівська обл., 2 пров. Дослідний</t>
  </si>
  <si>
    <t>Прилуки, Чернігівська обл., 2 пров. Європейський</t>
  </si>
  <si>
    <t>Прилуки, Чернігівська обл., 2 пров. Зелений</t>
  </si>
  <si>
    <t>Прилуки, Чернігівська обл., 2 пров. Змагання</t>
  </si>
  <si>
    <t>Прилуки, Чернігівська обл., 2 пров. І. Сірка</t>
  </si>
  <si>
    <t>Прилуки, Чернігівська обл., 2 пров. Межовий, 3</t>
  </si>
  <si>
    <t>Прилуки, Чернігівська обл., 2 пров. П. Комуни</t>
  </si>
  <si>
    <t>Прилуки, Чернігівська обл., 2 пров. Педагогічний, 5</t>
  </si>
  <si>
    <t>Прилуки, Чернігівська обл., 2 пров. Пирогівський, 4</t>
  </si>
  <si>
    <t>Прилуки, Чернігівська обл., 2 пров. Рокітний</t>
  </si>
  <si>
    <t>Прилуки, Чернігівська обл., 2 пров. Східний</t>
  </si>
  <si>
    <t>Прилуки, Чернігівська обл., 2 пров. Удайський, 4</t>
  </si>
  <si>
    <t>Прилуки, Чернігівська обл., 2 пров. Шевченка, 4</t>
  </si>
  <si>
    <t>Прилуки, Чернігівська обл., 3 пров. Гімназичний, 3</t>
  </si>
  <si>
    <t>Прилуки, Чернігівська обл., 3 пров. Дослідний</t>
  </si>
  <si>
    <t>Прилуки, Чернігівська обл., 3 пров. Європейський</t>
  </si>
  <si>
    <t>Прилуки, Чернігівська обл., 3 пров. Замостянський, 5</t>
  </si>
  <si>
    <t>Прилуки, Чернігівська обл., 3 пров. І. Сірка</t>
  </si>
  <si>
    <t>Прилуки, Чернігівська обл., 3 пров. П. Комуни</t>
  </si>
  <si>
    <t>Прилуки, Чернігівська обл., 3 пров. Удайський, 6</t>
  </si>
  <si>
    <t>Прилуки, Чернігівська обл., 4 пров. Дослідний</t>
  </si>
  <si>
    <t>Прилуки, Чернігівська обл., 4 пров. Замостянський, 1</t>
  </si>
  <si>
    <t>Прилуки, Чернігівська обл., 4 пров. Педагогічний, 14</t>
  </si>
  <si>
    <t>Прилуки, Чернігівська обл., 5 в'їзд Гоголя, 6</t>
  </si>
  <si>
    <t>Прилуки, Чернігівська обл., 6 км</t>
  </si>
  <si>
    <t>Прилуки, Чернігівська обл., в/м 12</t>
  </si>
  <si>
    <t>Прилуки, Чернігівська обл., В/м 12, 3</t>
  </si>
  <si>
    <t>Прилуки, Чернігівська обл., в/м 17</t>
  </si>
  <si>
    <t>Прилуки, Чернігівська обл., В/м</t>
  </si>
  <si>
    <t>Прилуки, Чернігівська обл., В/ч 12</t>
  </si>
  <si>
    <t>Прилуки, Чернігівська обл., від вул. Перемоги до</t>
  </si>
  <si>
    <t>Прилуки, Чернігівська обл., в'їзд Густинський, 1</t>
  </si>
  <si>
    <t>Прилуки, Чернігівська обл., вул. 18 Вересня</t>
  </si>
  <si>
    <t>Прилуки, Чернігівська обл., вул. 18 Вересня, 4</t>
  </si>
  <si>
    <t>Прилуки, Чернігівська обл., вул. 2-га Південна</t>
  </si>
  <si>
    <t>Прилуки, Чернігівська обл., вул. Авіації, 22</t>
  </si>
  <si>
    <t>Прилуки, Чернігівська обл., вул. Аерофлотська</t>
  </si>
  <si>
    <t>Прилуки, Чернігівська обл., вул. Андріївська</t>
  </si>
  <si>
    <t>Прилуки, Чернігівська обл., вул. Архиповича, 14</t>
  </si>
  <si>
    <t>Прилуки, Чернігівська обл., вул. Архиповича, 18</t>
  </si>
  <si>
    <t>Прилуки, Чернігівська обл., вул. Архиповича, 5</t>
  </si>
  <si>
    <t>Прилуки, Чернігівська обл., вул. Архиповича, 41</t>
  </si>
  <si>
    <t>Прилуки, Чернігівська обл., вул. Б. Носенка</t>
  </si>
  <si>
    <t>Прилуки, Чернігівська обл., вул. Б. Носенка, 130</t>
  </si>
  <si>
    <t>Прилуки, Чернігівська обл., вул. Б. Носенка, 2</t>
  </si>
  <si>
    <t>Прилуки, Чернігівська обл., вул. Б. Хмельницького, 18</t>
  </si>
  <si>
    <t>Прилуки, Чернігівська обл., вул. Берегова Рута, 8</t>
  </si>
  <si>
    <t>Прилуки, Чернігівська обл., вул. Берегова, 93</t>
  </si>
  <si>
    <t>Прилуки, Чернігівська обл., вул. Берегова, 23</t>
  </si>
  <si>
    <t>Прилуки, Чернігівська обл., вул. Ботанічна</t>
  </si>
  <si>
    <t>Прилуки, Чернігівська обл., вул. Братів Ревуцьких</t>
  </si>
  <si>
    <t>Прилуки, Чернігівська обл., вул. Будівельників, 3</t>
  </si>
  <si>
    <t>Прилуки, Чернігівська обл., вул. В. Завітневича, 10</t>
  </si>
  <si>
    <t>Прилуки, Чернігівська обл., вул. В. Завітневича, 17</t>
  </si>
  <si>
    <t>Прилуки, Чернігівська обл., вул. В. Стуса</t>
  </si>
  <si>
    <t>Прилуки, Чернігівська обл., вул. В. Стуса, 3</t>
  </si>
  <si>
    <t>Прилуки, Чернігівська обл., вул. В. Стуса, 29</t>
  </si>
  <si>
    <t>Прилуки, Чернігівська обл., вул. В. Чорновола</t>
  </si>
  <si>
    <t>Прилуки, Чернігівська обл., вул. В. Чорновола, 109</t>
  </si>
  <si>
    <t>Прилуки, Чернігівська обл., вул. В. Чорновола, 113</t>
  </si>
  <si>
    <t>Прилуки, Чернігівська обл., вул. Варвинська, 14</t>
  </si>
  <si>
    <t>Прилуки, Чернігівська обл., вул. Вербна</t>
  </si>
  <si>
    <t>Прилуки, Чернігівська обл., вул. Ветеранська</t>
  </si>
  <si>
    <t>Прилуки, Чернігівська обл., вул. Ветеранська, 2</t>
  </si>
  <si>
    <t>Прилуки, Чернігівська обл., вул. Військова</t>
  </si>
  <si>
    <t>Прилуки, Чернігівська обл., вул. Вокзальна</t>
  </si>
  <si>
    <t>Прилуки, Чернігівська обл., вул. Вокзальна, 12</t>
  </si>
  <si>
    <t>Прилуки, Чернігівська обл., вул. Вокзальна, 29</t>
  </si>
  <si>
    <t>Прилуки, Чернігівська обл., вул. Вокзальна, 3</t>
  </si>
  <si>
    <t>Прилуки, Чернігівська обл., вул. Вокзальна, 35</t>
  </si>
  <si>
    <t>Прилуки, Чернігівська обл., вул. Вокзальна, 5</t>
  </si>
  <si>
    <t>Прилуки, Чернігівська обл., вул. Волошинівська, 3</t>
  </si>
  <si>
    <t>Прилуки, Чернігівська обл., вул. Г. Сагайдачного</t>
  </si>
  <si>
    <t>Прилуки, Чернігівська обл., вул. Галаганівська</t>
  </si>
  <si>
    <t>Прилуки, Чернігівська обл., вул. Гвардійська</t>
  </si>
  <si>
    <t>Прилуки, Чернігівська обл., вул. Гвардійська, 92</t>
  </si>
  <si>
    <t>Прилуки, Чернігівська обл., вул. Героїв Крут</t>
  </si>
  <si>
    <t>Прилуки, Чернігівська обл., вул. Героїв Прилук, 1</t>
  </si>
  <si>
    <t>Прилуки, Чернігівська обл., вул. Героїв Прилук, 62</t>
  </si>
  <si>
    <t>Прилуки, Чернігівська обл., вул. Героїв Прилук, 76</t>
  </si>
  <si>
    <t>Прилуки, Чернігівська обл., вул. Героїв Прилук</t>
  </si>
  <si>
    <t>Прилуки, Чернігівська обл., вул. Героїв Чорнобиля, 2</t>
  </si>
  <si>
    <t>Прилуки, Чернігівська обл., вул. Героїв Чорнобиля, 69</t>
  </si>
  <si>
    <t>Прилуки, Чернігівська обл., вул. Героїв Чорнобиля, 80</t>
  </si>
  <si>
    <t>Прилуки, Чернігівська обл., вул. Герцена</t>
  </si>
  <si>
    <t>Прилуки, Чернігівська обл., вул. Гімназична</t>
  </si>
  <si>
    <t>Прилуки, Чернігівська обл., вул. Гімназична, 5</t>
  </si>
  <si>
    <t>Прилуки, Чернігівська обл., вул. Гоголя, 100</t>
  </si>
  <si>
    <t>Прилуки, Чернігівська обл., вул. Гоголя, 145</t>
  </si>
  <si>
    <t>Прилуки, Чернігівська обл., вул. Гоголя, 7</t>
  </si>
  <si>
    <t>Прилуки, Чернігівська обл., вул. Голубівська, 4</t>
  </si>
  <si>
    <t>Прилуки, Чернігівська обл., вул. Гостинна, 2</t>
  </si>
  <si>
    <t>Прилуки, Чернігівська обл., вул. Грушевського</t>
  </si>
  <si>
    <t>Прилуки, Чернігівська обл., вул. Густинська, 14</t>
  </si>
  <si>
    <t>Прилуки, Чернігівська обл., вул. Густинська, 140</t>
  </si>
  <si>
    <t>Прилуки, Чернігівська обл., вул. Густинська, 22</t>
  </si>
  <si>
    <t>Прилуки, Чернігівська обл., вул. Густинська</t>
  </si>
  <si>
    <t>Прилуки, Чернігівська обл., вул. Д. Шкоропада</t>
  </si>
  <si>
    <t>Прилуки, Чернігівська обл., вул. Дачна</t>
  </si>
  <si>
    <t>Прилуки, Чернігівська обл., вул. Дачна, 33</t>
  </si>
  <si>
    <t>Прилуки, Чернігівська обл., вул. Дідівська, 2</t>
  </si>
  <si>
    <t>Прилуки, Чернігівська обл., вул. Дідівська, 35</t>
  </si>
  <si>
    <t>Прилуки, Чернігівська обл., вул. Дубинського</t>
  </si>
  <si>
    <t>Прилуки, Чернігівська обл., вул. Європейська</t>
  </si>
  <si>
    <t>Прилуки, Чернігівська обл., вул. Європейська, 110</t>
  </si>
  <si>
    <t>Прилуки, Чернігівська обл., вул. Ждановича</t>
  </si>
  <si>
    <t>Прилуки, Чернігівська обл., вул. Житня</t>
  </si>
  <si>
    <t>Прилуки, Чернігівська обл., вул. Житня, 11</t>
  </si>
  <si>
    <t>Прилуки, Чернігівська обл., вул. Житня, 91</t>
  </si>
  <si>
    <t>Прилуки, Чернігівська обл., вул. Житня, 2</t>
  </si>
  <si>
    <t>Прилуки, Чернігівська обл., вул. Залізнична</t>
  </si>
  <si>
    <t>Прилуки, Чернігівська обл., вул. Західна</t>
  </si>
  <si>
    <t>Прилуки, Чернігівська обл., вул. Зелена</t>
  </si>
  <si>
    <t>Прилуки, Чернігівська обл., вул. Земська</t>
  </si>
  <si>
    <t>Прилуки, Чернігівська обл., вул. Земська, 7</t>
  </si>
  <si>
    <t>Прилуки, Чернігівська обл., вул. І. Білгородського, 13</t>
  </si>
  <si>
    <t>Прилуки, Чернігівська обл., вул. І. Білгородського, 10</t>
  </si>
  <si>
    <t>Прилуки, Чернігівська обл., вул. І. Білгородського, 41</t>
  </si>
  <si>
    <t>Прилуки, Чернігівська обл., вул. І. Білгородського, 96</t>
  </si>
  <si>
    <t>Прилуки, Чернігівська обл., вул. І. Богуна</t>
  </si>
  <si>
    <t>Прилуки, Чернігівська обл., вул. І. Мазепи</t>
  </si>
  <si>
    <t>Прилуки, Чернігівська обл., вул. І. Піддубного</t>
  </si>
  <si>
    <t>Прилуки, Чернігівська обл., вул. І. Сірка</t>
  </si>
  <si>
    <t>Прилуки, Чернігівська обл., вул. І. Франка</t>
  </si>
  <si>
    <t>Прилуки, Чернігівська обл., вул. Іванівська</t>
  </si>
  <si>
    <t>Прилуки, Чернігівська обл., вул. Іванівська, 77</t>
  </si>
  <si>
    <t>Прилуки, Чернігівська обл., вул. Іванівська, 84</t>
  </si>
  <si>
    <t>Прилуки, Чернігівська обл., вул. Індустріальна, 7</t>
  </si>
  <si>
    <t>Прилуки, Чернігівська обл., вул. Індустріальна</t>
  </si>
  <si>
    <t>Прилуки, Чернігівська обл., вул. Кар'єрна, 2</t>
  </si>
  <si>
    <t>Прилуки, Чернігівська обл., вул. Квашинська</t>
  </si>
  <si>
    <t>Прилуки, Чернігівська обл., вул. Київська</t>
  </si>
  <si>
    <t>Прилуки, Чернігівська обл., вул. Київська, 140</t>
  </si>
  <si>
    <t>Прилуки, Чернігівська обл., вул. Київська, 265</t>
  </si>
  <si>
    <t>Прилуки, Чернігівська обл., вул. Київська, 3</t>
  </si>
  <si>
    <t>Прилуки, Чернігівська обл., вул. Київська, 469</t>
  </si>
  <si>
    <t>Прилуки, Чернігівська обл., вул. Київська, 5</t>
  </si>
  <si>
    <t>Прилуки, Чернігівська обл., вул. Київська, 8</t>
  </si>
  <si>
    <t>Прилуки, Чернігівська обл., вул. Київська, 9</t>
  </si>
  <si>
    <t>Прилуки, Чернігівська обл., вул. Київська, 1</t>
  </si>
  <si>
    <t>Прилуки, Чернігівська обл., вул. Київська, 6</t>
  </si>
  <si>
    <t>Прилуки, Чернігівська обл., вул. Київська-І. Сірка</t>
  </si>
  <si>
    <t>Прилуки, Чернігівська обл., вул. Київська-Козача</t>
  </si>
  <si>
    <t>Прилуки, Чернігівська обл., вул. Кільцева</t>
  </si>
  <si>
    <t>Прилуки, Чернігівська обл., вул. Климачівська</t>
  </si>
  <si>
    <t>Прилуки, Чернігівська обл., вул. Ковалівська</t>
  </si>
  <si>
    <t>Прилуки, Чернігівська обл., вул. Козача</t>
  </si>
  <si>
    <t>Прилуки, Чернігівська обл., вул. Коновальця</t>
  </si>
  <si>
    <t>Прилуки, Чернігівська обл., вул. Коновальця, 67</t>
  </si>
  <si>
    <t>Прилуки, Чернігівська обл., вул. Коновальця, 27</t>
  </si>
  <si>
    <t>Прилуки, Чернігівська обл., вул. Короленка</t>
  </si>
  <si>
    <t>Прилуки, Чернігівська обл., вул. Котляревського, 1</t>
  </si>
  <si>
    <t>Прилуки, Чернігівська обл., вул. Котляревського, 18</t>
  </si>
  <si>
    <t>Прилуки, Чернігівська обл., вул. Котляревського</t>
  </si>
  <si>
    <t>Прилуки, Чернігівська обл., вул. Кощюбинського</t>
  </si>
  <si>
    <t>Прилуки, Чернігівська обл., вул. Кощюбинського, 1</t>
  </si>
  <si>
    <t>Прилуки, Чернігівська обл., вул. Кругова</t>
  </si>
  <si>
    <t>Прилуки, Чернігівська обл., вул. Кустівська, 5</t>
  </si>
  <si>
    <t>Прилуки, Чернігівська обл., вул. Л. Забашти, 3</t>
  </si>
  <si>
    <t>Прилуки, Чернігівська обл., вул. Л. Лук'яненка</t>
  </si>
  <si>
    <t>Прилуки, Чернігівська обл., вул. Л. Лук'яненка, 31</t>
  </si>
  <si>
    <t>Прилуки, Чернігівська обл., вул. Л. Українки</t>
  </si>
  <si>
    <t>Прилуки, Чернігівська обл., вул. Ладанська, 4</t>
  </si>
  <si>
    <t>Прилуки, Чернігівська обл., вул. Леонтовича</t>
  </si>
  <si>
    <t>Прилуки, Чернігівська обл., вул. Леонтовича, 1</t>
  </si>
  <si>
    <t>Прилуки, Чернігівська обл., вул. Лісовська, 6</t>
  </si>
  <si>
    <t>Прилуки, Чернігівська обл., вул. Лохвицька, 6</t>
  </si>
  <si>
    <t>Прилуки, Чернігівська обл., вул. Лохвицька, 75</t>
  </si>
  <si>
    <t>Прилуки, Чернігівська обл., вул. М. Андріяшева</t>
  </si>
  <si>
    <t>Прилуки, Чернігівська обл., вул. М. Леонтовича, 167</t>
  </si>
  <si>
    <t>Прилуки, Чернігівська обл., вул. М. Леонтовича, 39</t>
  </si>
  <si>
    <t>Прилуки, Чернігівська обл., вул. М. Леонтовича</t>
  </si>
  <si>
    <t>Прилуки, Чернігівська обл., вул. М. Лисенка, 5</t>
  </si>
  <si>
    <t>Прилуки, Чернігівська обл., вул. М. Маркевича</t>
  </si>
  <si>
    <t>Прилуки, Чернігівська обл., вул. М. Міхновського</t>
  </si>
  <si>
    <t>Прилуки, Чернігівська обл., вул. М. Приймаченка</t>
  </si>
  <si>
    <t>Прилуки, Чернігівська обл., вул. М. Старицького</t>
  </si>
  <si>
    <t>Прилуки, Чернігівська обл., вул. М. Старицького, 3</t>
  </si>
  <si>
    <t>Прилуки, Чернігівська обл., вул. М. Яковченка</t>
  </si>
  <si>
    <t>Прилуки, Чернігівська обл., вул. Макаренка, 7</t>
  </si>
  <si>
    <t>Прилуки, Чернігівська обл., вул. Малківська</t>
  </si>
  <si>
    <t>Прилуки, Чернігівська обл., вул. Мединська</t>
  </si>
  <si>
    <t>Прилуки, Чернігівська обл., вул. Межова, 2</t>
  </si>
  <si>
    <t>Прилуки, Чернігівська обл., вул. Миколаївська</t>
  </si>
  <si>
    <t>Прилуки, Чернігівська обл., вул. Миролюбна, 27</t>
  </si>
  <si>
    <t>Прилуки, Чернігівська обл., вул. Миролюбна, 4</t>
  </si>
  <si>
    <t>Прилуки, Чернігівська обл., вул. Миролюбна, 40</t>
  </si>
  <si>
    <t>Прилуки, Чернігівська обл., вул. Миролюбна, 19</t>
  </si>
  <si>
    <t>Прилуки, Чернігівська обл., вул. Миротворців</t>
  </si>
  <si>
    <t>Прилуки, Чернігівська обл., вул. Миру, 15</t>
  </si>
  <si>
    <t>Прилуки, Чернігівська обл., вул. Миру, 24</t>
  </si>
  <si>
    <t>Прилуки, Чернігівська обл., вул. Миру, 58</t>
  </si>
  <si>
    <t>Прилуки, Чернігівська обл., вул. Михайлівський</t>
  </si>
  <si>
    <t>Прилуки, Чернігівська обл., вул. Молодіжна</t>
  </si>
  <si>
    <t>Прилуки, Чернігівська обл., вул. Н. Левинського</t>
  </si>
  <si>
    <t>Прилуки, Чернігівська обл., вул. Небесної Сотні</t>
  </si>
  <si>
    <t>Прилуки, Чернігівська обл., вул. Незалежності, 5</t>
  </si>
  <si>
    <t>Прилуки, Чернігівська обл., вул. Незалежності</t>
  </si>
  <si>
    <t>Прилуки, Чернігівська обл., вул. Низова</t>
  </si>
  <si>
    <t>Прилуки, Чернігівська обл., вул. Ніжинська</t>
  </si>
  <si>
    <t>Прилуки, Чернігівська обл., вул. Нова</t>
  </si>
  <si>
    <t>Прилуки, Чернігівська обл., вул. О. Пчілки</t>
  </si>
  <si>
    <t>Прилуки, Чернігівська обл., вул. Оранжерейна</t>
  </si>
  <si>
    <t>Прилуки, Чернігівська обл., вул. Осипенка</t>
  </si>
  <si>
    <t>Прилуки, Чернігівська обл., вул. П. Дорошенка, 11</t>
  </si>
  <si>
    <t>Прилуки, Чернігівська обл., вул. П. Орлика</t>
  </si>
  <si>
    <t>Прилуки, Чернігівська обл., вул. П. Сагайдачного</t>
  </si>
  <si>
    <t>Прилуки, Чернігівська обл., вул. Паркова</t>
  </si>
  <si>
    <t>Прилуки, Чернігівська обл., вул. Партизанська</t>
  </si>
  <si>
    <t>Прилуки, Чернігівська обл., вул. Педагогічна, 23</t>
  </si>
  <si>
    <t>Прилуки, Чернігівська обл., вул. Перемоги</t>
  </si>
  <si>
    <t>Прилуки, Чернігівська обл., вул. Перемоги, 57</t>
  </si>
  <si>
    <t>Прилуки, Чернігівська обл., вул. Перемоги, 180</t>
  </si>
  <si>
    <t>Прилуки, Чернігівська обл., вул. Перемоги, 178</t>
  </si>
  <si>
    <t>Прилуки, Чернігівська обл., вул. Переяславська, 3</t>
  </si>
  <si>
    <t>Прилуки, Чернігівська обл., вул. Переяславська, 72</t>
  </si>
  <si>
    <t>Прилуки, Чернігівська обл., вул. Переяславська, 10</t>
  </si>
  <si>
    <t>Прилуки, Чернігівська обл., вул. Переяславська</t>
  </si>
  <si>
    <t>Прилуки, Чернігівська обл., вул. Пирогівська, 21</t>
  </si>
  <si>
    <t>Прилуки, Чернігівська обл., вул. Пирятинська</t>
  </si>
  <si>
    <t>Прилуки, Чернігівська обл., вул. Пирятинська, 115</t>
  </si>
  <si>
    <t>Прилуки, Чернігівська обл., вул. Пирятинська, 14</t>
  </si>
  <si>
    <t>Прилуки, Чернігівська обл., вул. Пирятинська, 2</t>
  </si>
  <si>
    <t>Прилуки, Чернігівська обл., вул. Пирятинська, 98</t>
  </si>
  <si>
    <t>Прилуки, Чернігівська обл., вул. Південна</t>
  </si>
  <si>
    <t>Прилуки, Чернігівська обл., вул. Піщана, 5</t>
  </si>
  <si>
    <t>Прилуки, Чернігівська обл., вул. Плискунівська</t>
  </si>
  <si>
    <t>Прилуки, Чернігівська обл., вул. Половецька</t>
  </si>
  <si>
    <t>Прилуки, Чернігівська обл., вул. Польова</t>
  </si>
  <si>
    <t>Прилуки, Чернігівська обл., вул. Польова, 110</t>
  </si>
  <si>
    <t>Прилуки, Чернігівська обл., вул. Ракітна, П. Комуни, 2</t>
  </si>
  <si>
    <t>Прилуки, Чернігівська обл., вул. Раскова</t>
  </si>
  <si>
    <t>Прилуки, Чернігівська обл., вул. Родини Горленків, 7</t>
  </si>
  <si>
    <t>Прилуки, Чернігівська обл., вул. Рокітна</t>
  </si>
  <si>
    <t>Прилуки, Чернігівська обл., вул. С. Величка</t>
  </si>
  <si>
    <t>Прилуки, Чернігівська обл., вул. Сагайдачного</t>
  </si>
  <si>
    <t>Прилуки, Чернігівська обл., вул. Садова, 3</t>
  </si>
  <si>
    <t>Прилуки, Чернігівська обл., вул. Садова, 64</t>
  </si>
  <si>
    <t>Прилуки, Чернігівська обл., вул. Садова</t>
  </si>
  <si>
    <t>Прилуки, Чернігівська обл., вул. Саксаганського, 1</t>
  </si>
  <si>
    <t>Прилуки, Чернігівська обл., вул. Саксаганського, 20</t>
  </si>
  <si>
    <t>Прилуки, Чернігівська обл., вул. Саксаганського, 52</t>
  </si>
  <si>
    <t>Прилуки, Чернігівська обл., вул. Світанкова</t>
  </si>
  <si>
    <t>Прилуки, Чернігівська обл., вул. Січових Стрільців</t>
  </si>
  <si>
    <t>Прилуки, Чернігівська обл., вул. Сковороди</t>
  </si>
  <si>
    <t>Прилуки, Чернігівська обл., вул. Скоропадського</t>
  </si>
  <si>
    <t>Прилуки, Чернігівська обл., вул. Скоропадського, 108</t>
  </si>
  <si>
    <t>Прилуки, Чернігівська обл., вул. Соборна</t>
  </si>
  <si>
    <t>Прилуки, Чернігівська обл., вул. Соборна, 125</t>
  </si>
  <si>
    <t>Прилуки, Чернігівська обл., вул. Соборна, 145</t>
  </si>
  <si>
    <t>Прилуки, Чернігівська обл., вул. Соборна, 17</t>
  </si>
  <si>
    <t>Прилуки, Чернігівська обл., вул. Соборна, 64</t>
  </si>
  <si>
    <t>Прилуки, Чернігівська обл., вул. Соборна, 8</t>
  </si>
  <si>
    <t>Прилуки, Чернігівська обл., вул. Сорочинська, 145</t>
  </si>
  <si>
    <t>Прилуки, Чернігівська обл., вул. Сорочинська, 4</t>
  </si>
  <si>
    <t>Прилуки, Чернігівська обл., вул. Сорочинська, 5</t>
  </si>
  <si>
    <t>Прилуки, Чернігівська обл., вул. Сорочинська, 20</t>
  </si>
  <si>
    <t>Прилуки, Чернігівська обл., вул. Сорочинська</t>
  </si>
  <si>
    <t>Прилуки, Чернігівська обл., вул. Сорочинська, 13</t>
  </si>
  <si>
    <t>Прилуки, Чернігівська обл., вул. Степова, 8</t>
  </si>
  <si>
    <t>Прилуки, Чернігівська обл., вул. Трубарівська</t>
  </si>
  <si>
    <t>Прилуки, Чернігівська обл., вул. Фабрична, 12</t>
  </si>
  <si>
    <t>Прилуки, Чернігівська обл., вул. Фабрична, 62</t>
  </si>
  <si>
    <t>Прилуки, Чернігівська обл., вул. Фабрична, 59</t>
  </si>
  <si>
    <t>Прилуки, Чернігівська обл., вул. Фабрична</t>
  </si>
  <si>
    <t>Прилуки, Чернігівська обл., вул. Червона Рута</t>
  </si>
  <si>
    <t>Прилуки, Чернігівська обл., вул. Чернігівська</t>
  </si>
  <si>
    <t>Прилуки, Чернігівська обл., вул. Чорновола, 133</t>
  </si>
  <si>
    <t>Прилуки, Чернігівська обл., вул. Чорновола</t>
  </si>
  <si>
    <t>Прилуки, Чернігівська обл., вул. Шарапівська, 15</t>
  </si>
  <si>
    <t>Прилуки, Чернігівська обл., вул. Шевченка, 1</t>
  </si>
  <si>
    <t>Прилуки, Чернігівська обл., вул. Шевченка, 107</t>
  </si>
  <si>
    <t>Прилуки, Чернігівська обл., вул. Шевченка, 37</t>
  </si>
  <si>
    <t>Прилуки, Чернігівська обл., вул. Шевченка</t>
  </si>
  <si>
    <t>Прилуки, Чернігівська обл., вул. Шкільна, 2</t>
  </si>
  <si>
    <t>Прилуки, Чернігівська обл., вул. Шкільна, 23</t>
  </si>
  <si>
    <t>Прилуки, Чернігівська обл., вул. Шкоропада</t>
  </si>
  <si>
    <t>Прилуки, Чернігівська обл., вул. Ю. Коваленка</t>
  </si>
  <si>
    <t>Прилуки, Чернігівська обл., вул. Ю. Мірюти, 30</t>
  </si>
  <si>
    <t>Прилуки, Чернігівська обл., вул. Ю. Мірюти</t>
  </si>
  <si>
    <t>Прилуки, Чернігівська обл., вул. Яблунівська</t>
  </si>
  <si>
    <t>Прилуки, Чернігівська обл., вул. Ярмаркова</t>
  </si>
  <si>
    <t>Прилуки, Чернігівська обл., вул. Ярмаркова, 114</t>
  </si>
  <si>
    <t>Прилуки, Чернігівська обл., вул. Ярмаркова, 9</t>
  </si>
  <si>
    <t>Прилуки, Чернігівська обл., вул. Ярмаркова, 47</t>
  </si>
  <si>
    <t>Прилуки, Чернігівська обл., вул. Ярмаркова, 26</t>
  </si>
  <si>
    <t>Прилуки, Чернігівська обл., вул. Ярмаркова, 6</t>
  </si>
  <si>
    <t>Прилуки, Чернігівська обл., Замовлення</t>
  </si>
  <si>
    <t>Прилуки, Чернігівська обл., Котляревського</t>
  </si>
  <si>
    <t>Прилуки, Чернігівська обл., М-н Ірина</t>
  </si>
  <si>
    <t>Прилуки, Чернігівська обл., М'ясокомбінат</t>
  </si>
  <si>
    <t>Прилуки, Чернігівська обл., Привокзальну площа, 1</t>
  </si>
  <si>
    <t>Прилуки, Чернігівська обл., Привокзальну площа</t>
  </si>
  <si>
    <t>Прилуки, Чернігівська обл., пров. Ветеранський</t>
  </si>
  <si>
    <t>Прилуки, Чернігівська обл., пров. Героїв Прилук, 18</t>
  </si>
  <si>
    <t>Прилуки, Чернігівська обл., пров. Густинський</t>
  </si>
  <si>
    <t>Прилуки, Чернігівська обл., пров. Ждановича</t>
  </si>
  <si>
    <t>Прилуки, Чернігівська обл., пров. Заводський</t>
  </si>
  <si>
    <t>Прилуки, Чернігівська обл., пров. Залізничний</t>
  </si>
  <si>
    <t>Прилуки, Чернігівська обл., пров. Західний</t>
  </si>
  <si>
    <t>Прилуки, Чернігівська обл., пров. І. Мазепи</t>
  </si>
  <si>
    <t>Прилуки, Чернігівська обл., пров. І. Франка</t>
  </si>
  <si>
    <t>Прилуки, Чернігівська обл., пров. Іподромний, 1</t>
  </si>
  <si>
    <t>Прилуки, Чернігівська обл., пров. Кустівський, 1</t>
  </si>
  <si>
    <t>Прилуки, Чернігівська обл., пров. Л. Українки</t>
  </si>
  <si>
    <t>Прилуки, Чернігівська обл., пров. М. Леонтовича, 17</t>
  </si>
  <si>
    <t>Прилуки, Чернігівська обл., пров. М. Лисенка, 3</t>
  </si>
  <si>
    <t>Прилуки, Чернігівська обл., пров. М. Приймаченко</t>
  </si>
  <si>
    <t>Прилуки, Чернігівська обл., пров. М. Старицького</t>
  </si>
  <si>
    <t>Прилуки, Чернігівська обл., пров. О. Вересая</t>
  </si>
  <si>
    <t>Прилуки, Чернігівська обл., пров. П. Орлика</t>
  </si>
  <si>
    <t>Прилуки, Чернігівська обл., пров. П. Сагайдачного</t>
  </si>
  <si>
    <t>Прилуки, Чернігівська обл., пров. Партизанський</t>
  </si>
  <si>
    <t>Прилуки, Чернігівська обл., пров. Пирятинський, 12</t>
  </si>
  <si>
    <t>Прилуки, Чернігівська обл., пров. Північний, 2</t>
  </si>
  <si>
    <t>Прилуки, Чернігівська обл., пров. Північний, 7</t>
  </si>
  <si>
    <t>Прилуки, Чернігівська обл., пров. Польовий</t>
  </si>
  <si>
    <t>Прилуки, Чернігівська обл., пров. Прорізний</t>
  </si>
  <si>
    <t>Прилуки, Чернігівська обл., пров. Східний</t>
  </si>
  <si>
    <t>Прилуки, Чернігівська обл., пров. Східний, 5</t>
  </si>
  <si>
    <t>Прилуки, Чернігівська обл., пров. Трубарівський</t>
  </si>
  <si>
    <t>Прилуки, Чернігівська обл., пров. Трудовий, 1</t>
  </si>
  <si>
    <t>Прилуки, Чернігівська обл., пров. Фабричний, 27</t>
  </si>
  <si>
    <t>Прилуки, Чернігівська обл., пров. Фізкультурника, 4</t>
  </si>
  <si>
    <t>Прилуки, Чернігівська обл., пров. Фізкультурника, 9</t>
  </si>
  <si>
    <t>Прилуки, Чернігівська обл., пров. Шевченка, 21</t>
  </si>
  <si>
    <t>Прилуки, Чернігівська обл., пров. Ю. Коваленка</t>
  </si>
  <si>
    <t>Прилуки, Чернігівська обл., провв. Л. Забашти, 2</t>
  </si>
  <si>
    <t>Прилуки, Чернігівська обл., провул. Г. Сагайдачного</t>
  </si>
  <si>
    <t>Прилуки, Чернігівська обл., Скоропадського</t>
  </si>
  <si>
    <t>1 в'їзд Вишневий|</t>
  </si>
  <si>
    <t>1 пров. Андріївський|</t>
  </si>
  <si>
    <t>1 пров. В. Стуса|</t>
  </si>
  <si>
    <t>1 пров. Героїв Чорнобиля|2,10  24</t>
  </si>
  <si>
    <t>1 пров. Європейський|</t>
  </si>
  <si>
    <t>1 пров. Замостянський|36,42  54</t>
  </si>
  <si>
    <t>1 пров. Зелений|</t>
  </si>
  <si>
    <t>1 пров. Змагання|</t>
  </si>
  <si>
    <t>1 пров. І. Сірка|</t>
  </si>
  <si>
    <t>1 пров. Колгоспний|</t>
  </si>
  <si>
    <t>1 пров. Межовий|1,2  5,8</t>
  </si>
  <si>
    <t>1 пров. Оранжерейний|</t>
  </si>
  <si>
    <t>1 пров. П. Комуни|</t>
  </si>
  <si>
    <t>1 пров. Педагогічний|9,11  6,3</t>
  </si>
  <si>
    <t>1 пров. Пирогівський|30,24  15,2</t>
  </si>
  <si>
    <t>1 пров. Південний|</t>
  </si>
  <si>
    <t>1 пров. Скоропадського|</t>
  </si>
  <si>
    <t>1 пров. Східний|</t>
  </si>
  <si>
    <t>1 пров. Удайський|23,33  15,5</t>
  </si>
  <si>
    <t>1,2 в'їзд Шарапівський|1,2  6,7</t>
  </si>
  <si>
    <t>2 в-д Небесної Сотні|НВК</t>
  </si>
  <si>
    <t>2 в'їзд Василя Стуса|</t>
  </si>
  <si>
    <t>2 в'їзд Вишневий|</t>
  </si>
  <si>
    <t>2 в'їзд Гоголя|4,14</t>
  </si>
  <si>
    <t>2 пров. Андріївський|Моноліт</t>
  </si>
  <si>
    <t>2 пров. В. Стуса|</t>
  </si>
  <si>
    <t>2 пров. В. Чорновола|</t>
  </si>
  <si>
    <t>2 пров. Героїв Прилук|4, Гаражі</t>
  </si>
  <si>
    <t>2 пров. Героїв Чорнобиля|27,20  7,2</t>
  </si>
  <si>
    <t>2 пров. Дослідний|</t>
  </si>
  <si>
    <t>2 пров. Європейський|</t>
  </si>
  <si>
    <t>2 пров. Зелений|</t>
  </si>
  <si>
    <t>2 пров. Змагання|</t>
  </si>
  <si>
    <t>2 пров. І. Сірка|</t>
  </si>
  <si>
    <t>2 пров. Межовий|3,4</t>
  </si>
  <si>
    <t>2 пров. П. Комуни|</t>
  </si>
  <si>
    <t>2 пров. Педагогічний|5,11  14,20</t>
  </si>
  <si>
    <t>2 пров. Пирогівський|4,6  14,27</t>
  </si>
  <si>
    <t>2 пров. Рокітний|</t>
  </si>
  <si>
    <t>2 пров. Східний|</t>
  </si>
  <si>
    <t>2 пров. Удайський|12,4</t>
  </si>
  <si>
    <t>2 пров. Шевченка|4,15</t>
  </si>
  <si>
    <t>3 пров. Гімназичний|3,9</t>
  </si>
  <si>
    <t>3 пров. Дослідний|</t>
  </si>
  <si>
    <t>3 пров. Європейський|</t>
  </si>
  <si>
    <t>3 пров. Замостянський|12,9,5</t>
  </si>
  <si>
    <t>3 пров. І. Сірка|</t>
  </si>
  <si>
    <t>3 пров. П. Комуни|</t>
  </si>
  <si>
    <t>3 пров. Удайський|6,11  45,33</t>
  </si>
  <si>
    <t>4 пров. Дослідний|</t>
  </si>
  <si>
    <t>4 пров. Замостянський|1,3  6,14</t>
  </si>
  <si>
    <t>4 пров. Педагогічний|21,19  14</t>
  </si>
  <si>
    <t>5 в'їзд Гоголя|6,11  13</t>
  </si>
  <si>
    <t>6 км|ГПЗ</t>
  </si>
  <si>
    <t>в/м 12|</t>
  </si>
  <si>
    <t>В/м 12|Д/с 3</t>
  </si>
  <si>
    <t>в/м 17|</t>
  </si>
  <si>
    <t>В/м|</t>
  </si>
  <si>
    <t>В/ч 12|</t>
  </si>
  <si>
    <t>від вул. Перемоги до|</t>
  </si>
  <si>
    <t>в'їзд Густинський|8,1</t>
  </si>
  <si>
    <t>вул. 18 Вересня|</t>
  </si>
  <si>
    <t>вул. 18 Вересня|Д/с 4</t>
  </si>
  <si>
    <t>вул. 2-га Південна|</t>
  </si>
  <si>
    <t>вул. Авіації|36,28  22,165</t>
  </si>
  <si>
    <t>вул. Аерофлотська|</t>
  </si>
  <si>
    <t>вул. Андріївська|</t>
  </si>
  <si>
    <t>вул. Архиповича|14</t>
  </si>
  <si>
    <t>вул. Архиповича|18,41  52</t>
  </si>
  <si>
    <t>вул. Архиповича|21,5</t>
  </si>
  <si>
    <t>вул. Архиповича|41,47  88</t>
  </si>
  <si>
    <t>вул. Б. Носенка|</t>
  </si>
  <si>
    <t>вул. Б. Носенка|130</t>
  </si>
  <si>
    <t>вул. Б. Носенка|2,16  58,80</t>
  </si>
  <si>
    <t>вул. Б. Хмельницького|18,20  28,31</t>
  </si>
  <si>
    <t>вул. Берегова Рута|8,16  21</t>
  </si>
  <si>
    <t>вул. Берегова|144  123,93</t>
  </si>
  <si>
    <t>вул. Берегова|83,77  61,23</t>
  </si>
  <si>
    <t>вул. Ботанічна|</t>
  </si>
  <si>
    <t>вул. Братів Ревуцьких|</t>
  </si>
  <si>
    <t>вул. Будівельників|3,17  25</t>
  </si>
  <si>
    <t>вул. В. Завітневича|17,19  13,10</t>
  </si>
  <si>
    <t>вул. В. Завітневича|33,17</t>
  </si>
  <si>
    <t>вул. В. Стуса|</t>
  </si>
  <si>
    <t>вул. В. Стуса|"Надія"</t>
  </si>
  <si>
    <t>вул. В. Стуса|3,15  11</t>
  </si>
  <si>
    <t>вул. В. Стуса|Д/с 29</t>
  </si>
  <si>
    <t>вул. В. Стуса|НРЦ</t>
  </si>
  <si>
    <t>вул. В. Чорновола|</t>
  </si>
  <si>
    <t>вул. В. Чорновола|109 а</t>
  </si>
  <si>
    <t>вул. В. Чорновола|109а</t>
  </si>
  <si>
    <t>вул. В. Чорновола|113</t>
  </si>
  <si>
    <t>вул. В. Чорновола|87-А</t>
  </si>
  <si>
    <t>вул. В. Чорновола|АЗС</t>
  </si>
  <si>
    <t>вул. В. Чорновола|Панорама</t>
  </si>
  <si>
    <t>вул. В. Чорновола|Приймальний пункт</t>
  </si>
  <si>
    <t>вул. Варвинська|14,18  28,42</t>
  </si>
  <si>
    <t>вул. Вербна|</t>
  </si>
  <si>
    <t>вул. Ветеранська|</t>
  </si>
  <si>
    <t>вул. Ветеранська|парк Вічної Слави</t>
  </si>
  <si>
    <t>вул. Ветеранська|шк. 2</t>
  </si>
  <si>
    <t>вул. Військова|</t>
  </si>
  <si>
    <t>вул. Вокзальна|</t>
  </si>
  <si>
    <t>вул. Вокзальна|"Лімон"</t>
  </si>
  <si>
    <t>вул. Вокзальна|12</t>
  </si>
  <si>
    <t>вул. Вокзальна|29</t>
  </si>
  <si>
    <t>вул. Вокзальна|29 а</t>
  </si>
  <si>
    <t>вул. Вокзальна|29а</t>
  </si>
  <si>
    <t>вул. Вокзальна|3</t>
  </si>
  <si>
    <t>вул. Вокзальна|35</t>
  </si>
  <si>
    <t>вул. Вокзальна|5 ліцей</t>
  </si>
  <si>
    <t>вул. Вокзальна|Аврора</t>
  </si>
  <si>
    <t>вул. Вокзальна|центр зайнятості</t>
  </si>
  <si>
    <t>вул. Волошинівська|3,23  42,60</t>
  </si>
  <si>
    <t>вул. Г. Сагайдачного|</t>
  </si>
  <si>
    <t>вул. Галаганівська|арка</t>
  </si>
  <si>
    <t>вул. Гвардійська|</t>
  </si>
  <si>
    <t>вул. Гвардійська|92</t>
  </si>
  <si>
    <t>вул. Гвардійська|базар</t>
  </si>
  <si>
    <t>вул. Героїв Крут|</t>
  </si>
  <si>
    <t>вул. Героїв Прилук|1,10  15</t>
  </si>
  <si>
    <t>вул. Героїв Прилук|75,62</t>
  </si>
  <si>
    <t>вул. Героїв Прилук|76</t>
  </si>
  <si>
    <t>вул. Героїв Прилук|85,82  76,96</t>
  </si>
  <si>
    <t>вул. Героїв Прилук|м-н "Еко"</t>
  </si>
  <si>
    <t>вул. Героїв Чорнобиля|49,33  13,2</t>
  </si>
  <si>
    <t>вул. Героїв Чорнобиля|69,71</t>
  </si>
  <si>
    <t>вул. Героїв Чорнобиля|80</t>
  </si>
  <si>
    <t>вул. Герцена|</t>
  </si>
  <si>
    <t>вул. Гімназична|(центр. Цвинтар)</t>
  </si>
  <si>
    <t>вул. Гімназична|5,22  32,50</t>
  </si>
  <si>
    <t>вул. Гімназична|карамелька</t>
  </si>
  <si>
    <t>вул. Гімназична|навпроти центр. Кладовища</t>
  </si>
  <si>
    <t>вул. Гоголя|100  108</t>
  </si>
  <si>
    <t>вул. Гоголя|145,150  152</t>
  </si>
  <si>
    <t>вул. Гоголя|7,18  23,29</t>
  </si>
  <si>
    <t>вул. Голубівська|4,16</t>
  </si>
  <si>
    <t>вул. Гостинна|2,6  12</t>
  </si>
  <si>
    <t>вул. Грушевського|</t>
  </si>
  <si>
    <t>вул. Густинська|14,21  50,121</t>
  </si>
  <si>
    <t>вул. Густинська|140</t>
  </si>
  <si>
    <t>вул. Густинська|22</t>
  </si>
  <si>
    <t>вул. Густинська|пластик-сервіс</t>
  </si>
  <si>
    <t>вул. Д. Шкоропада|</t>
  </si>
  <si>
    <t>вул. Дачна|</t>
  </si>
  <si>
    <t>вул. Дачна|33</t>
  </si>
  <si>
    <t>вул. Дідівська|2,4  16</t>
  </si>
  <si>
    <t>вул. Дідівська|35,47  55,61</t>
  </si>
  <si>
    <t>вул. Дубинського|</t>
  </si>
  <si>
    <t>вул. Європейська|</t>
  </si>
  <si>
    <t>вул. Європейська|"Акваріум"</t>
  </si>
  <si>
    <t>вул. Європейська|(двір Вокзальна, 19)</t>
  </si>
  <si>
    <t>вул. Європейська|110</t>
  </si>
  <si>
    <t>вул. Європейська|дит.лікарня</t>
  </si>
  <si>
    <t>вул. Європейська|м-н Акваріум</t>
  </si>
  <si>
    <t>вул. Європейська|стовпи</t>
  </si>
  <si>
    <t>вул. Ждановича|</t>
  </si>
  <si>
    <t>вул. Житня|</t>
  </si>
  <si>
    <t>вул. Житня|11,55</t>
  </si>
  <si>
    <t>вул. Житня|163,153,135,91</t>
  </si>
  <si>
    <t>вул. Житня|2,5  3,36</t>
  </si>
  <si>
    <t>вул. Залізнична|</t>
  </si>
  <si>
    <t>вул. Західна|</t>
  </si>
  <si>
    <t>вул. Зелена|</t>
  </si>
  <si>
    <t>вул. Земська|</t>
  </si>
  <si>
    <t>вул. Земська|"Ідеал"</t>
  </si>
  <si>
    <t>вул. Земська|гуртожиток</t>
  </si>
  <si>
    <t>вул. Земська|жіноча конс-ція</t>
  </si>
  <si>
    <t>вул. Земська|шк. 7</t>
  </si>
  <si>
    <t>вул. І. Білгородського|13,26  33</t>
  </si>
  <si>
    <t>вул. І. Білгородського|28,25  15,10</t>
  </si>
  <si>
    <t>вул. І. Білгородського|82,55  48,41</t>
  </si>
  <si>
    <t>вул. І. Білгородського|96</t>
  </si>
  <si>
    <t>вул. І. Богуна|</t>
  </si>
  <si>
    <t>вул. І. Мазепи|</t>
  </si>
  <si>
    <t>вул. І. Піддубного|</t>
  </si>
  <si>
    <t>вул. І. Сірка|</t>
  </si>
  <si>
    <t>вул. І. Франка|</t>
  </si>
  <si>
    <t>вул. Іванівська|</t>
  </si>
  <si>
    <t>вул. Іванівська|77</t>
  </si>
  <si>
    <t>вул. Іванівська|84</t>
  </si>
  <si>
    <t>вул. Іванівська|Заправка</t>
  </si>
  <si>
    <t>вул. Іванівська|Океан</t>
  </si>
  <si>
    <t>вул. Індустріальна|7</t>
  </si>
  <si>
    <t>вул. Індустріальна|7а</t>
  </si>
  <si>
    <t>вул. Кар'єрна|11,2</t>
  </si>
  <si>
    <t>вул. Квашинська|</t>
  </si>
  <si>
    <t>вул. Київська|</t>
  </si>
  <si>
    <t>вул. Київська|"Андріївський"</t>
  </si>
  <si>
    <t>вул. Київська|"Дивоцін"</t>
  </si>
  <si>
    <t>вул. Київська|"Сова"</t>
  </si>
  <si>
    <t>вул. Київська|140</t>
  </si>
  <si>
    <t>вул. Київська|265</t>
  </si>
  <si>
    <t>вул. Київська|3 магазин</t>
  </si>
  <si>
    <t>вул. Київська|469,479,519</t>
  </si>
  <si>
    <t>вул. Київська|5 магазин</t>
  </si>
  <si>
    <t>вул. Київська|Аврора</t>
  </si>
  <si>
    <t>вул. Київська|Актив</t>
  </si>
  <si>
    <t>вул. Київська|АТБ</t>
  </si>
  <si>
    <t>вул. Київська|виконком</t>
  </si>
  <si>
    <t>вул. Київська|військомат</t>
  </si>
  <si>
    <t>вул. Київська|Д/с 8</t>
  </si>
  <si>
    <t>вул. Київська|Д/с 9</t>
  </si>
  <si>
    <t>вул. Київська|колонія</t>
  </si>
  <si>
    <t>вул. Київська|літописець</t>
  </si>
  <si>
    <t>вул. Київська|Мийка</t>
  </si>
  <si>
    <t>вул. Київська|м-н "Драйв"</t>
  </si>
  <si>
    <t>вул. Київська|М-н Маркетопт</t>
  </si>
  <si>
    <t>вул. Київська|М-н Практика</t>
  </si>
  <si>
    <t>вул. Київська|Нова пошта 3 біля АТБ</t>
  </si>
  <si>
    <t>вул. Київська|Ощадбанк</t>
  </si>
  <si>
    <t>вул. Київська|пожежна</t>
  </si>
  <si>
    <t>вул. Київська|Райлікарня</t>
  </si>
  <si>
    <t>вул. Київська|райрада</t>
  </si>
  <si>
    <t>вул. Київська|Сільпо</t>
  </si>
  <si>
    <t>вул. Київська|Траш</t>
  </si>
  <si>
    <t>вул. Київська|УБР</t>
  </si>
  <si>
    <t>вул. Київська|Франсуа</t>
  </si>
  <si>
    <t>вул. Київська|Центральна площа</t>
  </si>
  <si>
    <t>вул. Київська|ЦМЛ</t>
  </si>
  <si>
    <t>вул. Київська|ЦМЛ (швидка)</t>
  </si>
  <si>
    <t>вул. Київська|Швейна</t>
  </si>
  <si>
    <t>вул. Київська|шк. 1</t>
  </si>
  <si>
    <t>вул. Київська|шк. 6</t>
  </si>
  <si>
    <t>вул. Київська|шк. мистецтв</t>
  </si>
  <si>
    <t>вул. Київська|шк.-інтернат</t>
  </si>
  <si>
    <t>вул. Київська-І. Сірка|перехрестя</t>
  </si>
  <si>
    <t>вул. Київська-Козача|зупинка</t>
  </si>
  <si>
    <t>вул. Кільцева|Виробнича</t>
  </si>
  <si>
    <t>вул. Кільцева|трубна база</t>
  </si>
  <si>
    <t>вул. Климачівська|</t>
  </si>
  <si>
    <t>вул. Ковалівська|Лижна база</t>
  </si>
  <si>
    <t>вул. Козача|</t>
  </si>
  <si>
    <t>вул. Козача|Д/с</t>
  </si>
  <si>
    <t>вул. Козача|перехрестя</t>
  </si>
  <si>
    <t>вул. Козача|ямщик</t>
  </si>
  <si>
    <t>вул. Коновальця|"Барвінок"</t>
  </si>
  <si>
    <t>вул. Коновальця|"Скло"</t>
  </si>
  <si>
    <t>вул. Коновальця|67 АЗС</t>
  </si>
  <si>
    <t>вул. Коновальця|АЗС</t>
  </si>
  <si>
    <t>вул. Коновальця|Д/с 27</t>
  </si>
  <si>
    <t>вул. Короленка|</t>
  </si>
  <si>
    <t>вул. Котляревського|1,21</t>
  </si>
  <si>
    <t>вул. Котляревського|18,29</t>
  </si>
  <si>
    <t>вул. Котляревського|ВОГ</t>
  </si>
  <si>
    <t>вул. Котляревського|поліція</t>
  </si>
  <si>
    <t>вул. Котляревського|СТО</t>
  </si>
  <si>
    <t>вул. Котляревського|Суд</t>
  </si>
  <si>
    <t>вул. Кощюбинського|</t>
  </si>
  <si>
    <t>вул. Кощюбинського|1,4  10,20</t>
  </si>
  <si>
    <t>вул. Кругова|</t>
  </si>
  <si>
    <t>вул. Кустівська|5,37  47,61</t>
  </si>
  <si>
    <t>вул. Л. Забашти|3,10  16,23</t>
  </si>
  <si>
    <t>вул. Л. Лук'яненка|</t>
  </si>
  <si>
    <t>вул. Л. Лук'яненка|буд. 31 а</t>
  </si>
  <si>
    <t>вул. Л. Лук'яненка|буд. 31а</t>
  </si>
  <si>
    <t>вул. Л. Українки|</t>
  </si>
  <si>
    <t>вул. Ладанська|4,28  30,35</t>
  </si>
  <si>
    <t>вул. Леонтовича|</t>
  </si>
  <si>
    <t>вул. Леонтовича|1,5  11,20</t>
  </si>
  <si>
    <t>вул. Леонтовича|стадіон</t>
  </si>
  <si>
    <t>вул. Леонтовича|УГГ</t>
  </si>
  <si>
    <t>вул. Лісовська|6,28  30,35</t>
  </si>
  <si>
    <t>вул. Лохвицька|6,14  21,27</t>
  </si>
  <si>
    <t>вул. Лохвицька|75</t>
  </si>
  <si>
    <t>вул. М. Андріяшева|</t>
  </si>
  <si>
    <t>вул. М. Леонтовича|169,167</t>
  </si>
  <si>
    <t>вул. М. Леонтовича|53,51  39</t>
  </si>
  <si>
    <t>вул. М. Леонтовича|газове</t>
  </si>
  <si>
    <t>вул. М. Леонтовича|СПТУ</t>
  </si>
  <si>
    <t>вул. М. Леонтовича|Флагман</t>
  </si>
  <si>
    <t>вул. М. Лисенка|26,16  11,5</t>
  </si>
  <si>
    <t>вул. М. Лисенка|5,12</t>
  </si>
  <si>
    <t>вул. М. Маркевича|</t>
  </si>
  <si>
    <t>вул. М. Міхновського|</t>
  </si>
  <si>
    <t>вул. М. Приймаченка|</t>
  </si>
  <si>
    <t>вул. М. Старицького|</t>
  </si>
  <si>
    <t>вул. М. Старицького|буд. 3</t>
  </si>
  <si>
    <t>вул. М. Яковченка|</t>
  </si>
  <si>
    <t>вул. Макаренка|7,16  22,75</t>
  </si>
  <si>
    <t>вул. Малківська|</t>
  </si>
  <si>
    <t>вул. Мединська|</t>
  </si>
  <si>
    <t>вул. Межова|2,12</t>
  </si>
  <si>
    <t>вул. Миколаївська|</t>
  </si>
  <si>
    <t>вул. Миролюбна|31,41  51,27</t>
  </si>
  <si>
    <t>вул. Миролюбна|4,8  19,23</t>
  </si>
  <si>
    <t>вул. Миролюбна|40,46</t>
  </si>
  <si>
    <t>вул. Миролюбна|48,42  27,19</t>
  </si>
  <si>
    <t>вул. Миролюбна|48,82  33,19</t>
  </si>
  <si>
    <t>вул. Миротворців|</t>
  </si>
  <si>
    <t>вул. Миру|17,15  48</t>
  </si>
  <si>
    <t>вул. Миру|24</t>
  </si>
  <si>
    <t>вул. Миру|58</t>
  </si>
  <si>
    <t>вул. Михайлівський|ОСББ</t>
  </si>
  <si>
    <t>вул. Молодіжна|</t>
  </si>
  <si>
    <t>вул. Н. Левинського|</t>
  </si>
  <si>
    <t>вул. Небесної Сотні|</t>
  </si>
  <si>
    <t>вул. Небесної Сотні|РЕМ</t>
  </si>
  <si>
    <t>вул. Незалежності|12,10  8,5</t>
  </si>
  <si>
    <t>вул. Незалежності|Пляж</t>
  </si>
  <si>
    <t>вул. Незалежності|старий ринок</t>
  </si>
  <si>
    <t>вул. Незалежності|Універмаг</t>
  </si>
  <si>
    <t>вул. Низова|</t>
  </si>
  <si>
    <t>вул. Ніжинська|</t>
  </si>
  <si>
    <t>вул. Нова|</t>
  </si>
  <si>
    <t>вул. О. Пчілки|</t>
  </si>
  <si>
    <t>вул. Оранжерейна|</t>
  </si>
  <si>
    <t>вул. Осипенка|</t>
  </si>
  <si>
    <t>вул. П. Дорошенка|11,16  20,39</t>
  </si>
  <si>
    <t>вул. П. Орлика|</t>
  </si>
  <si>
    <t>вул. П. Сагайдачного|</t>
  </si>
  <si>
    <t>вул. Паркова|</t>
  </si>
  <si>
    <t>вул. Партизанська|</t>
  </si>
  <si>
    <t>вул. Партизанська|санстанція</t>
  </si>
  <si>
    <t>вул. Педагогічна|57,23</t>
  </si>
  <si>
    <t>вул. Перемоги|</t>
  </si>
  <si>
    <t>вул. Перемоги|"Удай"</t>
  </si>
  <si>
    <t>вул. Перемоги|147,107,57</t>
  </si>
  <si>
    <t>вул. Перемоги|180</t>
  </si>
  <si>
    <t>вул. Перемоги|210  192  178</t>
  </si>
  <si>
    <t>вул. Перемоги|педколедж</t>
  </si>
  <si>
    <t>вул. Переяславська|3</t>
  </si>
  <si>
    <t>вул. Переяславська|72 (ТІМ)</t>
  </si>
  <si>
    <t>вул. Переяславська|буд. 10</t>
  </si>
  <si>
    <t>вул. Переяславська|Епіцентр</t>
  </si>
  <si>
    <t>вул. Переяславська|МБК</t>
  </si>
  <si>
    <t>вул. Переяславська|м-н Епіцентр</t>
  </si>
  <si>
    <t>вул. Переяславська|Престиж</t>
  </si>
  <si>
    <t>вул. Переяславська|Таврія</t>
  </si>
  <si>
    <t>вул. Переяславська|Укр.ковбаси</t>
  </si>
  <si>
    <t>вул. Переяславська|Фора</t>
  </si>
  <si>
    <t>вул. Пирогівська|45,31  21</t>
  </si>
  <si>
    <t>вул. Пирятинська|</t>
  </si>
  <si>
    <t>вул. Пирятинська|115</t>
  </si>
  <si>
    <t>вул. Пирятинська|14</t>
  </si>
  <si>
    <t>вул. Пирятинська|2</t>
  </si>
  <si>
    <t>вул. Пирятинська|98</t>
  </si>
  <si>
    <t>вул. Пирятинська|автовокзал</t>
  </si>
  <si>
    <t>вул. Пирятинська|АІР</t>
  </si>
  <si>
    <t>вул. Пирятинська|ДЕПО</t>
  </si>
  <si>
    <t>вул. Пирятинська|машинері</t>
  </si>
  <si>
    <t>вул. Пирятинська|ППЗТ</t>
  </si>
  <si>
    <t>вул. Південна|</t>
  </si>
  <si>
    <t>вул. Піщана|30,36  20,5</t>
  </si>
  <si>
    <t>вул. Плискунівська|</t>
  </si>
  <si>
    <t>вул. Половецька|</t>
  </si>
  <si>
    <t>вул. Польова|</t>
  </si>
  <si>
    <t>вул. Польова|"Траш"</t>
  </si>
  <si>
    <t>вул. Польова|110</t>
  </si>
  <si>
    <t>вул. Польова|БАМ</t>
  </si>
  <si>
    <t>вул. Ракітна, П. Комуни|2</t>
  </si>
  <si>
    <t>вул. Раскова|</t>
  </si>
  <si>
    <t>вул. Родини Горленків|7,12  22,18</t>
  </si>
  <si>
    <t>вул. Рокітна|</t>
  </si>
  <si>
    <t>вул. С. Величка|</t>
  </si>
  <si>
    <t>вул. Сагайдачного|РЕМ</t>
  </si>
  <si>
    <t>вул. Садова|3,23  49,55</t>
  </si>
  <si>
    <t>вул. Садова|64</t>
  </si>
  <si>
    <t>вул. Садова|м-н М'ясний край</t>
  </si>
  <si>
    <t>вул. Садова|Нова пошта</t>
  </si>
  <si>
    <t>вул. Садова|УПО</t>
  </si>
  <si>
    <t>вул. Саксаганського|1</t>
  </si>
  <si>
    <t>вул. Саксаганського|20</t>
  </si>
  <si>
    <t>вул. Саксаганського|52</t>
  </si>
  <si>
    <t>вул. Світанкова|</t>
  </si>
  <si>
    <t>вул. Січових Стрільців|</t>
  </si>
  <si>
    <t>вул. Сковороди|</t>
  </si>
  <si>
    <t>вул. Скоропадського|</t>
  </si>
  <si>
    <t>вул. Скоропадського|108</t>
  </si>
  <si>
    <t>вул. Соборна|"Дача"</t>
  </si>
  <si>
    <t>вул. Соборна|125</t>
  </si>
  <si>
    <t>вул. Соборна|161,157,145</t>
  </si>
  <si>
    <t>вул. Соборна|30,28  19,17</t>
  </si>
  <si>
    <t>вул. Соборна|80,64  94  103</t>
  </si>
  <si>
    <t>вул. Соборна|Д/с 8</t>
  </si>
  <si>
    <t>вул. Сорочинська|145,150  152</t>
  </si>
  <si>
    <t>вул. Сорочинська|4</t>
  </si>
  <si>
    <t>вул. Сорочинська|5</t>
  </si>
  <si>
    <t>вул. Сорочинська|87,69  27,20</t>
  </si>
  <si>
    <t>вул. Сорочинська|ФОП Лупоненко</t>
  </si>
  <si>
    <t>вул. Сорочинська|шк. 13</t>
  </si>
  <si>
    <t>вул. Степова|8,13</t>
  </si>
  <si>
    <t>вул. Трубарівська|</t>
  </si>
  <si>
    <t>вул. Фабрична|46,30  22,12</t>
  </si>
  <si>
    <t>вул. Фабрична|62,94  101,120</t>
  </si>
  <si>
    <t>вул. Фабрична|69,79  59,86</t>
  </si>
  <si>
    <t>вул. Фабрична|м-н "Оазис"</t>
  </si>
  <si>
    <t>вул. Червона Рута|</t>
  </si>
  <si>
    <t>вул. Чернігівська|стадіон</t>
  </si>
  <si>
    <t>вул. Чорновола|133</t>
  </si>
  <si>
    <t>вул. Чорновола|ЦТДЮ</t>
  </si>
  <si>
    <t>вул. Шарапівська|56,31  25,15</t>
  </si>
  <si>
    <t>вул. Шевченка|1,5  11,15</t>
  </si>
  <si>
    <t>вул. Шевченка|107</t>
  </si>
  <si>
    <t>вул. Шевченка|14,10  3,1</t>
  </si>
  <si>
    <t>вул. Шевченка|37,80  163  193</t>
  </si>
  <si>
    <t>вул. Шевченка|Профілакторій</t>
  </si>
  <si>
    <t>вул. Шкільна|2</t>
  </si>
  <si>
    <t>вул. Шкільна|23,31  39,45</t>
  </si>
  <si>
    <t>вул. Шкоропада|</t>
  </si>
  <si>
    <t>вул. Ю. Коваленка|</t>
  </si>
  <si>
    <t>вул. Ю. Мірюти|30</t>
  </si>
  <si>
    <t>вул. Ю. Мірюти|АЗС</t>
  </si>
  <si>
    <t>вул. Ю. Мірюти|кінцева зупинка</t>
  </si>
  <si>
    <t>вул. Ю. Мірюти|котельня</t>
  </si>
  <si>
    <t>вул. Яблунівська|</t>
  </si>
  <si>
    <t>вул. Ярмаркова|</t>
  </si>
  <si>
    <t>вул. Ярмаркова|114</t>
  </si>
  <si>
    <t>вул. Ярмаркова|41/9</t>
  </si>
  <si>
    <t>вул. Ярмаркова|47</t>
  </si>
  <si>
    <t>вул. Ярмаркова|Д/с</t>
  </si>
  <si>
    <t>вул. Ярмаркова|Д/с 26</t>
  </si>
  <si>
    <t>вул. Ярмаркова|Іжбат</t>
  </si>
  <si>
    <t>вул. Ярмаркова|м-н "Веселка"</t>
  </si>
  <si>
    <t>вул. Ярмаркова|Н/П 6</t>
  </si>
  <si>
    <t>вул. Ярмаркова|Приймальний пункт</t>
  </si>
  <si>
    <t>Замовлення|</t>
  </si>
  <si>
    <t>Котляревського|кафе "Бандера"</t>
  </si>
  <si>
    <t>М-н "Ірина"|</t>
  </si>
  <si>
    <t>М'ясокомбінат|</t>
  </si>
  <si>
    <t>перехрестя Земська-Скоропадського|</t>
  </si>
  <si>
    <t>перехрестя Київська-Котляревського|кафе "Бандера"</t>
  </si>
  <si>
    <t>Привокзальну площа|Нова пошта 1</t>
  </si>
  <si>
    <t>Привокзальну площа|Шкільний</t>
  </si>
  <si>
    <t>пров. Ветеранський|</t>
  </si>
  <si>
    <t>пров. Героїв Прилук|33,44  20,18</t>
  </si>
  <si>
    <t>пров. Густинський|</t>
  </si>
  <si>
    <t>пров. Ждановича|</t>
  </si>
  <si>
    <t>пров. Заводський|</t>
  </si>
  <si>
    <t>пров. Залізничний|</t>
  </si>
  <si>
    <t>пров. Західний|</t>
  </si>
  <si>
    <t>пров. І. Мазепи|</t>
  </si>
  <si>
    <t>пров. І. Франка|</t>
  </si>
  <si>
    <t>пров. Іподромний|17,9  3,1</t>
  </si>
  <si>
    <t>пров. Кустівський|1,2  15,20</t>
  </si>
  <si>
    <t>пров. Л. Українки|</t>
  </si>
  <si>
    <t>пров. М. Леонтовича|17</t>
  </si>
  <si>
    <t>пров. М. Лисенка|3,9  13,20</t>
  </si>
  <si>
    <t>пров. М. Приймаченко|</t>
  </si>
  <si>
    <t>пров. М. Старицького|</t>
  </si>
  <si>
    <t>пров. О. Вересая|</t>
  </si>
  <si>
    <t>пров. П. Орлика|</t>
  </si>
  <si>
    <t>пров. П. Сагайдачного|</t>
  </si>
  <si>
    <t>пров. Партизанський|</t>
  </si>
  <si>
    <t>пров. Пирятинський|12,32  54</t>
  </si>
  <si>
    <t>пров. Північний|2,9  18,24</t>
  </si>
  <si>
    <t>пров. Північний|24,15  7</t>
  </si>
  <si>
    <t>пров. Польовий|</t>
  </si>
  <si>
    <t>пров. Прорізний|</t>
  </si>
  <si>
    <t>пров. Східний|</t>
  </si>
  <si>
    <t>пров. Східний|10,7  5</t>
  </si>
  <si>
    <t>пров. Трубарівський|</t>
  </si>
  <si>
    <t>пров. Трудовий|1,2  21,24</t>
  </si>
  <si>
    <t>пров. Фабричний|27,42  50</t>
  </si>
  <si>
    <t>пров. Фізкультурника|4,12</t>
  </si>
  <si>
    <t>пров. Фізкультурника|9 ліцей</t>
  </si>
  <si>
    <t>пров. Шевченка|21,25</t>
  </si>
  <si>
    <t>пров. Ю. Коваленка|</t>
  </si>
  <si>
    <t>провв. Л. Забашти|22,15  9,2</t>
  </si>
  <si>
    <t>провул. Г. Сагайдачного|</t>
  </si>
  <si>
    <t>Скоропадського|</t>
  </si>
  <si>
    <t>Маршрут 1-й раз</t>
  </si>
  <si>
    <t>Авто 1-й раз</t>
  </si>
  <si>
    <t>В/м 12|</t>
  </si>
  <si>
    <t>вул. Київська|д/с 9</t>
  </si>
  <si>
    <t>вул. Київська|райлікарня</t>
  </si>
  <si>
    <t>Змішані</t>
  </si>
  <si>
    <t>вул. Переяславська, 3</t>
  </si>
  <si>
    <t>вул. Переяславська, 10</t>
  </si>
  <si>
    <t>3*</t>
  </si>
  <si>
    <t>вул. Переяславська, 28</t>
  </si>
  <si>
    <t>вул. Переяславська, 72</t>
  </si>
  <si>
    <t>7*</t>
  </si>
  <si>
    <t>Перехрестя Скоропатського - Земська</t>
  </si>
  <si>
    <t>вул. Земська, 7</t>
  </si>
  <si>
    <t>1*</t>
  </si>
  <si>
    <t>вул. Земська, 37</t>
  </si>
  <si>
    <t>вул. Ю. Мірюти, 30</t>
  </si>
  <si>
    <t>вул. Ю. Мірюти (кінцева зупинка)</t>
  </si>
  <si>
    <t>2*</t>
  </si>
  <si>
    <t>вул. Ярмаркова, 49</t>
  </si>
  <si>
    <t>вул. Ярмаркова, 41/1</t>
  </si>
  <si>
    <t>5*</t>
  </si>
  <si>
    <t>вул. Ярмаркова, 114 (іжбат)</t>
  </si>
  <si>
    <t>вул. Шевченка, 107</t>
  </si>
  <si>
    <t>вул. Героїв Чорнобиля, 80</t>
  </si>
  <si>
    <t>вул. В. Чорновола, 48-А</t>
  </si>
  <si>
    <t>вул. В. Чорновола, 113</t>
  </si>
  <si>
    <t>вул. Європейська, 110</t>
  </si>
  <si>
    <t>вул. Європейська, 115-117</t>
  </si>
  <si>
    <t>вул. Вокзальна, 3</t>
  </si>
  <si>
    <t>вул. Вокзальна, 10</t>
  </si>
  <si>
    <t>вул. Вокзальна (м-н Едем)</t>
  </si>
  <si>
    <t>вул. Вокзальна, 46</t>
  </si>
  <si>
    <t>вул. Садова, 64</t>
  </si>
  <si>
    <t>вул. Садова, 73</t>
  </si>
  <si>
    <t>4*</t>
  </si>
  <si>
    <t>вул. Іванівська, 84</t>
  </si>
  <si>
    <t>вул. Іванівська (автозаправка)</t>
  </si>
  <si>
    <t>вул. Перемоги, 180</t>
  </si>
  <si>
    <t>вул. Київська (3-й магазин)</t>
  </si>
  <si>
    <t>вул. Соборна, 125</t>
  </si>
  <si>
    <t>вул. Леонтовича, 66</t>
  </si>
  <si>
    <t>вул. Гімназична, 85 (карам.)</t>
  </si>
  <si>
    <t>вул. Гімназична, 102 (біля кладовища)</t>
  </si>
  <si>
    <t>6*</t>
  </si>
  <si>
    <t>вул. Саксаганського, 2</t>
  </si>
  <si>
    <t>вул. Саксаганського, 52</t>
  </si>
  <si>
    <t>Європейська, 49 (перехрестя Ветеранська)</t>
  </si>
  <si>
    <t>вул. Київська, 113</t>
  </si>
  <si>
    <t>вул. Київська (площа)</t>
  </si>
  <si>
    <t>вул. Київська (АТБ)</t>
  </si>
  <si>
    <t>вул. Ветеранська, 2 (парк слави)</t>
  </si>
  <si>
    <t>вул. Київська (райлікарня)</t>
  </si>
  <si>
    <t>вул. Київська (5-й магазин)</t>
  </si>
  <si>
    <t>вул. Київська, 56</t>
  </si>
  <si>
    <t>вул. Київська (автозаправка)</t>
  </si>
  <si>
    <t>вул. Пирятинська (автовокзал)</t>
  </si>
  <si>
    <t>вул. Котляревського (автозаправка )</t>
  </si>
  <si>
    <t>вул. Небесної сотні, 14</t>
  </si>
  <si>
    <t>вул. Коновальця, 67 (автозаправка )</t>
  </si>
  <si>
    <t>вул. Архиповича, 14 (Сорочинці)</t>
  </si>
  <si>
    <t>вул. Незалежності (центральний пляж)</t>
  </si>
  <si>
    <t>Всього:</t>
  </si>
  <si>
    <t>вул. Польова, 100</t>
  </si>
  <si>
    <t>вул. Польова, 112</t>
  </si>
  <si>
    <t>вул. Індустріальна, 7А</t>
  </si>
  <si>
    <t>вул. Гвардійська, 92</t>
  </si>
  <si>
    <t>в/м №12, буд. 152</t>
  </si>
  <si>
    <t>в/м №12, буд. 106</t>
  </si>
  <si>
    <t>в/м №12, буд. 146</t>
  </si>
  <si>
    <t>вул. В. Чорновола, 107</t>
  </si>
  <si>
    <t>вул. М. Леонтовича, 76</t>
  </si>
  <si>
    <t>вул. В. Чорновола, 87-А</t>
  </si>
  <si>
    <t>вул. Ярмаркова, 41/9</t>
  </si>
  <si>
    <t>Місця розташування контейнерних майданчиків та сміттєприймальних пунктів — м. Прилуки</t>
  </si>
  <si>
    <t>Тип об'єкта</t>
  </si>
  <si>
    <t>Папір</t>
  </si>
  <si>
    <t>Скло</t>
  </si>
  <si>
    <t>Пластик</t>
  </si>
  <si>
    <t>Контейнерний майданчик</t>
  </si>
  <si>
    <t>Сміттєприймальний пункт</t>
  </si>
  <si>
    <t>Значення тягнуться формулами. Легенда: зелений — ТПВ; оранжевий «×» — ВГВ; червоний текст вулиці — 1 вивіз/тиждень; синя заливка адреси — є контейнерний майданчик (аркуш «Координати майданчиків»), координати взято звідти.</t>
  </si>
  <si>
    <t>Майданчик (з аркуша «Координати»)</t>
  </si>
  <si>
    <t>Інструкція користування файлом</t>
  </si>
  <si>
    <t>Графіки вивезення ТПВ — КП «Послуга», Прилуцька міська рада</t>
  </si>
  <si>
    <t>1. Структура файлу</t>
  </si>
  <si>
    <t>Аркуш</t>
  </si>
  <si>
    <t>Призначення</t>
  </si>
  <si>
    <t>Чи можна редагувати</t>
  </si>
  <si>
    <t>Інструкція</t>
  </si>
  <si>
    <t>Цей аркуш — опис структури та правил роботи.</t>
  </si>
  <si>
    <t>—</t>
  </si>
  <si>
    <t>Зміст</t>
  </si>
  <si>
    <t>Перелік аркушів із коротким описом.</t>
  </si>
  <si>
    <t>Так</t>
  </si>
  <si>
    <t>ГОЛОВНА таблиця: усі адреси × дні тижня з часом вивозу, кількість вивозів, маршрут, авто, координати.</t>
  </si>
  <si>
    <t>Ні — формули</t>
  </si>
  <si>
    <t>Перелік усіх 1009 зупинок окремими рядками (вулиця, будинок, день, час, маршрут, авто, лист-джерело).</t>
  </si>
  <si>
    <t>Ні — знімок даних</t>
  </si>
  <si>
    <t>СЛУЖБОВИЙ. Посилання формулами на кожен рядок вихідних графіків. Проміжна ланка між джерелом і зведеною.</t>
  </si>
  <si>
    <t>Ні — не чіпати</t>
  </si>
  <si>
    <t>Геокодування</t>
  </si>
  <si>
    <t>Результат геокодування адрес (широта/довгота + формалізована адреса від сервісу).</t>
  </si>
  <si>
    <t>Так — можна доповнювати</t>
  </si>
  <si>
    <t>Координати майданчиків</t>
  </si>
  <si>
    <t>61 контейнерний майданчик і сміттєприймальний пункт із точними координатами.</t>
  </si>
  <si>
    <t>М5_… , М1_… та інші 9 аркушів</t>
  </si>
  <si>
    <t>ПЕРВИННІ ДАНІ — графіки з відсканованих документів. Джерело для всіх розрахунків.</t>
  </si>
  <si>
    <t>Так — тут вносяться зміни</t>
  </si>
  <si>
    <t>2. Як оновлюються дані</t>
  </si>
  <si>
    <t>Ланцюг:</t>
  </si>
  <si>
    <t>Вихідні аркуші маршрутів  →  Дані_зв'язок  →  Зведена_по_адресах</t>
  </si>
  <si>
    <t>Змінили час або назву вулиці у вихідному аркуші — зведена оновиться САМА, перераховувати нічого не треба.</t>
  </si>
  <si>
    <t>ВАЖЛИВО:</t>
  </si>
  <si>
    <t>Якщо у вихідному графіку з'явилася НОВА адреса (якої раніше не було) — вона НЕ додасться автоматично.</t>
  </si>
  <si>
    <t>Список адрес у службовій колонці O аркуша «Зведена_по_адресах» — статичний. Нову адресу треба дописати туди у форматі:  вулиця|будинок</t>
  </si>
  <si>
    <t>Приклад: вул. Київська|140     (якщо будинку немає — просто:  вул. Київська| )</t>
  </si>
  <si>
    <t>3. Легенда кольорів на аркуші «Зведена_по_адресах»</t>
  </si>
  <si>
    <t>Зелена заливка клітинки дня</t>
  </si>
  <si>
    <t>Є вивезення ТПВ цього дня. У клітинці — час (кілька значень через кому = кілька вивозів).</t>
  </si>
  <si>
    <t>Оранжева заливка + «×»</t>
  </si>
  <si>
    <t>Вивезення великогабаритних відходів (ВГВ). Час у первинному графіку не вказано.</t>
  </si>
  <si>
    <t>Синя заливка адреси</t>
  </si>
  <si>
    <t>На цій адресі є контейнерний майданчик. Координати взято з аркуша «Координати майданчиків».</t>
  </si>
  <si>
    <t>Червоний текст адреси</t>
  </si>
  <si>
    <t>Вивезення лише 1 раз на тиждень.</t>
  </si>
  <si>
    <t>Зелений колір цифр/тексту</t>
  </si>
  <si>
    <t>Значення підтягується формулою з іншого аркуша (не вводити вручну).</t>
  </si>
  <si>
    <t>A</t>
  </si>
  <si>
    <t>Формула — з колонки O</t>
  </si>
  <si>
    <t>B</t>
  </si>
  <si>
    <t>C–I</t>
  </si>
  <si>
    <t>Понеділок … Неділя</t>
  </si>
  <si>
    <t>Формула — час вивозу з «Дані_зв'язок»</t>
  </si>
  <si>
    <t>J</t>
  </si>
  <si>
    <t>Вивозів/тиждень</t>
  </si>
  <si>
    <t>Формула — рахує КОЖЕН час, а не дні (2 часи в одному дні = 2 вивози)</t>
  </si>
  <si>
    <t>K</t>
  </si>
  <si>
    <t>Формула — перелік маршрутів без повторів</t>
  </si>
  <si>
    <t>L</t>
  </si>
  <si>
    <t>Формула — перелік авто без повторів</t>
  </si>
  <si>
    <t>M</t>
  </si>
  <si>
    <t>Формула — максимальна кількість по адресі</t>
  </si>
  <si>
    <t>O</t>
  </si>
  <si>
    <t>Ключ (службова)</t>
  </si>
  <si>
    <t>СТАТИЧНО. Формат: вулиця|будинок. Керує всім рядком — якщо порожньо, рядок пустий.</t>
  </si>
  <si>
    <t>P</t>
  </si>
  <si>
    <t>Формула — найменший номер із переліку («2,10  24» → 2)</t>
  </si>
  <si>
    <t>Q</t>
  </si>
  <si>
    <t>Формула — рядок для геокодера</t>
  </si>
  <si>
    <t>R, S</t>
  </si>
  <si>
    <t>Широта / Довгота</t>
  </si>
  <si>
    <t>Формула — спершу з «Координати майданчиків», інакше з «Геокодування»</t>
  </si>
  <si>
    <t>T</t>
  </si>
  <si>
    <t>Майданчик</t>
  </si>
  <si>
    <t>СТАТИЧНО. Назва майданчика. Наявність значення = синя заливка адреси.</t>
  </si>
  <si>
    <t>5. Важливі застереження</t>
  </si>
  <si>
    <t>Порожні координати</t>
  </si>
  <si>
    <t>Заповнено 199 із 464 адрес. Порожньо там, де геокодер не знайшов точну адресу (повернув центр міста) або дав хибну локацію (інше місто). Вигаданих координат у файлі НЕМА.</t>
  </si>
  <si>
    <t>Майданчики</t>
  </si>
  <si>
    <t>Зіставлено 38 із 61. Решту 23 не зіставлено, бо у графіках вивозу немає таких адрес (напр. Вокзальна 10 і 46 — у графіку є 3, 12, 29, 35).</t>
  </si>
  <si>
    <t>Колонка «Змішані» (Координати майданчиків)</t>
  </si>
  <si>
    <t>Частина значень має зірочку (3*, 5*, 7*) — позначка з первинного документа. Тому колонка текстова і суми по ній немає.</t>
  </si>
  <si>
    <t>Google Sheets</t>
  </si>
  <si>
    <t>Формули написані на сумісних функціях (без UNIQUE/FILTER/SORT/LET/TEXTSPLIT), тому файл відкривається і на Google Диску.</t>
  </si>
  <si>
    <t>Аркуш М6_АТ4021_0586</t>
  </si>
  <si>
    <t>У первинному скані дні тижня не читалися — були позначені «День 1…5». Прийнято: День 1 = Понеділок … День 5 = П'ятниця.</t>
  </si>
  <si>
    <t>зразок</t>
  </si>
  <si>
    <t>4. Колонки аркуша «Зведена_по_адресах»   (колонка → що містить → джерело)</t>
  </si>
  <si>
    <t>Результат геокодування адрес: широта, довгота, формалізована адреса від сервісу</t>
  </si>
  <si>
    <t>61 контейнерний майданчик і сміттєприймальний пункт із точними координатами (єдина таблиця)</t>
  </si>
  <si>
    <t>Початок роботи</t>
  </si>
  <si>
    <t>→</t>
  </si>
  <si>
    <t>ПОЧНІТЬ ЗВІДСИ: структура файлу, як оновлюються дані, легенда кольорів, опис колонок, застереження</t>
  </si>
  <si>
    <t>#</t>
  </si>
  <si>
    <t>Вхідні дані</t>
  </si>
  <si>
    <t>Збіг</t>
  </si>
  <si>
    <t>провулок 2-й Андріївський, Pryluky, Chernihiv Oblast, 17503, Ukraine</t>
  </si>
  <si>
    <t>✓</t>
  </si>
  <si>
    <t>1st Vasylia Stusa Lane, Pryluky, Chernihiv Oblast, 17510, Ukraine</t>
  </si>
  <si>
    <t>1st Heroiv Chornobylia Lane, Pryluky, Прилуцька міська громада, Pry…</t>
  </si>
  <si>
    <t>1st Yevropeiskyi Lane, Pryluky, Chernihiv Oblast, 17503, Ukraine</t>
  </si>
  <si>
    <t>провулок 1-й Замостянський, Pryluky, Прилуцька міська громада, Pryl…</t>
  </si>
  <si>
    <t>провулок 1-й Героїв Прилук, Pryluky, Chernihiv Oblast, 17507, Ukraine</t>
  </si>
  <si>
    <t>2-i Zmahannia Lane, Pryluky, Chernihiv Oblast, 17503, Ukraine</t>
  </si>
  <si>
    <t>2nd Ivana Sirka Lane, Pryluky, Chernihiv Oblast, 17504, Ukraine</t>
  </si>
  <si>
    <t>50.894557</t>
  </si>
  <si>
    <t>31.703098</t>
  </si>
  <si>
    <t>Колгоспний провулок, Yablunivka, Chernihiv Oblast, 17140, Ukraine</t>
  </si>
  <si>
    <t>1-й Межовий в'їзд, Pryluky, Chernihiv Oblast, 175400, Ukraine</t>
  </si>
  <si>
    <t>2-й Оранжерейний провулок, Pryluky, Chernihiv Oblast, 17501, Ukraine</t>
  </si>
  <si>
    <t>Pryluky, Vokzalna Street, Chernihiv Oblast, 17500, Ukraine</t>
  </si>
  <si>
    <t>3, 1st Pedahohichnyi Lane, Pryluky, Прилуцька міська громада, Prylu…</t>
  </si>
  <si>
    <t>провулок 2-й Південний, Pryluky, Chernihiv Oblast, 17501, Ukraine</t>
  </si>
  <si>
    <t>50.598255</t>
  </si>
  <si>
    <t>32.374329</t>
  </si>
  <si>
    <t>Ivana Skoropadskoho Street, Pryluky, Chernihiv Oblast, 175400, Ukraine</t>
  </si>
  <si>
    <t>провулок 1-й Східний, Pryluky, Chernihiv Oblast, 17510, Ukraine</t>
  </si>
  <si>
    <t>1-й Удайський провулок, Pryluky, Прилуцька міська громада, Pryluky …</t>
  </si>
  <si>
    <t>50.604496</t>
  </si>
  <si>
    <t>32.412938</t>
  </si>
  <si>
    <t>в’їзд 2-й Шарапівський, Pryluky, Chernihiv Oblast, 17507, Ukraine</t>
  </si>
  <si>
    <t>вулиця Небесної Сотні, Pryluky, Chernihiv Oblast, 175400, Ukraine</t>
  </si>
  <si>
    <t>Vasylia Stusa Street, Pryluky, Chernihiv Oblast, 17510, Ukraine</t>
  </si>
  <si>
    <t>2-й вʼїзд Вишневий, Pryluky, Chernihiv Oblast, 17510, Ukraine</t>
  </si>
  <si>
    <t>2-й Межовий в'їзд, Pryluky, Chernihiv Oblast, 175400, Ukraine</t>
  </si>
  <si>
    <t>2nd Viacheslava Chornovila Lane, Pryluky, Chernihiv Oblast, 17503, …</t>
  </si>
  <si>
    <t>1st Heroiv Chornobylia Lane, Pryluky, Chernihiv Oblast, 17510, Ukraine</t>
  </si>
  <si>
    <t>провулок 2-й Дослідний, Pryluky, Chernihiv Oblast, 17503, Ukraine</t>
  </si>
  <si>
    <t>Зелений провулок 2, Mykhailo-Kotsiubynske, Chernihiv Oblast, 15552,…</t>
  </si>
  <si>
    <t>3-й Межовий в'їзд, Pryluky, Chernihiv Oblast, 175400, Ukraine</t>
  </si>
  <si>
    <t>Автостанція "Прилуки", Pyriatynska Street 2, Pryluky, Chernihiv Obl…</t>
  </si>
  <si>
    <t>2nd Pedahohichnyi Lane, Pryluky, Прилуцька міська громада, Pryluky …</t>
  </si>
  <si>
    <t>2nd Ivana Sirka Lane 4, Pryluky, Chernihiv Oblast, 17504, Ukraine</t>
  </si>
  <si>
    <t>2-й провулок Івана Богуна, Pryluky, Chernihiv Oblast, 17503, Ukraine</t>
  </si>
  <si>
    <t>провулок 2-й Східний, Pryluky, Chernihiv Oblast, 17510, Ukraine</t>
  </si>
  <si>
    <t>2-i Udayskiy Lane, Pryluky, Прилуцька міська громада, Pryluky Raion…</t>
  </si>
  <si>
    <t>Пр. Шевченка 2, Pryluky, Chernihiv Oblast, 17510, Ukraine</t>
  </si>
  <si>
    <t>провулок 3-й Гімназичний, Pryluky, Прилуцька міська громада, Pryluk…</t>
  </si>
  <si>
    <t>провулок 1-й Дослідний, Pryluky, Chernihiv Oblast, 17503, Ukraine</t>
  </si>
  <si>
    <t>провулок 3-й Замостянський, Pryluky, Прилуцька міська громада, Pryl…</t>
  </si>
  <si>
    <t>3nd Ivana Sirka Lane, Pryluky, Chernihiv Oblast, 17504, Ukraine</t>
  </si>
  <si>
    <t>провулок 3-й Замостянський, Pryluky, Chernihiv Oblast, 17507, Ukraine</t>
  </si>
  <si>
    <t>3-й Удайський провулок, Pryluky, Прилуцька міська громада, Pryluky …</t>
  </si>
  <si>
    <t>провулок 4-й Замостянський, Pryluky, Прилуцька міська громада, Pryl…</t>
  </si>
  <si>
    <t>1st Pedahohichnyi Lane, Pryluky, Chernihiv Oblast, 17510, Ukraine</t>
  </si>
  <si>
    <t>в'їзд Опанасівський 6, Pryluky, Chernihiv Oblast, 175400, Ukraine</t>
  </si>
  <si>
    <t>61 км, Yuriia Miriuty Street, Pryluky, Chernihiv Oblast, 17504, Ukr…</t>
  </si>
  <si>
    <t>Військове містечко №12, Pryluky, Chernihiv Oblast, Ukraine</t>
  </si>
  <si>
    <t>В/м 17 3, Pryluky, Chernihiv Oblast, 17503, Ukraine</t>
  </si>
  <si>
    <t>В/м 17, Pryluky, Прилуцька міська громада, Pryluky Raion, Chernihiv…</t>
  </si>
  <si>
    <t>Peremohy Street, Pryluky, Chernihiv Oblast, 17510, Ukraine</t>
  </si>
  <si>
    <t>Густинський провулок, Pryluky, Chernihiv Oblast, 17507, Ukraine</t>
  </si>
  <si>
    <t>вулиця 18 Вересня, Pryluky, Chernihiv Oblast, 17503, Ukraine</t>
  </si>
  <si>
    <t>вулиця 18 Вересня, Pryluky, Прилуцька міська громада, Pryluky Raion…</t>
  </si>
  <si>
    <t>2-а Південна вулиця, Pryluky, Chernihiv Oblast, 17501, Ukraine</t>
  </si>
  <si>
    <t>вулиця Авіації, Pryluky, Прилуцька міська громада, Pryluky Raion, C…</t>
  </si>
  <si>
    <t>Аерофлотська вулиця, Kolychivka, Chernihiv Oblast, 15563, Ukraine</t>
  </si>
  <si>
    <t>Andriivska Street, Pryluky, Chernihiv Oblast, 17503, Ukraine</t>
  </si>
  <si>
    <t>вулиця Архиповича, Pryluky, Прилуцька міська громада, Pryluky Raion…</t>
  </si>
  <si>
    <t>вулиця Білецького-Носенка, Pryluky, Chernihiv Oblast, 17510, Ukraine</t>
  </si>
  <si>
    <t>вулиця Богдана Хмельницького, Pryluky, Chernihiv Oblast, 17510, Ukr…</t>
  </si>
  <si>
    <t>Berehova Street, Pryluky, Chernihiv Oblast, 17507, Ukraine</t>
  </si>
  <si>
    <t>Berehova Street, Pryluky, Прилуцька міська громада, Pryluky Raion, …</t>
  </si>
  <si>
    <t>вулиця Братів Ревуцьких, Pryluky, Chernihiv Oblast, 17501, Ukraine</t>
  </si>
  <si>
    <t>вулиця Будівельників, Pryluky, Прилуцька міська громада, Pryluky Ra…</t>
  </si>
  <si>
    <t>Pryluky Local Lore Museum named after V. I. Maslov, Kyivska Street,…</t>
  </si>
  <si>
    <t>Viacheslava Chornovola Street, Pryluky, Chernihiv Oblast, 17501, Uk…</t>
  </si>
  <si>
    <t>109, Viacheslava Chornovola Street, Pryluky, Прилуцька міська грома…</t>
  </si>
  <si>
    <t>113, Viacheslava Chornovola Street, Pryluky, Прилуцька міська грома…</t>
  </si>
  <si>
    <t>Варвинська вулиця, Pryluky, Прилуцька міська громада, Pryluky Raion…</t>
  </si>
  <si>
    <t>Вербна вулиця, Pryluky, Chernihiv Oblast, 17510, Ukraine</t>
  </si>
  <si>
    <t>Veteranska Street, Pryluky, Chernihiv Oblast, 17503, Ukraine</t>
  </si>
  <si>
    <t>2, Veteranska Street, Pryluky, Прилуцька міська громада, Pryluky Ra…</t>
  </si>
  <si>
    <t>Viiskova Street, Pryluky, Chernihiv Oblast, 17503, Ukraine</t>
  </si>
  <si>
    <t>Vokzalna Street, Pryluky, Прилуцька міська громада, Pryluky Raion, …</t>
  </si>
  <si>
    <t>3, Vokzalna Street, Pryluky, Прилуцька міська громада, Pryluky Raio…</t>
  </si>
  <si>
    <t>35, Vokzalna Street, Pryluky, Прилуцька міська громада, Pryluky Rai…</t>
  </si>
  <si>
    <t>5, Vokzalna Street, Pryluky, Прилуцька міська громада, Pryluky Raio…</t>
  </si>
  <si>
    <t>вулиця Волошинівська, Pryluky, Прилуцька міська громада, Pryluky Ra…</t>
  </si>
  <si>
    <t>вулиця Гетьмана Сагайдачного, Pryluky, Chernihiv Oblast, 17503, Ukr…</t>
  </si>
  <si>
    <t>Галаганівська вулиця, Pryluky, Chernihiv Oblast, 17507, Ukraine</t>
  </si>
  <si>
    <t>вулиця Євгена Коновальця, Pryluky, Chernihiv Oblast, 17510, Ukraine</t>
  </si>
  <si>
    <t>92, вулиця Євгена Коновальця, Pryluky, Прилуцька міська громада, Pr…</t>
  </si>
  <si>
    <t>вулиця Героїв Крут, Pryluky, Chernihiv Oblast, 17503, Ukraine</t>
  </si>
  <si>
    <t>вулиця Героїв Прилук, Pryluky, Прилуцька міська громада, Pryluky Ra…</t>
  </si>
  <si>
    <t>вулиця Героїв Прилук, Pryluky, Chernihiv Oblast, 175400, Ukraine</t>
  </si>
  <si>
    <t>Heroiv Chornobylia Street, Pryluky, Прилуцька міська громада, Prylu…</t>
  </si>
  <si>
    <t>Himnazychna Street, Pryluky, Chernihiv Oblast, 17507, Ukraine</t>
  </si>
  <si>
    <t>Himnazychna Street, Pryluky, Прилуцька міська громада, Pryluky Raio…</t>
  </si>
  <si>
    <t>вулиця Миколи Гоголя, Pryluky, Прилуцька міська громада, Pryluky Ra…</t>
  </si>
  <si>
    <t>Голубівська вулиця, Pryluky, Прилуцька міська громада, Pryluky Raio…</t>
  </si>
  <si>
    <t>Гостинна вулиця, Pryluky, Прилуцька міська громада, Pryluky Raion, …</t>
  </si>
  <si>
    <t>вулиця Грушевського, Pryluky, Chernihiv Oblast, 17510, Ukraine</t>
  </si>
  <si>
    <t>Hustynska Street, Pryluky, Прилуцька міська громада, Pryluky Raion,…</t>
  </si>
  <si>
    <t>Hustynska Street, Pryluky, Chernihiv Oblast, 17507, Ukraine</t>
  </si>
  <si>
    <t>вулиця Дмитра Шкоропада, Pryluky, Chernihiv Oblast, 17503, Ukraine</t>
  </si>
  <si>
    <t>Dachna Street, Pryluky, Chernihiv Oblast, 17510, Ukraine</t>
  </si>
  <si>
    <t>Dachna Street, Pryluky, Прилуцька міська громада, Pryluky Raion, Ch…</t>
  </si>
  <si>
    <t>Дідівська вулиця, Pryluky, Прилуцька міська громада, Pryluky Raion,…</t>
  </si>
  <si>
    <t>Yevropeiska Street, Pryluky, Chernihiv Oblast, 17507, Ukraine</t>
  </si>
  <si>
    <t>Yevropeiska Street, Pryluky, Прилуцька міська громада, Pryluky Raio…</t>
  </si>
  <si>
    <t>Zhdanovycha Lane, Pryluky, Chernihiv Oblast, 17504, Ukraine</t>
  </si>
  <si>
    <t>Житня вулиця, Pryluky, Chernihiv Oblast, 17510, Ukraine</t>
  </si>
  <si>
    <t>Житня вулиця, Pryluky, Прилуцька міська громада, Pryluky Raion, Che…</t>
  </si>
  <si>
    <t>Zaliznychna Street, Pryluky, Chernihiv Oblast, 17510, Ukraine</t>
  </si>
  <si>
    <t>вулиця Західна, Pryluky, Chernihiv Oblast, 17504, Ukraine</t>
  </si>
  <si>
    <t>Zemska Street, Pryluky, Chernihiv Oblast, 175400, Ukraine</t>
  </si>
  <si>
    <t>Gastroenterology clinic, 7, Zemska Street, Pryluky, Прилуцька міськ…</t>
  </si>
  <si>
    <t>Ioasaf Belgorodsky Square, Pryluky, Chernihiv Oblast, Ukraine</t>
  </si>
  <si>
    <t>Ivana Bohuna Street, Pryluky, Chernihiv Oblast, 17503, Ukraine</t>
  </si>
  <si>
    <t>вулиця Івана Мазепи, Pryluky, Chernihiv Oblast, 17510, Ukraine</t>
  </si>
  <si>
    <t>вулиця Івана Сірка, Pryluky, Chernihiv Oblast, 17504, Ukraine</t>
  </si>
  <si>
    <t>Прилуцький гуманітарно-педагогічний фаховий коледж ім. І. Я. Франка…</t>
  </si>
  <si>
    <t>Іванівська церква, Ivanivska Street 11, Pryluky, Chernihiv Oblast, …</t>
  </si>
  <si>
    <t>Ivanivska Street, Pryluky, Прилуцька міська громада, Pryluky Raion,…</t>
  </si>
  <si>
    <t>84/1, Ivanivska Street, Pryluky, Прилуцька міська громада, Pryluky …</t>
  </si>
  <si>
    <t>7, Індустріальна вулиця, Pryluky, Прилуцька міська громада, Pryluky…</t>
  </si>
  <si>
    <t>Індустріальна вулиця, Pryluky, Chernihiv Oblast, 17510, Ukraine</t>
  </si>
  <si>
    <t>вулиця Кар'єрна, Pryluky, Прилуцька міська громада, Pryluky Raion, …</t>
  </si>
  <si>
    <t>Квашинська вулиця, Pryluky, Chernihiv Oblast, 17503, Ukraine</t>
  </si>
  <si>
    <t>Київська, Kyivska Street, Pryluky, Chernihiv Oblast, 175400, Ukraine</t>
  </si>
  <si>
    <t>вулиця Київська, Pryluky, Прилуцька міська громада, Pryluky Raion, …</t>
  </si>
  <si>
    <t>Козача, Kyivska Street, Pryluky, Chernihiv Oblast, 17503, Ukraine</t>
  </si>
  <si>
    <t>Кільцева вулиця, Pryluky, Chernihiv Oblast, 17510, Ukraine</t>
  </si>
  <si>
    <t>Климачівська вулиця, Pryluky, Chernihiv Oblast, 17503, Ukraine</t>
  </si>
  <si>
    <t>Ukrnafta, 67, вулиця Євгена Коновальця, Pryluky, Прилуцька міська г…</t>
  </si>
  <si>
    <t>вулиця Євгена Коновальця, Pryluky, Прилуцька міська громада, Pryluk…</t>
  </si>
  <si>
    <t>Korolenka Street, Pryluky, Chernihiv Oblast, 17501, Ukraine</t>
  </si>
  <si>
    <t>Kotliarevskoho Street, Pryluky, Прилуцька міська громада, Pryluky R…</t>
  </si>
  <si>
    <t>Kotliarevskoho Street, Pryluky, Chernihiv Oblast, 17507, Ukraine</t>
  </si>
  <si>
    <t>вулиця Кругова, Pryluky, Chernihiv Oblast, 17504, Ukraine</t>
  </si>
  <si>
    <t>Кустівська вулиця, Pryluky, Прилуцька міська громада, Pryluky Raion…</t>
  </si>
  <si>
    <t>вулиця Любові Забашти, Pryluky, Chernihiv Oblast, 17510, Ukraine</t>
  </si>
  <si>
    <t>Levka Lukianenka Street, Pryluky, Chernihiv Oblast, 17504, Ukraine</t>
  </si>
  <si>
    <t>Levka Lukianenka Street 31-Б, Pryluky, Chernihiv Oblast, 17504, Ukr…</t>
  </si>
  <si>
    <t>вулиця Лесі Українки, Pryluky, Chernihiv Oblast, 17510, Ukraine</t>
  </si>
  <si>
    <t>Ладанська вулиця, Pryluky, Прилуцька міська громада, Pryluky Raion,…</t>
  </si>
  <si>
    <t>вулиця Миколи Леонтовича, Pryluky, Chernihiv Oblast, 17507, Ukraine</t>
  </si>
  <si>
    <t>вулиця Миколи Леонтовича, Pryluky, Прилуцька міська громада, Pryluk…</t>
  </si>
  <si>
    <t>вулиця Лісовської, Pryluky, Chernihiv Oblast, 17510, Ukraine</t>
  </si>
  <si>
    <t>Лохвицька вулиця, Pryluky, Прилуцька міська громада, Pryluky Raion,…</t>
  </si>
  <si>
    <t>провулок Миколи Андріяшева, Pryluky, Chernihiv Oblast, 17504, Ukraine</t>
  </si>
  <si>
    <t>вулиця Миколи Лисенка, Pryluky, Chernihiv Oblast, 175400, Ukraine</t>
  </si>
  <si>
    <t>вулиця Миколи Міхновського, Pryluky, Chernihiv Oblast, 17501, Ukraine</t>
  </si>
  <si>
    <t>Mykhaila Starytskoho Street, Pryluky, Chernihiv Oblast, 17504, Ukraine</t>
  </si>
  <si>
    <t>вулиця Миколи Яковченка, Pryluky, Chernihiv Oblast, 17501, Ukraine</t>
  </si>
  <si>
    <t>вулиця Макаренка, Pryluky, Прилуцька міська громада, Pryluky Raion,…</t>
  </si>
  <si>
    <t>вулиця Малківська, Pryluky, Chernihiv Oblast, 17501, Ukraine</t>
  </si>
  <si>
    <t>вулиця Мединська, Pryluky, Chernihiv Oblast, 17504, Ukraine</t>
  </si>
  <si>
    <t>вулиця Межова, Pryluky, Прилуцька міська громада, Pryluky Raion, Ch…</t>
  </si>
  <si>
    <t>Миколаївська церква, Галаганівська вулиця 14, Pryluky, Chernihiv Ob…</t>
  </si>
  <si>
    <t>27, Myroliubna Street, Pryluky, Прилуцька міська громада, Pryluky R…</t>
  </si>
  <si>
    <t>Myroliubna Street, Pryluky, Прилуцька міська громада, Pryluky Raion…</t>
  </si>
  <si>
    <t>40, Myroliubna Street, Pryluky, Прилуцька міська громада, Pryluky R…</t>
  </si>
  <si>
    <t>вулиця Миру, Pryluky, Прилуцька міська громада, Pryluky Raion, Cher…</t>
  </si>
  <si>
    <t>провулок Михайлівський, Pryluky, Chernihiv Oblast, 17507, Ukraine</t>
  </si>
  <si>
    <t>Molodizhna Street, Pryluky, Chernihiv Oblast, 17503, Ukraine</t>
  </si>
  <si>
    <t>Pryluky City Council, Nezalezhnosti Street 82, Pryluky, Chernihiv O…</t>
  </si>
  <si>
    <t>Nezalezhnosti Street, Pryluky, Прилуцька міська громада, Pryluky Ra…</t>
  </si>
  <si>
    <t>Nezalezhnosti Street, Pryluky, Chernihiv Oblast, 175400, Ukraine</t>
  </si>
  <si>
    <t>вулиця Низова, Pryluky, Chernihiv Oblast, 17504, Ukraine</t>
  </si>
  <si>
    <t>Сектор митного оформлення № 2 митного поста «Прилуки», вулиця Борзн…</t>
  </si>
  <si>
    <t>вулиця Нова, Pryluky, Chernihiv Oblast, 17504, Ukraine</t>
  </si>
  <si>
    <t>Оранжерейна вулиця, Pryluky, Chernihiv Oblast, 17501, Ukraine</t>
  </si>
  <si>
    <t>вулиця Петра Дорошенка, Pryluky, Chernihiv Oblast, 17507, Ukraine</t>
  </si>
  <si>
    <t>вулиця Пилипа Орлика, Pryluky, Chernihiv Oblast, 17501, Ukraine</t>
  </si>
  <si>
    <t>Паркова вулиця, Pryluky, Chernihiv Oblast, 17510, Ukraine</t>
  </si>
  <si>
    <t>Partyzanska Street, Pryluky, Chernihiv Oblast, 17504, Ukraine</t>
  </si>
  <si>
    <t>вулиця Педагогічна, Pryluky, Прилуцька міська громада, Pryluky Raio…</t>
  </si>
  <si>
    <t>Peremohy Street, Pryluky, Прилуцька міська громада, Pryluky Raion, …</t>
  </si>
  <si>
    <t>3, Pereiaslavska Street, Pryluky, Прилуцька міська громада, Pryluky…</t>
  </si>
  <si>
    <t>ТІМ, 72, Pereiaslavska Street, Pryluky, Прилуцька міська громада, P…</t>
  </si>
  <si>
    <t>10, Pereiaslavska Street, Pryluky, Прилуцька міська громада, Pryluk…</t>
  </si>
  <si>
    <t>Pereiaslavska Street, Pryluky, Chernihiv Oblast, 17501, Ukraine</t>
  </si>
  <si>
    <t>вулиця Пирогівська, Pryluky, Прилуцька міська громада, Pryluky Raio…</t>
  </si>
  <si>
    <t>Pyriatynska Street, Pryluky, Chernihiv Oblast, 17510, Ukraine</t>
  </si>
  <si>
    <t>Pyriatynska Street, Pryluky, Прилуцька міська громада, Pryluky Raio…</t>
  </si>
  <si>
    <t>Автостанція "Прилуки", 2, Pyriatynska Street, Pryluky, Прилуцька мі…</t>
  </si>
  <si>
    <t>Ukrnafta, 98, Pyriatynska Street, Pryluky, Прилуцька міська громада…</t>
  </si>
  <si>
    <t>51.524709</t>
  </si>
  <si>
    <t>31.370092</t>
  </si>
  <si>
    <t>Піщана вулиця 5, Desniansky district, Chernihiv, Chernihiv Oblast, …</t>
  </si>
  <si>
    <t>вулиця Плискунівська, Pryluky, Chernihiv Oblast, 17515, Ukraine</t>
  </si>
  <si>
    <t>Половецька вулиця, Pryluky, Chernihiv Oblast, 17510, Ukraine</t>
  </si>
  <si>
    <t>Польова, Kyivska Street, Pryluky, Chernihiv Oblast, 17510, Ukraine</t>
  </si>
  <si>
    <t>110, Польова вулиця, Pryluky, Прилуцька міська громада, Pryluky Rai…</t>
  </si>
  <si>
    <t>вулиця Ракітна, Pryluky, Chernihiv Oblast, 17503, Ukraine</t>
  </si>
  <si>
    <t>вулиця Родини Горленків, Pryluky, Прилуцька міська громада, Pryluky…</t>
  </si>
  <si>
    <t>вулиця Самійла Величка, Pryluky, Chernihiv Oblast, 17510, Ukraine</t>
  </si>
  <si>
    <t>Sadova Street, Pryluky, Прилуцька міська громада, Pryluky Raion, Ch…</t>
  </si>
  <si>
    <t>64, Sadova Street, Pryluky, Прилуцька міська громада, Pryluky Raion…</t>
  </si>
  <si>
    <t>Sadova Street, Pryluky, Chernihiv Oblast, 17507, Ukraine</t>
  </si>
  <si>
    <t>1, вулиця Саксаганського, Pryluky, Прилуцька міська громада, Pryluk…</t>
  </si>
  <si>
    <t>вулиця Саксаганського, Pryluky, Прилуцька міська громада, Pryluky R…</t>
  </si>
  <si>
    <t>вулиця Світанкова, Pryluky, Chernihiv Oblast, 17510, Ukraine</t>
  </si>
  <si>
    <t>вулиця Січових Стрільців, Pryluky, Chernihiv Oblast, 17510, Ukraine</t>
  </si>
  <si>
    <t>Ivana Skoropadskoho Street, Pryluky, Прилуцька міська громада, Pryl…</t>
  </si>
  <si>
    <t>Соборна вулиця, Pryluky, Chernihiv Oblast, 17510, Ukraine</t>
  </si>
  <si>
    <t>125б, Soborna Street, Pryluky, Прилуцька міська громада, Pryluky Ra…</t>
  </si>
  <si>
    <t>Соборна вулиця, Pryluky, Прилуцька міська громада, Pryluky Raion, C…</t>
  </si>
  <si>
    <t>Сорочинська вулиця, Pryluky, Прилуцька міська громада, Pryluky Raio…</t>
  </si>
  <si>
    <t>Сорочинська вулиця, Pryluky, Chernihiv Oblast, 175400, Ukraine</t>
  </si>
  <si>
    <t>Степова вулиця, Pryluky, Прилуцька міська громада, Pryluky Raion, C…</t>
  </si>
  <si>
    <t>Трубарівська, Kyivska Street, Pryluky, Chernihiv Oblast, 17504, Ukr…</t>
  </si>
  <si>
    <t>вулиця Фабрична, Pryluky, Прилуцька міська громада, Pryluky Raion, …</t>
  </si>
  <si>
    <t>вулиця Фабрична, Pryluky, Chernihiv Oblast, 175400, Ukraine</t>
  </si>
  <si>
    <t>Heroiv Chornobylia Street, Pryluky, Chernihiv Oblast, 17510, Ukraine</t>
  </si>
  <si>
    <t>Viacheslava Chornovola Street, Pryluky, Прилуцька міська громада, P…</t>
  </si>
  <si>
    <t>вулиця Шарапівська, Pryluky, Прилуцька міська громада, Pryluky Raio…</t>
  </si>
  <si>
    <t>вулиця Шевченка, Pryluky, Прилуцька міська громада, Pryluky Raion, …</t>
  </si>
  <si>
    <t>вулиця Шевченка, Pryluky, Chernihiv Oblast, 17507, Ukraine</t>
  </si>
  <si>
    <t>Шкільна вулиця, Pryluky, Прилуцька міська громада, Pryluky Raion, C…</t>
  </si>
  <si>
    <t>Прилуки, Yuriia Miriuty Street, Pryluky, Chernihiv Oblast, 17504, U…</t>
  </si>
  <si>
    <t>Yuriia Miriuty Street, Pryluky, Chernihiv Oblast, 17504, Ukraine</t>
  </si>
  <si>
    <t>вулиця Яблунівська, Pryluky, Chernihiv Oblast, 17503, Ukraine</t>
  </si>
  <si>
    <t>Yarmarkova Street, Pryluky, Chernihiv Oblast, 17507, Ukraine</t>
  </si>
  <si>
    <t>Yarmarkova Street, Pryluky, Прилуцька міська громада, Pryluky Raion…</t>
  </si>
  <si>
    <t>Pryluky, Chernihiv Oblast, Ukraine</t>
  </si>
  <si>
    <t>провулок Котляревського, Pryluky, Прилуцька міська громада, Pryluky…</t>
  </si>
  <si>
    <t>Ритм (м'ясокомбінат), Старобілоуська вулиця 71, Novozavodsky distri…</t>
  </si>
  <si>
    <t>Прилуки, Чернігівська обл., перехрестя Земська-Скоропадсь…</t>
  </si>
  <si>
    <t>немає збігів</t>
  </si>
  <si>
    <t>✗</t>
  </si>
  <si>
    <t>Прилуки, Чернігівська обл., перехрестя Київська-Котляревс…</t>
  </si>
  <si>
    <t>Pryvokzalna Square, Pryluky, Chernihiv Oblast, Ukraine</t>
  </si>
  <si>
    <t>провулок 1-й Героїв Прилук, Pryluky, Прилуцька міська громада, Pryl…</t>
  </si>
  <si>
    <t>Заводський провулок, Pryluky, Chernihiv Oblast, 17503, Ukraine</t>
  </si>
  <si>
    <t>Zaliznychnyi Lane, Pryluky, Chernihiv Oblast, 17501, Ukraine</t>
  </si>
  <si>
    <t>провулок Івана Мазепи, Pryluky, Chernihiv Oblast, 17510, Ukraine</t>
  </si>
  <si>
    <t>провулок Івана Франка, Pryluky, Chernihiv Oblast, 17501, Ukraine</t>
  </si>
  <si>
    <t>ЖК «Андріївський», Кустівська вулиця 63/1, Pryluky, Chernihiv Oblas…</t>
  </si>
  <si>
    <t>провулок Лесі Українки, Pryluky, Chernihiv Oblast, 17510, Ukraine</t>
  </si>
  <si>
    <t>провулок 2-й Миколи Леонтовича, Pryluky, Chernihiv Oblast, 17507, U…</t>
  </si>
  <si>
    <t>провулок Миколи Лисенка, Pryluky, Chernihiv Oblast, 175400, Ukraine</t>
  </si>
  <si>
    <t>вулиця Марії Примаченко, Pryluky, Chernihiv Oblast, 17503, Ukraine</t>
  </si>
  <si>
    <t>Остапа Вересая, Pryluky, Chernihiv Oblast, 17504, Ukraine</t>
  </si>
  <si>
    <t>провулок Пилипа Орлика, Pryluky, Chernihiv Oblast, 17503, Ukraine</t>
  </si>
  <si>
    <t>провулок Гетьмана Сагайдачного, Pryluky, Chernihiv Oblast, 17503, U…</t>
  </si>
  <si>
    <t>Partyzanskyi Lane, Pryluky, Chernihiv Oblast, 17504, Ukraine</t>
  </si>
  <si>
    <t>Pyriatynskyi Lane, Pryluky, Прилуцька міська громада, Pryluky Raion…</t>
  </si>
  <si>
    <t>провулок Північний, Pryluky, Прилуцька міська громада, Pryluky Raio…</t>
  </si>
  <si>
    <t>Polovyi Lane, Pryluky, Chernihiv Oblast, 17510, Ukraine</t>
  </si>
  <si>
    <t>51.050956</t>
  </si>
  <si>
    <t>31.886557</t>
  </si>
  <si>
    <t>Proriznyi Lane, Nizhyn, Chernihiv Oblast, 16600, Ukraine</t>
  </si>
  <si>
    <t>провулок Східний, Pryluky, Прилуцька міська громада, Pryluky Raion,…</t>
  </si>
  <si>
    <t>Trubarivskyi, вулиця Дмитра Шкоропада, Pryluky, Chernihiv Oblast, 1…</t>
  </si>
  <si>
    <t>Trudovyi Lane, Pryluky, Прилуцька міська громада, Pryluky Raion, Ch…</t>
  </si>
  <si>
    <t>провулок Фабричний, Pryluky, Прилуцька міська громада, Pryluky Raio…</t>
  </si>
  <si>
    <t>Fizkulturnyka Lane, Pryluky, Прилуцька міська громада, Pryluky Raio…</t>
  </si>
  <si>
    <t>вулиця Шевченка 21, Zamistia, Chernihiv Oblast, 17544, Ukraine</t>
  </si>
  <si>
    <t>50.870648</t>
  </si>
  <si>
    <t>32.639917</t>
  </si>
  <si>
    <t>Polovyi Lane, Parafiivka, Chernihiv Oblast, 16730, Ukraine</t>
  </si>
  <si>
    <t>провулок Любові Забашти, Pryluky, Chernihiv Oblast, 17510, Ukraine</t>
  </si>
  <si>
    <t>50.583804</t>
  </si>
  <si>
    <t>32.424890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</si>
</sst>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000"/>
    <numFmt numFmtId="166" formatCode="0.00000"/>
  </numFmts>
  <fonts count="37" x14ac:knownFonts="1">
    <font>
      <sz val="11"/>
      <color theme="1"/>
      <name val="Calibri"/>
      <family val="2"/>
      <scheme val="minor"/>
    </font>
    <font>
      <b/>
      <sz val="13"/>
      <color rgb="FF1F4E78"/>
      <name val="Arial"/>
    </font>
    <font>
      <b/>
      <sz val="11"/>
      <color rgb="FFFFFFFF"/>
      <name val="Arial"/>
    </font>
    <font>
      <b/>
      <sz val="10"/>
      <color rgb="FF1F4E78"/>
      <name val="Arial"/>
    </font>
    <font>
      <b/>
      <sz val="10"/>
      <color rgb="FF7F6000"/>
      <name val="Arial"/>
    </font>
    <font>
      <sz val="10"/>
      <name val="Arial"/>
    </font>
    <font>
      <b/>
      <sz val="10"/>
      <color rgb="FFFFFFFF"/>
      <name val="Arial"/>
    </font>
    <font>
      <i/>
      <sz val="9"/>
      <color rgb="FFC00000"/>
      <name val="Arial"/>
    </font>
    <font>
      <b/>
      <sz val="14"/>
      <color rgb="FF1F4E78"/>
      <name val="Arial"/>
    </font>
    <font>
      <i/>
      <sz val="10"/>
      <color rgb="FF595959"/>
      <name val="Arial"/>
    </font>
    <font>
      <u/>
      <sz val="10"/>
      <color rgb="FF0563C1"/>
      <name val="Arial"/>
    </font>
    <font>
      <sz val="10"/>
      <color theme="1"/>
      <name val="Arial"/>
    </font>
    <font>
      <i/>
      <sz val="10"/>
      <color rgb="FFC00000"/>
      <name val="Arial"/>
    </font>
    <font>
      <sz val="10"/>
      <color rgb="FF008000"/>
      <name val="Arial"/>
    </font>
    <font>
      <sz val="9"/>
      <color rgb="FF808080"/>
      <name val="Calibri"/>
      <family val="2"/>
      <scheme val="minor"/>
    </font>
    <font>
      <sz val="9"/>
      <color rgb="FFBFBFBF"/>
      <name val="Calibri"/>
      <family val="2"/>
      <scheme val="minor"/>
    </font>
    <font>
      <b/>
      <sz val="11"/>
      <color rgb="FFFFFFFF"/>
      <name val="Calibri"/>
      <family val="2"/>
      <charset val="204"/>
      <scheme val="minor"/>
    </font>
    <font>
      <b/>
      <sz val="10"/>
      <color rgb="FF1F4E78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7F6000"/>
      <name val="Arial"/>
      <family val="2"/>
    </font>
    <font>
      <b/>
      <sz val="14"/>
      <color rgb="FF1F4E78"/>
      <name val="Arial"/>
      <family val="2"/>
    </font>
    <font>
      <b/>
      <sz val="10"/>
      <color rgb="FFC00000"/>
      <name val="Arial"/>
      <family val="2"/>
    </font>
    <font>
      <sz val="10"/>
      <color rgb="FF008000"/>
      <name val="Arial"/>
      <family val="2"/>
    </font>
    <font>
      <b/>
      <sz val="10"/>
      <color rgb="FFC55A11"/>
      <name val="Arial"/>
      <family val="2"/>
    </font>
    <font>
      <sz val="9"/>
      <color rgb="FF7F7F7F"/>
      <name val="Calibri"/>
      <family val="2"/>
      <scheme val="minor"/>
    </font>
    <font>
      <b/>
      <sz val="13"/>
      <color rgb="FF1F4E78"/>
      <name val="Arial"/>
      <family val="2"/>
    </font>
    <font>
      <b/>
      <sz val="16"/>
      <color rgb="FF1F4E78"/>
      <name val="Arial"/>
      <family val="2"/>
    </font>
    <font>
      <i/>
      <sz val="11"/>
      <color rgb="FF595959"/>
      <name val="Arial"/>
      <family val="2"/>
    </font>
    <font>
      <b/>
      <sz val="12"/>
      <color rgb="FFFFFFFF"/>
      <name val="Arial"/>
      <family val="2"/>
    </font>
    <font>
      <sz val="10"/>
      <name val="Arial"/>
      <family val="2"/>
    </font>
    <font>
      <b/>
      <sz val="11"/>
      <color rgb="FF78716C"/>
      <name val="Segoe UI"/>
      <family val="2"/>
    </font>
    <font>
      <sz val="11"/>
      <color rgb="FF1C1917"/>
      <name val="Segoe UI"/>
      <family val="2"/>
    </font>
    <font>
      <sz val="11"/>
      <color rgb="FF1C1917"/>
      <name val="Consolas"/>
      <family val="3"/>
    </font>
    <font>
      <sz val="9.35"/>
      <color rgb="FF78716C"/>
      <name val="Segoe UI"/>
      <family val="2"/>
    </font>
    <font>
      <b/>
      <sz val="11"/>
      <color rgb="FF1C1917"/>
      <name val="Consolas"/>
      <family val="3"/>
    </font>
  </fonts>
  <fills count="1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548235"/>
      </patternFill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8" fillId="0" borderId="0" xfId="0" applyFont="1"/>
    <xf numFmtId="0" fontId="9" fillId="0" borderId="0" xfId="0" applyFont="1"/>
    <xf numFmtId="0" fontId="3" fillId="3" borderId="1" xfId="0" applyFont="1" applyFill="1" applyBorder="1"/>
    <xf numFmtId="0" fontId="0" fillId="0" borderId="1" xfId="0" applyBorder="1"/>
    <xf numFmtId="0" fontId="10" fillId="0" borderId="1" xfId="0" applyFont="1" applyBorder="1"/>
    <xf numFmtId="0" fontId="5" fillId="0" borderId="1" xfId="0" applyFont="1" applyBorder="1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/>
    <xf numFmtId="0" fontId="5" fillId="0" borderId="1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" xfId="0" applyFont="1" applyFill="1" applyBorder="1"/>
    <xf numFmtId="0" fontId="11" fillId="0" borderId="0" xfId="0" applyFont="1"/>
    <xf numFmtId="0" fontId="3" fillId="6" borderId="1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3" fontId="11" fillId="0" borderId="1" xfId="0" applyNumberFormat="1" applyFont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12" fillId="0" borderId="0" xfId="0" applyFont="1"/>
    <xf numFmtId="0" fontId="13" fillId="0" borderId="1" xfId="0" applyFont="1" applyBorder="1"/>
    <xf numFmtId="0" fontId="13" fillId="0" borderId="1" xfId="0" applyFont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4" fillId="0" borderId="0" xfId="0" applyFont="1"/>
    <xf numFmtId="0" fontId="15" fillId="0" borderId="0" xfId="0" applyFont="1"/>
    <xf numFmtId="20" fontId="5" fillId="0" borderId="1" xfId="0" applyNumberFormat="1" applyFont="1" applyBorder="1"/>
    <xf numFmtId="164" fontId="11" fillId="0" borderId="0" xfId="0" applyNumberFormat="1" applyFont="1"/>
    <xf numFmtId="0" fontId="16" fillId="10" borderId="0" xfId="0" applyFont="1" applyFill="1"/>
    <xf numFmtId="165" fontId="16" fillId="10" borderId="0" xfId="0" applyNumberFormat="1" applyFont="1" applyFill="1"/>
    <xf numFmtId="165" fontId="13" fillId="0" borderId="1" xfId="0" applyNumberFormat="1" applyFont="1" applyBorder="1" applyAlignment="1">
      <alignment horizontal="center"/>
    </xf>
    <xf numFmtId="0" fontId="17" fillId="6" borderId="1" xfId="0" applyFont="1" applyFill="1" applyBorder="1" applyAlignment="1">
      <alignment horizontal="center" vertical="center" wrapText="1"/>
    </xf>
    <xf numFmtId="0" fontId="22" fillId="0" borderId="0" xfId="0" applyFont="1"/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166" fontId="18" fillId="0" borderId="1" xfId="0" applyNumberFormat="1" applyFont="1" applyBorder="1" applyAlignment="1">
      <alignment horizontal="center" vertical="center"/>
    </xf>
    <xf numFmtId="0" fontId="21" fillId="9" borderId="1" xfId="0" applyFont="1" applyFill="1" applyBorder="1" applyAlignment="1">
      <alignment horizontal="center"/>
    </xf>
    <xf numFmtId="0" fontId="21" fillId="9" borderId="1" xfId="0" applyFont="1" applyFill="1" applyBorder="1" applyAlignment="1">
      <alignment horizontal="right"/>
    </xf>
    <xf numFmtId="165" fontId="13" fillId="0" borderId="4" xfId="0" applyNumberFormat="1" applyFont="1" applyBorder="1" applyAlignment="1">
      <alignment horizontal="center"/>
    </xf>
    <xf numFmtId="0" fontId="26" fillId="0" borderId="1" xfId="0" applyFont="1" applyBorder="1"/>
    <xf numFmtId="0" fontId="18" fillId="0" borderId="1" xfId="0" applyFont="1" applyBorder="1"/>
    <xf numFmtId="0" fontId="2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9" fillId="0" borderId="0" xfId="0" applyFont="1" applyAlignment="1">
      <alignment vertical="center" wrapText="1"/>
    </xf>
    <xf numFmtId="0" fontId="30" fillId="12" borderId="0" xfId="0" applyFont="1" applyFill="1" applyAlignment="1">
      <alignment vertical="center" wrapText="1"/>
    </xf>
    <xf numFmtId="0" fontId="20" fillId="0" borderId="1" xfId="0" applyFont="1" applyBorder="1" applyAlignment="1">
      <alignment vertical="center" wrapText="1"/>
    </xf>
    <xf numFmtId="0" fontId="18" fillId="0" borderId="1" xfId="0" applyFont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30" fillId="1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9" fillId="7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center" vertical="center" wrapText="1"/>
    </xf>
    <xf numFmtId="0" fontId="23" fillId="13" borderId="1" xfId="0" applyFont="1" applyFill="1" applyBorder="1" applyAlignment="1">
      <alignment horizontal="center" vertical="center" wrapText="1"/>
    </xf>
    <xf numFmtId="0" fontId="24" fillId="13" borderId="1" xfId="0" applyFont="1" applyFill="1" applyBorder="1" applyAlignment="1">
      <alignment horizontal="center" vertical="center" wrapText="1"/>
    </xf>
    <xf numFmtId="0" fontId="31" fillId="0" borderId="1" xfId="0" applyFont="1" applyBorder="1"/>
    <xf numFmtId="0" fontId="17" fillId="6" borderId="1" xfId="0" applyFont="1" applyFill="1" applyBorder="1"/>
    <xf numFmtId="0" fontId="23" fillId="0" borderId="1" xfId="0" applyFont="1" applyBorder="1"/>
    <xf numFmtId="0" fontId="0" fillId="13" borderId="0" xfId="0" applyFill="1"/>
    <xf numFmtId="0" fontId="32" fillId="13" borderId="0" xfId="0" applyFont="1" applyFill="1" applyAlignment="1">
      <alignment horizontal="left" vertical="top" wrapText="1"/>
    </xf>
    <xf numFmtId="0" fontId="33" fillId="13" borderId="0" xfId="0" applyFont="1" applyFill="1" applyAlignment="1">
      <alignment horizontal="left" vertical="top" wrapText="1"/>
    </xf>
    <xf numFmtId="0" fontId="34" fillId="13" borderId="0" xfId="0" applyFont="1" applyFill="1" applyAlignment="1">
      <alignment horizontal="left" vertical="top" wrapText="1"/>
    </xf>
    <xf numFmtId="0" fontId="35" fillId="13" borderId="0" xfId="0" applyFont="1" applyFill="1" applyAlignment="1">
      <alignment horizontal="left" vertical="top" wrapText="1"/>
    </xf>
    <xf numFmtId="165" fontId="34" fillId="13" borderId="0" xfId="0" applyNumberFormat="1" applyFont="1" applyFill="1" applyAlignment="1">
      <alignment horizontal="left" vertical="top" wrapText="1"/>
    </xf>
    <xf numFmtId="0" fontId="36" fillId="13" borderId="0" xfId="0" applyFont="1" applyFill="1" applyAlignment="1">
      <alignment horizontal="left" vertical="top" wrapText="1"/>
    </xf>
    <xf numFmtId="0" fontId="8" fillId="0" borderId="0" xfId="0" applyFont="1"/>
    <xf numFmtId="0" fontId="0" fillId="0" borderId="0" xfId="0"/>
    <xf numFmtId="0" fontId="9" fillId="0" borderId="0" xfId="0" applyFont="1"/>
    <xf numFmtId="0" fontId="2" fillId="2" borderId="1" xfId="0" applyFont="1" applyFill="1" applyBorder="1"/>
    <xf numFmtId="0" fontId="0" fillId="0" borderId="2" xfId="0" applyBorder="1"/>
    <xf numFmtId="0" fontId="0" fillId="0" borderId="3" xfId="0" applyBorder="1"/>
    <xf numFmtId="0" fontId="1" fillId="0" borderId="0" xfId="0" applyFont="1"/>
    <xf numFmtId="0" fontId="7" fillId="0" borderId="0" xfId="0" applyFont="1"/>
    <xf numFmtId="0" fontId="27" fillId="0" borderId="0" xfId="0" applyFont="1"/>
  </cellXfs>
  <cellStyles count="1">
    <cellStyle name="Звичайний" xfId="0" builtinId="0"/>
  </cellStyles>
  <dxfs count="4">
    <dxf>
      <fill>
        <patternFill patternType="solid">
          <fgColor indexed="64"/>
          <bgColor rgb="FFE2EFDA"/>
        </patternFill>
      </fill>
    </dxf>
    <dxf>
      <font>
        <b/>
        <i val="0"/>
        <color rgb="FFC55A11"/>
      </font>
      <fill>
        <patternFill patternType="solid">
          <fgColor indexed="64"/>
          <bgColor rgb="FFFCE4D6"/>
        </patternFill>
      </fill>
    </dxf>
    <dxf>
      <font>
        <b/>
        <i val="0"/>
        <color rgb="FFC00000"/>
      </font>
    </dxf>
    <dxf>
      <font>
        <b/>
        <i val="0"/>
        <color rgb="FF1F4E78"/>
      </font>
      <fill>
        <patternFill patternType="solid">
          <fgColor indexed="64"/>
          <bgColor rgb="FFBDD7E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BEDC3F-4C46-4C42-AC6E-C027B508B6C2}" name="АдресиКоординати" displayName="АдресиКоординати" ref="B1:E361" totalsRowShown="0">
  <autoFilter ref="B1:E361" xr:uid="{37BEDC3F-4C46-4C42-AC6E-C027B508B6C2}"/>
  <tableColumns count="4">
    <tableColumn id="1" xr3:uid="{7CAE5421-E08C-4D54-8C01-FFAFEC2220A7}" name="Адреса"/>
    <tableColumn id="2" xr3:uid="{D738239F-9697-4204-8632-DB932115A2D5}" name="Широта"/>
    <tableColumn id="3" xr3:uid="{09FE8F09-67DB-49F5-9907-AF1941261250}" name="Довгота"/>
    <tableColumn id="4" xr3:uid="{EAB6E4F4-7068-44FC-A969-BAE39FCDFA5C}" name="Формалізована адреса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7" row="2">
    <wetp:webextensionref xmlns:r="http://schemas.openxmlformats.org/officeDocument/2006/relationships" r:id="rId1"/>
  </wetp:taskpane>
  <wetp:taskpane dockstate="right" visibility="0" width="525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D03CC2F9-5645-4771-A51D-ACF61006ACFC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6f093670-d462-496b-8fd6-92ea12404c17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48A4BFF9-9BED-4DB3-9E49-0EE6C2049440}">
  <we:reference id="wa200009404" version="1.0.0.8" store="uk-UA" storeType="OMEX"/>
  <we:alternateReferences>
    <we:reference id="wa200009404" version="1.0.0.8" store="wa200009404" storeType="OMEX"/>
  </we:alternateReferences>
  <we:properties>
    <we:property name="claude.fileId" value="&quot;0a5721d2-d137-437b-b1a9-5c52b33604a9&quot;"/>
  </we:properties>
  <we:bindings/>
  <we:snapshot xmlns:r="http://schemas.openxmlformats.org/officeDocument/2006/relationships"/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6A2D2-9A0F-4B7E-B0F6-7EF0856DB64D}">
  <dimension ref="A1:C48"/>
  <sheetViews>
    <sheetView topLeftCell="A35" workbookViewId="0">
      <selection activeCell="H25" sqref="H25:H26"/>
    </sheetView>
  </sheetViews>
  <sheetFormatPr defaultRowHeight="14.5" x14ac:dyDescent="0.35"/>
  <cols>
    <col min="1" max="1" width="41.81640625" customWidth="1"/>
    <col min="2" max="2" width="85.453125" customWidth="1"/>
    <col min="3" max="3" width="25.453125" customWidth="1"/>
  </cols>
  <sheetData>
    <row r="1" spans="1:3" ht="40" x14ac:dyDescent="0.35">
      <c r="A1" s="46" t="s">
        <v>1677</v>
      </c>
      <c r="B1" s="47"/>
      <c r="C1" s="47"/>
    </row>
    <row r="2" spans="1:3" ht="29" x14ac:dyDescent="0.35">
      <c r="A2" s="48" t="s">
        <v>1678</v>
      </c>
      <c r="B2" s="47"/>
      <c r="C2" s="47"/>
    </row>
    <row r="3" spans="1:3" x14ac:dyDescent="0.35">
      <c r="A3" s="47"/>
      <c r="B3" s="47"/>
      <c r="C3" s="47"/>
    </row>
    <row r="4" spans="1:3" ht="15.5" x14ac:dyDescent="0.35">
      <c r="A4" s="49" t="s">
        <v>1679</v>
      </c>
      <c r="B4" s="47"/>
      <c r="C4" s="47"/>
    </row>
    <row r="5" spans="1:3" x14ac:dyDescent="0.35">
      <c r="A5" s="36" t="s">
        <v>1680</v>
      </c>
      <c r="B5" s="36" t="s">
        <v>1681</v>
      </c>
      <c r="C5" s="36" t="s">
        <v>1682</v>
      </c>
    </row>
    <row r="6" spans="1:3" x14ac:dyDescent="0.35">
      <c r="A6" s="50" t="s">
        <v>1683</v>
      </c>
      <c r="B6" s="51" t="s">
        <v>1684</v>
      </c>
      <c r="C6" s="51" t="s">
        <v>1685</v>
      </c>
    </row>
    <row r="7" spans="1:3" x14ac:dyDescent="0.35">
      <c r="A7" s="50" t="s">
        <v>1686</v>
      </c>
      <c r="B7" s="51" t="s">
        <v>1687</v>
      </c>
      <c r="C7" s="51" t="s">
        <v>1688</v>
      </c>
    </row>
    <row r="8" spans="1:3" ht="25" x14ac:dyDescent="0.35">
      <c r="A8" s="50" t="s">
        <v>756</v>
      </c>
      <c r="B8" s="51" t="s">
        <v>1689</v>
      </c>
      <c r="C8" s="51" t="s">
        <v>1690</v>
      </c>
    </row>
    <row r="9" spans="1:3" ht="25" x14ac:dyDescent="0.35">
      <c r="A9" s="50" t="s">
        <v>757</v>
      </c>
      <c r="B9" s="51" t="s">
        <v>1691</v>
      </c>
      <c r="C9" s="51" t="s">
        <v>1692</v>
      </c>
    </row>
    <row r="10" spans="1:3" ht="25" x14ac:dyDescent="0.35">
      <c r="A10" s="50" t="s">
        <v>766</v>
      </c>
      <c r="B10" s="51" t="s">
        <v>1693</v>
      </c>
      <c r="C10" s="51" t="s">
        <v>1694</v>
      </c>
    </row>
    <row r="11" spans="1:3" x14ac:dyDescent="0.35">
      <c r="A11" s="50" t="s">
        <v>1695</v>
      </c>
      <c r="B11" s="51" t="s">
        <v>1696</v>
      </c>
      <c r="C11" s="51" t="s">
        <v>1697</v>
      </c>
    </row>
    <row r="12" spans="1:3" x14ac:dyDescent="0.35">
      <c r="A12" s="50" t="s">
        <v>1698</v>
      </c>
      <c r="B12" s="51" t="s">
        <v>1699</v>
      </c>
      <c r="C12" s="51" t="s">
        <v>1688</v>
      </c>
    </row>
    <row r="13" spans="1:3" x14ac:dyDescent="0.35">
      <c r="A13" s="50" t="s">
        <v>1700</v>
      </c>
      <c r="B13" s="51" t="s">
        <v>1701</v>
      </c>
      <c r="C13" s="51" t="s">
        <v>1702</v>
      </c>
    </row>
    <row r="14" spans="1:3" x14ac:dyDescent="0.35">
      <c r="A14" s="47"/>
      <c r="B14" s="47"/>
      <c r="C14" s="47"/>
    </row>
    <row r="15" spans="1:3" ht="15.5" x14ac:dyDescent="0.35">
      <c r="A15" s="49" t="s">
        <v>1703</v>
      </c>
      <c r="B15" s="47"/>
      <c r="C15" s="47"/>
    </row>
    <row r="16" spans="1:3" x14ac:dyDescent="0.35">
      <c r="A16" s="52" t="s">
        <v>1704</v>
      </c>
      <c r="B16" s="53" t="s">
        <v>1705</v>
      </c>
      <c r="C16" s="53"/>
    </row>
    <row r="17" spans="1:3" ht="25" x14ac:dyDescent="0.35">
      <c r="A17" s="52"/>
      <c r="B17" s="53" t="s">
        <v>1706</v>
      </c>
      <c r="C17" s="53"/>
    </row>
    <row r="18" spans="1:3" ht="25" x14ac:dyDescent="0.35">
      <c r="A18" s="52" t="s">
        <v>1707</v>
      </c>
      <c r="B18" s="53" t="s">
        <v>1708</v>
      </c>
      <c r="C18" s="53"/>
    </row>
    <row r="19" spans="1:3" ht="25" x14ac:dyDescent="0.35">
      <c r="A19" s="52"/>
      <c r="B19" s="53" t="s">
        <v>1709</v>
      </c>
      <c r="C19" s="53"/>
    </row>
    <row r="20" spans="1:3" x14ac:dyDescent="0.35">
      <c r="A20" s="52"/>
      <c r="B20" s="53" t="s">
        <v>1710</v>
      </c>
      <c r="C20" s="53"/>
    </row>
    <row r="21" spans="1:3" x14ac:dyDescent="0.35">
      <c r="A21" s="47"/>
      <c r="B21" s="47"/>
      <c r="C21" s="47"/>
    </row>
    <row r="22" spans="1:3" ht="31" x14ac:dyDescent="0.35">
      <c r="A22" s="54" t="s">
        <v>1711</v>
      </c>
      <c r="B22" s="55"/>
      <c r="C22" s="55"/>
    </row>
    <row r="23" spans="1:3" x14ac:dyDescent="0.35">
      <c r="A23" s="50" t="s">
        <v>1712</v>
      </c>
      <c r="B23" s="51" t="s">
        <v>1713</v>
      </c>
      <c r="C23" s="56" t="s">
        <v>1761</v>
      </c>
    </row>
    <row r="24" spans="1:3" x14ac:dyDescent="0.35">
      <c r="A24" s="50" t="s">
        <v>1714</v>
      </c>
      <c r="B24" s="51" t="s">
        <v>1715</v>
      </c>
      <c r="C24" s="57" t="s">
        <v>1761</v>
      </c>
    </row>
    <row r="25" spans="1:3" x14ac:dyDescent="0.35">
      <c r="A25" s="50" t="s">
        <v>1716</v>
      </c>
      <c r="B25" s="51" t="s">
        <v>1717</v>
      </c>
      <c r="C25" s="58" t="s">
        <v>1761</v>
      </c>
    </row>
    <row r="26" spans="1:3" x14ac:dyDescent="0.35">
      <c r="A26" s="50" t="s">
        <v>1718</v>
      </c>
      <c r="B26" s="51" t="s">
        <v>1719</v>
      </c>
      <c r="C26" s="59" t="s">
        <v>1761</v>
      </c>
    </row>
    <row r="27" spans="1:3" x14ac:dyDescent="0.35">
      <c r="A27" s="50" t="s">
        <v>1720</v>
      </c>
      <c r="B27" s="51" t="s">
        <v>1721</v>
      </c>
      <c r="C27" s="60" t="s">
        <v>1761</v>
      </c>
    </row>
    <row r="28" spans="1:3" x14ac:dyDescent="0.35">
      <c r="A28" s="47"/>
      <c r="B28" s="47"/>
      <c r="C28" s="47"/>
    </row>
    <row r="29" spans="1:3" ht="46.5" x14ac:dyDescent="0.35">
      <c r="A29" s="54" t="s">
        <v>1762</v>
      </c>
      <c r="B29" s="55"/>
      <c r="C29" s="55"/>
    </row>
    <row r="30" spans="1:3" x14ac:dyDescent="0.35">
      <c r="A30" s="50" t="s">
        <v>1722</v>
      </c>
      <c r="B30" s="51" t="s">
        <v>24</v>
      </c>
      <c r="C30" s="51" t="s">
        <v>1723</v>
      </c>
    </row>
    <row r="31" spans="1:3" x14ac:dyDescent="0.35">
      <c r="A31" s="50" t="s">
        <v>1724</v>
      </c>
      <c r="B31" s="51" t="s">
        <v>721</v>
      </c>
      <c r="C31" s="51" t="s">
        <v>1723</v>
      </c>
    </row>
    <row r="32" spans="1:3" ht="25" x14ac:dyDescent="0.35">
      <c r="A32" s="50" t="s">
        <v>1725</v>
      </c>
      <c r="B32" s="51" t="s">
        <v>1726</v>
      </c>
      <c r="C32" s="51" t="s">
        <v>1727</v>
      </c>
    </row>
    <row r="33" spans="1:3" ht="37.5" x14ac:dyDescent="0.35">
      <c r="A33" s="50" t="s">
        <v>1728</v>
      </c>
      <c r="B33" s="51" t="s">
        <v>1729</v>
      </c>
      <c r="C33" s="51" t="s">
        <v>1730</v>
      </c>
    </row>
    <row r="34" spans="1:3" ht="25" x14ac:dyDescent="0.35">
      <c r="A34" s="50" t="s">
        <v>1731</v>
      </c>
      <c r="B34" s="51" t="s">
        <v>753</v>
      </c>
      <c r="C34" s="51" t="s">
        <v>1732</v>
      </c>
    </row>
    <row r="35" spans="1:3" ht="25" x14ac:dyDescent="0.35">
      <c r="A35" s="50" t="s">
        <v>1733</v>
      </c>
      <c r="B35" s="51" t="s">
        <v>754</v>
      </c>
      <c r="C35" s="51" t="s">
        <v>1734</v>
      </c>
    </row>
    <row r="36" spans="1:3" ht="25" x14ac:dyDescent="0.35">
      <c r="A36" s="50" t="s">
        <v>1735</v>
      </c>
      <c r="B36" s="51" t="s">
        <v>260</v>
      </c>
      <c r="C36" s="51" t="s">
        <v>1736</v>
      </c>
    </row>
    <row r="37" spans="1:3" ht="50" x14ac:dyDescent="0.35">
      <c r="A37" s="50" t="s">
        <v>1737</v>
      </c>
      <c r="B37" s="51" t="s">
        <v>1738</v>
      </c>
      <c r="C37" s="51" t="s">
        <v>1739</v>
      </c>
    </row>
    <row r="38" spans="1:3" ht="37.5" x14ac:dyDescent="0.35">
      <c r="A38" s="50" t="s">
        <v>1740</v>
      </c>
      <c r="B38" s="51" t="s">
        <v>769</v>
      </c>
      <c r="C38" s="51" t="s">
        <v>1741</v>
      </c>
    </row>
    <row r="39" spans="1:3" ht="25" x14ac:dyDescent="0.35">
      <c r="A39" s="50" t="s">
        <v>1742</v>
      </c>
      <c r="B39" s="51" t="s">
        <v>770</v>
      </c>
      <c r="C39" s="51" t="s">
        <v>1743</v>
      </c>
    </row>
    <row r="40" spans="1:3" ht="37.5" x14ac:dyDescent="0.35">
      <c r="A40" s="50" t="s">
        <v>1744</v>
      </c>
      <c r="B40" s="51" t="s">
        <v>1745</v>
      </c>
      <c r="C40" s="51" t="s">
        <v>1746</v>
      </c>
    </row>
    <row r="41" spans="1:3" ht="50" x14ac:dyDescent="0.35">
      <c r="A41" s="50" t="s">
        <v>1747</v>
      </c>
      <c r="B41" s="51" t="s">
        <v>1748</v>
      </c>
      <c r="C41" s="51" t="s">
        <v>1749</v>
      </c>
    </row>
    <row r="42" spans="1:3" x14ac:dyDescent="0.35">
      <c r="A42" s="47"/>
      <c r="B42" s="47"/>
      <c r="C42" s="47"/>
    </row>
    <row r="43" spans="1:3" ht="15.5" x14ac:dyDescent="0.35">
      <c r="A43" s="54" t="s">
        <v>1750</v>
      </c>
      <c r="B43" s="55"/>
      <c r="C43" s="55"/>
    </row>
    <row r="44" spans="1:3" ht="25" x14ac:dyDescent="0.35">
      <c r="A44" s="50" t="s">
        <v>1751</v>
      </c>
      <c r="B44" s="51" t="s">
        <v>1752</v>
      </c>
      <c r="C44" s="51"/>
    </row>
    <row r="45" spans="1:3" ht="25" x14ac:dyDescent="0.35">
      <c r="A45" s="50" t="s">
        <v>1753</v>
      </c>
      <c r="B45" s="51" t="s">
        <v>1754</v>
      </c>
      <c r="C45" s="51"/>
    </row>
    <row r="46" spans="1:3" ht="26" x14ac:dyDescent="0.35">
      <c r="A46" s="50" t="s">
        <v>1755</v>
      </c>
      <c r="B46" s="51" t="s">
        <v>1756</v>
      </c>
      <c r="C46" s="51"/>
    </row>
    <row r="47" spans="1:3" ht="25" x14ac:dyDescent="0.35">
      <c r="A47" s="50" t="s">
        <v>1757</v>
      </c>
      <c r="B47" s="51" t="s">
        <v>1758</v>
      </c>
      <c r="C47" s="51"/>
    </row>
    <row r="48" spans="1:3" ht="25" x14ac:dyDescent="0.35">
      <c r="A48" s="50" t="s">
        <v>1759</v>
      </c>
      <c r="B48" s="51" t="s">
        <v>1760</v>
      </c>
      <c r="C48" s="5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showGridLines="0" workbookViewId="0">
      <selection activeCell="H25" sqref="H25:H26"/>
    </sheetView>
  </sheetViews>
  <sheetFormatPr defaultRowHeight="14.5" x14ac:dyDescent="0.35"/>
  <cols>
    <col min="1" max="1" width="4" customWidth="1"/>
    <col min="2" max="2" width="45" customWidth="1"/>
    <col min="3" max="3" width="70" customWidth="1"/>
  </cols>
  <sheetData>
    <row r="1" spans="1:3" ht="18" x14ac:dyDescent="0.4">
      <c r="A1" s="71" t="s">
        <v>0</v>
      </c>
      <c r="B1" s="72"/>
      <c r="C1" s="72"/>
    </row>
    <row r="2" spans="1:3" x14ac:dyDescent="0.35">
      <c r="A2" s="73" t="s">
        <v>1</v>
      </c>
      <c r="B2" s="72"/>
      <c r="C2" s="72"/>
    </row>
    <row r="4" spans="1:3" x14ac:dyDescent="0.35">
      <c r="A4" s="3" t="s">
        <v>2</v>
      </c>
      <c r="B4" s="3" t="s">
        <v>3</v>
      </c>
      <c r="C4" s="3" t="s">
        <v>4</v>
      </c>
    </row>
    <row r="5" spans="1:3" x14ac:dyDescent="0.35">
      <c r="A5" s="4">
        <v>1</v>
      </c>
      <c r="B5" s="5" t="s">
        <v>5</v>
      </c>
      <c r="C5" s="6" t="s">
        <v>6</v>
      </c>
    </row>
    <row r="6" spans="1:3" x14ac:dyDescent="0.35">
      <c r="A6" s="4">
        <v>2</v>
      </c>
      <c r="B6" s="5" t="s">
        <v>7</v>
      </c>
      <c r="C6" s="6" t="s">
        <v>8</v>
      </c>
    </row>
    <row r="7" spans="1:3" x14ac:dyDescent="0.35">
      <c r="A7" s="4">
        <v>3</v>
      </c>
      <c r="B7" s="5" t="s">
        <v>9</v>
      </c>
      <c r="C7" s="6" t="s">
        <v>10</v>
      </c>
    </row>
    <row r="8" spans="1:3" x14ac:dyDescent="0.35">
      <c r="A8" s="4">
        <v>4</v>
      </c>
      <c r="B8" s="5" t="s">
        <v>11</v>
      </c>
      <c r="C8" s="6" t="s">
        <v>12</v>
      </c>
    </row>
    <row r="9" spans="1:3" x14ac:dyDescent="0.35">
      <c r="A9" s="4">
        <v>5</v>
      </c>
      <c r="B9" s="5" t="s">
        <v>13</v>
      </c>
      <c r="C9" s="6" t="s">
        <v>14</v>
      </c>
    </row>
    <row r="10" spans="1:3" x14ac:dyDescent="0.35">
      <c r="A10" s="4">
        <v>6</v>
      </c>
      <c r="B10" s="5" t="s">
        <v>15</v>
      </c>
      <c r="C10" s="6" t="s">
        <v>16</v>
      </c>
    </row>
    <row r="11" spans="1:3" x14ac:dyDescent="0.35">
      <c r="A11" s="4">
        <v>7</v>
      </c>
      <c r="B11" s="5" t="s">
        <v>17</v>
      </c>
      <c r="C11" s="6" t="s">
        <v>18</v>
      </c>
    </row>
    <row r="12" spans="1:3" x14ac:dyDescent="0.35">
      <c r="A12" s="4">
        <v>8</v>
      </c>
      <c r="B12" s="5" t="s">
        <v>19</v>
      </c>
      <c r="C12" s="6" t="s">
        <v>20</v>
      </c>
    </row>
    <row r="13" spans="1:3" x14ac:dyDescent="0.35">
      <c r="A13" s="4">
        <v>9</v>
      </c>
      <c r="B13" s="5" t="s">
        <v>21</v>
      </c>
      <c r="C13" s="6" t="s">
        <v>22</v>
      </c>
    </row>
    <row r="15" spans="1:3" x14ac:dyDescent="0.35">
      <c r="A15" t="s">
        <v>755</v>
      </c>
    </row>
    <row r="16" spans="1:3" x14ac:dyDescent="0.35">
      <c r="A16" s="4">
        <v>1</v>
      </c>
      <c r="B16" s="4" t="s">
        <v>756</v>
      </c>
      <c r="C16" s="6" t="s">
        <v>765</v>
      </c>
    </row>
    <row r="17" spans="1:3" x14ac:dyDescent="0.35">
      <c r="A17" s="4">
        <v>2</v>
      </c>
      <c r="B17" s="4" t="s">
        <v>757</v>
      </c>
      <c r="C17" s="6" t="s">
        <v>758</v>
      </c>
    </row>
    <row r="18" spans="1:3" x14ac:dyDescent="0.35">
      <c r="A18" s="4">
        <v>3</v>
      </c>
      <c r="B18" s="4" t="s">
        <v>766</v>
      </c>
      <c r="C18" s="6" t="s">
        <v>767</v>
      </c>
    </row>
    <row r="19" spans="1:3" x14ac:dyDescent="0.35">
      <c r="A19" s="45">
        <v>4</v>
      </c>
      <c r="B19" s="45" t="s">
        <v>1695</v>
      </c>
      <c r="C19" s="61" t="s">
        <v>1763</v>
      </c>
    </row>
    <row r="20" spans="1:3" x14ac:dyDescent="0.35">
      <c r="A20" s="45">
        <v>5</v>
      </c>
      <c r="B20" s="45" t="s">
        <v>1698</v>
      </c>
      <c r="C20" s="61" t="s">
        <v>1764</v>
      </c>
    </row>
    <row r="21" spans="1:3" x14ac:dyDescent="0.35">
      <c r="A21" s="4"/>
      <c r="B21" s="4"/>
      <c r="C21" s="4"/>
    </row>
    <row r="22" spans="1:3" x14ac:dyDescent="0.35">
      <c r="A22" s="62" t="s">
        <v>1765</v>
      </c>
      <c r="B22" s="4"/>
      <c r="C22" s="4"/>
    </row>
    <row r="23" spans="1:3" x14ac:dyDescent="0.35">
      <c r="A23" s="45" t="s">
        <v>1766</v>
      </c>
      <c r="B23" s="63" t="s">
        <v>1683</v>
      </c>
      <c r="C23" s="61" t="s">
        <v>1767</v>
      </c>
    </row>
  </sheetData>
  <mergeCells count="2">
    <mergeCell ref="A1:C1"/>
    <mergeCell ref="A2:C2"/>
  </mergeCells>
  <hyperlinks>
    <hyperlink ref="B5" location="'М5_МАЗ4381_0592'!A1" display="М5_МАЗ4381_0592" xr:uid="{00000000-0004-0000-0000-000000000000}"/>
    <hyperlink ref="B6" location="'М1_КАМАЗ55111_0591'!A1" display="М1_КАМАЗ55111_0591" xr:uid="{00000000-0004-0000-0000-000001000000}"/>
    <hyperlink ref="B7" location="'М3-4_ГАЗ3309_0590'!A1" display="М3-4_ГАЗ3309_0590" xr:uid="{00000000-0004-0000-0000-000002000000}"/>
    <hyperlink ref="B8" location="'М2_ВГВ_РеноЛендер_0589'!A1" display="М2_ВГВ_РеноЛендер_0589" xr:uid="{00000000-0004-0000-0000-000003000000}"/>
    <hyperlink ref="B9" location="'М2_АТ4021-1120_0588'!A1" display="М2_АТ4021-1120_0588" xr:uid="{00000000-0004-0000-0000-000004000000}"/>
    <hyperlink ref="B10" location="'М3_МАЗ4371_0587'!A1" display="М3_МАЗ4371_0587" xr:uid="{00000000-0004-0000-0000-000005000000}"/>
    <hyperlink ref="B11" location="'М6_АТ4021_0586'!A1" display="М6_АТ4021_0586" xr:uid="{00000000-0004-0000-0000-000006000000}"/>
    <hyperlink ref="B12" location="'М1-2_АТ4021-1120_0585'!A1" display="М1-2_АТ4021-1120_0585" xr:uid="{00000000-0004-0000-0000-000007000000}"/>
    <hyperlink ref="B13" location="'М4_АТ4042ROD_0584'!A1" display="М4_АТ4042ROD_0584" xr:uid="{00000000-0004-0000-0000-000008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CD973-7492-4A8F-8039-B3C87EF0255A}">
  <dimension ref="A1:M1012"/>
  <sheetViews>
    <sheetView workbookViewId="0">
      <pane ySplit="3" topLeftCell="A538" activePane="bottomLeft" state="frozen"/>
      <selection activeCell="H25" sqref="H25:H26"/>
      <selection pane="bottomLeft" activeCell="H25" sqref="H25:H26"/>
    </sheetView>
  </sheetViews>
  <sheetFormatPr defaultRowHeight="14.5" x14ac:dyDescent="0.35"/>
  <cols>
    <col min="1" max="1" width="31.81640625" customWidth="1"/>
    <col min="2" max="2" width="25.453125" customWidth="1"/>
    <col min="3" max="8" width="15.453125" customWidth="1"/>
    <col min="10" max="10" width="36.36328125" customWidth="1"/>
    <col min="11" max="11" width="15.453125" customWidth="1"/>
    <col min="12" max="13" width="20" customWidth="1"/>
  </cols>
  <sheetData>
    <row r="1" spans="1:13" x14ac:dyDescent="0.35">
      <c r="A1" s="22" t="s">
        <v>760</v>
      </c>
    </row>
    <row r="3" spans="1:13" x14ac:dyDescent="0.35">
      <c r="A3" s="14" t="s">
        <v>761</v>
      </c>
      <c r="B3" s="14" t="s">
        <v>762</v>
      </c>
      <c r="C3" s="14" t="s">
        <v>390</v>
      </c>
      <c r="D3" s="14" t="s">
        <v>26</v>
      </c>
      <c r="E3" s="14" t="s">
        <v>722</v>
      </c>
      <c r="F3" s="14" t="s">
        <v>723</v>
      </c>
      <c r="G3" s="14" t="s">
        <v>724</v>
      </c>
      <c r="H3" s="14" t="s">
        <v>260</v>
      </c>
      <c r="J3" s="25" t="s">
        <v>763</v>
      </c>
      <c r="K3" s="25" t="s">
        <v>768</v>
      </c>
      <c r="L3" s="25" t="s">
        <v>1594</v>
      </c>
      <c r="M3" s="25" t="s">
        <v>1595</v>
      </c>
    </row>
    <row r="4" spans="1:13" x14ac:dyDescent="0.35">
      <c r="A4" s="23" t="str">
        <f>IFERROR(М5_МАЗ4381_0592!B187,"")</f>
        <v>1 в'їзд Вишневий</v>
      </c>
      <c r="B4" s="23" t="str">
        <f>IFERROR(IF(М5_МАЗ4381_0592!C187="","",TEXT(М5_МАЗ4381_0592!C187,"General")),"")</f>
        <v/>
      </c>
      <c r="C4" s="24" t="str">
        <f>"П'ятниця"</f>
        <v>П'ятниця</v>
      </c>
      <c r="D4" s="24" t="str">
        <f>IFERROR(TEXT(М5_МАЗ4381_0592!D187,"h:mm"),"")</f>
        <v>13:00</v>
      </c>
      <c r="E4" s="24" t="str">
        <f>"№5"</f>
        <v>№5</v>
      </c>
      <c r="F4" s="24" t="str">
        <f>"МАЗ 4381"</f>
        <v>МАЗ 4381</v>
      </c>
      <c r="G4" s="24" t="str">
        <f>"СВ 81-71 ВК"</f>
        <v>СВ 81-71 ВК</v>
      </c>
      <c r="H4" s="24"/>
      <c r="J4" s="13" t="str">
        <f t="shared" ref="J4:J67" si="0">IF(A4="","",A4&amp;"|"&amp;B4)</f>
        <v>1 в'їзд Вишневий|</v>
      </c>
      <c r="K4" s="32">
        <f t="shared" ref="K4:K67" si="1">IFERROR(IF(D4="","",IF(D4="×",9.99,TIMEVALUE(D4))),9.99)</f>
        <v>0.54166666666666663</v>
      </c>
      <c r="L4" s="13" t="str">
        <f>IF($A4="","",IF(COUNTIFS($J$4:$J4,$J4,$E$4:$E4,$E4)=1,$E4,""))</f>
        <v>№5</v>
      </c>
      <c r="M4" s="13" t="str">
        <f>IF($A4="","",IF(COUNTIFS($J$4:$J4,$J4,$F$4:$F4,$F4)=1,$F4,""))</f>
        <v>МАЗ 4381</v>
      </c>
    </row>
    <row r="5" spans="1:13" x14ac:dyDescent="0.35">
      <c r="A5" s="23" t="str">
        <f>IFERROR(М5_МАЗ4381_0592!B128,"")</f>
        <v>1 пров. Європейський</v>
      </c>
      <c r="B5" s="23" t="str">
        <f>IFERROR(IF(М5_МАЗ4381_0592!C128="","",TEXT(М5_МАЗ4381_0592!C128,"General")),"")</f>
        <v/>
      </c>
      <c r="C5" s="24" t="str">
        <f>"Четвер"</f>
        <v>Четвер</v>
      </c>
      <c r="D5" s="24" t="str">
        <f>IFERROR(TEXT(М5_МАЗ4381_0592!D128,"h:mm"),"")</f>
        <v>9:00</v>
      </c>
      <c r="E5" s="24" t="str">
        <f>"№5"</f>
        <v>№5</v>
      </c>
      <c r="F5" s="24" t="str">
        <f>"МАЗ 4381"</f>
        <v>МАЗ 4381</v>
      </c>
      <c r="G5" s="24" t="str">
        <f>"СВ 81-71 ВК"</f>
        <v>СВ 81-71 ВК</v>
      </c>
      <c r="H5" s="24"/>
      <c r="J5" s="13" t="str">
        <f t="shared" si="0"/>
        <v>1 пров. Європейський|</v>
      </c>
      <c r="K5" s="32">
        <f t="shared" si="1"/>
        <v>0.375</v>
      </c>
      <c r="L5" s="13" t="str">
        <f>IF($A5="","",IF(COUNTIFS($J$4:$J5,$J5,$E$4:$E5,$E5)=1,$E5,""))</f>
        <v>№5</v>
      </c>
      <c r="M5" s="13" t="str">
        <f>IF($A5="","",IF(COUNTIFS($J$4:$J5,$J5,$F$4:$F5,$F5)=1,$F5,""))</f>
        <v>МАЗ 4381</v>
      </c>
    </row>
    <row r="6" spans="1:13" x14ac:dyDescent="0.35">
      <c r="A6" s="23" t="str">
        <f>IFERROR(М5_МАЗ4381_0592!B63,"")</f>
        <v>1 пров. І. Сірка</v>
      </c>
      <c r="B6" s="23" t="str">
        <f>IFERROR(IF(М5_МАЗ4381_0592!C63="","",TEXT(М5_МАЗ4381_0592!C63,"General")),"")</f>
        <v/>
      </c>
      <c r="C6" s="24" t="str">
        <f>"Вівторок"</f>
        <v>Вівторок</v>
      </c>
      <c r="D6" s="24" t="str">
        <f>IFERROR(TEXT(М5_МАЗ4381_0592!D63,"h:mm"),"")</f>
        <v>12:20</v>
      </c>
      <c r="E6" s="24" t="str">
        <f>"№5"</f>
        <v>№5</v>
      </c>
      <c r="F6" s="24" t="str">
        <f>"МАЗ 4381"</f>
        <v>МАЗ 4381</v>
      </c>
      <c r="G6" s="24" t="str">
        <f>"СВ 81-71 ВК"</f>
        <v>СВ 81-71 ВК</v>
      </c>
      <c r="H6" s="24"/>
      <c r="J6" s="13" t="str">
        <f t="shared" si="0"/>
        <v>1 пров. І. Сірка|</v>
      </c>
      <c r="K6" s="32">
        <f t="shared" si="1"/>
        <v>0.51388888888888884</v>
      </c>
      <c r="L6" s="13" t="str">
        <f>IF($A6="","",IF(COUNTIFS($J$4:$J6,$J6,$E$4:$E6,$E6)=1,$E6,""))</f>
        <v>№5</v>
      </c>
      <c r="M6" s="13" t="str">
        <f>IF($A6="","",IF(COUNTIFS($J$4:$J6,$J6,$F$4:$F6,$F6)=1,$F6,""))</f>
        <v>МАЗ 4381</v>
      </c>
    </row>
    <row r="7" spans="1:13" x14ac:dyDescent="0.35">
      <c r="A7" s="23" t="str">
        <f>IFERROR(М5_МАЗ4381_0592!B96,"")</f>
        <v>1 пров. Андріївський</v>
      </c>
      <c r="B7" s="23" t="str">
        <f>IFERROR(IF(М5_МАЗ4381_0592!C96="","",TEXT(М5_МАЗ4381_0592!C96,"General")),"")</f>
        <v/>
      </c>
      <c r="C7" s="24" t="str">
        <f>"Середа"</f>
        <v>Середа</v>
      </c>
      <c r="D7" s="24" t="str">
        <f>IFERROR(TEXT(М5_МАЗ4381_0592!D96,"h:mm"),"")</f>
        <v>10:40</v>
      </c>
      <c r="E7" s="24" t="str">
        <f>"№5"</f>
        <v>№5</v>
      </c>
      <c r="F7" s="24" t="str">
        <f>"МАЗ 4381"</f>
        <v>МАЗ 4381</v>
      </c>
      <c r="G7" s="24" t="str">
        <f>"СВ 81-71 ВК"</f>
        <v>СВ 81-71 ВК</v>
      </c>
      <c r="H7" s="24"/>
      <c r="J7" s="13" t="str">
        <f t="shared" si="0"/>
        <v>1 пров. Андріївський|</v>
      </c>
      <c r="K7" s="32">
        <f t="shared" si="1"/>
        <v>0.44444444444444442</v>
      </c>
      <c r="L7" s="13" t="str">
        <f>IF($A7="","",IF(COUNTIFS($J$4:$J7,$J7,$E$4:$E7,$E7)=1,$E7,""))</f>
        <v>№5</v>
      </c>
      <c r="M7" s="13" t="str">
        <f>IF($A7="","",IF(COUNTIFS($J$4:$J7,$J7,$F$4:$F7,$F7)=1,$F7,""))</f>
        <v>МАЗ 4381</v>
      </c>
    </row>
    <row r="8" spans="1:13" x14ac:dyDescent="0.35">
      <c r="A8" s="23" t="str">
        <f>IFERROR(М5_МАЗ4381_0592!B141,"")</f>
        <v>1 пров. В. Стуса</v>
      </c>
      <c r="B8" s="23" t="str">
        <f>IFERROR(IF(М5_МАЗ4381_0592!C141="","",TEXT(М5_МАЗ4381_0592!C141,"General")),"")</f>
        <v/>
      </c>
      <c r="C8" s="24" t="str">
        <f>"Четвер"</f>
        <v>Четвер</v>
      </c>
      <c r="D8" s="24" t="str">
        <f>IFERROR(TEXT(М5_МАЗ4381_0592!D141,"h:mm"),"")</f>
        <v>12:45</v>
      </c>
      <c r="E8" s="24" t="str">
        <f>"№5"</f>
        <v>№5</v>
      </c>
      <c r="F8" s="24" t="str">
        <f>"МАЗ 4381"</f>
        <v>МАЗ 4381</v>
      </c>
      <c r="G8" s="24" t="str">
        <f>"СВ 81-71 ВК"</f>
        <v>СВ 81-71 ВК</v>
      </c>
      <c r="H8" s="24"/>
      <c r="J8" s="13" t="str">
        <f t="shared" si="0"/>
        <v>1 пров. В. Стуса|</v>
      </c>
      <c r="K8" s="32">
        <f t="shared" si="1"/>
        <v>0.53125</v>
      </c>
      <c r="L8" s="13" t="str">
        <f>IF($A8="","",IF(COUNTIFS($J$4:$J8,$J8,$E$4:$E8,$E8)=1,$E8,""))</f>
        <v>№5</v>
      </c>
      <c r="M8" s="13" t="str">
        <f>IF($A8="","",IF(COUNTIFS($J$4:$J8,$J8,$F$4:$F8,$F8)=1,$F8,""))</f>
        <v>МАЗ 4381</v>
      </c>
    </row>
    <row r="9" spans="1:13" x14ac:dyDescent="0.35">
      <c r="A9" s="23" t="str">
        <f>IFERROR(М6_АТ4021_0586!B169,"")</f>
        <v>1 пров. Героїв Чорнобиля</v>
      </c>
      <c r="B9" s="23" t="str">
        <f>IFERROR(IF(М6_АТ4021_0586!C169="","",TEXT(М6_АТ4021_0586!C169,"General")),"")</f>
        <v>2,10  24</v>
      </c>
      <c r="C9" s="24" t="str">
        <f>"П'ятниця"</f>
        <v>П'ятниця</v>
      </c>
      <c r="D9" s="24" t="str">
        <f>IFERROR(TEXT(М6_АТ4021_0586!D169,"h:mm"),"")</f>
        <v>10:45</v>
      </c>
      <c r="E9" s="24" t="str">
        <f>"№6"</f>
        <v>№6</v>
      </c>
      <c r="F9" s="24" t="str">
        <f>"АТ 4021"</f>
        <v>АТ 4021</v>
      </c>
      <c r="G9" s="24" t="str">
        <f>"СВ 33-16 ЕО"</f>
        <v>СВ 33-16 ЕО</v>
      </c>
      <c r="H9" s="24"/>
      <c r="J9" s="13" t="str">
        <f t="shared" si="0"/>
        <v>1 пров. Героїв Чорнобиля|2,10  24</v>
      </c>
      <c r="K9" s="32">
        <f t="shared" si="1"/>
        <v>0.44791666666666669</v>
      </c>
      <c r="L9" s="13" t="str">
        <f>IF($A9="","",IF(COUNTIFS($J$4:$J9,$J9,$E$4:$E9,$E9)=1,$E9,""))</f>
        <v>№6</v>
      </c>
      <c r="M9" s="13" t="str">
        <f>IF($A9="","",IF(COUNTIFS($J$4:$J9,$J9,$F$4:$F9,$F9)=1,$F9,""))</f>
        <v>АТ 4021</v>
      </c>
    </row>
    <row r="10" spans="1:13" x14ac:dyDescent="0.35">
      <c r="A10" s="23" t="str">
        <f>IFERROR(М6_АТ4021_0586!B129,"")</f>
        <v>1 пров. Замостянський</v>
      </c>
      <c r="B10" s="23" t="str">
        <f>IFERROR(IF(М6_АТ4021_0586!C129="","",TEXT(М6_АТ4021_0586!C129,"General")),"")</f>
        <v>36,42  54</v>
      </c>
      <c r="C10" s="24" t="str">
        <f>"Четвер"</f>
        <v>Четвер</v>
      </c>
      <c r="D10" s="24" t="str">
        <f>IFERROR(TEXT(М6_АТ4021_0586!D129,"h:mm"),"")</f>
        <v>9:55</v>
      </c>
      <c r="E10" s="24" t="str">
        <f>"№6"</f>
        <v>№6</v>
      </c>
      <c r="F10" s="24" t="str">
        <f>"АТ 4021"</f>
        <v>АТ 4021</v>
      </c>
      <c r="G10" s="24" t="str">
        <f>"СВ 33-16 ЕО"</f>
        <v>СВ 33-16 ЕО</v>
      </c>
      <c r="H10" s="24"/>
      <c r="J10" s="13" t="str">
        <f t="shared" si="0"/>
        <v>1 пров. Замостянський|36,42  54</v>
      </c>
      <c r="K10" s="32">
        <f t="shared" si="1"/>
        <v>0.41319444444444442</v>
      </c>
      <c r="L10" s="13" t="str">
        <f>IF($A10="","",IF(COUNTIFS($J$4:$J10,$J10,$E$4:$E10,$E10)=1,$E10,""))</f>
        <v>№6</v>
      </c>
      <c r="M10" s="13" t="str">
        <f>IF($A10="","",IF(COUNTIFS($J$4:$J10,$J10,$F$4:$F10,$F10)=1,$F10,""))</f>
        <v>АТ 4021</v>
      </c>
    </row>
    <row r="11" spans="1:13" x14ac:dyDescent="0.35">
      <c r="A11" s="23" t="str">
        <f>IFERROR(М5_МАЗ4381_0592!B27,"")</f>
        <v>1 пров. Зелений</v>
      </c>
      <c r="B11" s="23" t="str">
        <f>IFERROR(IF(М5_МАЗ4381_0592!C27="","",TEXT(М5_МАЗ4381_0592!C27,"General")),"")</f>
        <v/>
      </c>
      <c r="C11" s="24" t="str">
        <f>"Понеділок"</f>
        <v>Понеділок</v>
      </c>
      <c r="D11" s="24" t="str">
        <f>IFERROR(TEXT(М5_МАЗ4381_0592!D27,"h:mm"),"")</f>
        <v>11:45</v>
      </c>
      <c r="E11" s="24" t="str">
        <f>"№5"</f>
        <v>№5</v>
      </c>
      <c r="F11" s="24" t="str">
        <f>"МАЗ 4381"</f>
        <v>МАЗ 4381</v>
      </c>
      <c r="G11" s="24" t="str">
        <f>"СВ 81-71 ВК"</f>
        <v>СВ 81-71 ВК</v>
      </c>
      <c r="H11" s="24"/>
      <c r="J11" s="13" t="str">
        <f t="shared" si="0"/>
        <v>1 пров. Зелений|</v>
      </c>
      <c r="K11" s="32">
        <f t="shared" si="1"/>
        <v>0.48958333333333331</v>
      </c>
      <c r="L11" s="13" t="str">
        <f>IF($A11="","",IF(COUNTIFS($J$4:$J11,$J11,$E$4:$E11,$E11)=1,$E11,""))</f>
        <v>№5</v>
      </c>
      <c r="M11" s="13" t="str">
        <f>IF($A11="","",IF(COUNTIFS($J$4:$J11,$J11,$F$4:$F11,$F11)=1,$F11,""))</f>
        <v>МАЗ 4381</v>
      </c>
    </row>
    <row r="12" spans="1:13" x14ac:dyDescent="0.35">
      <c r="A12" s="23" t="str">
        <f>IFERROR(М5_МАЗ4381_0592!B161,"")</f>
        <v>1 пров. Змагання</v>
      </c>
      <c r="B12" s="23" t="str">
        <f>IFERROR(IF(М5_МАЗ4381_0592!C161="","",TEXT(М5_МАЗ4381_0592!C161,"General")),"")</f>
        <v/>
      </c>
      <c r="C12" s="24" t="str">
        <f>"П'ятниця"</f>
        <v>П'ятниця</v>
      </c>
      <c r="D12" s="24" t="str">
        <f>IFERROR(TEXT(М5_МАЗ4381_0592!D161,"h:mm"),"")</f>
        <v>7:25</v>
      </c>
      <c r="E12" s="24" t="str">
        <f>"№5"</f>
        <v>№5</v>
      </c>
      <c r="F12" s="24" t="str">
        <f>"МАЗ 4381"</f>
        <v>МАЗ 4381</v>
      </c>
      <c r="G12" s="24" t="str">
        <f>"СВ 81-71 ВК"</f>
        <v>СВ 81-71 ВК</v>
      </c>
      <c r="H12" s="24"/>
      <c r="J12" s="13" t="str">
        <f t="shared" si="0"/>
        <v>1 пров. Змагання|</v>
      </c>
      <c r="K12" s="32">
        <f t="shared" si="1"/>
        <v>0.30902777777777779</v>
      </c>
      <c r="L12" s="13" t="str">
        <f>IF($A12="","",IF(COUNTIFS($J$4:$J12,$J12,$E$4:$E12,$E12)=1,$E12,""))</f>
        <v>№5</v>
      </c>
      <c r="M12" s="13" t="str">
        <f>IF($A12="","",IF(COUNTIFS($J$4:$J12,$J12,$F$4:$F12,$F12)=1,$F12,""))</f>
        <v>МАЗ 4381</v>
      </c>
    </row>
    <row r="13" spans="1:13" x14ac:dyDescent="0.35">
      <c r="A13" s="23" t="str">
        <f>IFERROR(М5_МАЗ4381_0592!B179,"")</f>
        <v>1 пров. Колгоспний</v>
      </c>
      <c r="B13" s="23" t="str">
        <f>IFERROR(IF(М5_МАЗ4381_0592!C179="","",TEXT(М5_МАЗ4381_0592!C179,"General")),"")</f>
        <v/>
      </c>
      <c r="C13" s="24" t="str">
        <f>"П'ятниця"</f>
        <v>П'ятниця</v>
      </c>
      <c r="D13" s="24" t="str">
        <f>IFERROR(TEXT(М5_МАЗ4381_0592!D179,"h:mm"),"")</f>
        <v>11:05</v>
      </c>
      <c r="E13" s="24" t="str">
        <f>"№5"</f>
        <v>№5</v>
      </c>
      <c r="F13" s="24" t="str">
        <f>"МАЗ 4381"</f>
        <v>МАЗ 4381</v>
      </c>
      <c r="G13" s="24" t="str">
        <f>"СВ 81-71 ВК"</f>
        <v>СВ 81-71 ВК</v>
      </c>
      <c r="H13" s="24"/>
      <c r="J13" s="13" t="str">
        <f t="shared" si="0"/>
        <v>1 пров. Колгоспний|</v>
      </c>
      <c r="K13" s="32">
        <f t="shared" si="1"/>
        <v>0.46180555555555558</v>
      </c>
      <c r="L13" s="13" t="str">
        <f>IF($A13="","",IF(COUNTIFS($J$4:$J13,$J13,$E$4:$E13,$E13)=1,$E13,""))</f>
        <v>№5</v>
      </c>
      <c r="M13" s="13" t="str">
        <f>IF($A13="","",IF(COUNTIFS($J$4:$J13,$J13,$F$4:$F13,$F13)=1,$F13,""))</f>
        <v>МАЗ 4381</v>
      </c>
    </row>
    <row r="14" spans="1:13" x14ac:dyDescent="0.35">
      <c r="A14" s="23" t="str">
        <f>IFERROR(М6_АТ4021_0586!B29,"")</f>
        <v>1 пров. Межовий</v>
      </c>
      <c r="B14" s="23" t="str">
        <f>IFERROR(IF(М6_АТ4021_0586!C29="","",TEXT(М6_АТ4021_0586!C29,"General")),"")</f>
        <v>1,2  5,8</v>
      </c>
      <c r="C14" s="24" t="str">
        <f>"Понеділок"</f>
        <v>Понеділок</v>
      </c>
      <c r="D14" s="24" t="str">
        <f>IFERROR(TEXT(М6_АТ4021_0586!D29,"h:mm"),"")</f>
        <v>12:35</v>
      </c>
      <c r="E14" s="24" t="str">
        <f>"№6"</f>
        <v>№6</v>
      </c>
      <c r="F14" s="24" t="str">
        <f>"АТ 4021"</f>
        <v>АТ 4021</v>
      </c>
      <c r="G14" s="24" t="str">
        <f>"СВ 33-16 ЕО"</f>
        <v>СВ 33-16 ЕО</v>
      </c>
      <c r="H14" s="24"/>
      <c r="J14" s="13" t="str">
        <f t="shared" si="0"/>
        <v>1 пров. Межовий|1,2  5,8</v>
      </c>
      <c r="K14" s="32">
        <f t="shared" si="1"/>
        <v>0.52430555555555558</v>
      </c>
      <c r="L14" s="13" t="str">
        <f>IF($A14="","",IF(COUNTIFS($J$4:$J14,$J14,$E$4:$E14,$E14)=1,$E14,""))</f>
        <v>№6</v>
      </c>
      <c r="M14" s="13" t="str">
        <f>IF($A14="","",IF(COUNTIFS($J$4:$J14,$J14,$F$4:$F14,$F14)=1,$F14,""))</f>
        <v>АТ 4021</v>
      </c>
    </row>
    <row r="15" spans="1:13" x14ac:dyDescent="0.35">
      <c r="A15" s="23" t="str">
        <f>IFERROR(М5_МАЗ4381_0592!B175,"")</f>
        <v>1 пров. Оранжерейний</v>
      </c>
      <c r="B15" s="23" t="str">
        <f>IFERROR(IF(М5_МАЗ4381_0592!C175="","",TEXT(М5_МАЗ4381_0592!C175,"General")),"")</f>
        <v/>
      </c>
      <c r="C15" s="24" t="str">
        <f>"П'ятниця"</f>
        <v>П'ятниця</v>
      </c>
      <c r="D15" s="24" t="str">
        <f>IFERROR(TEXT(М5_МАЗ4381_0592!D175,"h:mm"),"")</f>
        <v>10:25</v>
      </c>
      <c r="E15" s="24" t="str">
        <f>"№5"</f>
        <v>№5</v>
      </c>
      <c r="F15" s="24" t="str">
        <f>"МАЗ 4381"</f>
        <v>МАЗ 4381</v>
      </c>
      <c r="G15" s="24" t="str">
        <f>"СВ 81-71 ВК"</f>
        <v>СВ 81-71 ВК</v>
      </c>
      <c r="H15" s="24"/>
      <c r="J15" s="13" t="str">
        <f t="shared" si="0"/>
        <v>1 пров. Оранжерейний|</v>
      </c>
      <c r="K15" s="32">
        <f t="shared" si="1"/>
        <v>0.43402777777777779</v>
      </c>
      <c r="L15" s="13" t="str">
        <f>IF($A15="","",IF(COUNTIFS($J$4:$J15,$J15,$E$4:$E15,$E15)=1,$E15,""))</f>
        <v>№5</v>
      </c>
      <c r="M15" s="13" t="str">
        <f>IF($A15="","",IF(COUNTIFS($J$4:$J15,$J15,$F$4:$F15,$F15)=1,$F15,""))</f>
        <v>МАЗ 4381</v>
      </c>
    </row>
    <row r="16" spans="1:13" x14ac:dyDescent="0.35">
      <c r="A16" s="23" t="str">
        <f>IFERROR(М5_МАЗ4381_0592!B16,"")</f>
        <v>1 пров. П. Комуни</v>
      </c>
      <c r="B16" s="23" t="str">
        <f>IFERROR(IF(М5_МАЗ4381_0592!C16="","",TEXT(М5_МАЗ4381_0592!C16,"General")),"")</f>
        <v/>
      </c>
      <c r="C16" s="24" t="str">
        <f>"Понеділок"</f>
        <v>Понеділок</v>
      </c>
      <c r="D16" s="24" t="str">
        <f>IFERROR(TEXT(М5_МАЗ4381_0592!D16,"h:mm"),"")</f>
        <v>8:50</v>
      </c>
      <c r="E16" s="24" t="str">
        <f>"№5"</f>
        <v>№5</v>
      </c>
      <c r="F16" s="24" t="str">
        <f>"МАЗ 4381"</f>
        <v>МАЗ 4381</v>
      </c>
      <c r="G16" s="24" t="str">
        <f>"СВ 81-71 ВК"</f>
        <v>СВ 81-71 ВК</v>
      </c>
      <c r="H16" s="24"/>
      <c r="J16" s="13" t="str">
        <f t="shared" si="0"/>
        <v>1 пров. П. Комуни|</v>
      </c>
      <c r="K16" s="32">
        <f t="shared" si="1"/>
        <v>0.36805555555555558</v>
      </c>
      <c r="L16" s="13" t="str">
        <f>IF($A16="","",IF(COUNTIFS($J$4:$J16,$J16,$E$4:$E16,$E16)=1,$E16,""))</f>
        <v>№5</v>
      </c>
      <c r="M16" s="13" t="str">
        <f>IF($A16="","",IF(COUNTIFS($J$4:$J16,$J16,$F$4:$F16,$F16)=1,$F16,""))</f>
        <v>МАЗ 4381</v>
      </c>
    </row>
    <row r="17" spans="1:13" x14ac:dyDescent="0.35">
      <c r="A17" s="23" t="str">
        <f>IFERROR(М6_АТ4021_0586!B108,"")</f>
        <v>1 пров. Педагогічний</v>
      </c>
      <c r="B17" s="23" t="str">
        <f>IFERROR(IF(М6_АТ4021_0586!C108="","",TEXT(М6_АТ4021_0586!C108,"General")),"")</f>
        <v>9,11  6,3</v>
      </c>
      <c r="C17" s="24" t="str">
        <f>"Середа"</f>
        <v>Середа</v>
      </c>
      <c r="D17" s="24" t="str">
        <f>IFERROR(TEXT(М6_АТ4021_0586!D108,"h:mm"),"")</f>
        <v>15:30</v>
      </c>
      <c r="E17" s="24" t="str">
        <f>"№6"</f>
        <v>№6</v>
      </c>
      <c r="F17" s="24" t="str">
        <f>"АТ 4021"</f>
        <v>АТ 4021</v>
      </c>
      <c r="G17" s="24" t="str">
        <f>"СВ 33-16 ЕО"</f>
        <v>СВ 33-16 ЕО</v>
      </c>
      <c r="H17" s="24"/>
      <c r="J17" s="13" t="str">
        <f t="shared" si="0"/>
        <v>1 пров. Педагогічний|9,11  6,3</v>
      </c>
      <c r="K17" s="32">
        <f t="shared" si="1"/>
        <v>0.64583333333333337</v>
      </c>
      <c r="L17" s="13" t="str">
        <f>IF($A17="","",IF(COUNTIFS($J$4:$J17,$J17,$E$4:$E17,$E17)=1,$E17,""))</f>
        <v>№6</v>
      </c>
      <c r="M17" s="13" t="str">
        <f>IF($A17="","",IF(COUNTIFS($J$4:$J17,$J17,$F$4:$F17,$F17)=1,$F17,""))</f>
        <v>АТ 4021</v>
      </c>
    </row>
    <row r="18" spans="1:13" x14ac:dyDescent="0.35">
      <c r="A18" s="23" t="str">
        <f>IFERROR(М6_АТ4021_0586!B16,"")</f>
        <v>1 пров. Пирогівський</v>
      </c>
      <c r="B18" s="23" t="str">
        <f>IFERROR(IF(М6_АТ4021_0586!C16="","",TEXT(М6_АТ4021_0586!C16,"General")),"")</f>
        <v>30,24  15,2</v>
      </c>
      <c r="C18" s="24" t="str">
        <f>"Понеділок"</f>
        <v>Понеділок</v>
      </c>
      <c r="D18" s="24" t="str">
        <f>IFERROR(TEXT(М6_АТ4021_0586!D16,"h:mm"),"")</f>
        <v>9:00</v>
      </c>
      <c r="E18" s="24" t="str">
        <f>"№6"</f>
        <v>№6</v>
      </c>
      <c r="F18" s="24" t="str">
        <f>"АТ 4021"</f>
        <v>АТ 4021</v>
      </c>
      <c r="G18" s="24" t="str">
        <f>"СВ 33-16 ЕО"</f>
        <v>СВ 33-16 ЕО</v>
      </c>
      <c r="H18" s="24"/>
      <c r="J18" s="13" t="str">
        <f t="shared" si="0"/>
        <v>1 пров. Пирогівський|30,24  15,2</v>
      </c>
      <c r="K18" s="32">
        <f t="shared" si="1"/>
        <v>0.375</v>
      </c>
      <c r="L18" s="13" t="str">
        <f>IF($A18="","",IF(COUNTIFS($J$4:$J18,$J18,$E$4:$E18,$E18)=1,$E18,""))</f>
        <v>№6</v>
      </c>
      <c r="M18" s="13" t="str">
        <f>IF($A18="","",IF(COUNTIFS($J$4:$J18,$J18,$F$4:$F18,$F18)=1,$F18,""))</f>
        <v>АТ 4021</v>
      </c>
    </row>
    <row r="19" spans="1:13" x14ac:dyDescent="0.35">
      <c r="A19" s="23" t="str">
        <f>IFERROR(М5_МАЗ4381_0592!B21,"")</f>
        <v>1 пров. Південний</v>
      </c>
      <c r="B19" s="23" t="str">
        <f>IFERROR(IF(М5_МАЗ4381_0592!C21="","",TEXT(М5_МАЗ4381_0592!C21,"General")),"")</f>
        <v/>
      </c>
      <c r="C19" s="24" t="str">
        <f>"Понеділок"</f>
        <v>Понеділок</v>
      </c>
      <c r="D19" s="24" t="str">
        <f>IFERROR(TEXT(М5_МАЗ4381_0592!D21,"h:mm"),"")</f>
        <v>10:10</v>
      </c>
      <c r="E19" s="24" t="str">
        <f>"№5"</f>
        <v>№5</v>
      </c>
      <c r="F19" s="24" t="str">
        <f>"МАЗ 4381"</f>
        <v>МАЗ 4381</v>
      </c>
      <c r="G19" s="24" t="str">
        <f>"СВ 81-71 ВК"</f>
        <v>СВ 81-71 ВК</v>
      </c>
      <c r="H19" s="24"/>
      <c r="J19" s="13" t="str">
        <f t="shared" si="0"/>
        <v>1 пров. Південний|</v>
      </c>
      <c r="K19" s="32">
        <f t="shared" si="1"/>
        <v>0.4236111111111111</v>
      </c>
      <c r="L19" s="13" t="str">
        <f>IF($A19="","",IF(COUNTIFS($J$4:$J19,$J19,$E$4:$E19,$E19)=1,$E19,""))</f>
        <v>№5</v>
      </c>
      <c r="M19" s="13" t="str">
        <f>IF($A19="","",IF(COUNTIFS($J$4:$J19,$J19,$F$4:$F19,$F19)=1,$F19,""))</f>
        <v>МАЗ 4381</v>
      </c>
    </row>
    <row r="20" spans="1:13" x14ac:dyDescent="0.35">
      <c r="A20" s="23" t="str">
        <f>IFERROR(М5_МАЗ4381_0592!B36,"")</f>
        <v>1 пров. Скоропадського</v>
      </c>
      <c r="B20" s="23" t="str">
        <f>IFERROR(IF(М5_МАЗ4381_0592!C36="","",TEXT(М5_МАЗ4381_0592!C36,"General")),"")</f>
        <v/>
      </c>
      <c r="C20" s="24" t="str">
        <f>"Понеділок"</f>
        <v>Понеділок</v>
      </c>
      <c r="D20" s="24" t="str">
        <f>IFERROR(TEXT(М5_МАЗ4381_0592!D36,"h:mm"),"")</f>
        <v>14:40</v>
      </c>
      <c r="E20" s="24" t="str">
        <f>"№5"</f>
        <v>№5</v>
      </c>
      <c r="F20" s="24" t="str">
        <f>"МАЗ 4381"</f>
        <v>МАЗ 4381</v>
      </c>
      <c r="G20" s="24" t="str">
        <f>"СВ 81-71 ВК"</f>
        <v>СВ 81-71 ВК</v>
      </c>
      <c r="H20" s="24"/>
      <c r="J20" s="13" t="str">
        <f t="shared" si="0"/>
        <v>1 пров. Скоропадського|</v>
      </c>
      <c r="K20" s="32">
        <f t="shared" si="1"/>
        <v>0.61111111111111116</v>
      </c>
      <c r="L20" s="13" t="str">
        <f>IF($A20="","",IF(COUNTIFS($J$4:$J20,$J20,$E$4:$E20,$E20)=1,$E20,""))</f>
        <v>№5</v>
      </c>
      <c r="M20" s="13" t="str">
        <f>IF($A20="","",IF(COUNTIFS($J$4:$J20,$J20,$F$4:$F20,$F20)=1,$F20,""))</f>
        <v>МАЗ 4381</v>
      </c>
    </row>
    <row r="21" spans="1:13" x14ac:dyDescent="0.35">
      <c r="A21" s="23" t="str">
        <f>IFERROR(М5_МАЗ4381_0592!B194,"")</f>
        <v>1 пров. Східний</v>
      </c>
      <c r="B21" s="23" t="str">
        <f>IFERROR(IF(М5_МАЗ4381_0592!C194="","",TEXT(М5_МАЗ4381_0592!C194,"General")),"")</f>
        <v/>
      </c>
      <c r="C21" s="24" t="str">
        <f>"П'ятниця"</f>
        <v>П'ятниця</v>
      </c>
      <c r="D21" s="24" t="str">
        <f>IFERROR(TEXT(М5_МАЗ4381_0592!D194,"h:mm"),"")</f>
        <v>14:30</v>
      </c>
      <c r="E21" s="24" t="str">
        <f>"№5"</f>
        <v>№5</v>
      </c>
      <c r="F21" s="24" t="str">
        <f>"МАЗ 4381"</f>
        <v>МАЗ 4381</v>
      </c>
      <c r="G21" s="24" t="str">
        <f>"СВ 81-71 ВК"</f>
        <v>СВ 81-71 ВК</v>
      </c>
      <c r="H21" s="24"/>
      <c r="J21" s="13" t="str">
        <f t="shared" si="0"/>
        <v>1 пров. Східний|</v>
      </c>
      <c r="K21" s="32">
        <f t="shared" si="1"/>
        <v>0.60416666666666663</v>
      </c>
      <c r="L21" s="13" t="str">
        <f>IF($A21="","",IF(COUNTIFS($J$4:$J21,$J21,$E$4:$E21,$E21)=1,$E21,""))</f>
        <v>№5</v>
      </c>
      <c r="M21" s="13" t="str">
        <f>IF($A21="","",IF(COUNTIFS($J$4:$J21,$J21,$F$4:$F21,$F21)=1,$F21,""))</f>
        <v>МАЗ 4381</v>
      </c>
    </row>
    <row r="22" spans="1:13" x14ac:dyDescent="0.35">
      <c r="A22" s="23" t="str">
        <f>IFERROR(М6_АТ4021_0586!B35,"")</f>
        <v>1 пров. Удайський</v>
      </c>
      <c r="B22" s="23" t="str">
        <f>IFERROR(IF(М6_АТ4021_0586!C35="","",TEXT(М6_АТ4021_0586!C35,"General")),"")</f>
        <v>23,33  15,5</v>
      </c>
      <c r="C22" s="24" t="str">
        <f>"Понеділок"</f>
        <v>Понеділок</v>
      </c>
      <c r="D22" s="24" t="str">
        <f>IFERROR(TEXT(М6_АТ4021_0586!D35,"h:mm"),"")</f>
        <v>15:00</v>
      </c>
      <c r="E22" s="24" t="str">
        <f>"№6"</f>
        <v>№6</v>
      </c>
      <c r="F22" s="24" t="str">
        <f>"АТ 4021"</f>
        <v>АТ 4021</v>
      </c>
      <c r="G22" s="24" t="str">
        <f>"СВ 33-16 ЕО"</f>
        <v>СВ 33-16 ЕО</v>
      </c>
      <c r="H22" s="24"/>
      <c r="J22" s="13" t="str">
        <f t="shared" si="0"/>
        <v>1 пров. Удайський|23,33  15,5</v>
      </c>
      <c r="K22" s="32">
        <f t="shared" si="1"/>
        <v>0.625</v>
      </c>
      <c r="L22" s="13" t="str">
        <f>IF($A22="","",IF(COUNTIFS($J$4:$J22,$J22,$E$4:$E22,$E22)=1,$E22,""))</f>
        <v>№6</v>
      </c>
      <c r="M22" s="13" t="str">
        <f>IF($A22="","",IF(COUNTIFS($J$4:$J22,$J22,$F$4:$F22,$F22)=1,$F22,""))</f>
        <v>АТ 4021</v>
      </c>
    </row>
    <row r="23" spans="1:13" x14ac:dyDescent="0.35">
      <c r="A23" s="23" t="str">
        <f>IFERROR(М6_АТ4021_0586!B66,"")</f>
        <v>1,2 в'їзд Шарапівський</v>
      </c>
      <c r="B23" s="23" t="str">
        <f>IFERROR(IF(М6_АТ4021_0586!C66="","",TEXT(М6_АТ4021_0586!C66,"General")),"")</f>
        <v>1,2  6,7</v>
      </c>
      <c r="C23" s="24" t="str">
        <f>"Вівторок"</f>
        <v>Вівторок</v>
      </c>
      <c r="D23" s="24" t="str">
        <f>IFERROR(TEXT(М6_АТ4021_0586!D66,"h:mm"),"")</f>
        <v>14:30</v>
      </c>
      <c r="E23" s="24" t="str">
        <f>"№6"</f>
        <v>№6</v>
      </c>
      <c r="F23" s="24" t="str">
        <f>"АТ 4021"</f>
        <v>АТ 4021</v>
      </c>
      <c r="G23" s="24" t="str">
        <f>"СВ 33-16 ЕО"</f>
        <v>СВ 33-16 ЕО</v>
      </c>
      <c r="H23" s="24"/>
      <c r="J23" s="13" t="str">
        <f t="shared" si="0"/>
        <v>1,2 в'їзд Шарапівський|1,2  6,7</v>
      </c>
      <c r="K23" s="32">
        <f t="shared" si="1"/>
        <v>0.60416666666666663</v>
      </c>
      <c r="L23" s="13" t="str">
        <f>IF($A23="","",IF(COUNTIFS($J$4:$J23,$J23,$E$4:$E23,$E23)=1,$E23,""))</f>
        <v>№6</v>
      </c>
      <c r="M23" s="13" t="str">
        <f>IF($A23="","",IF(COUNTIFS($J$4:$J23,$J23,$F$4:$F23,$F23)=1,$F23,""))</f>
        <v>АТ 4021</v>
      </c>
    </row>
    <row r="24" spans="1:13" x14ac:dyDescent="0.35">
      <c r="A24" s="23" t="str">
        <f>IFERROR(М3_МАЗ4371_0587!B136,"")</f>
        <v>2 в'їзд Василя Стуса</v>
      </c>
      <c r="B24" s="23" t="str">
        <f>IFERROR(IF(М3_МАЗ4371_0587!C136="","",TEXT(М3_МАЗ4371_0587!C136,"General")),"")</f>
        <v/>
      </c>
      <c r="C24" s="24" t="str">
        <f>"П'ятниця"</f>
        <v>П'ятниця</v>
      </c>
      <c r="D24" s="24" t="str">
        <f>IFERROR(TEXT(М3_МАЗ4371_0587!D136,"h:mm"),"")</f>
        <v>13:25</v>
      </c>
      <c r="E24" s="24" t="str">
        <f>"№3"</f>
        <v>№3</v>
      </c>
      <c r="F24" s="24" t="str">
        <f>"МАЗ-4371"</f>
        <v>МАЗ-4371</v>
      </c>
      <c r="G24" s="24" t="str">
        <f>"СВ 53-06 СА"</f>
        <v>СВ 53-06 СА</v>
      </c>
      <c r="H24" s="24">
        <f>IFERROR(М3_МАЗ4371_0587!G136,"")</f>
        <v>3</v>
      </c>
      <c r="J24" s="13" t="str">
        <f t="shared" si="0"/>
        <v>2 в'їзд Василя Стуса|</v>
      </c>
      <c r="K24" s="32">
        <f t="shared" si="1"/>
        <v>0.55902777777777779</v>
      </c>
      <c r="L24" s="13" t="str">
        <f>IF($A24="","",IF(COUNTIFS($J$4:$J24,$J24,$E$4:$E24,$E24)=1,$E24,""))</f>
        <v>№3</v>
      </c>
      <c r="M24" s="13" t="str">
        <f>IF($A24="","",IF(COUNTIFS($J$4:$J24,$J24,$F$4:$F24,$F24)=1,$F24,""))</f>
        <v>МАЗ-4371</v>
      </c>
    </row>
    <row r="25" spans="1:13" x14ac:dyDescent="0.35">
      <c r="A25" s="23" t="str">
        <f>IFERROR(М5_МАЗ4381_0592!B185,"")</f>
        <v>2 в'їзд Вишневий</v>
      </c>
      <c r="B25" s="23" t="str">
        <f>IFERROR(IF(М5_МАЗ4381_0592!C185="","",TEXT(М5_МАЗ4381_0592!C185,"General")),"")</f>
        <v/>
      </c>
      <c r="C25" s="24" t="str">
        <f>"П'ятниця"</f>
        <v>П'ятниця</v>
      </c>
      <c r="D25" s="24" t="str">
        <f>IFERROR(TEXT(М5_МАЗ4381_0592!D185,"h:mm"),"")</f>
        <v>12:35</v>
      </c>
      <c r="E25" s="24" t="str">
        <f>"№5"</f>
        <v>№5</v>
      </c>
      <c r="F25" s="24" t="str">
        <f>"МАЗ 4381"</f>
        <v>МАЗ 4381</v>
      </c>
      <c r="G25" s="24" t="str">
        <f>"СВ 81-71 ВК"</f>
        <v>СВ 81-71 ВК</v>
      </c>
      <c r="H25" s="24"/>
      <c r="J25" s="13" t="str">
        <f t="shared" si="0"/>
        <v>2 в'їзд Вишневий|</v>
      </c>
      <c r="K25" s="32">
        <f t="shared" si="1"/>
        <v>0.52430555555555558</v>
      </c>
      <c r="L25" s="13" t="str">
        <f>IF($A25="","",IF(COUNTIFS($J$4:$J25,$J25,$E$4:$E25,$E25)=1,$E25,""))</f>
        <v>№5</v>
      </c>
      <c r="M25" s="13" t="str">
        <f>IF($A25="","",IF(COUNTIFS($J$4:$J25,$J25,$F$4:$F25,$F25)=1,$F25,""))</f>
        <v>МАЗ 4381</v>
      </c>
    </row>
    <row r="26" spans="1:13" x14ac:dyDescent="0.35">
      <c r="A26" s="23" t="str">
        <f>IFERROR(М6_АТ4021_0586!B138,"")</f>
        <v>2 в'їзд Гоголя</v>
      </c>
      <c r="B26" s="23" t="str">
        <f>IFERROR(IF(М6_АТ4021_0586!C138="","",TEXT(М6_АТ4021_0586!C138,"General")),"")</f>
        <v>4,14</v>
      </c>
      <c r="C26" s="24" t="str">
        <f>"Четвер"</f>
        <v>Четвер</v>
      </c>
      <c r="D26" s="24" t="str">
        <f>IFERROR(TEXT(М6_АТ4021_0586!D138,"h:mm"),"")</f>
        <v>13:15</v>
      </c>
      <c r="E26" s="24" t="str">
        <f>"№6"</f>
        <v>№6</v>
      </c>
      <c r="F26" s="24" t="str">
        <f>"АТ 4021"</f>
        <v>АТ 4021</v>
      </c>
      <c r="G26" s="24" t="str">
        <f>"СВ 33-16 ЕО"</f>
        <v>СВ 33-16 ЕО</v>
      </c>
      <c r="H26" s="24"/>
      <c r="J26" s="13" t="str">
        <f t="shared" si="0"/>
        <v>2 в'їзд Гоголя|4,14</v>
      </c>
      <c r="K26" s="32">
        <f t="shared" si="1"/>
        <v>0.55208333333333337</v>
      </c>
      <c r="L26" s="13" t="str">
        <f>IF($A26="","",IF(COUNTIFS($J$4:$J26,$J26,$E$4:$E26,$E26)=1,$E26,""))</f>
        <v>№6</v>
      </c>
      <c r="M26" s="13" t="str">
        <f>IF($A26="","",IF(COUNTIFS($J$4:$J26,$J26,$F$4:$F26,$F26)=1,$F26,""))</f>
        <v>АТ 4021</v>
      </c>
    </row>
    <row r="27" spans="1:13" x14ac:dyDescent="0.35">
      <c r="A27" s="23" t="str">
        <f>IFERROR('М3-4_ГАЗ3309_0590'!B123,"")</f>
        <v>2 в-д Небесної Сотні</v>
      </c>
      <c r="B27" s="23" t="str">
        <f>IFERROR(IF('М3-4_ГАЗ3309_0590'!C123="","",TEXT('М3-4_ГАЗ3309_0590'!C123,"General")),"")</f>
        <v>НВК</v>
      </c>
      <c r="C27" s="24" t="str">
        <f>"Понеділок"</f>
        <v>Понеділок</v>
      </c>
      <c r="D27" s="24" t="str">
        <f>IFERROR(TEXT('М3-4_ГАЗ3309_0590'!D123,"h:mm"),"")</f>
        <v>8:05</v>
      </c>
      <c r="E27" s="24" t="str">
        <f>"№3"</f>
        <v>№3</v>
      </c>
      <c r="F27" s="24" t="str">
        <f>"ГАЗ 3309"</f>
        <v>ГАЗ 3309</v>
      </c>
      <c r="G27" s="24" t="str">
        <f>"СВ 17-85 ВН"</f>
        <v>СВ 17-85 ВН</v>
      </c>
      <c r="H27" s="24">
        <f>IFERROR('М3-4_ГАЗ3309_0590'!G123,"")</f>
        <v>2</v>
      </c>
      <c r="J27" s="13" t="str">
        <f t="shared" si="0"/>
        <v>2 в-д Небесної Сотні|НВК</v>
      </c>
      <c r="K27" s="32">
        <f t="shared" si="1"/>
        <v>0.33680555555555558</v>
      </c>
      <c r="L27" s="13" t="str">
        <f>IF($A27="","",IF(COUNTIFS($J$4:$J27,$J27,$E$4:$E27,$E27)=1,$E27,""))</f>
        <v>№3</v>
      </c>
      <c r="M27" s="13" t="str">
        <f>IF($A27="","",IF(COUNTIFS($J$4:$J27,$J27,$F$4:$F27,$F27)=1,$F27,""))</f>
        <v>ГАЗ 3309</v>
      </c>
    </row>
    <row r="28" spans="1:13" x14ac:dyDescent="0.35">
      <c r="A28" s="23" t="str">
        <f>IFERROR(М5_МАЗ4381_0592!B125,"")</f>
        <v>2 пров. Європейський</v>
      </c>
      <c r="B28" s="23" t="str">
        <f>IFERROR(IF(М5_МАЗ4381_0592!C125="","",TEXT(М5_МАЗ4381_0592!C125,"General")),"")</f>
        <v/>
      </c>
      <c r="C28" s="24" t="str">
        <f>"Четвер"</f>
        <v>Четвер</v>
      </c>
      <c r="D28" s="24" t="str">
        <f>IFERROR(TEXT(М5_МАЗ4381_0592!D125,"h:mm"),"")</f>
        <v>8:25</v>
      </c>
      <c r="E28" s="24" t="str">
        <f>"№5"</f>
        <v>№5</v>
      </c>
      <c r="F28" s="24" t="str">
        <f>"МАЗ 4381"</f>
        <v>МАЗ 4381</v>
      </c>
      <c r="G28" s="24" t="str">
        <f>"СВ 81-71 ВК"</f>
        <v>СВ 81-71 ВК</v>
      </c>
      <c r="H28" s="24"/>
      <c r="J28" s="13" t="str">
        <f t="shared" si="0"/>
        <v>2 пров. Європейський|</v>
      </c>
      <c r="K28" s="32">
        <f t="shared" si="1"/>
        <v>0.35069444444444442</v>
      </c>
      <c r="L28" s="13" t="str">
        <f>IF($A28="","",IF(COUNTIFS($J$4:$J28,$J28,$E$4:$E28,$E28)=1,$E28,""))</f>
        <v>№5</v>
      </c>
      <c r="M28" s="13" t="str">
        <f>IF($A28="","",IF(COUNTIFS($J$4:$J28,$J28,$F$4:$F28,$F28)=1,$F28,""))</f>
        <v>МАЗ 4381</v>
      </c>
    </row>
    <row r="29" spans="1:13" x14ac:dyDescent="0.35">
      <c r="A29" s="23" t="str">
        <f>IFERROR(М5_МАЗ4381_0592!B64,"")</f>
        <v>2 пров. І. Сірка</v>
      </c>
      <c r="B29" s="23" t="str">
        <f>IFERROR(IF(М5_МАЗ4381_0592!C64="","",TEXT(М5_МАЗ4381_0592!C64,"General")),"")</f>
        <v/>
      </c>
      <c r="C29" s="24" t="str">
        <f>"Вівторок"</f>
        <v>Вівторок</v>
      </c>
      <c r="D29" s="24" t="str">
        <f>IFERROR(TEXT(М5_МАЗ4381_0592!D64,"h:mm"),"")</f>
        <v>12:30</v>
      </c>
      <c r="E29" s="24" t="str">
        <f>"№5"</f>
        <v>№5</v>
      </c>
      <c r="F29" s="24" t="str">
        <f>"МАЗ 4381"</f>
        <v>МАЗ 4381</v>
      </c>
      <c r="G29" s="24" t="str">
        <f>"СВ 81-71 ВК"</f>
        <v>СВ 81-71 ВК</v>
      </c>
      <c r="H29" s="24"/>
      <c r="J29" s="13" t="str">
        <f t="shared" si="0"/>
        <v>2 пров. І. Сірка|</v>
      </c>
      <c r="K29" s="32">
        <f t="shared" si="1"/>
        <v>0.52083333333333337</v>
      </c>
      <c r="L29" s="13" t="str">
        <f>IF($A29="","",IF(COUNTIFS($J$4:$J29,$J29,$E$4:$E29,$E29)=1,$E29,""))</f>
        <v>№5</v>
      </c>
      <c r="M29" s="13" t="str">
        <f>IF($A29="","",IF(COUNTIFS($J$4:$J29,$J29,$F$4:$F29,$F29)=1,$F29,""))</f>
        <v>МАЗ 4381</v>
      </c>
    </row>
    <row r="30" spans="1:13" x14ac:dyDescent="0.35">
      <c r="A30" s="23" t="str">
        <f>IFERROR(М4_АТ4042ROD_0584!B58,"")</f>
        <v>2 пров. Андріївський</v>
      </c>
      <c r="B30" s="23" t="str">
        <f>IFERROR(IF(М4_АТ4042ROD_0584!C58="","",TEXT(М4_АТ4042ROD_0584!C58,"General")),"")</f>
        <v>Моноліт</v>
      </c>
      <c r="C30" s="24" t="str">
        <f>"Вівторок"</f>
        <v>Вівторок</v>
      </c>
      <c r="D30" s="24" t="str">
        <f>IFERROR(TEXT(М4_АТ4042ROD_0584!D58,"h:mm"),"")</f>
        <v>14:40</v>
      </c>
      <c r="E30" s="24" t="str">
        <f>"№4"</f>
        <v>№4</v>
      </c>
      <c r="F30" s="24" t="str">
        <f>"АТ 40-42/ROD21003"</f>
        <v>АТ 40-42/ROD21003</v>
      </c>
      <c r="G30" s="24" t="str">
        <f>"СВ 33-15 ЕО"</f>
        <v>СВ 33-15 ЕО</v>
      </c>
      <c r="H30" s="24">
        <f>IFERROR(М4_АТ4042ROD_0584!G58,"")</f>
        <v>2</v>
      </c>
      <c r="J30" s="13" t="str">
        <f t="shared" si="0"/>
        <v>2 пров. Андріївський|Моноліт</v>
      </c>
      <c r="K30" s="32">
        <f t="shared" si="1"/>
        <v>0.61111111111111116</v>
      </c>
      <c r="L30" s="13" t="str">
        <f>IF($A30="","",IF(COUNTIFS($J$4:$J30,$J30,$E$4:$E30,$E30)=1,$E30,""))</f>
        <v>№4</v>
      </c>
      <c r="M30" s="13" t="str">
        <f>IF($A30="","",IF(COUNTIFS($J$4:$J30,$J30,$F$4:$F30,$F30)=1,$F30,""))</f>
        <v>АТ 40-42/ROD21003</v>
      </c>
    </row>
    <row r="31" spans="1:13" x14ac:dyDescent="0.35">
      <c r="A31" s="23" t="str">
        <f>IFERROR(М4_АТ4042ROD_0584!B91,"")</f>
        <v>2 пров. Андріївський</v>
      </c>
      <c r="B31" s="23" t="str">
        <f>IFERROR(IF(М4_АТ4042ROD_0584!C91="","",TEXT(М4_АТ4042ROD_0584!C91,"General")),"")</f>
        <v>Моноліт</v>
      </c>
      <c r="C31" s="24" t="str">
        <f>"Четвер"</f>
        <v>Четвер</v>
      </c>
      <c r="D31" s="24" t="str">
        <f>IFERROR(TEXT(М4_АТ4042ROD_0584!D91,"h:mm"),"")</f>
        <v>14:25</v>
      </c>
      <c r="E31" s="24" t="str">
        <f>"№4"</f>
        <v>№4</v>
      </c>
      <c r="F31" s="24" t="str">
        <f>"АТ 40-42/ROD21003"</f>
        <v>АТ 40-42/ROD21003</v>
      </c>
      <c r="G31" s="24" t="str">
        <f>"СВ 33-15 ЕО"</f>
        <v>СВ 33-15 ЕО</v>
      </c>
      <c r="H31" s="24">
        <f>IFERROR(М4_АТ4042ROD_0584!G91,"")</f>
        <v>1</v>
      </c>
      <c r="J31" s="13" t="str">
        <f t="shared" si="0"/>
        <v>2 пров. Андріївський|Моноліт</v>
      </c>
      <c r="K31" s="32">
        <f t="shared" si="1"/>
        <v>0.60069444444444442</v>
      </c>
      <c r="L31" s="13" t="str">
        <f>IF($A31="","",IF(COUNTIFS($J$4:$J31,$J31,$E$4:$E31,$E31)=1,$E31,""))</f>
        <v/>
      </c>
      <c r="M31" s="13" t="str">
        <f>IF($A31="","",IF(COUNTIFS($J$4:$J31,$J31,$F$4:$F31,$F31)=1,$F31,""))</f>
        <v/>
      </c>
    </row>
    <row r="32" spans="1:13" x14ac:dyDescent="0.35">
      <c r="A32" s="23" t="str">
        <f>IFERROR(М5_МАЗ4381_0592!B142,"")</f>
        <v>2 пров. В. Стуса</v>
      </c>
      <c r="B32" s="23" t="str">
        <f>IFERROR(IF(М5_МАЗ4381_0592!C142="","",TEXT(М5_МАЗ4381_0592!C142,"General")),"")</f>
        <v/>
      </c>
      <c r="C32" s="24" t="str">
        <f>"Четвер"</f>
        <v>Четвер</v>
      </c>
      <c r="D32" s="24" t="str">
        <f>IFERROR(TEXT(М5_МАЗ4381_0592!D142,"h:mm"),"")</f>
        <v>12:55</v>
      </c>
      <c r="E32" s="24" t="str">
        <f>"№5"</f>
        <v>№5</v>
      </c>
      <c r="F32" s="24" t="str">
        <f>"МАЗ 4381"</f>
        <v>МАЗ 4381</v>
      </c>
      <c r="G32" s="24" t="str">
        <f>"СВ 81-71 ВК"</f>
        <v>СВ 81-71 ВК</v>
      </c>
      <c r="H32" s="24"/>
      <c r="J32" s="13" t="str">
        <f t="shared" si="0"/>
        <v>2 пров. В. Стуса|</v>
      </c>
      <c r="K32" s="32">
        <f t="shared" si="1"/>
        <v>0.53819444444444442</v>
      </c>
      <c r="L32" s="13" t="str">
        <f>IF($A32="","",IF(COUNTIFS($J$4:$J32,$J32,$E$4:$E32,$E32)=1,$E32,""))</f>
        <v>№5</v>
      </c>
      <c r="M32" s="13" t="str">
        <f>IF($A32="","",IF(COUNTIFS($J$4:$J32,$J32,$F$4:$F32,$F32)=1,$F32,""))</f>
        <v>МАЗ 4381</v>
      </c>
    </row>
    <row r="33" spans="1:13" x14ac:dyDescent="0.35">
      <c r="A33" s="23" t="str">
        <f>IFERROR(М5_МАЗ4381_0592!B158,"")</f>
        <v>2 пров. В. Чорновола</v>
      </c>
      <c r="B33" s="23" t="str">
        <f>IFERROR(IF(М5_МАЗ4381_0592!C158="","",TEXT(М5_МАЗ4381_0592!C158,"General")),"")</f>
        <v/>
      </c>
      <c r="C33" s="24" t="str">
        <f>"П'ятниця"</f>
        <v>П'ятниця</v>
      </c>
      <c r="D33" s="24" t="str">
        <f>IFERROR(TEXT(М5_МАЗ4381_0592!D158,"h:mm"),"")</f>
        <v>7:00</v>
      </c>
      <c r="E33" s="24" t="str">
        <f>"№5"</f>
        <v>№5</v>
      </c>
      <c r="F33" s="24" t="str">
        <f>"МАЗ 4381"</f>
        <v>МАЗ 4381</v>
      </c>
      <c r="G33" s="24" t="str">
        <f>"СВ 81-71 ВК"</f>
        <v>СВ 81-71 ВК</v>
      </c>
      <c r="H33" s="24"/>
      <c r="J33" s="13" t="str">
        <f t="shared" si="0"/>
        <v>2 пров. В. Чорновола|</v>
      </c>
      <c r="K33" s="32">
        <f t="shared" si="1"/>
        <v>0.29166666666666669</v>
      </c>
      <c r="L33" s="13" t="str">
        <f>IF($A33="","",IF(COUNTIFS($J$4:$J33,$J33,$E$4:$E33,$E33)=1,$E33,""))</f>
        <v>№5</v>
      </c>
      <c r="M33" s="13" t="str">
        <f>IF($A33="","",IF(COUNTIFS($J$4:$J33,$J33,$F$4:$F33,$F33)=1,$F33,""))</f>
        <v>МАЗ 4381</v>
      </c>
    </row>
    <row r="34" spans="1:13" x14ac:dyDescent="0.35">
      <c r="A34" s="23" t="str">
        <f>IFERROR(М6_АТ4021_0586!B164,"")</f>
        <v>2 пров. Героїв Прилук</v>
      </c>
      <c r="B34" s="23" t="str">
        <f>IFERROR(IF(М6_АТ4021_0586!C164="","",TEXT(М6_АТ4021_0586!C164,"General")),"")</f>
        <v>4, Гаражі</v>
      </c>
      <c r="C34" s="24" t="str">
        <f>"П'ятниця"</f>
        <v>П'ятниця</v>
      </c>
      <c r="D34" s="24" t="str">
        <f>IFERROR(TEXT(М6_АТ4021_0586!D164,"h:mm"),"")</f>
        <v>9:30</v>
      </c>
      <c r="E34" s="24" t="str">
        <f>"№6"</f>
        <v>№6</v>
      </c>
      <c r="F34" s="24" t="str">
        <f>"АТ 4021"</f>
        <v>АТ 4021</v>
      </c>
      <c r="G34" s="24" t="str">
        <f>"СВ 33-16 ЕО"</f>
        <v>СВ 33-16 ЕО</v>
      </c>
      <c r="H34" s="24"/>
      <c r="J34" s="13" t="str">
        <f t="shared" si="0"/>
        <v>2 пров. Героїв Прилук|4, Гаражі</v>
      </c>
      <c r="K34" s="32">
        <f t="shared" si="1"/>
        <v>0.39583333333333331</v>
      </c>
      <c r="L34" s="13" t="str">
        <f>IF($A34="","",IF(COUNTIFS($J$4:$J34,$J34,$E$4:$E34,$E34)=1,$E34,""))</f>
        <v>№6</v>
      </c>
      <c r="M34" s="13" t="str">
        <f>IF($A34="","",IF(COUNTIFS($J$4:$J34,$J34,$F$4:$F34,$F34)=1,$F34,""))</f>
        <v>АТ 4021</v>
      </c>
    </row>
    <row r="35" spans="1:13" x14ac:dyDescent="0.35">
      <c r="A35" s="23" t="str">
        <f>IFERROR(М6_АТ4021_0586!B64,"")</f>
        <v>2 пров. Героїв Чорнобиля</v>
      </c>
      <c r="B35" s="23" t="str">
        <f>IFERROR(IF(М6_АТ4021_0586!C64="","",TEXT(М6_АТ4021_0586!C64,"General")),"")</f>
        <v>27,20  7,2</v>
      </c>
      <c r="C35" s="24" t="str">
        <f>"Вівторок"</f>
        <v>Вівторок</v>
      </c>
      <c r="D35" s="24" t="str">
        <f>IFERROR(TEXT(М6_АТ4021_0586!D64,"h:mm"),"")</f>
        <v>13:45</v>
      </c>
      <c r="E35" s="24" t="str">
        <f>"№6"</f>
        <v>№6</v>
      </c>
      <c r="F35" s="24" t="str">
        <f>"АТ 4021"</f>
        <v>АТ 4021</v>
      </c>
      <c r="G35" s="24" t="str">
        <f>"СВ 33-16 ЕО"</f>
        <v>СВ 33-16 ЕО</v>
      </c>
      <c r="H35" s="24"/>
      <c r="J35" s="13" t="str">
        <f t="shared" si="0"/>
        <v>2 пров. Героїв Чорнобиля|27,20  7,2</v>
      </c>
      <c r="K35" s="32">
        <f t="shared" si="1"/>
        <v>0.57291666666666663</v>
      </c>
      <c r="L35" s="13" t="str">
        <f>IF($A35="","",IF(COUNTIFS($J$4:$J35,$J35,$E$4:$E35,$E35)=1,$E35,""))</f>
        <v>№6</v>
      </c>
      <c r="M35" s="13" t="str">
        <f>IF($A35="","",IF(COUNTIFS($J$4:$J35,$J35,$F$4:$F35,$F35)=1,$F35,""))</f>
        <v>АТ 4021</v>
      </c>
    </row>
    <row r="36" spans="1:13" x14ac:dyDescent="0.35">
      <c r="A36" s="23" t="str">
        <f>IFERROR(М5_МАЗ4381_0592!B13,"")</f>
        <v>2 пров. Дослідний</v>
      </c>
      <c r="B36" s="23" t="str">
        <f>IFERROR(IF(М5_МАЗ4381_0592!C13="","",TEXT(М5_МАЗ4381_0592!C13,"General")),"")</f>
        <v/>
      </c>
      <c r="C36" s="24" t="str">
        <f>"Понеділок"</f>
        <v>Понеділок</v>
      </c>
      <c r="D36" s="24" t="str">
        <f>IFERROR(TEXT(М5_МАЗ4381_0592!D13,"h:mm"),"")</f>
        <v>8:15</v>
      </c>
      <c r="E36" s="24" t="str">
        <f>"№5"</f>
        <v>№5</v>
      </c>
      <c r="F36" s="24" t="str">
        <f>"МАЗ 4381"</f>
        <v>МАЗ 4381</v>
      </c>
      <c r="G36" s="24" t="str">
        <f>"СВ 81-71 ВК"</f>
        <v>СВ 81-71 ВК</v>
      </c>
      <c r="H36" s="24"/>
      <c r="J36" s="13" t="str">
        <f t="shared" si="0"/>
        <v>2 пров. Дослідний|</v>
      </c>
      <c r="K36" s="32">
        <f t="shared" si="1"/>
        <v>0.34375</v>
      </c>
      <c r="L36" s="13" t="str">
        <f>IF($A36="","",IF(COUNTIFS($J$4:$J36,$J36,$E$4:$E36,$E36)=1,$E36,""))</f>
        <v>№5</v>
      </c>
      <c r="M36" s="13" t="str">
        <f>IF($A36="","",IF(COUNTIFS($J$4:$J36,$J36,$F$4:$F36,$F36)=1,$F36,""))</f>
        <v>МАЗ 4381</v>
      </c>
    </row>
    <row r="37" spans="1:13" x14ac:dyDescent="0.35">
      <c r="A37" s="23" t="str">
        <f>IFERROR(М5_МАЗ4381_0592!B29,"")</f>
        <v>2 пров. Зелений</v>
      </c>
      <c r="B37" s="23" t="str">
        <f>IFERROR(IF(М5_МАЗ4381_0592!C29="","",TEXT(М5_МАЗ4381_0592!C29,"General")),"")</f>
        <v/>
      </c>
      <c r="C37" s="24" t="str">
        <f>"Понеділок"</f>
        <v>Понеділок</v>
      </c>
      <c r="D37" s="24" t="str">
        <f>IFERROR(TEXT(М5_МАЗ4381_0592!D29,"h:mm"),"")</f>
        <v>12:40</v>
      </c>
      <c r="E37" s="24" t="str">
        <f>"№5"</f>
        <v>№5</v>
      </c>
      <c r="F37" s="24" t="str">
        <f>"МАЗ 4381"</f>
        <v>МАЗ 4381</v>
      </c>
      <c r="G37" s="24" t="str">
        <f>"СВ 81-71 ВК"</f>
        <v>СВ 81-71 ВК</v>
      </c>
      <c r="H37" s="24"/>
      <c r="J37" s="13" t="str">
        <f t="shared" si="0"/>
        <v>2 пров. Зелений|</v>
      </c>
      <c r="K37" s="32">
        <f t="shared" si="1"/>
        <v>0.52777777777777779</v>
      </c>
      <c r="L37" s="13" t="str">
        <f>IF($A37="","",IF(COUNTIFS($J$4:$J37,$J37,$E$4:$E37,$E37)=1,$E37,""))</f>
        <v>№5</v>
      </c>
      <c r="M37" s="13" t="str">
        <f>IF($A37="","",IF(COUNTIFS($J$4:$J37,$J37,$F$4:$F37,$F37)=1,$F37,""))</f>
        <v>МАЗ 4381</v>
      </c>
    </row>
    <row r="38" spans="1:13" x14ac:dyDescent="0.35">
      <c r="A38" s="23" t="str">
        <f>IFERROR(М5_МАЗ4381_0592!B32,"")</f>
        <v>2 пров. Змагання</v>
      </c>
      <c r="B38" s="23" t="str">
        <f>IFERROR(IF(М5_МАЗ4381_0592!C32="","",TEXT(М5_МАЗ4381_0592!C32,"General")),"")</f>
        <v/>
      </c>
      <c r="C38" s="24" t="str">
        <f>"Понеділок"</f>
        <v>Понеділок</v>
      </c>
      <c r="D38" s="24" t="str">
        <f>IFERROR(TEXT(М5_МАЗ4381_0592!D32,"h:mm"),"")</f>
        <v>13:30</v>
      </c>
      <c r="E38" s="24" t="str">
        <f>"№5"</f>
        <v>№5</v>
      </c>
      <c r="F38" s="24" t="str">
        <f>"МАЗ 4381"</f>
        <v>МАЗ 4381</v>
      </c>
      <c r="G38" s="24" t="str">
        <f>"СВ 81-71 ВК"</f>
        <v>СВ 81-71 ВК</v>
      </c>
      <c r="H38" s="24"/>
      <c r="J38" s="13" t="str">
        <f t="shared" si="0"/>
        <v>2 пров. Змагання|</v>
      </c>
      <c r="K38" s="32">
        <f t="shared" si="1"/>
        <v>0.5625</v>
      </c>
      <c r="L38" s="13" t="str">
        <f>IF($A38="","",IF(COUNTIFS($J$4:$J38,$J38,$E$4:$E38,$E38)=1,$E38,""))</f>
        <v>№5</v>
      </c>
      <c r="M38" s="13" t="str">
        <f>IF($A38="","",IF(COUNTIFS($J$4:$J38,$J38,$F$4:$F38,$F38)=1,$F38,""))</f>
        <v>МАЗ 4381</v>
      </c>
    </row>
    <row r="39" spans="1:13" x14ac:dyDescent="0.35">
      <c r="A39" s="23" t="str">
        <f>IFERROR(М6_АТ4021_0586!B28,"")</f>
        <v>2 пров. Межовий</v>
      </c>
      <c r="B39" s="23" t="str">
        <f>IFERROR(IF(М6_АТ4021_0586!C28="","",TEXT(М6_АТ4021_0586!C28,"General")),"")</f>
        <v>3,4</v>
      </c>
      <c r="C39" s="24" t="str">
        <f>"Понеділок"</f>
        <v>Понеділок</v>
      </c>
      <c r="D39" s="24" t="str">
        <f>IFERROR(TEXT(М6_АТ4021_0586!D28,"h:mm"),"")</f>
        <v>12:15</v>
      </c>
      <c r="E39" s="24" t="str">
        <f>"№6"</f>
        <v>№6</v>
      </c>
      <c r="F39" s="24" t="str">
        <f>"АТ 4021"</f>
        <v>АТ 4021</v>
      </c>
      <c r="G39" s="24" t="str">
        <f>"СВ 33-16 ЕО"</f>
        <v>СВ 33-16 ЕО</v>
      </c>
      <c r="H39" s="24"/>
      <c r="J39" s="13" t="str">
        <f t="shared" si="0"/>
        <v>2 пров. Межовий|3,4</v>
      </c>
      <c r="K39" s="32">
        <f t="shared" si="1"/>
        <v>0.51041666666666663</v>
      </c>
      <c r="L39" s="13" t="str">
        <f>IF($A39="","",IF(COUNTIFS($J$4:$J39,$J39,$E$4:$E39,$E39)=1,$E39,""))</f>
        <v>№6</v>
      </c>
      <c r="M39" s="13" t="str">
        <f>IF($A39="","",IF(COUNTIFS($J$4:$J39,$J39,$F$4:$F39,$F39)=1,$F39,""))</f>
        <v>АТ 4021</v>
      </c>
    </row>
    <row r="40" spans="1:13" x14ac:dyDescent="0.35">
      <c r="A40" s="23" t="str">
        <f>IFERROR(М5_МАЗ4381_0592!B18,"")</f>
        <v>2 пров. П. Комуни</v>
      </c>
      <c r="B40" s="23" t="str">
        <f>IFERROR(IF(М5_МАЗ4381_0592!C18="","",TEXT(М5_МАЗ4381_0592!C18,"General")),"")</f>
        <v/>
      </c>
      <c r="C40" s="24" t="str">
        <f>"Понеділок"</f>
        <v>Понеділок</v>
      </c>
      <c r="D40" s="24" t="str">
        <f>IFERROR(TEXT(М5_МАЗ4381_0592!D18,"h:mm"),"")</f>
        <v>9:15</v>
      </c>
      <c r="E40" s="24" t="str">
        <f>"№5"</f>
        <v>№5</v>
      </c>
      <c r="F40" s="24" t="str">
        <f>"МАЗ 4381"</f>
        <v>МАЗ 4381</v>
      </c>
      <c r="G40" s="24" t="str">
        <f>"СВ 81-71 ВК"</f>
        <v>СВ 81-71 ВК</v>
      </c>
      <c r="H40" s="24"/>
      <c r="J40" s="13" t="str">
        <f t="shared" si="0"/>
        <v>2 пров. П. Комуни|</v>
      </c>
      <c r="K40" s="32">
        <f t="shared" si="1"/>
        <v>0.38541666666666669</v>
      </c>
      <c r="L40" s="13" t="str">
        <f>IF($A40="","",IF(COUNTIFS($J$4:$J40,$J40,$E$4:$E40,$E40)=1,$E40,""))</f>
        <v>№5</v>
      </c>
      <c r="M40" s="13" t="str">
        <f>IF($A40="","",IF(COUNTIFS($J$4:$J40,$J40,$F$4:$F40,$F40)=1,$F40,""))</f>
        <v>МАЗ 4381</v>
      </c>
    </row>
    <row r="41" spans="1:13" x14ac:dyDescent="0.35">
      <c r="A41" s="23" t="str">
        <f>IFERROR(М6_АТ4021_0586!B106,"")</f>
        <v>2 пров. Педагогічний</v>
      </c>
      <c r="B41" s="23" t="str">
        <f>IFERROR(IF(М6_АТ4021_0586!C106="","",TEXT(М6_АТ4021_0586!C106,"General")),"")</f>
        <v>5,11  14,20</v>
      </c>
      <c r="C41" s="24" t="str">
        <f>"Середа"</f>
        <v>Середа</v>
      </c>
      <c r="D41" s="24" t="str">
        <f>IFERROR(TEXT(М6_АТ4021_0586!D106,"h:mm"),"")</f>
        <v>15:00</v>
      </c>
      <c r="E41" s="24" t="str">
        <f>"№6"</f>
        <v>№6</v>
      </c>
      <c r="F41" s="24" t="str">
        <f>"АТ 4021"</f>
        <v>АТ 4021</v>
      </c>
      <c r="G41" s="24" t="str">
        <f>"СВ 33-16 ЕО"</f>
        <v>СВ 33-16 ЕО</v>
      </c>
      <c r="H41" s="24"/>
      <c r="J41" s="13" t="str">
        <f t="shared" si="0"/>
        <v>2 пров. Педагогічний|5,11  14,20</v>
      </c>
      <c r="K41" s="32">
        <f t="shared" si="1"/>
        <v>0.625</v>
      </c>
      <c r="L41" s="13" t="str">
        <f>IF($A41="","",IF(COUNTIFS($J$4:$J41,$J41,$E$4:$E41,$E41)=1,$E41,""))</f>
        <v>№6</v>
      </c>
      <c r="M41" s="13" t="str">
        <f>IF($A41="","",IF(COUNTIFS($J$4:$J41,$J41,$F$4:$F41,$F41)=1,$F41,""))</f>
        <v>АТ 4021</v>
      </c>
    </row>
    <row r="42" spans="1:13" x14ac:dyDescent="0.35">
      <c r="A42" s="23" t="str">
        <f>IFERROR(М6_АТ4021_0586!B17,"")</f>
        <v>2 пров. Пирогівський</v>
      </c>
      <c r="B42" s="23" t="str">
        <f>IFERROR(IF(М6_АТ4021_0586!C17="","",TEXT(М6_АТ4021_0586!C17,"General")),"")</f>
        <v>4,6  14,27</v>
      </c>
      <c r="C42" s="24" t="str">
        <f>"Понеділок"</f>
        <v>Понеділок</v>
      </c>
      <c r="D42" s="24" t="str">
        <f>IFERROR(TEXT(М6_АТ4021_0586!D17,"h:mm"),"")</f>
        <v>9:20</v>
      </c>
      <c r="E42" s="24" t="str">
        <f>"№6"</f>
        <v>№6</v>
      </c>
      <c r="F42" s="24" t="str">
        <f>"АТ 4021"</f>
        <v>АТ 4021</v>
      </c>
      <c r="G42" s="24" t="str">
        <f>"СВ 33-16 ЕО"</f>
        <v>СВ 33-16 ЕО</v>
      </c>
      <c r="H42" s="24"/>
      <c r="J42" s="13" t="str">
        <f t="shared" si="0"/>
        <v>2 пров. Пирогівський|4,6  14,27</v>
      </c>
      <c r="K42" s="32">
        <f t="shared" si="1"/>
        <v>0.3888888888888889</v>
      </c>
      <c r="L42" s="13" t="str">
        <f>IF($A42="","",IF(COUNTIFS($J$4:$J42,$J42,$E$4:$E42,$E42)=1,$E42,""))</f>
        <v>№6</v>
      </c>
      <c r="M42" s="13" t="str">
        <f>IF($A42="","",IF(COUNTIFS($J$4:$J42,$J42,$F$4:$F42,$F42)=1,$F42,""))</f>
        <v>АТ 4021</v>
      </c>
    </row>
    <row r="43" spans="1:13" x14ac:dyDescent="0.35">
      <c r="A43" s="23" t="str">
        <f>IFERROR(М5_МАЗ4381_0592!B131,"")</f>
        <v>2 пров. Рокітний</v>
      </c>
      <c r="B43" s="23" t="str">
        <f>IFERROR(IF(М5_МАЗ4381_0592!C131="","",TEXT(М5_МАЗ4381_0592!C131,"General")),"")</f>
        <v/>
      </c>
      <c r="C43" s="24" t="str">
        <f>"Четвер"</f>
        <v>Четвер</v>
      </c>
      <c r="D43" s="24" t="str">
        <f>IFERROR(TEXT(М5_МАЗ4381_0592!D131,"h:mm"),"")</f>
        <v>10:10</v>
      </c>
      <c r="E43" s="24" t="str">
        <f>"№5"</f>
        <v>№5</v>
      </c>
      <c r="F43" s="24" t="str">
        <f>"МАЗ 4381"</f>
        <v>МАЗ 4381</v>
      </c>
      <c r="G43" s="24" t="str">
        <f>"СВ 81-71 ВК"</f>
        <v>СВ 81-71 ВК</v>
      </c>
      <c r="H43" s="24"/>
      <c r="J43" s="13" t="str">
        <f t="shared" si="0"/>
        <v>2 пров. Рокітний|</v>
      </c>
      <c r="K43" s="32">
        <f t="shared" si="1"/>
        <v>0.4236111111111111</v>
      </c>
      <c r="L43" s="13" t="str">
        <f>IF($A43="","",IF(COUNTIFS($J$4:$J43,$J43,$E$4:$E43,$E43)=1,$E43,""))</f>
        <v>№5</v>
      </c>
      <c r="M43" s="13" t="str">
        <f>IF($A43="","",IF(COUNTIFS($J$4:$J43,$J43,$F$4:$F43,$F43)=1,$F43,""))</f>
        <v>МАЗ 4381</v>
      </c>
    </row>
    <row r="44" spans="1:13" x14ac:dyDescent="0.35">
      <c r="A44" s="23" t="str">
        <f>IFERROR(М5_МАЗ4381_0592!B193,"")</f>
        <v>2 пров. Східний</v>
      </c>
      <c r="B44" s="23" t="str">
        <f>IFERROR(IF(М5_МАЗ4381_0592!C193="","",TEXT(М5_МАЗ4381_0592!C193,"General")),"")</f>
        <v/>
      </c>
      <c r="C44" s="24" t="str">
        <f>"П'ятниця"</f>
        <v>П'ятниця</v>
      </c>
      <c r="D44" s="24" t="str">
        <f>IFERROR(TEXT(М5_МАЗ4381_0592!D193,"h:mm"),"")</f>
        <v>14:15</v>
      </c>
      <c r="E44" s="24" t="str">
        <f>"№5"</f>
        <v>№5</v>
      </c>
      <c r="F44" s="24" t="str">
        <f>"МАЗ 4381"</f>
        <v>МАЗ 4381</v>
      </c>
      <c r="G44" s="24" t="str">
        <f>"СВ 81-71 ВК"</f>
        <v>СВ 81-71 ВК</v>
      </c>
      <c r="H44" s="24"/>
      <c r="J44" s="13" t="str">
        <f t="shared" si="0"/>
        <v>2 пров. Східний|</v>
      </c>
      <c r="K44" s="32">
        <f t="shared" si="1"/>
        <v>0.59375</v>
      </c>
      <c r="L44" s="13" t="str">
        <f>IF($A44="","",IF(COUNTIFS($J$4:$J44,$J44,$E$4:$E44,$E44)=1,$E44,""))</f>
        <v>№5</v>
      </c>
      <c r="M44" s="13" t="str">
        <f>IF($A44="","",IF(COUNTIFS($J$4:$J44,$J44,$F$4:$F44,$F44)=1,$F44,""))</f>
        <v>МАЗ 4381</v>
      </c>
    </row>
    <row r="45" spans="1:13" x14ac:dyDescent="0.35">
      <c r="A45" s="23" t="str">
        <f>IFERROR(М6_АТ4021_0586!B36,"")</f>
        <v>2 пров. Удайський</v>
      </c>
      <c r="B45" s="23" t="str">
        <f>IFERROR(IF(М6_АТ4021_0586!C36="","",TEXT(М6_АТ4021_0586!C36,"General")),"")</f>
        <v>12,4</v>
      </c>
      <c r="C45" s="24" t="str">
        <f>"Понеділок"</f>
        <v>Понеділок</v>
      </c>
      <c r="D45" s="24" t="str">
        <f>IFERROR(TEXT(М6_АТ4021_0586!D36,"h:mm"),"")</f>
        <v>15:15</v>
      </c>
      <c r="E45" s="24" t="str">
        <f>"№6"</f>
        <v>№6</v>
      </c>
      <c r="F45" s="24" t="str">
        <f>"АТ 4021"</f>
        <v>АТ 4021</v>
      </c>
      <c r="G45" s="24" t="str">
        <f>"СВ 33-16 ЕО"</f>
        <v>СВ 33-16 ЕО</v>
      </c>
      <c r="H45" s="24"/>
      <c r="J45" s="13" t="str">
        <f t="shared" si="0"/>
        <v>2 пров. Удайський|12,4</v>
      </c>
      <c r="K45" s="32">
        <f t="shared" si="1"/>
        <v>0.63541666666666663</v>
      </c>
      <c r="L45" s="13" t="str">
        <f>IF($A45="","",IF(COUNTIFS($J$4:$J45,$J45,$E$4:$E45,$E45)=1,$E45,""))</f>
        <v>№6</v>
      </c>
      <c r="M45" s="13" t="str">
        <f>IF($A45="","",IF(COUNTIFS($J$4:$J45,$J45,$F$4:$F45,$F45)=1,$F45,""))</f>
        <v>АТ 4021</v>
      </c>
    </row>
    <row r="46" spans="1:13" x14ac:dyDescent="0.35">
      <c r="A46" s="23" t="str">
        <f>IFERROR(М6_АТ4021_0586!B57,"")</f>
        <v>2 пров. Шевченка</v>
      </c>
      <c r="B46" s="23" t="str">
        <f>IFERROR(IF(М6_АТ4021_0586!C57="","",TEXT(М6_АТ4021_0586!C57,"General")),"")</f>
        <v>4,15</v>
      </c>
      <c r="C46" s="24" t="str">
        <f>"Вівторок"</f>
        <v>Вівторок</v>
      </c>
      <c r="D46" s="24" t="str">
        <f>IFERROR(TEXT(М6_АТ4021_0586!D57,"h:mm"),"")</f>
        <v>10:50</v>
      </c>
      <c r="E46" s="24" t="str">
        <f>"№6"</f>
        <v>№6</v>
      </c>
      <c r="F46" s="24" t="str">
        <f>"АТ 4021"</f>
        <v>АТ 4021</v>
      </c>
      <c r="G46" s="24" t="str">
        <f>"СВ 33-16 ЕО"</f>
        <v>СВ 33-16 ЕО</v>
      </c>
      <c r="H46" s="24"/>
      <c r="J46" s="13" t="str">
        <f t="shared" si="0"/>
        <v>2 пров. Шевченка|4,15</v>
      </c>
      <c r="K46" s="32">
        <f t="shared" si="1"/>
        <v>0.4513888888888889</v>
      </c>
      <c r="L46" s="13" t="str">
        <f>IF($A46="","",IF(COUNTIFS($J$4:$J46,$J46,$E$4:$E46,$E46)=1,$E46,""))</f>
        <v>№6</v>
      </c>
      <c r="M46" s="13" t="str">
        <f>IF($A46="","",IF(COUNTIFS($J$4:$J46,$J46,$F$4:$F46,$F46)=1,$F46,""))</f>
        <v>АТ 4021</v>
      </c>
    </row>
    <row r="47" spans="1:13" x14ac:dyDescent="0.35">
      <c r="A47" s="23" t="str">
        <f>IFERROR(М5_МАЗ4381_0592!B108,"")</f>
        <v>3 пров. Європейський</v>
      </c>
      <c r="B47" s="23" t="str">
        <f>IFERROR(IF(М5_МАЗ4381_0592!C108="","",TEXT(М5_МАЗ4381_0592!C108,"General")),"")</f>
        <v/>
      </c>
      <c r="C47" s="24" t="str">
        <f>"Середа"</f>
        <v>Середа</v>
      </c>
      <c r="D47" s="24" t="str">
        <f>IFERROR(TEXT(М5_МАЗ4381_0592!D108,"h:mm"),"")</f>
        <v>14:45</v>
      </c>
      <c r="E47" s="24" t="str">
        <f>"№5"</f>
        <v>№5</v>
      </c>
      <c r="F47" s="24" t="str">
        <f>"МАЗ 4381"</f>
        <v>МАЗ 4381</v>
      </c>
      <c r="G47" s="24" t="str">
        <f>"СВ 81-71 ВК"</f>
        <v>СВ 81-71 ВК</v>
      </c>
      <c r="H47" s="24"/>
      <c r="J47" s="13" t="str">
        <f t="shared" si="0"/>
        <v>3 пров. Європейський|</v>
      </c>
      <c r="K47" s="32">
        <f t="shared" si="1"/>
        <v>0.61458333333333337</v>
      </c>
      <c r="L47" s="13" t="str">
        <f>IF($A47="","",IF(COUNTIFS($J$4:$J47,$J47,$E$4:$E47,$E47)=1,$E47,""))</f>
        <v>№5</v>
      </c>
      <c r="M47" s="13" t="str">
        <f>IF($A47="","",IF(COUNTIFS($J$4:$J47,$J47,$F$4:$F47,$F47)=1,$F47,""))</f>
        <v>МАЗ 4381</v>
      </c>
    </row>
    <row r="48" spans="1:13" x14ac:dyDescent="0.35">
      <c r="A48" s="23" t="str">
        <f>IFERROR(М5_МАЗ4381_0592!B62,"")</f>
        <v>3 пров. І. Сірка</v>
      </c>
      <c r="B48" s="23" t="str">
        <f>IFERROR(IF(М5_МАЗ4381_0592!C62="","",TEXT(М5_МАЗ4381_0592!C62,"General")),"")</f>
        <v/>
      </c>
      <c r="C48" s="24" t="str">
        <f>"Вівторок"</f>
        <v>Вівторок</v>
      </c>
      <c r="D48" s="24" t="str">
        <f>IFERROR(TEXT(М5_МАЗ4381_0592!D62,"h:mm"),"")</f>
        <v>12:10</v>
      </c>
      <c r="E48" s="24" t="str">
        <f>"№5"</f>
        <v>№5</v>
      </c>
      <c r="F48" s="24" t="str">
        <f>"МАЗ 4381"</f>
        <v>МАЗ 4381</v>
      </c>
      <c r="G48" s="24" t="str">
        <f>"СВ 81-71 ВК"</f>
        <v>СВ 81-71 ВК</v>
      </c>
      <c r="H48" s="24"/>
      <c r="J48" s="13" t="str">
        <f t="shared" si="0"/>
        <v>3 пров. І. Сірка|</v>
      </c>
      <c r="K48" s="32">
        <f t="shared" si="1"/>
        <v>0.50694444444444442</v>
      </c>
      <c r="L48" s="13" t="str">
        <f>IF($A48="","",IF(COUNTIFS($J$4:$J48,$J48,$E$4:$E48,$E48)=1,$E48,""))</f>
        <v>№5</v>
      </c>
      <c r="M48" s="13" t="str">
        <f>IF($A48="","",IF(COUNTIFS($J$4:$J48,$J48,$F$4:$F48,$F48)=1,$F48,""))</f>
        <v>МАЗ 4381</v>
      </c>
    </row>
    <row r="49" spans="1:13" x14ac:dyDescent="0.35">
      <c r="A49" s="23" t="str">
        <f>IFERROR(М6_АТ4021_0586!B140,"")</f>
        <v>3 пров. Гімназичний</v>
      </c>
      <c r="B49" s="23" t="str">
        <f>IFERROR(IF(М6_АТ4021_0586!C140="","",TEXT(М6_АТ4021_0586!C140,"General")),"")</f>
        <v>3,9</v>
      </c>
      <c r="C49" s="24" t="str">
        <f>"Четвер"</f>
        <v>Четвер</v>
      </c>
      <c r="D49" s="24" t="str">
        <f>IFERROR(TEXT(М6_АТ4021_0586!D140,"h:mm"),"")</f>
        <v>14:00</v>
      </c>
      <c r="E49" s="24" t="str">
        <f>"№6"</f>
        <v>№6</v>
      </c>
      <c r="F49" s="24" t="str">
        <f>"АТ 4021"</f>
        <v>АТ 4021</v>
      </c>
      <c r="G49" s="24" t="str">
        <f>"СВ 33-16 ЕО"</f>
        <v>СВ 33-16 ЕО</v>
      </c>
      <c r="H49" s="24"/>
      <c r="J49" s="13" t="str">
        <f t="shared" si="0"/>
        <v>3 пров. Гімназичний|3,9</v>
      </c>
      <c r="K49" s="32">
        <f t="shared" si="1"/>
        <v>0.58333333333333337</v>
      </c>
      <c r="L49" s="13" t="str">
        <f>IF($A49="","",IF(COUNTIFS($J$4:$J49,$J49,$E$4:$E49,$E49)=1,$E49,""))</f>
        <v>№6</v>
      </c>
      <c r="M49" s="13" t="str">
        <f>IF($A49="","",IF(COUNTIFS($J$4:$J49,$J49,$F$4:$F49,$F49)=1,$F49,""))</f>
        <v>АТ 4021</v>
      </c>
    </row>
    <row r="50" spans="1:13" x14ac:dyDescent="0.35">
      <c r="A50" s="23" t="str">
        <f>IFERROR(М5_МАЗ4381_0592!B14,"")</f>
        <v>3 пров. Дослідний</v>
      </c>
      <c r="B50" s="23" t="str">
        <f>IFERROR(IF(М5_МАЗ4381_0592!C14="","",TEXT(М5_МАЗ4381_0592!C14,"General")),"")</f>
        <v/>
      </c>
      <c r="C50" s="24" t="str">
        <f>"Понеділок"</f>
        <v>Понеділок</v>
      </c>
      <c r="D50" s="24" t="str">
        <f>IFERROR(TEXT(М5_МАЗ4381_0592!D14,"h:mm"),"")</f>
        <v>8:30</v>
      </c>
      <c r="E50" s="24" t="str">
        <f>"№5"</f>
        <v>№5</v>
      </c>
      <c r="F50" s="24" t="str">
        <f>"МАЗ 4381"</f>
        <v>МАЗ 4381</v>
      </c>
      <c r="G50" s="24" t="str">
        <f>"СВ 81-71 ВК"</f>
        <v>СВ 81-71 ВК</v>
      </c>
      <c r="H50" s="24"/>
      <c r="J50" s="13" t="str">
        <f t="shared" si="0"/>
        <v>3 пров. Дослідний|</v>
      </c>
      <c r="K50" s="32">
        <f t="shared" si="1"/>
        <v>0.35416666666666669</v>
      </c>
      <c r="L50" s="13" t="str">
        <f>IF($A50="","",IF(COUNTIFS($J$4:$J50,$J50,$E$4:$E50,$E50)=1,$E50,""))</f>
        <v>№5</v>
      </c>
      <c r="M50" s="13" t="str">
        <f>IF($A50="","",IF(COUNTIFS($J$4:$J50,$J50,$F$4:$F50,$F50)=1,$F50,""))</f>
        <v>МАЗ 4381</v>
      </c>
    </row>
    <row r="51" spans="1:13" x14ac:dyDescent="0.35">
      <c r="A51" s="23" t="str">
        <f>IFERROR(М6_АТ4021_0586!B127,"")</f>
        <v>3 пров. Замостянський</v>
      </c>
      <c r="B51" s="23" t="str">
        <f>IFERROR(IF(М6_АТ4021_0586!C127="","",TEXT(М6_АТ4021_0586!C127,"General")),"")</f>
        <v>12,9,5</v>
      </c>
      <c r="C51" s="24" t="str">
        <f>"Четвер"</f>
        <v>Четвер</v>
      </c>
      <c r="D51" s="24" t="str">
        <f>IFERROR(TEXT(М6_АТ4021_0586!D127,"h:mm"),"")</f>
        <v>9:35</v>
      </c>
      <c r="E51" s="24" t="str">
        <f>"№6"</f>
        <v>№6</v>
      </c>
      <c r="F51" s="24" t="str">
        <f>"АТ 4021"</f>
        <v>АТ 4021</v>
      </c>
      <c r="G51" s="24" t="str">
        <f>"СВ 33-16 ЕО"</f>
        <v>СВ 33-16 ЕО</v>
      </c>
      <c r="H51" s="24"/>
      <c r="J51" s="13" t="str">
        <f t="shared" si="0"/>
        <v>3 пров. Замостянський|12,9,5</v>
      </c>
      <c r="K51" s="32">
        <f t="shared" si="1"/>
        <v>0.39930555555555558</v>
      </c>
      <c r="L51" s="13" t="str">
        <f>IF($A51="","",IF(COUNTIFS($J$4:$J51,$J51,$E$4:$E51,$E51)=1,$E51,""))</f>
        <v>№6</v>
      </c>
      <c r="M51" s="13" t="str">
        <f>IF($A51="","",IF(COUNTIFS($J$4:$J51,$J51,$F$4:$F51,$F51)=1,$F51,""))</f>
        <v>АТ 4021</v>
      </c>
    </row>
    <row r="52" spans="1:13" x14ac:dyDescent="0.35">
      <c r="A52" s="23" t="str">
        <f>IFERROR(М5_МАЗ4381_0592!B19,"")</f>
        <v>3 пров. П. Комуни</v>
      </c>
      <c r="B52" s="23" t="str">
        <f>IFERROR(IF(М5_МАЗ4381_0592!C19="","",TEXT(М5_МАЗ4381_0592!C19,"General")),"")</f>
        <v/>
      </c>
      <c r="C52" s="24" t="str">
        <f>"Понеділок"</f>
        <v>Понеділок</v>
      </c>
      <c r="D52" s="24" t="str">
        <f>IFERROR(TEXT(М5_МАЗ4381_0592!D19,"h:mm"),"")</f>
        <v>9:30</v>
      </c>
      <c r="E52" s="24" t="str">
        <f>"№5"</f>
        <v>№5</v>
      </c>
      <c r="F52" s="24" t="str">
        <f>"МАЗ 4381"</f>
        <v>МАЗ 4381</v>
      </c>
      <c r="G52" s="24" t="str">
        <f>"СВ 81-71 ВК"</f>
        <v>СВ 81-71 ВК</v>
      </c>
      <c r="H52" s="24"/>
      <c r="J52" s="13" t="str">
        <f t="shared" si="0"/>
        <v>3 пров. П. Комуни|</v>
      </c>
      <c r="K52" s="32">
        <f t="shared" si="1"/>
        <v>0.39583333333333331</v>
      </c>
      <c r="L52" s="13" t="str">
        <f>IF($A52="","",IF(COUNTIFS($J$4:$J52,$J52,$E$4:$E52,$E52)=1,$E52,""))</f>
        <v>№5</v>
      </c>
      <c r="M52" s="13" t="str">
        <f>IF($A52="","",IF(COUNTIFS($J$4:$J52,$J52,$F$4:$F52,$F52)=1,$F52,""))</f>
        <v>МАЗ 4381</v>
      </c>
    </row>
    <row r="53" spans="1:13" x14ac:dyDescent="0.35">
      <c r="A53" s="23" t="str">
        <f>IFERROR(М6_АТ4021_0586!B37,"")</f>
        <v>3 пров. Удайський</v>
      </c>
      <c r="B53" s="23" t="str">
        <f>IFERROR(IF(М6_АТ4021_0586!C37="","",TEXT(М6_АТ4021_0586!C37,"General")),"")</f>
        <v>6,11  45,33</v>
      </c>
      <c r="C53" s="24" t="str">
        <f>"Понеділок"</f>
        <v>Понеділок</v>
      </c>
      <c r="D53" s="24" t="str">
        <f>IFERROR(TEXT(М6_АТ4021_0586!D37,"h:mm"),"")</f>
        <v>15:40</v>
      </c>
      <c r="E53" s="24" t="str">
        <f>"№6"</f>
        <v>№6</v>
      </c>
      <c r="F53" s="24" t="str">
        <f>"АТ 4021"</f>
        <v>АТ 4021</v>
      </c>
      <c r="G53" s="24" t="str">
        <f>"СВ 33-16 ЕО"</f>
        <v>СВ 33-16 ЕО</v>
      </c>
      <c r="H53" s="24"/>
      <c r="J53" s="13" t="str">
        <f t="shared" si="0"/>
        <v>3 пров. Удайський|6,11  45,33</v>
      </c>
      <c r="K53" s="32">
        <f t="shared" si="1"/>
        <v>0.65277777777777779</v>
      </c>
      <c r="L53" s="13" t="str">
        <f>IF($A53="","",IF(COUNTIFS($J$4:$J53,$J53,$E$4:$E53,$E53)=1,$E53,""))</f>
        <v>№6</v>
      </c>
      <c r="M53" s="13" t="str">
        <f>IF($A53="","",IF(COUNTIFS($J$4:$J53,$J53,$F$4:$F53,$F53)=1,$F53,""))</f>
        <v>АТ 4021</v>
      </c>
    </row>
    <row r="54" spans="1:13" x14ac:dyDescent="0.35">
      <c r="A54" s="23" t="str">
        <f>IFERROR(М5_МАЗ4381_0592!B15,"")</f>
        <v>4 пров. Дослідний</v>
      </c>
      <c r="B54" s="23" t="str">
        <f>IFERROR(IF(М5_МАЗ4381_0592!C15="","",TEXT(М5_МАЗ4381_0592!C15,"General")),"")</f>
        <v/>
      </c>
      <c r="C54" s="24" t="str">
        <f>"Понеділок"</f>
        <v>Понеділок</v>
      </c>
      <c r="D54" s="24" t="str">
        <f>IFERROR(TEXT(М5_МАЗ4381_0592!D15,"h:mm"),"")</f>
        <v>8:40</v>
      </c>
      <c r="E54" s="24" t="str">
        <f>"№5"</f>
        <v>№5</v>
      </c>
      <c r="F54" s="24" t="str">
        <f>"МАЗ 4381"</f>
        <v>МАЗ 4381</v>
      </c>
      <c r="G54" s="24" t="str">
        <f>"СВ 81-71 ВК"</f>
        <v>СВ 81-71 ВК</v>
      </c>
      <c r="H54" s="24"/>
      <c r="J54" s="13" t="str">
        <f t="shared" si="0"/>
        <v>4 пров. Дослідний|</v>
      </c>
      <c r="K54" s="32">
        <f t="shared" si="1"/>
        <v>0.3611111111111111</v>
      </c>
      <c r="L54" s="13" t="str">
        <f>IF($A54="","",IF(COUNTIFS($J$4:$J54,$J54,$E$4:$E54,$E54)=1,$E54,""))</f>
        <v>№5</v>
      </c>
      <c r="M54" s="13" t="str">
        <f>IF($A54="","",IF(COUNTIFS($J$4:$J54,$J54,$F$4:$F54,$F54)=1,$F54,""))</f>
        <v>МАЗ 4381</v>
      </c>
    </row>
    <row r="55" spans="1:13" x14ac:dyDescent="0.35">
      <c r="A55" s="23" t="str">
        <f>IFERROR(М6_АТ4021_0586!B128,"")</f>
        <v>4 пров. Замостянський</v>
      </c>
      <c r="B55" s="23" t="str">
        <f>IFERROR(IF(М6_АТ4021_0586!C128="","",TEXT(М6_АТ4021_0586!C128,"General")),"")</f>
        <v>1,3  6,14</v>
      </c>
      <c r="C55" s="24" t="str">
        <f>"Четвер"</f>
        <v>Четвер</v>
      </c>
      <c r="D55" s="24" t="str">
        <f>IFERROR(TEXT(М6_АТ4021_0586!D128,"h:mm"),"")</f>
        <v>9:45</v>
      </c>
      <c r="E55" s="24" t="str">
        <f>"№6"</f>
        <v>№6</v>
      </c>
      <c r="F55" s="24" t="str">
        <f>"АТ 4021"</f>
        <v>АТ 4021</v>
      </c>
      <c r="G55" s="24" t="str">
        <f>"СВ 33-16 ЕО"</f>
        <v>СВ 33-16 ЕО</v>
      </c>
      <c r="H55" s="24"/>
      <c r="J55" s="13" t="str">
        <f t="shared" si="0"/>
        <v>4 пров. Замостянський|1,3  6,14</v>
      </c>
      <c r="K55" s="32">
        <f t="shared" si="1"/>
        <v>0.40625</v>
      </c>
      <c r="L55" s="13" t="str">
        <f>IF($A55="","",IF(COUNTIFS($J$4:$J55,$J55,$E$4:$E55,$E55)=1,$E55,""))</f>
        <v>№6</v>
      </c>
      <c r="M55" s="13" t="str">
        <f>IF($A55="","",IF(COUNTIFS($J$4:$J55,$J55,$F$4:$F55,$F55)=1,$F55,""))</f>
        <v>АТ 4021</v>
      </c>
    </row>
    <row r="56" spans="1:13" x14ac:dyDescent="0.35">
      <c r="A56" s="23" t="str">
        <f>IFERROR(М6_АТ4021_0586!B107,"")</f>
        <v>4 пров. Педагогічний</v>
      </c>
      <c r="B56" s="23" t="str">
        <f>IFERROR(IF(М6_АТ4021_0586!C107="","",TEXT(М6_АТ4021_0586!C107,"General")),"")</f>
        <v>21,19  14</v>
      </c>
      <c r="C56" s="24" t="str">
        <f>"Середа"</f>
        <v>Середа</v>
      </c>
      <c r="D56" s="24" t="str">
        <f>IFERROR(TEXT(М6_АТ4021_0586!D107,"h:mm"),"")</f>
        <v>15:15</v>
      </c>
      <c r="E56" s="24" t="str">
        <f>"№6"</f>
        <v>№6</v>
      </c>
      <c r="F56" s="24" t="str">
        <f>"АТ 4021"</f>
        <v>АТ 4021</v>
      </c>
      <c r="G56" s="24" t="str">
        <f>"СВ 33-16 ЕО"</f>
        <v>СВ 33-16 ЕО</v>
      </c>
      <c r="H56" s="24"/>
      <c r="J56" s="13" t="str">
        <f t="shared" si="0"/>
        <v>4 пров. Педагогічний|21,19  14</v>
      </c>
      <c r="K56" s="32">
        <f t="shared" si="1"/>
        <v>0.63541666666666663</v>
      </c>
      <c r="L56" s="13" t="str">
        <f>IF($A56="","",IF(COUNTIFS($J$4:$J56,$J56,$E$4:$E56,$E56)=1,$E56,""))</f>
        <v>№6</v>
      </c>
      <c r="M56" s="13" t="str">
        <f>IF($A56="","",IF(COUNTIFS($J$4:$J56,$J56,$F$4:$F56,$F56)=1,$F56,""))</f>
        <v>АТ 4021</v>
      </c>
    </row>
    <row r="57" spans="1:13" x14ac:dyDescent="0.35">
      <c r="A57" s="23" t="str">
        <f>IFERROR(М6_АТ4021_0586!B174,"")</f>
        <v>5 в'їзд Гоголя</v>
      </c>
      <c r="B57" s="23" t="str">
        <f>IFERROR(IF(М6_АТ4021_0586!C174="","",TEXT(М6_АТ4021_0586!C174,"General")),"")</f>
        <v>6,11  13</v>
      </c>
      <c r="C57" s="24" t="str">
        <f>"П'ятниця"</f>
        <v>П'ятниця</v>
      </c>
      <c r="D57" s="24" t="str">
        <f>IFERROR(TEXT(М6_АТ4021_0586!D174,"h:mm"),"")</f>
        <v>11:55</v>
      </c>
      <c r="E57" s="24" t="str">
        <f>"№6"</f>
        <v>№6</v>
      </c>
      <c r="F57" s="24" t="str">
        <f>"АТ 4021"</f>
        <v>АТ 4021</v>
      </c>
      <c r="G57" s="24" t="str">
        <f>"СВ 33-16 ЕО"</f>
        <v>СВ 33-16 ЕО</v>
      </c>
      <c r="H57" s="24"/>
      <c r="J57" s="13" t="str">
        <f t="shared" si="0"/>
        <v>5 в'їзд Гоголя|6,11  13</v>
      </c>
      <c r="K57" s="32">
        <f t="shared" si="1"/>
        <v>0.49652777777777779</v>
      </c>
      <c r="L57" s="13" t="str">
        <f>IF($A57="","",IF(COUNTIFS($J$4:$J57,$J57,$E$4:$E57,$E57)=1,$E57,""))</f>
        <v>№6</v>
      </c>
      <c r="M57" s="13" t="str">
        <f>IF($A57="","",IF(COUNTIFS($J$4:$J57,$J57,$F$4:$F57,$F57)=1,$F57,""))</f>
        <v>АТ 4021</v>
      </c>
    </row>
    <row r="58" spans="1:13" x14ac:dyDescent="0.35">
      <c r="A58" s="23" t="str">
        <f>IFERROR(М4_АТ4042ROD_0584!B151,"")</f>
        <v>6 км</v>
      </c>
      <c r="B58" s="23" t="str">
        <f>IFERROR(IF(М4_АТ4042ROD_0584!C151="","",TEXT(М4_АТ4042ROD_0584!C151,"General")),"")</f>
        <v>ГПЗ</v>
      </c>
      <c r="C58" s="24" t="str">
        <f>"Неділя"</f>
        <v>Неділя</v>
      </c>
      <c r="D58" s="24" t="str">
        <f>IFERROR(TEXT(М4_АТ4042ROD_0584!D151,"h:mm"),"")</f>
        <v>12:15</v>
      </c>
      <c r="E58" s="24" t="str">
        <f>"№4"</f>
        <v>№4</v>
      </c>
      <c r="F58" s="24" t="str">
        <f>"АТ 40-42/ROD21003"</f>
        <v>АТ 40-42/ROD21003</v>
      </c>
      <c r="G58" s="24" t="str">
        <f>"СВ 33-15 ЕО"</f>
        <v>СВ 33-15 ЕО</v>
      </c>
      <c r="H58" s="24">
        <f>IFERROR(М4_АТ4042ROD_0584!G151,"")</f>
        <v>6</v>
      </c>
      <c r="J58" s="13" t="str">
        <f t="shared" si="0"/>
        <v>6 км|ГПЗ</v>
      </c>
      <c r="K58" s="32">
        <f t="shared" si="1"/>
        <v>0.51041666666666663</v>
      </c>
      <c r="L58" s="13" t="str">
        <f>IF($A58="","",IF(COUNTIFS($J$4:$J58,$J58,$E$4:$E58,$E58)=1,$E58,""))</f>
        <v>№4</v>
      </c>
      <c r="M58" s="13" t="str">
        <f>IF($A58="","",IF(COUNTIFS($J$4:$J58,$J58,$F$4:$F58,$F58)=1,$F58,""))</f>
        <v>АТ 40-42/ROD21003</v>
      </c>
    </row>
    <row r="59" spans="1:13" x14ac:dyDescent="0.35">
      <c r="A59" s="23" t="str">
        <f>IFERROR('М1-2_АТ4021-1120_0585'!B132,"")</f>
        <v>В/м 12</v>
      </c>
      <c r="B59" s="23" t="str">
        <f>IFERROR(IF('М1-2_АТ4021-1120_0585'!C132="","",TEXT('М1-2_АТ4021-1120_0585'!C132,"General")),"")</f>
        <v/>
      </c>
      <c r="C59" s="24" t="str">
        <f>"Четвер"</f>
        <v>Четвер</v>
      </c>
      <c r="D59" s="24" t="str">
        <f>IFERROR(TEXT('М1-2_АТ4021-1120_0585'!D132,"h:mm"),"")</f>
        <v>15:25</v>
      </c>
      <c r="E59" s="24" t="str">
        <f t="shared" ref="E59:E66" si="2">"№1"</f>
        <v>№1</v>
      </c>
      <c r="F59" s="24" t="str">
        <f>"АТ-4021/1120"</f>
        <v>АТ-4021/1120</v>
      </c>
      <c r="G59" s="24" t="str">
        <f>"СВ 14-65 ЕО"</f>
        <v>СВ 14-65 ЕО</v>
      </c>
      <c r="H59" s="24">
        <f>IFERROR('М1-2_АТ4021-1120_0585'!G132,"")</f>
        <v>9</v>
      </c>
      <c r="J59" s="13" t="str">
        <f t="shared" si="0"/>
        <v>В/м 12|</v>
      </c>
      <c r="K59" s="32">
        <f t="shared" si="1"/>
        <v>0.64236111111111116</v>
      </c>
      <c r="L59" s="13" t="str">
        <f>IF($A59="","",IF(COUNTIFS($J$4:$J59,$J59,$E$4:$E59,$E59)=1,$E59,""))</f>
        <v>№1</v>
      </c>
      <c r="M59" s="13" t="str">
        <f>IF($A59="","",IF(COUNTIFS($J$4:$J59,$J59,$F$4:$F59,$F59)=1,$F59,""))</f>
        <v>АТ-4021/1120</v>
      </c>
    </row>
    <row r="60" spans="1:13" x14ac:dyDescent="0.35">
      <c r="A60" s="23" t="str">
        <f>IFERROR('М1-2_АТ4021-1120_0585'!B167,"")</f>
        <v>В/м 12</v>
      </c>
      <c r="B60" s="23" t="str">
        <f>IFERROR(IF('М1-2_АТ4021-1120_0585'!C167="","",TEXT('М1-2_АТ4021-1120_0585'!C167,"General")),"")</f>
        <v/>
      </c>
      <c r="C60" s="24" t="str">
        <f>"Неділя"</f>
        <v>Неділя</v>
      </c>
      <c r="D60" s="24" t="str">
        <f>IFERROR(TEXT('М1-2_АТ4021-1120_0585'!D167,"h:mm"),"")</f>
        <v>15:25</v>
      </c>
      <c r="E60" s="24" t="str">
        <f t="shared" si="2"/>
        <v>№1</v>
      </c>
      <c r="F60" s="24" t="str">
        <f>"АТ-4021/1120"</f>
        <v>АТ-4021/1120</v>
      </c>
      <c r="G60" s="24" t="str">
        <f>"СВ 14-65 ЕО"</f>
        <v>СВ 14-65 ЕО</v>
      </c>
      <c r="H60" s="24">
        <f>IFERROR('М1-2_АТ4021-1120_0585'!G167,"")</f>
        <v>8</v>
      </c>
      <c r="J60" s="13" t="str">
        <f t="shared" si="0"/>
        <v>В/м 12|</v>
      </c>
      <c r="K60" s="32">
        <f t="shared" si="1"/>
        <v>0.64236111111111116</v>
      </c>
      <c r="L60" s="13" t="str">
        <f>IF($A60="","",IF(COUNTIFS($J$4:$J60,$J60,$E$4:$E60,$E60)=1,$E60,""))</f>
        <v/>
      </c>
      <c r="M60" s="13" t="str">
        <f>IF($A60="","",IF(COUNTIFS($J$4:$J60,$J60,$F$4:$F60,$F60)=1,$F60,""))</f>
        <v/>
      </c>
    </row>
    <row r="61" spans="1:13" x14ac:dyDescent="0.35">
      <c r="A61" s="23" t="str">
        <f>IFERROR('М1-2_АТ4021-1120_0585'!B14,"")</f>
        <v>В/м 12</v>
      </c>
      <c r="B61" s="23" t="str">
        <f>IFERROR(IF('М1-2_АТ4021-1120_0585'!C14="","",TEXT('М1-2_АТ4021-1120_0585'!C14,"General")),"")</f>
        <v>Д/с 3</v>
      </c>
      <c r="C61" s="24" t="str">
        <f>"Понеділок"</f>
        <v>Понеділок</v>
      </c>
      <c r="D61" s="24" t="str">
        <f>IFERROR(TEXT('М1-2_АТ4021-1120_0585'!D14,"h:mm"),"")</f>
        <v>9:40</v>
      </c>
      <c r="E61" s="24" t="str">
        <f t="shared" si="2"/>
        <v>№1</v>
      </c>
      <c r="F61" s="24" t="str">
        <f>"АТ-4021/1120"</f>
        <v>АТ-4021/1120</v>
      </c>
      <c r="G61" s="24" t="str">
        <f>"СВ 14-65 ЕО"</f>
        <v>СВ 14-65 ЕО</v>
      </c>
      <c r="H61" s="24">
        <f>IFERROR('М1-2_АТ4021-1120_0585'!G14,"")</f>
        <v>1</v>
      </c>
      <c r="J61" s="13" t="str">
        <f t="shared" si="0"/>
        <v>В/м 12|Д/с 3</v>
      </c>
      <c r="K61" s="32">
        <f t="shared" si="1"/>
        <v>0.40277777777777779</v>
      </c>
      <c r="L61" s="13" t="str">
        <f>IF($A61="","",IF(COUNTIFS($J$4:$J61,$J61,$E$4:$E61,$E61)=1,$E61,""))</f>
        <v>№1</v>
      </c>
      <c r="M61" s="13" t="str">
        <f>IF($A61="","",IF(COUNTIFS($J$4:$J61,$J61,$F$4:$F61,$F61)=1,$F61,""))</f>
        <v>АТ-4021/1120</v>
      </c>
    </row>
    <row r="62" spans="1:13" x14ac:dyDescent="0.35">
      <c r="A62" s="23" t="str">
        <f>IFERROR(М1_КАМАЗ55111_0591!B29,"")</f>
        <v>В/м</v>
      </c>
      <c r="B62" s="23" t="str">
        <f>IFERROR(IF(М1_КАМАЗ55111_0591!C29="","",TEXT(М1_КАМАЗ55111_0591!C29,"General")),"")</f>
        <v/>
      </c>
      <c r="C62" s="24" t="str">
        <f>"Понеділок"</f>
        <v>Понеділок</v>
      </c>
      <c r="D62" s="24" t="str">
        <f>IFERROR(TEXT(М1_КАМАЗ55111_0591!D29,"h:mm"),"")</f>
        <v>10:55</v>
      </c>
      <c r="E62" s="24" t="str">
        <f t="shared" si="2"/>
        <v>№1</v>
      </c>
      <c r="F62" s="24" t="str">
        <f>"КАМАЗ 55111"</f>
        <v>КАМАЗ 55111</v>
      </c>
      <c r="G62" s="24" t="str">
        <f>"СВ 50-33 АР"</f>
        <v>СВ 50-33 АР</v>
      </c>
      <c r="H62" s="24">
        <f>IFERROR(М1_КАМАЗ55111_0591!G29,"")</f>
        <v>7</v>
      </c>
      <c r="J62" s="13" t="str">
        <f t="shared" si="0"/>
        <v>В/м|</v>
      </c>
      <c r="K62" s="32">
        <f t="shared" si="1"/>
        <v>0.4548611111111111</v>
      </c>
      <c r="L62" s="13" t="str">
        <f>IF($A62="","",IF(COUNTIFS($J$4:$J62,$J62,$E$4:$E62,$E62)=1,$E62,""))</f>
        <v>№1</v>
      </c>
      <c r="M62" s="13" t="str">
        <f>IF($A62="","",IF(COUNTIFS($J$4:$J62,$J62,$F$4:$F62,$F62)=1,$F62,""))</f>
        <v>КАМАЗ 55111</v>
      </c>
    </row>
    <row r="63" spans="1:13" x14ac:dyDescent="0.35">
      <c r="A63" s="23" t="str">
        <f>IFERROR(М1_КАМАЗ55111_0591!B59,"")</f>
        <v>В/м</v>
      </c>
      <c r="B63" s="23" t="str">
        <f>IFERROR(IF(М1_КАМАЗ55111_0591!C59="","",TEXT(М1_КАМАЗ55111_0591!C59,"General")),"")</f>
        <v/>
      </c>
      <c r="C63" s="24" t="str">
        <f>"Вівторок"</f>
        <v>Вівторок</v>
      </c>
      <c r="D63" s="24" t="str">
        <f>IFERROR(TEXT(М1_КАМАЗ55111_0591!D59,"h:mm"),"")</f>
        <v>10:10</v>
      </c>
      <c r="E63" s="24" t="str">
        <f t="shared" si="2"/>
        <v>№1</v>
      </c>
      <c r="F63" s="24" t="str">
        <f>"КАМАЗ 55111"</f>
        <v>КАМАЗ 55111</v>
      </c>
      <c r="G63" s="24" t="str">
        <f>"СВ 50-33 АР"</f>
        <v>СВ 50-33 АР</v>
      </c>
      <c r="H63" s="24">
        <f>IFERROR(М1_КАМАЗ55111_0591!G59,"")</f>
        <v>7</v>
      </c>
      <c r="J63" s="13" t="str">
        <f t="shared" si="0"/>
        <v>В/м|</v>
      </c>
      <c r="K63" s="32">
        <f t="shared" si="1"/>
        <v>0.4236111111111111</v>
      </c>
      <c r="L63" s="13" t="str">
        <f>IF($A63="","",IF(COUNTIFS($J$4:$J63,$J63,$E$4:$E63,$E63)=1,$E63,""))</f>
        <v/>
      </c>
      <c r="M63" s="13" t="str">
        <f>IF($A63="","",IF(COUNTIFS($J$4:$J63,$J63,$F$4:$F63,$F63)=1,$F63,""))</f>
        <v/>
      </c>
    </row>
    <row r="64" spans="1:13" x14ac:dyDescent="0.35">
      <c r="A64" s="23" t="str">
        <f>IFERROR(М1_КАМАЗ55111_0591!B91,"")</f>
        <v>В/м</v>
      </c>
      <c r="B64" s="23" t="str">
        <f>IFERROR(IF(М1_КАМАЗ55111_0591!C91="","",TEXT(М1_КАМАЗ55111_0591!C91,"General")),"")</f>
        <v/>
      </c>
      <c r="C64" s="24" t="str">
        <f>"Середа"</f>
        <v>Середа</v>
      </c>
      <c r="D64" s="24" t="str">
        <f>IFERROR(TEXT(М1_КАМАЗ55111_0591!D91,"h:mm"),"")</f>
        <v>10:25</v>
      </c>
      <c r="E64" s="24" t="str">
        <f t="shared" si="2"/>
        <v>№1</v>
      </c>
      <c r="F64" s="24" t="str">
        <f>"КАМАЗ 55111"</f>
        <v>КАМАЗ 55111</v>
      </c>
      <c r="G64" s="24" t="str">
        <f>"СВ 50-33 АР"</f>
        <v>СВ 50-33 АР</v>
      </c>
      <c r="H64" s="24">
        <f>IFERROR(М1_КАМАЗ55111_0591!G91,"")</f>
        <v>7</v>
      </c>
      <c r="J64" s="13" t="str">
        <f t="shared" si="0"/>
        <v>В/м|</v>
      </c>
      <c r="K64" s="32">
        <f t="shared" si="1"/>
        <v>0.43402777777777779</v>
      </c>
      <c r="L64" s="13" t="str">
        <f>IF($A64="","",IF(COUNTIFS($J$4:$J64,$J64,$E$4:$E64,$E64)=1,$E64,""))</f>
        <v/>
      </c>
      <c r="M64" s="13" t="str">
        <f>IF($A64="","",IF(COUNTIFS($J$4:$J64,$J64,$F$4:$F64,$F64)=1,$F64,""))</f>
        <v/>
      </c>
    </row>
    <row r="65" spans="1:13" x14ac:dyDescent="0.35">
      <c r="A65" s="23" t="str">
        <f>IFERROR(М1_КАМАЗ55111_0591!B126,"")</f>
        <v>В/м</v>
      </c>
      <c r="B65" s="23" t="str">
        <f>IFERROR(IF(М1_КАМАЗ55111_0591!C126="","",TEXT(М1_КАМАЗ55111_0591!C126,"General")),"")</f>
        <v/>
      </c>
      <c r="C65" s="24" t="str">
        <f>"П'ятниця"</f>
        <v>П'ятниця</v>
      </c>
      <c r="D65" s="24" t="str">
        <f>IFERROR(TEXT(М1_КАМАЗ55111_0591!D126,"h:mm"),"")</f>
        <v>11:00</v>
      </c>
      <c r="E65" s="24" t="str">
        <f t="shared" si="2"/>
        <v>№1</v>
      </c>
      <c r="F65" s="24" t="str">
        <f>"КАМАЗ 55111"</f>
        <v>КАМАЗ 55111</v>
      </c>
      <c r="G65" s="24" t="str">
        <f>"СВ 50-33 АР"</f>
        <v>СВ 50-33 АР</v>
      </c>
      <c r="H65" s="24">
        <f>IFERROR(М1_КАМАЗ55111_0591!G126,"")</f>
        <v>7</v>
      </c>
      <c r="J65" s="13" t="str">
        <f t="shared" si="0"/>
        <v>В/м|</v>
      </c>
      <c r="K65" s="32">
        <f t="shared" si="1"/>
        <v>0.45833333333333331</v>
      </c>
      <c r="L65" s="13" t="str">
        <f>IF($A65="","",IF(COUNTIFS($J$4:$J65,$J65,$E$4:$E65,$E65)=1,$E65,""))</f>
        <v/>
      </c>
      <c r="M65" s="13" t="str">
        <f>IF($A65="","",IF(COUNTIFS($J$4:$J65,$J65,$F$4:$F65,$F65)=1,$F65,""))</f>
        <v/>
      </c>
    </row>
    <row r="66" spans="1:13" x14ac:dyDescent="0.35">
      <c r="A66" s="23" t="str">
        <f>IFERROR(М1_КАМАЗ55111_0591!B158,"")</f>
        <v>В/м</v>
      </c>
      <c r="B66" s="23" t="str">
        <f>IFERROR(IF(М1_КАМАЗ55111_0591!C158="","",TEXT(М1_КАМАЗ55111_0591!C158,"General")),"")</f>
        <v/>
      </c>
      <c r="C66" s="24" t="str">
        <f>"Субота"</f>
        <v>Субота</v>
      </c>
      <c r="D66" s="24" t="str">
        <f>IFERROR(TEXT(М1_КАМАЗ55111_0591!D158,"h:mm"),"")</f>
        <v>10:10</v>
      </c>
      <c r="E66" s="24" t="str">
        <f t="shared" si="2"/>
        <v>№1</v>
      </c>
      <c r="F66" s="24" t="str">
        <f>"КАМАЗ 55111"</f>
        <v>КАМАЗ 55111</v>
      </c>
      <c r="G66" s="24" t="str">
        <f>"СВ 50-33 АР"</f>
        <v>СВ 50-33 АР</v>
      </c>
      <c r="H66" s="24">
        <f>IFERROR(М1_КАМАЗ55111_0591!G158,"")</f>
        <v>8</v>
      </c>
      <c r="J66" s="13" t="str">
        <f t="shared" si="0"/>
        <v>В/м|</v>
      </c>
      <c r="K66" s="32">
        <f t="shared" si="1"/>
        <v>0.4236111111111111</v>
      </c>
      <c r="L66" s="13" t="str">
        <f>IF($A66="","",IF(COUNTIFS($J$4:$J66,$J66,$E$4:$E66,$E66)=1,$E66,""))</f>
        <v/>
      </c>
      <c r="M66" s="13" t="str">
        <f>IF($A66="","",IF(COUNTIFS($J$4:$J66,$J66,$F$4:$F66,$F66)=1,$F66,""))</f>
        <v/>
      </c>
    </row>
    <row r="67" spans="1:13" x14ac:dyDescent="0.35">
      <c r="A67" s="23" t="str">
        <f>IFERROR(М5_МАЗ4381_0592!B71,"")</f>
        <v>В/ч 12</v>
      </c>
      <c r="B67" s="23" t="str">
        <f>IFERROR(IF(М5_МАЗ4381_0592!C71="","",TEXT(М5_МАЗ4381_0592!C71,"General")),"")</f>
        <v/>
      </c>
      <c r="C67" s="24" t="str">
        <f>"Вівторок"</f>
        <v>Вівторок</v>
      </c>
      <c r="D67" s="24" t="str">
        <f>IFERROR(TEXT(М5_МАЗ4381_0592!D71,"h:mm"),"")</f>
        <v>14:00</v>
      </c>
      <c r="E67" s="24" t="str">
        <f>"№5"</f>
        <v>№5</v>
      </c>
      <c r="F67" s="24" t="str">
        <f>"МАЗ 4381"</f>
        <v>МАЗ 4381</v>
      </c>
      <c r="G67" s="24" t="str">
        <f>"СВ 81-71 ВК"</f>
        <v>СВ 81-71 ВК</v>
      </c>
      <c r="H67" s="24"/>
      <c r="J67" s="13" t="str">
        <f t="shared" si="0"/>
        <v>В/ч 12|</v>
      </c>
      <c r="K67" s="32">
        <f t="shared" si="1"/>
        <v>0.58333333333333337</v>
      </c>
      <c r="L67" s="13" t="str">
        <f>IF($A67="","",IF(COUNTIFS($J$4:$J67,$J67,$E$4:$E67,$E67)=1,$E67,""))</f>
        <v>№5</v>
      </c>
      <c r="M67" s="13" t="str">
        <f>IF($A67="","",IF(COUNTIFS($J$4:$J67,$J67,$F$4:$F67,$F67)=1,$F67,""))</f>
        <v>МАЗ 4381</v>
      </c>
    </row>
    <row r="68" spans="1:13" x14ac:dyDescent="0.35">
      <c r="A68" s="23" t="str">
        <f>IFERROR(М5_МАЗ4381_0592!B145,"")</f>
        <v>В/ч 12</v>
      </c>
      <c r="B68" s="23" t="str">
        <f>IFERROR(IF(М5_МАЗ4381_0592!C145="","",TEXT(М5_МАЗ4381_0592!C145,"General")),"")</f>
        <v/>
      </c>
      <c r="C68" s="24" t="str">
        <f>"Четвер"</f>
        <v>Четвер</v>
      </c>
      <c r="D68" s="24" t="str">
        <f>IFERROR(TEXT(М5_МАЗ4381_0592!D145,"h:mm"),"")</f>
        <v>13:40</v>
      </c>
      <c r="E68" s="24" t="str">
        <f>"№5"</f>
        <v>№5</v>
      </c>
      <c r="F68" s="24" t="str">
        <f>"МАЗ 4381"</f>
        <v>МАЗ 4381</v>
      </c>
      <c r="G68" s="24" t="str">
        <f>"СВ 81-71 ВК"</f>
        <v>СВ 81-71 ВК</v>
      </c>
      <c r="H68" s="24"/>
      <c r="J68" s="13" t="str">
        <f t="shared" ref="J68:J131" si="3">IF(A68="","",A68&amp;"|"&amp;B68)</f>
        <v>В/ч 12|</v>
      </c>
      <c r="K68" s="32">
        <f t="shared" ref="K68:K131" si="4">IFERROR(IF(D68="","",IF(D68="×",9.99,TIMEVALUE(D68))),9.99)</f>
        <v>0.56944444444444442</v>
      </c>
      <c r="L68" s="13" t="str">
        <f>IF($A68="","",IF(COUNTIFS($J$4:$J68,$J68,$E$4:$E68,$E68)=1,$E68,""))</f>
        <v/>
      </c>
      <c r="M68" s="13" t="str">
        <f>IF($A68="","",IF(COUNTIFS($J$4:$J68,$J68,$F$4:$F68,$F68)=1,$F68,""))</f>
        <v/>
      </c>
    </row>
    <row r="69" spans="1:13" x14ac:dyDescent="0.35">
      <c r="A69" s="23" t="str">
        <f>IFERROR(М5_МАЗ4381_0592!B160,"")</f>
        <v>В/ч 12</v>
      </c>
      <c r="B69" s="23" t="str">
        <f>IFERROR(IF(М5_МАЗ4381_0592!C160="","",TEXT(М5_МАЗ4381_0592!C160,"General")),"")</f>
        <v/>
      </c>
      <c r="C69" s="24" t="str">
        <f>"П'ятниця"</f>
        <v>П'ятниця</v>
      </c>
      <c r="D69" s="24" t="str">
        <f>IFERROR(TEXT(М5_МАЗ4381_0592!D160,"h:mm"),"")</f>
        <v>7:20</v>
      </c>
      <c r="E69" s="24" t="str">
        <f>"№5"</f>
        <v>№5</v>
      </c>
      <c r="F69" s="24" t="str">
        <f>"МАЗ 4381"</f>
        <v>МАЗ 4381</v>
      </c>
      <c r="G69" s="24" t="str">
        <f>"СВ 81-71 ВК"</f>
        <v>СВ 81-71 ВК</v>
      </c>
      <c r="H69" s="24"/>
      <c r="J69" s="13" t="str">
        <f t="shared" si="3"/>
        <v>В/ч 12|</v>
      </c>
      <c r="K69" s="32">
        <f t="shared" si="4"/>
        <v>0.30555555555555558</v>
      </c>
      <c r="L69" s="13" t="str">
        <f>IF($A69="","",IF(COUNTIFS($J$4:$J69,$J69,$E$4:$E69,$E69)=1,$E69,""))</f>
        <v/>
      </c>
      <c r="M69" s="13" t="str">
        <f>IF($A69="","",IF(COUNTIFS($J$4:$J69,$J69,$F$4:$F69,$F69)=1,$F69,""))</f>
        <v/>
      </c>
    </row>
    <row r="70" spans="1:13" x14ac:dyDescent="0.35">
      <c r="A70" s="23" t="str">
        <f>IFERROR(М5_МАЗ4381_0592!B37,"")</f>
        <v>Замовлення</v>
      </c>
      <c r="B70" s="23" t="str">
        <f>IFERROR(IF(М5_МАЗ4381_0592!C37="","",TEXT(М5_МАЗ4381_0592!C37,"General")),"")</f>
        <v/>
      </c>
      <c r="C70" s="24" t="str">
        <f>"Понеділок"</f>
        <v>Понеділок</v>
      </c>
      <c r="D70" s="24" t="str">
        <f>IFERROR(TEXT(М5_МАЗ4381_0592!D37,"h:mm"),"")</f>
        <v>14:55</v>
      </c>
      <c r="E70" s="24" t="str">
        <f>"№5"</f>
        <v>№5</v>
      </c>
      <c r="F70" s="24" t="str">
        <f>"МАЗ 4381"</f>
        <v>МАЗ 4381</v>
      </c>
      <c r="G70" s="24" t="str">
        <f>"СВ 81-71 ВК"</f>
        <v>СВ 81-71 ВК</v>
      </c>
      <c r="H70" s="24"/>
      <c r="J70" s="13" t="str">
        <f t="shared" si="3"/>
        <v>Замовлення|</v>
      </c>
      <c r="K70" s="32">
        <f t="shared" si="4"/>
        <v>0.62152777777777779</v>
      </c>
      <c r="L70" s="13" t="str">
        <f>IF($A70="","",IF(COUNTIFS($J$4:$J70,$J70,$E$4:$E70,$E70)=1,$E70,""))</f>
        <v>№5</v>
      </c>
      <c r="M70" s="13" t="str">
        <f>IF($A70="","",IF(COUNTIFS($J$4:$J70,$J70,$F$4:$F70,$F70)=1,$F70,""))</f>
        <v>МАЗ 4381</v>
      </c>
    </row>
    <row r="71" spans="1:13" x14ac:dyDescent="0.35">
      <c r="A71" s="23" t="str">
        <f>IFERROR(М6_АТ4021_0586!B133,"")</f>
        <v>Замовлення</v>
      </c>
      <c r="B71" s="23" t="str">
        <f>IFERROR(IF(М6_АТ4021_0586!C133="","",TEXT(М6_АТ4021_0586!C133,"General")),"")</f>
        <v/>
      </c>
      <c r="C71" s="24" t="str">
        <f>"Четвер"</f>
        <v>Четвер</v>
      </c>
      <c r="D71" s="24" t="str">
        <f>IFERROR(TEXT(М6_АТ4021_0586!D133,"h:mm"),"")</f>
        <v>10:55</v>
      </c>
      <c r="E71" s="24" t="str">
        <f>"№6"</f>
        <v>№6</v>
      </c>
      <c r="F71" s="24" t="str">
        <f>"АТ 4021"</f>
        <v>АТ 4021</v>
      </c>
      <c r="G71" s="24" t="str">
        <f>"СВ 33-16 ЕО"</f>
        <v>СВ 33-16 ЕО</v>
      </c>
      <c r="H71" s="24"/>
      <c r="J71" s="13" t="str">
        <f t="shared" si="3"/>
        <v>Замовлення|</v>
      </c>
      <c r="K71" s="32">
        <f t="shared" si="4"/>
        <v>0.4548611111111111</v>
      </c>
      <c r="L71" s="13" t="str">
        <f>IF($A71="","",IF(COUNTIFS($J$4:$J71,$J71,$E$4:$E71,$E71)=1,$E71,""))</f>
        <v>№6</v>
      </c>
      <c r="M71" s="13" t="str">
        <f>IF($A71="","",IF(COUNTIFS($J$4:$J71,$J71,$F$4:$F71,$F71)=1,$F71,""))</f>
        <v>АТ 4021</v>
      </c>
    </row>
    <row r="72" spans="1:13" x14ac:dyDescent="0.35">
      <c r="A72" s="23" t="str">
        <f>IFERROR(М5_МАЗ4381_0592!B197,"")</f>
        <v>Замовлення</v>
      </c>
      <c r="B72" s="23" t="str">
        <f>IFERROR(IF(М5_МАЗ4381_0592!C197="","",TEXT(М5_МАЗ4381_0592!C197,"General")),"")</f>
        <v/>
      </c>
      <c r="C72" s="24" t="str">
        <f>"П'ятниця"</f>
        <v>П'ятниця</v>
      </c>
      <c r="D72" s="24" t="str">
        <f>IFERROR(TEXT(М5_МАЗ4381_0592!D197,"h:mm"),"")</f>
        <v>15:15</v>
      </c>
      <c r="E72" s="24" t="str">
        <f>"№5"</f>
        <v>№5</v>
      </c>
      <c r="F72" s="24" t="str">
        <f>"МАЗ 4381"</f>
        <v>МАЗ 4381</v>
      </c>
      <c r="G72" s="24" t="str">
        <f>"СВ 81-71 ВК"</f>
        <v>СВ 81-71 ВК</v>
      </c>
      <c r="H72" s="24"/>
      <c r="J72" s="13" t="str">
        <f t="shared" si="3"/>
        <v>Замовлення|</v>
      </c>
      <c r="K72" s="32">
        <f t="shared" si="4"/>
        <v>0.63541666666666663</v>
      </c>
      <c r="L72" s="13" t="str">
        <f>IF($A72="","",IF(COUNTIFS($J$4:$J72,$J72,$E$4:$E72,$E72)=1,$E72,""))</f>
        <v/>
      </c>
      <c r="M72" s="13" t="str">
        <f>IF($A72="","",IF(COUNTIFS($J$4:$J72,$J72,$F$4:$F72,$F72)=1,$F72,""))</f>
        <v/>
      </c>
    </row>
    <row r="73" spans="1:13" x14ac:dyDescent="0.35">
      <c r="A73" s="23" t="str">
        <f>IFERROR(М3_МАЗ4371_0587!B12,"")</f>
        <v>Котляревського</v>
      </c>
      <c r="B73" s="23" t="str">
        <f>IFERROR(IF(М3_МАЗ4371_0587!C12="","",TEXT(М3_МАЗ4371_0587!C12,"General")),"")</f>
        <v>кафе "Бандера"</v>
      </c>
      <c r="C73" s="24" t="str">
        <f>"Понеділок"</f>
        <v>Понеділок</v>
      </c>
      <c r="D73" s="24" t="str">
        <f>IFERROR(TEXT(М3_МАЗ4371_0587!D12,"h:mm"),"")</f>
        <v>8:20</v>
      </c>
      <c r="E73" s="24" t="str">
        <f>"№3"</f>
        <v>№3</v>
      </c>
      <c r="F73" s="24" t="str">
        <f>"МАЗ-4371"</f>
        <v>МАЗ-4371</v>
      </c>
      <c r="G73" s="24" t="str">
        <f>"СВ 53-06 СА"</f>
        <v>СВ 53-06 СА</v>
      </c>
      <c r="H73" s="24">
        <f>IFERROR(М3_МАЗ4371_0587!G12,"")</f>
        <v>1</v>
      </c>
      <c r="J73" s="13" t="str">
        <f t="shared" si="3"/>
        <v>Котляревського|кафе "Бандера"</v>
      </c>
      <c r="K73" s="32">
        <f t="shared" si="4"/>
        <v>0.34722222222222221</v>
      </c>
      <c r="L73" s="13" t="str">
        <f>IF($A73="","",IF(COUNTIFS($J$4:$J73,$J73,$E$4:$E73,$E73)=1,$E73,""))</f>
        <v>№3</v>
      </c>
      <c r="M73" s="13" t="str">
        <f>IF($A73="","",IF(COUNTIFS($J$4:$J73,$J73,$F$4:$F73,$F73)=1,$F73,""))</f>
        <v>МАЗ-4371</v>
      </c>
    </row>
    <row r="74" spans="1:13" x14ac:dyDescent="0.35">
      <c r="A74" s="23" t="str">
        <f>IFERROR(М3_МАЗ4371_0587!B58,"")</f>
        <v>Котляревського</v>
      </c>
      <c r="B74" s="23" t="str">
        <f>IFERROR(IF(М3_МАЗ4371_0587!C58="","",TEXT(М3_МАЗ4371_0587!C58,"General")),"")</f>
        <v>кафе "Бандера"</v>
      </c>
      <c r="C74" s="24" t="str">
        <f>"Вівторок"</f>
        <v>Вівторок</v>
      </c>
      <c r="D74" s="24" t="str">
        <f>IFERROR(TEXT(М3_МАЗ4371_0587!D58,"h:mm"),"")</f>
        <v>10:55</v>
      </c>
      <c r="E74" s="24" t="str">
        <f>"№3"</f>
        <v>№3</v>
      </c>
      <c r="F74" s="24" t="str">
        <f>"МАЗ-4371"</f>
        <v>МАЗ-4371</v>
      </c>
      <c r="G74" s="24" t="str">
        <f>"СВ 53-06 СА"</f>
        <v>СВ 53-06 СА</v>
      </c>
      <c r="H74" s="24">
        <f>IFERROR(М3_МАЗ4371_0587!G58,"")</f>
        <v>1</v>
      </c>
      <c r="J74" s="13" t="str">
        <f t="shared" si="3"/>
        <v>Котляревського|кафе "Бандера"</v>
      </c>
      <c r="K74" s="32">
        <f t="shared" si="4"/>
        <v>0.4548611111111111</v>
      </c>
      <c r="L74" s="13" t="str">
        <f>IF($A74="","",IF(COUNTIFS($J$4:$J74,$J74,$E$4:$E74,$E74)=1,$E74,""))</f>
        <v/>
      </c>
      <c r="M74" s="13" t="str">
        <f>IF($A74="","",IF(COUNTIFS($J$4:$J74,$J74,$F$4:$F74,$F74)=1,$F74,""))</f>
        <v/>
      </c>
    </row>
    <row r="75" spans="1:13" x14ac:dyDescent="0.35">
      <c r="A75" s="23" t="str">
        <f>IFERROR(М5_МАЗ4381_0592!B144,"")</f>
        <v>М'ясокомбінат</v>
      </c>
      <c r="B75" s="23" t="str">
        <f>IFERROR(IF(М5_МАЗ4381_0592!C144="","",TEXT(М5_МАЗ4381_0592!C144,"General")),"")</f>
        <v/>
      </c>
      <c r="C75" s="24" t="str">
        <f>"Четвер"</f>
        <v>Четвер</v>
      </c>
      <c r="D75" s="24" t="str">
        <f>IFERROR(TEXT(М5_МАЗ4381_0592!D144,"h:mm"),"")</f>
        <v>13:20</v>
      </c>
      <c r="E75" s="24" t="str">
        <f>"№5"</f>
        <v>№5</v>
      </c>
      <c r="F75" s="24" t="str">
        <f>"МАЗ 4381"</f>
        <v>МАЗ 4381</v>
      </c>
      <c r="G75" s="24" t="str">
        <f>"СВ 81-71 ВК"</f>
        <v>СВ 81-71 ВК</v>
      </c>
      <c r="H75" s="24"/>
      <c r="J75" s="13" t="str">
        <f t="shared" si="3"/>
        <v>М'ясокомбінат|</v>
      </c>
      <c r="K75" s="32">
        <f t="shared" si="4"/>
        <v>0.55555555555555558</v>
      </c>
      <c r="L75" s="13" t="str">
        <f>IF($A75="","",IF(COUNTIFS($J$4:$J75,$J75,$E$4:$E75,$E75)=1,$E75,""))</f>
        <v>№5</v>
      </c>
      <c r="M75" s="13" t="str">
        <f>IF($A75="","",IF(COUNTIFS($J$4:$J75,$J75,$F$4:$F75,$F75)=1,$F75,""))</f>
        <v>МАЗ 4381</v>
      </c>
    </row>
    <row r="76" spans="1:13" x14ac:dyDescent="0.35">
      <c r="A76" s="23" t="str">
        <f>IFERROR(М5_МАЗ4381_0592!B94,"")</f>
        <v>М-н "Ірина"</v>
      </c>
      <c r="B76" s="23" t="str">
        <f>IFERROR(IF(М5_МАЗ4381_0592!C94="","",TEXT(М5_МАЗ4381_0592!C94,"General")),"")</f>
        <v/>
      </c>
      <c r="C76" s="24" t="str">
        <f>"Середа"</f>
        <v>Середа</v>
      </c>
      <c r="D76" s="24" t="str">
        <f>IFERROR(TEXT(М5_МАЗ4381_0592!D94,"h:mm"),"")</f>
        <v>9:45</v>
      </c>
      <c r="E76" s="24" t="str">
        <f>"№5"</f>
        <v>№5</v>
      </c>
      <c r="F76" s="24" t="str">
        <f>"МАЗ 4381"</f>
        <v>МАЗ 4381</v>
      </c>
      <c r="G76" s="24" t="str">
        <f>"СВ 81-71 ВК"</f>
        <v>СВ 81-71 ВК</v>
      </c>
      <c r="H76" s="24"/>
      <c r="J76" s="13" t="str">
        <f t="shared" si="3"/>
        <v>М-н "Ірина"|</v>
      </c>
      <c r="K76" s="32">
        <f t="shared" si="4"/>
        <v>0.40625</v>
      </c>
      <c r="L76" s="13" t="str">
        <f>IF($A76="","",IF(COUNTIFS($J$4:$J76,$J76,$E$4:$E76,$E76)=1,$E76,""))</f>
        <v>№5</v>
      </c>
      <c r="M76" s="13" t="str">
        <f>IF($A76="","",IF(COUNTIFS($J$4:$J76,$J76,$F$4:$F76,$F76)=1,$F76,""))</f>
        <v>МАЗ 4381</v>
      </c>
    </row>
    <row r="77" spans="1:13" x14ac:dyDescent="0.35">
      <c r="A77" s="23" t="str">
        <f>IFERROR('М1-2_АТ4021-1120_0585'!B8,"")</f>
        <v>Привокзальну площа</v>
      </c>
      <c r="B77" s="23" t="str">
        <f>IFERROR(IF('М1-2_АТ4021-1120_0585'!C8="","",TEXT('М1-2_АТ4021-1120_0585'!C8,"General")),"")</f>
        <v>Нова пошта 1</v>
      </c>
      <c r="C77" s="24" t="str">
        <f>"Понеділок"</f>
        <v>Понеділок</v>
      </c>
      <c r="D77" s="24" t="str">
        <f>IFERROR(TEXT('М1-2_АТ4021-1120_0585'!D8,"h:mm"),"")</f>
        <v>7:35</v>
      </c>
      <c r="E77" s="24" t="str">
        <f>"№1"</f>
        <v>№1</v>
      </c>
      <c r="F77" s="24" t="str">
        <f>"АТ-4021/1120"</f>
        <v>АТ-4021/1120</v>
      </c>
      <c r="G77" s="24" t="str">
        <f>"СВ 14-65 ЕО"</f>
        <v>СВ 14-65 ЕО</v>
      </c>
      <c r="H77" s="24">
        <f>IFERROR('М1-2_АТ4021-1120_0585'!G8,"")</f>
        <v>3</v>
      </c>
      <c r="J77" s="13" t="str">
        <f t="shared" si="3"/>
        <v>Привокзальну площа|Нова пошта 1</v>
      </c>
      <c r="K77" s="32">
        <f t="shared" si="4"/>
        <v>0.31597222222222221</v>
      </c>
      <c r="L77" s="13" t="str">
        <f>IF($A77="","",IF(COUNTIFS($J$4:$J77,$J77,$E$4:$E77,$E77)=1,$E77,""))</f>
        <v>№1</v>
      </c>
      <c r="M77" s="13" t="str">
        <f>IF($A77="","",IF(COUNTIFS($J$4:$J77,$J77,$F$4:$F77,$F77)=1,$F77,""))</f>
        <v>АТ-4021/1120</v>
      </c>
    </row>
    <row r="78" spans="1:13" x14ac:dyDescent="0.35">
      <c r="A78" s="23" t="str">
        <f>IFERROR('М1-2_АТ4021-1120_0585'!B9,"")</f>
        <v>Привокзальну площа</v>
      </c>
      <c r="B78" s="23" t="str">
        <f>IFERROR(IF('М1-2_АТ4021-1120_0585'!C9="","",TEXT('М1-2_АТ4021-1120_0585'!C9,"General")),"")</f>
        <v>Шкільний</v>
      </c>
      <c r="C78" s="24" t="str">
        <f>"Понеділок"</f>
        <v>Понеділок</v>
      </c>
      <c r="D78" s="24" t="str">
        <f>IFERROR(TEXT('М1-2_АТ4021-1120_0585'!D9,"h:mm"),"")</f>
        <v>7:50</v>
      </c>
      <c r="E78" s="24" t="str">
        <f>"№1"</f>
        <v>№1</v>
      </c>
      <c r="F78" s="24" t="str">
        <f>"АТ-4021/1120"</f>
        <v>АТ-4021/1120</v>
      </c>
      <c r="G78" s="24" t="str">
        <f>"СВ 14-65 ЕО"</f>
        <v>СВ 14-65 ЕО</v>
      </c>
      <c r="H78" s="24">
        <f>IFERROR('М1-2_АТ4021-1120_0585'!G9,"")</f>
        <v>1</v>
      </c>
      <c r="J78" s="13" t="str">
        <f t="shared" si="3"/>
        <v>Привокзальну площа|Шкільний</v>
      </c>
      <c r="K78" s="32">
        <f t="shared" si="4"/>
        <v>0.3263888888888889</v>
      </c>
      <c r="L78" s="13" t="str">
        <f>IF($A78="","",IF(COUNTIFS($J$4:$J78,$J78,$E$4:$E78,$E78)=1,$E78,""))</f>
        <v>№1</v>
      </c>
      <c r="M78" s="13" t="str">
        <f>IF($A78="","",IF(COUNTIFS($J$4:$J78,$J78,$F$4:$F78,$F78)=1,$F78,""))</f>
        <v>АТ-4021/1120</v>
      </c>
    </row>
    <row r="79" spans="1:13" x14ac:dyDescent="0.35">
      <c r="A79" s="23" t="str">
        <f>IFERROR(М3_МАЗ4371_0587!B11,"")</f>
        <v>Скоропадського</v>
      </c>
      <c r="B79" s="23" t="str">
        <f>IFERROR(IF(М3_МАЗ4371_0587!C11="","",TEXT(М3_МАЗ4371_0587!C11,"General")),"")</f>
        <v/>
      </c>
      <c r="C79" s="24" t="str">
        <f>"Понеділок"</f>
        <v>Понеділок</v>
      </c>
      <c r="D79" s="24" t="str">
        <f>IFERROR(TEXT(М3_МАЗ4371_0587!D11,"h:mm"),"")</f>
        <v>8:10</v>
      </c>
      <c r="E79" s="24" t="str">
        <f>"№3"</f>
        <v>№3</v>
      </c>
      <c r="F79" s="24" t="str">
        <f>"МАЗ-4371"</f>
        <v>МАЗ-4371</v>
      </c>
      <c r="G79" s="24" t="str">
        <f>"СВ 53-06 СА"</f>
        <v>СВ 53-06 СА</v>
      </c>
      <c r="H79" s="24">
        <f>IFERROR(М3_МАЗ4371_0587!G11,"")</f>
        <v>3</v>
      </c>
      <c r="J79" s="13" t="str">
        <f t="shared" si="3"/>
        <v>Скоропадського|</v>
      </c>
      <c r="K79" s="32">
        <f t="shared" si="4"/>
        <v>0.34027777777777779</v>
      </c>
      <c r="L79" s="13" t="str">
        <f>IF($A79="","",IF(COUNTIFS($J$4:$J79,$J79,$E$4:$E79,$E79)=1,$E79,""))</f>
        <v>№3</v>
      </c>
      <c r="M79" s="13" t="str">
        <f>IF($A79="","",IF(COUNTIFS($J$4:$J79,$J79,$F$4:$F79,$F79)=1,$F79,""))</f>
        <v>МАЗ-4371</v>
      </c>
    </row>
    <row r="80" spans="1:13" x14ac:dyDescent="0.35">
      <c r="A80" s="23" t="str">
        <f>IFERROR(М3_МАЗ4371_0587!B50,"")</f>
        <v>Скоропадського</v>
      </c>
      <c r="B80" s="23" t="str">
        <f>IFERROR(IF(М3_МАЗ4371_0587!C50="","",TEXT(М3_МАЗ4371_0587!C50,"General")),"")</f>
        <v/>
      </c>
      <c r="C80" s="24" t="str">
        <f>"Вівторок"</f>
        <v>Вівторок</v>
      </c>
      <c r="D80" s="24" t="str">
        <f>IFERROR(TEXT(М3_МАЗ4371_0587!D50,"h:mm"),"")</f>
        <v>8:25</v>
      </c>
      <c r="E80" s="24" t="str">
        <f>"№3"</f>
        <v>№3</v>
      </c>
      <c r="F80" s="24" t="str">
        <f>"МАЗ-4371"</f>
        <v>МАЗ-4371</v>
      </c>
      <c r="G80" s="24" t="str">
        <f>"СВ 53-06 СА"</f>
        <v>СВ 53-06 СА</v>
      </c>
      <c r="H80" s="24">
        <f>IFERROR(М3_МАЗ4371_0587!G50,"")</f>
        <v>3</v>
      </c>
      <c r="J80" s="13" t="str">
        <f t="shared" si="3"/>
        <v>Скоропадського|</v>
      </c>
      <c r="K80" s="32">
        <f t="shared" si="4"/>
        <v>0.35069444444444442</v>
      </c>
      <c r="L80" s="13" t="str">
        <f>IF($A80="","",IF(COUNTIFS($J$4:$J80,$J80,$E$4:$E80,$E80)=1,$E80,""))</f>
        <v/>
      </c>
      <c r="M80" s="13" t="str">
        <f>IF($A80="","",IF(COUNTIFS($J$4:$J80,$J80,$F$4:$F80,$F80)=1,$F80,""))</f>
        <v/>
      </c>
    </row>
    <row r="81" spans="1:13" x14ac:dyDescent="0.35">
      <c r="A81" s="23" t="str">
        <f>IFERROR(М6_АТ4021_0586!B125,"")</f>
        <v>в'їзд Густинський</v>
      </c>
      <c r="B81" s="23" t="str">
        <f>IFERROR(IF(М6_АТ4021_0586!C125="","",TEXT(М6_АТ4021_0586!C125,"General")),"")</f>
        <v>8,1</v>
      </c>
      <c r="C81" s="24" t="str">
        <f>"Четвер"</f>
        <v>Четвер</v>
      </c>
      <c r="D81" s="24" t="str">
        <f>IFERROR(TEXT(М6_АТ4021_0586!D125,"h:mm"),"")</f>
        <v>9:10</v>
      </c>
      <c r="E81" s="24" t="str">
        <f>"№6"</f>
        <v>№6</v>
      </c>
      <c r="F81" s="24" t="str">
        <f>"АТ 4021"</f>
        <v>АТ 4021</v>
      </c>
      <c r="G81" s="24" t="str">
        <f>"СВ 33-16 ЕО"</f>
        <v>СВ 33-16 ЕО</v>
      </c>
      <c r="H81" s="24"/>
      <c r="J81" s="13" t="str">
        <f t="shared" si="3"/>
        <v>в'їзд Густинський|8,1</v>
      </c>
      <c r="K81" s="32">
        <f t="shared" si="4"/>
        <v>0.38194444444444442</v>
      </c>
      <c r="L81" s="13" t="str">
        <f>IF($A81="","",IF(COUNTIFS($J$4:$J81,$J81,$E$4:$E81,$E81)=1,$E81,""))</f>
        <v>№6</v>
      </c>
      <c r="M81" s="13" t="str">
        <f>IF($A81="","",IF(COUNTIFS($J$4:$J81,$J81,$F$4:$F81,$F81)=1,$F81,""))</f>
        <v>АТ 4021</v>
      </c>
    </row>
    <row r="82" spans="1:13" x14ac:dyDescent="0.35">
      <c r="A82" s="23" t="str">
        <f>IFERROR(М4_АТ4042ROD_0584!B26,"")</f>
        <v>в/м 12</v>
      </c>
      <c r="B82" s="23" t="str">
        <f>IFERROR(IF(М4_АТ4042ROD_0584!C26="","",TEXT(М4_АТ4042ROD_0584!C26,"General")),"")</f>
        <v/>
      </c>
      <c r="C82" s="24" t="str">
        <f>"Понеділок"</f>
        <v>Понеділок</v>
      </c>
      <c r="D82" s="24" t="str">
        <f>IFERROR(TEXT(М4_АТ4042ROD_0584!D26,"h:mm"),"")</f>
        <v>14:40</v>
      </c>
      <c r="E82" s="24" t="str">
        <f>"№4"</f>
        <v>№4</v>
      </c>
      <c r="F82" s="24" t="str">
        <f>"АТ 40-42/ROD21003"</f>
        <v>АТ 40-42/ROD21003</v>
      </c>
      <c r="G82" s="24" t="str">
        <f>"СВ 33-15 ЕО"</f>
        <v>СВ 33-15 ЕО</v>
      </c>
      <c r="H82" s="24">
        <f>IFERROR(М4_АТ4042ROD_0584!G26,"")</f>
        <v>4</v>
      </c>
      <c r="J82" s="13" t="str">
        <f t="shared" si="3"/>
        <v>в/м 12|</v>
      </c>
      <c r="K82" s="32">
        <f t="shared" si="4"/>
        <v>0.61111111111111116</v>
      </c>
      <c r="L82" s="13" t="str">
        <f>IF($A82="","",IF(COUNTIFS($J$4:$J82,$J82,$E$4:$E82,$E82)=1,$E82,""))</f>
        <v>№4</v>
      </c>
      <c r="M82" s="13" t="str">
        <f>IF($A82="","",IF(COUNTIFS($J$4:$J82,$J82,$F$4:$F82,$F82)=1,$F82,""))</f>
        <v>АТ 40-42/ROD21003</v>
      </c>
    </row>
    <row r="83" spans="1:13" x14ac:dyDescent="0.35">
      <c r="A83" s="23" t="str">
        <f>IFERROR(М2_ВГВ_РеноЛендер_0589!B9,"")</f>
        <v>в/м 12</v>
      </c>
      <c r="B83" s="23" t="str">
        <f>IFERROR(IF(М2_ВГВ_РеноЛендер_0589!C9="","",TEXT(М2_ВГВ_РеноЛендер_0589!C9,"General")),"")</f>
        <v/>
      </c>
      <c r="C83" s="24" t="str">
        <f>IFERROR(М2_ВГВ_РеноЛендер_0589!D9,"")</f>
        <v>Понеділок</v>
      </c>
      <c r="D83" s="24" t="str">
        <f>"×"</f>
        <v>×</v>
      </c>
      <c r="E83" s="24" t="str">
        <f>"№2 (ВГВ)"</f>
        <v>№2 (ВГВ)</v>
      </c>
      <c r="F83" s="24" t="str">
        <f>"Рено Лендер"</f>
        <v>Рено Лендер</v>
      </c>
      <c r="G83" s="24" t="str">
        <f>"СВ 52-62 СА"</f>
        <v>СВ 52-62 СА</v>
      </c>
      <c r="H83" s="24"/>
      <c r="J83" s="13" t="str">
        <f t="shared" si="3"/>
        <v>в/м 12|</v>
      </c>
      <c r="K83" s="32">
        <f t="shared" si="4"/>
        <v>9.99</v>
      </c>
      <c r="L83" s="13" t="str">
        <f>IF($A83="","",IF(COUNTIFS($J$4:$J83,$J83,$E$4:$E83,$E83)=1,$E83,""))</f>
        <v>№2 (ВГВ)</v>
      </c>
      <c r="M83" s="13" t="str">
        <f>IF($A83="","",IF(COUNTIFS($J$4:$J83,$J83,$F$4:$F83,$F83)=1,$F83,""))</f>
        <v>Рено Лендер</v>
      </c>
    </row>
    <row r="84" spans="1:13" x14ac:dyDescent="0.35">
      <c r="A84" s="23" t="str">
        <f>IFERROR(М4_АТ4042ROD_0584!B59,"")</f>
        <v>в/м 12</v>
      </c>
      <c r="B84" s="23" t="str">
        <f>IFERROR(IF(М4_АТ4042ROD_0584!C59="","",TEXT(М4_АТ4042ROD_0584!C59,"General")),"")</f>
        <v/>
      </c>
      <c r="C84" s="24" t="str">
        <f>"Вівторок"</f>
        <v>Вівторок</v>
      </c>
      <c r="D84" s="24" t="str">
        <f>IFERROR(TEXT(М4_АТ4042ROD_0584!D59,"h:mm"),"")</f>
        <v>15:00</v>
      </c>
      <c r="E84" s="24" t="str">
        <f t="shared" ref="E84:E91" si="5">"№4"</f>
        <v>№4</v>
      </c>
      <c r="F84" s="24" t="str">
        <f>"АТ 40-42/ROD21003"</f>
        <v>АТ 40-42/ROD21003</v>
      </c>
      <c r="G84" s="24" t="str">
        <f>"СВ 33-15 ЕО"</f>
        <v>СВ 33-15 ЕО</v>
      </c>
      <c r="H84" s="24">
        <f>IFERROR(М4_АТ4042ROD_0584!G59,"")</f>
        <v>4</v>
      </c>
      <c r="J84" s="13" t="str">
        <f t="shared" si="3"/>
        <v>в/м 12|</v>
      </c>
      <c r="K84" s="32">
        <f t="shared" si="4"/>
        <v>0.625</v>
      </c>
      <c r="L84" s="13" t="str">
        <f>IF($A84="","",IF(COUNTIFS($J$4:$J84,$J84,$E$4:$E84,$E84)=1,$E84,""))</f>
        <v/>
      </c>
      <c r="M84" s="13" t="str">
        <f>IF($A84="","",IF(COUNTIFS($J$4:$J84,$J84,$F$4:$F84,$F84)=1,$F84,""))</f>
        <v/>
      </c>
    </row>
    <row r="85" spans="1:13" x14ac:dyDescent="0.35">
      <c r="A85" s="23" t="str">
        <f>IFERROR('М3-4_ГАЗ3309_0590'!B87,"")</f>
        <v>в/м 12</v>
      </c>
      <c r="B85" s="23" t="str">
        <f>IFERROR(IF('М3-4_ГАЗ3309_0590'!C87="","",TEXT('М3-4_ГАЗ3309_0590'!C87,"General")),"")</f>
        <v/>
      </c>
      <c r="C85" s="24" t="str">
        <f>"Середа"</f>
        <v>Середа</v>
      </c>
      <c r="D85" s="24" t="str">
        <f>IFERROR(TEXT('М3-4_ГАЗ3309_0590'!D87,"h:mm"),"")</f>
        <v>15:15</v>
      </c>
      <c r="E85" s="24" t="str">
        <f t="shared" si="5"/>
        <v>№4</v>
      </c>
      <c r="F85" s="24" t="str">
        <f>"ГАЗ 3309"</f>
        <v>ГАЗ 3309</v>
      </c>
      <c r="G85" s="24" t="str">
        <f>"СВ 17-85 ВН"</f>
        <v>СВ 17-85 ВН</v>
      </c>
      <c r="H85" s="24">
        <f>IFERROR('М3-4_ГАЗ3309_0590'!G87,"")</f>
        <v>4</v>
      </c>
      <c r="J85" s="13" t="str">
        <f t="shared" si="3"/>
        <v>в/м 12|</v>
      </c>
      <c r="K85" s="32">
        <f t="shared" si="4"/>
        <v>0.63541666666666663</v>
      </c>
      <c r="L85" s="13" t="str">
        <f>IF($A85="","",IF(COUNTIFS($J$4:$J85,$J85,$E$4:$E85,$E85)=1,$E85,""))</f>
        <v/>
      </c>
      <c r="M85" s="13" t="str">
        <f>IF($A85="","",IF(COUNTIFS($J$4:$J85,$J85,$F$4:$F85,$F85)=1,$F85,""))</f>
        <v>ГАЗ 3309</v>
      </c>
    </row>
    <row r="86" spans="1:13" x14ac:dyDescent="0.35">
      <c r="A86" s="23" t="str">
        <f>IFERROR(М4_АТ4042ROD_0584!B92,"")</f>
        <v>в/м 12</v>
      </c>
      <c r="B86" s="23" t="str">
        <f>IFERROR(IF(М4_АТ4042ROD_0584!C92="","",TEXT(М4_АТ4042ROD_0584!C92,"General")),"")</f>
        <v/>
      </c>
      <c r="C86" s="24" t="str">
        <f>"Четвер"</f>
        <v>Четвер</v>
      </c>
      <c r="D86" s="24" t="str">
        <f>IFERROR(TEXT(М4_АТ4042ROD_0584!D92,"h:mm"),"")</f>
        <v>14:40</v>
      </c>
      <c r="E86" s="24" t="str">
        <f t="shared" si="5"/>
        <v>№4</v>
      </c>
      <c r="F86" s="24" t="str">
        <f>"АТ 40-42/ROD21003"</f>
        <v>АТ 40-42/ROD21003</v>
      </c>
      <c r="G86" s="24" t="str">
        <f>"СВ 33-15 ЕО"</f>
        <v>СВ 33-15 ЕО</v>
      </c>
      <c r="H86" s="24">
        <f>IFERROR(М4_АТ4042ROD_0584!G92,"")</f>
        <v>4</v>
      </c>
      <c r="J86" s="13" t="str">
        <f t="shared" si="3"/>
        <v>в/м 12|</v>
      </c>
      <c r="K86" s="32">
        <f t="shared" si="4"/>
        <v>0.61111111111111116</v>
      </c>
      <c r="L86" s="13" t="str">
        <f>IF($A86="","",IF(COUNTIFS($J$4:$J86,$J86,$E$4:$E86,$E86)=1,$E86,""))</f>
        <v/>
      </c>
      <c r="M86" s="13" t="str">
        <f>IF($A86="","",IF(COUNTIFS($J$4:$J86,$J86,$F$4:$F86,$F86)=1,$F86,""))</f>
        <v/>
      </c>
    </row>
    <row r="87" spans="1:13" x14ac:dyDescent="0.35">
      <c r="A87" s="23" t="str">
        <f>IFERROR(М4_АТ4042ROD_0584!B125,"")</f>
        <v>в/м 12</v>
      </c>
      <c r="B87" s="23" t="str">
        <f>IFERROR(IF(М4_АТ4042ROD_0584!C125="","",TEXT(М4_АТ4042ROD_0584!C125,"General")),"")</f>
        <v/>
      </c>
      <c r="C87" s="24" t="str">
        <f>"П'ятниця"</f>
        <v>П'ятниця</v>
      </c>
      <c r="D87" s="24" t="str">
        <f>IFERROR(TEXT(М4_АТ4042ROD_0584!D125,"h:mm"),"")</f>
        <v>14:40</v>
      </c>
      <c r="E87" s="24" t="str">
        <f t="shared" si="5"/>
        <v>№4</v>
      </c>
      <c r="F87" s="24" t="str">
        <f>"АТ 40-42/ROD21003"</f>
        <v>АТ 40-42/ROD21003</v>
      </c>
      <c r="G87" s="24" t="str">
        <f>"СВ 33-15 ЕО"</f>
        <v>СВ 33-15 ЕО</v>
      </c>
      <c r="H87" s="24">
        <f>IFERROR(М4_АТ4042ROD_0584!G125,"")</f>
        <v>4</v>
      </c>
      <c r="J87" s="13" t="str">
        <f t="shared" si="3"/>
        <v>в/м 12|</v>
      </c>
      <c r="K87" s="32">
        <f t="shared" si="4"/>
        <v>0.61111111111111116</v>
      </c>
      <c r="L87" s="13" t="str">
        <f>IF($A87="","",IF(COUNTIFS($J$4:$J87,$J87,$E$4:$E87,$E87)=1,$E87,""))</f>
        <v/>
      </c>
      <c r="M87" s="13" t="str">
        <f>IF($A87="","",IF(COUNTIFS($J$4:$J87,$J87,$F$4:$F87,$F87)=1,$F87,""))</f>
        <v/>
      </c>
    </row>
    <row r="88" spans="1:13" x14ac:dyDescent="0.35">
      <c r="A88" s="23" t="str">
        <f>IFERROR('М3-4_ГАЗ3309_0590'!B112,"")</f>
        <v>в/м 12</v>
      </c>
      <c r="B88" s="23" t="str">
        <f>IFERROR(IF('М3-4_ГАЗ3309_0590'!C112="","",TEXT('М3-4_ГАЗ3309_0590'!C112,"General")),"")</f>
        <v/>
      </c>
      <c r="C88" s="24" t="str">
        <f>"Субота"</f>
        <v>Субота</v>
      </c>
      <c r="D88" s="24" t="str">
        <f>IFERROR(TEXT('М3-4_ГАЗ3309_0590'!D112,"h:mm"),"")</f>
        <v>15:15</v>
      </c>
      <c r="E88" s="24" t="str">
        <f t="shared" si="5"/>
        <v>№4</v>
      </c>
      <c r="F88" s="24" t="str">
        <f>"ГАЗ 3309"</f>
        <v>ГАЗ 3309</v>
      </c>
      <c r="G88" s="24" t="str">
        <f>"СВ 17-85 ВН"</f>
        <v>СВ 17-85 ВН</v>
      </c>
      <c r="H88" s="24">
        <f>IFERROR('М3-4_ГАЗ3309_0590'!G112,"")</f>
        <v>3</v>
      </c>
      <c r="J88" s="13" t="str">
        <f t="shared" si="3"/>
        <v>в/м 12|</v>
      </c>
      <c r="K88" s="32">
        <f t="shared" si="4"/>
        <v>0.63541666666666663</v>
      </c>
      <c r="L88" s="13" t="str">
        <f>IF($A88="","",IF(COUNTIFS($J$4:$J88,$J88,$E$4:$E88,$E88)=1,$E88,""))</f>
        <v/>
      </c>
      <c r="M88" s="13" t="str">
        <f>IF($A88="","",IF(COUNTIFS($J$4:$J88,$J88,$F$4:$F88,$F88)=1,$F88,""))</f>
        <v/>
      </c>
    </row>
    <row r="89" spans="1:13" x14ac:dyDescent="0.35">
      <c r="A89" s="23" t="str">
        <f>IFERROR(М4_АТ4042ROD_0584!B139,"")</f>
        <v>в/м 12</v>
      </c>
      <c r="B89" s="23" t="str">
        <f>IFERROR(IF(М4_АТ4042ROD_0584!C139="","",TEXT(М4_АТ4042ROD_0584!C139,"General")),"")</f>
        <v/>
      </c>
      <c r="C89" s="24" t="str">
        <f>"Неділя"</f>
        <v>Неділя</v>
      </c>
      <c r="D89" s="24" t="str">
        <f>IFERROR(TEXT(М4_АТ4042ROD_0584!D139,"h:mm"),"")</f>
        <v>7:20</v>
      </c>
      <c r="E89" s="24" t="str">
        <f t="shared" si="5"/>
        <v>№4</v>
      </c>
      <c r="F89" s="24" t="str">
        <f>"АТ 40-42/ROD21003"</f>
        <v>АТ 40-42/ROD21003</v>
      </c>
      <c r="G89" s="24" t="str">
        <f>"СВ 33-15 ЕО"</f>
        <v>СВ 33-15 ЕО</v>
      </c>
      <c r="H89" s="24">
        <f>IFERROR(М4_АТ4042ROD_0584!G139,"")</f>
        <v>4</v>
      </c>
      <c r="J89" s="13" t="str">
        <f t="shared" si="3"/>
        <v>в/м 12|</v>
      </c>
      <c r="K89" s="32">
        <f t="shared" si="4"/>
        <v>0.30555555555555558</v>
      </c>
      <c r="L89" s="13" t="str">
        <f>IF($A89="","",IF(COUNTIFS($J$4:$J89,$J89,$E$4:$E89,$E89)=1,$E89,""))</f>
        <v/>
      </c>
      <c r="M89" s="13" t="str">
        <f>IF($A89="","",IF(COUNTIFS($J$4:$J89,$J89,$F$4:$F89,$F89)=1,$F89,""))</f>
        <v/>
      </c>
    </row>
    <row r="90" spans="1:13" x14ac:dyDescent="0.35">
      <c r="A90" s="23" t="str">
        <f>IFERROR('М3-4_ГАЗ3309_0590'!B86,"")</f>
        <v>в/м 17</v>
      </c>
      <c r="B90" s="23" t="str">
        <f>IFERROR(IF('М3-4_ГАЗ3309_0590'!C86="","",TEXT('М3-4_ГАЗ3309_0590'!C86,"General")),"")</f>
        <v/>
      </c>
      <c r="C90" s="24" t="str">
        <f>"Середа"</f>
        <v>Середа</v>
      </c>
      <c r="D90" s="24" t="str">
        <f>IFERROR(TEXT('М3-4_ГАЗ3309_0590'!D86,"h:mm"),"")</f>
        <v>14:50</v>
      </c>
      <c r="E90" s="24" t="str">
        <f t="shared" si="5"/>
        <v>№4</v>
      </c>
      <c r="F90" s="24" t="str">
        <f>"ГАЗ 3309"</f>
        <v>ГАЗ 3309</v>
      </c>
      <c r="G90" s="24" t="str">
        <f>"СВ 17-85 ВН"</f>
        <v>СВ 17-85 ВН</v>
      </c>
      <c r="H90" s="24">
        <f>IFERROR('М3-4_ГАЗ3309_0590'!G86,"")</f>
        <v>2</v>
      </c>
      <c r="J90" s="13" t="str">
        <f t="shared" si="3"/>
        <v>в/м 17|</v>
      </c>
      <c r="K90" s="32">
        <f t="shared" si="4"/>
        <v>0.61805555555555558</v>
      </c>
      <c r="L90" s="13" t="str">
        <f>IF($A90="","",IF(COUNTIFS($J$4:$J90,$J90,$E$4:$E90,$E90)=1,$E90,""))</f>
        <v>№4</v>
      </c>
      <c r="M90" s="13" t="str">
        <f>IF($A90="","",IF(COUNTIFS($J$4:$J90,$J90,$F$4:$F90,$F90)=1,$F90,""))</f>
        <v>ГАЗ 3309</v>
      </c>
    </row>
    <row r="91" spans="1:13" x14ac:dyDescent="0.35">
      <c r="A91" s="23" t="str">
        <f>IFERROR('М3-4_ГАЗ3309_0590'!B111,"")</f>
        <v>в/м 17</v>
      </c>
      <c r="B91" s="23" t="str">
        <f>IFERROR(IF('М3-4_ГАЗ3309_0590'!C111="","",TEXT('М3-4_ГАЗ3309_0590'!C111,"General")),"")</f>
        <v/>
      </c>
      <c r="C91" s="24" t="str">
        <f>"Субота"</f>
        <v>Субота</v>
      </c>
      <c r="D91" s="24" t="str">
        <f>IFERROR(TEXT('М3-4_ГАЗ3309_0590'!D111,"h:mm"),"")</f>
        <v>14:50</v>
      </c>
      <c r="E91" s="24" t="str">
        <f t="shared" si="5"/>
        <v>№4</v>
      </c>
      <c r="F91" s="24" t="str">
        <f>"ГАЗ 3309"</f>
        <v>ГАЗ 3309</v>
      </c>
      <c r="G91" s="24" t="str">
        <f>"СВ 17-85 ВН"</f>
        <v>СВ 17-85 ВН</v>
      </c>
      <c r="H91" s="24">
        <f>IFERROR('М3-4_ГАЗ3309_0590'!G111,"")</f>
        <v>2</v>
      </c>
      <c r="J91" s="13" t="str">
        <f t="shared" si="3"/>
        <v>в/м 17|</v>
      </c>
      <c r="K91" s="32">
        <f t="shared" si="4"/>
        <v>0.61805555555555558</v>
      </c>
      <c r="L91" s="13" t="str">
        <f>IF($A91="","",IF(COUNTIFS($J$4:$J91,$J91,$E$4:$E91,$E91)=1,$E91,""))</f>
        <v/>
      </c>
      <c r="M91" s="13" t="str">
        <f>IF($A91="","",IF(COUNTIFS($J$4:$J91,$J91,$F$4:$F91,$F91)=1,$F91,""))</f>
        <v/>
      </c>
    </row>
    <row r="92" spans="1:13" x14ac:dyDescent="0.35">
      <c r="A92" s="23" t="str">
        <f>IFERROR(М5_МАЗ4381_0592!B9,"")</f>
        <v>вул. 18 Вересня</v>
      </c>
      <c r="B92" s="23" t="str">
        <f>IFERROR(IF(М5_МАЗ4381_0592!C9="","",TEXT(М5_МАЗ4381_0592!C9,"General")),"")</f>
        <v/>
      </c>
      <c r="C92" s="24" t="str">
        <f>"Понеділок"</f>
        <v>Понеділок</v>
      </c>
      <c r="D92" s="24" t="str">
        <f>IFERROR(TEXT(М5_МАЗ4381_0592!D9,"h:mm"),"")</f>
        <v>7:30</v>
      </c>
      <c r="E92" s="24" t="str">
        <f>"№5"</f>
        <v>№5</v>
      </c>
      <c r="F92" s="24" t="str">
        <f>"МАЗ 4381"</f>
        <v>МАЗ 4381</v>
      </c>
      <c r="G92" s="24" t="str">
        <f>"СВ 81-71 ВК"</f>
        <v>СВ 81-71 ВК</v>
      </c>
      <c r="H92" s="24"/>
      <c r="J92" s="13" t="str">
        <f t="shared" si="3"/>
        <v>вул. 18 Вересня|</v>
      </c>
      <c r="K92" s="32">
        <f t="shared" si="4"/>
        <v>0.3125</v>
      </c>
      <c r="L92" s="13" t="str">
        <f>IF($A92="","",IF(COUNTIFS($J$4:$J92,$J92,$E$4:$E92,$E92)=1,$E92,""))</f>
        <v>№5</v>
      </c>
      <c r="M92" s="13" t="str">
        <f>IF($A92="","",IF(COUNTIFS($J$4:$J92,$J92,$F$4:$F92,$F92)=1,$F92,""))</f>
        <v>МАЗ 4381</v>
      </c>
    </row>
    <row r="93" spans="1:13" x14ac:dyDescent="0.35">
      <c r="A93" s="23" t="str">
        <f>IFERROR(М5_МАЗ4381_0592!B89,"")</f>
        <v>вул. 18 Вересня</v>
      </c>
      <c r="B93" s="23" t="str">
        <f>IFERROR(IF(М5_МАЗ4381_0592!C89="","",TEXT(М5_МАЗ4381_0592!C89,"General")),"")</f>
        <v/>
      </c>
      <c r="C93" s="24" t="str">
        <f>"Середа"</f>
        <v>Середа</v>
      </c>
      <c r="D93" s="24" t="str">
        <f>IFERROR(TEXT(М5_МАЗ4381_0592!D89,"h:mm"),"")</f>
        <v>8:15</v>
      </c>
      <c r="E93" s="24" t="str">
        <f>"№5"</f>
        <v>№5</v>
      </c>
      <c r="F93" s="24" t="str">
        <f>"МАЗ 4381"</f>
        <v>МАЗ 4381</v>
      </c>
      <c r="G93" s="24" t="str">
        <f>"СВ 81-71 ВК"</f>
        <v>СВ 81-71 ВК</v>
      </c>
      <c r="H93" s="24"/>
      <c r="J93" s="13" t="str">
        <f t="shared" si="3"/>
        <v>вул. 18 Вересня|</v>
      </c>
      <c r="K93" s="32">
        <f t="shared" si="4"/>
        <v>0.34375</v>
      </c>
      <c r="L93" s="13" t="str">
        <f>IF($A93="","",IF(COUNTIFS($J$4:$J93,$J93,$E$4:$E93,$E93)=1,$E93,""))</f>
        <v/>
      </c>
      <c r="M93" s="13" t="str">
        <f>IF($A93="","",IF(COUNTIFS($J$4:$J93,$J93,$F$4:$F93,$F93)=1,$F93,""))</f>
        <v/>
      </c>
    </row>
    <row r="94" spans="1:13" x14ac:dyDescent="0.35">
      <c r="A94" s="23" t="str">
        <f>IFERROR(М5_МАЗ4381_0592!B183,"")</f>
        <v>вул. 18 Вересня</v>
      </c>
      <c r="B94" s="23" t="str">
        <f>IFERROR(IF(М5_МАЗ4381_0592!C183="","",TEXT(М5_МАЗ4381_0592!C183,"General")),"")</f>
        <v/>
      </c>
      <c r="C94" s="24" t="str">
        <f>"П'ятниця"</f>
        <v>П'ятниця</v>
      </c>
      <c r="D94" s="24" t="str">
        <f>IFERROR(TEXT(М5_МАЗ4381_0592!D183,"h:mm"),"")</f>
        <v>11:55</v>
      </c>
      <c r="E94" s="24" t="str">
        <f>"№5"</f>
        <v>№5</v>
      </c>
      <c r="F94" s="24" t="str">
        <f>"МАЗ 4381"</f>
        <v>МАЗ 4381</v>
      </c>
      <c r="G94" s="24" t="str">
        <f>"СВ 81-71 ВК"</f>
        <v>СВ 81-71 ВК</v>
      </c>
      <c r="H94" s="24"/>
      <c r="J94" s="13" t="str">
        <f t="shared" si="3"/>
        <v>вул. 18 Вересня|</v>
      </c>
      <c r="K94" s="32">
        <f t="shared" si="4"/>
        <v>0.49652777777777779</v>
      </c>
      <c r="L94" s="13" t="str">
        <f>IF($A94="","",IF(COUNTIFS($J$4:$J94,$J94,$E$4:$E94,$E94)=1,$E94,""))</f>
        <v/>
      </c>
      <c r="M94" s="13" t="str">
        <f>IF($A94="","",IF(COUNTIFS($J$4:$J94,$J94,$F$4:$F94,$F94)=1,$F94,""))</f>
        <v/>
      </c>
    </row>
    <row r="95" spans="1:13" x14ac:dyDescent="0.35">
      <c r="A95" s="23" t="str">
        <f>IFERROR('М1-2_АТ4021-1120_0585'!B10,"")</f>
        <v>вул. 18 Вересня</v>
      </c>
      <c r="B95" s="23" t="str">
        <f>IFERROR(IF('М1-2_АТ4021-1120_0585'!C10="","",TEXT('М1-2_АТ4021-1120_0585'!C10,"General")),"")</f>
        <v>Д/с 4</v>
      </c>
      <c r="C95" s="24" t="str">
        <f>"Понеділок"</f>
        <v>Понеділок</v>
      </c>
      <c r="D95" s="24" t="str">
        <f>IFERROR(TEXT('М1-2_АТ4021-1120_0585'!D10,"h:mm"),"")</f>
        <v>8:25</v>
      </c>
      <c r="E95" s="24" t="str">
        <f>"№1"</f>
        <v>№1</v>
      </c>
      <c r="F95" s="24" t="str">
        <f>"АТ-4021/1120"</f>
        <v>АТ-4021/1120</v>
      </c>
      <c r="G95" s="24" t="str">
        <f>"СВ 14-65 ЕО"</f>
        <v>СВ 14-65 ЕО</v>
      </c>
      <c r="H95" s="24">
        <f>IFERROR('М1-2_АТ4021-1120_0585'!G10,"")</f>
        <v>1</v>
      </c>
      <c r="J95" s="13" t="str">
        <f t="shared" si="3"/>
        <v>вул. 18 Вересня|Д/с 4</v>
      </c>
      <c r="K95" s="32">
        <f t="shared" si="4"/>
        <v>0.35069444444444442</v>
      </c>
      <c r="L95" s="13" t="str">
        <f>IF($A95="","",IF(COUNTIFS($J$4:$J95,$J95,$E$4:$E95,$E95)=1,$E95,""))</f>
        <v>№1</v>
      </c>
      <c r="M95" s="13" t="str">
        <f>IF($A95="","",IF(COUNTIFS($J$4:$J95,$J95,$F$4:$F95,$F95)=1,$F95,""))</f>
        <v>АТ-4021/1120</v>
      </c>
    </row>
    <row r="96" spans="1:13" x14ac:dyDescent="0.35">
      <c r="A96" s="23" t="str">
        <f>IFERROR(М5_МАЗ4381_0592!B25,"")</f>
        <v>вул. 2-га Південна</v>
      </c>
      <c r="B96" s="23" t="str">
        <f>IFERROR(IF(М5_МАЗ4381_0592!C25="","",TEXT(М5_МАЗ4381_0592!C25,"General")),"")</f>
        <v/>
      </c>
      <c r="C96" s="24" t="str">
        <f>"Понеділок"</f>
        <v>Понеділок</v>
      </c>
      <c r="D96" s="24" t="str">
        <f>IFERROR(TEXT(М5_МАЗ4381_0592!D25,"h:mm"),"")</f>
        <v>11:10</v>
      </c>
      <c r="E96" s="24" t="str">
        <f>"№5"</f>
        <v>№5</v>
      </c>
      <c r="F96" s="24" t="str">
        <f>"МАЗ 4381"</f>
        <v>МАЗ 4381</v>
      </c>
      <c r="G96" s="24" t="str">
        <f>"СВ 81-71 ВК"</f>
        <v>СВ 81-71 ВК</v>
      </c>
      <c r="H96" s="24"/>
      <c r="J96" s="13" t="str">
        <f t="shared" si="3"/>
        <v>вул. 2-га Південна|</v>
      </c>
      <c r="K96" s="32">
        <f t="shared" si="4"/>
        <v>0.46527777777777779</v>
      </c>
      <c r="L96" s="13" t="str">
        <f>IF($A96="","",IF(COUNTIFS($J$4:$J96,$J96,$E$4:$E96,$E96)=1,$E96,""))</f>
        <v>№5</v>
      </c>
      <c r="M96" s="13" t="str">
        <f>IF($A96="","",IF(COUNTIFS($J$4:$J96,$J96,$F$4:$F96,$F96)=1,$F96,""))</f>
        <v>МАЗ 4381</v>
      </c>
    </row>
    <row r="97" spans="1:13" x14ac:dyDescent="0.35">
      <c r="A97" s="23" t="str">
        <f>IFERROR(М5_МАЗ4381_0592!B106,"")</f>
        <v>вул. Європейська</v>
      </c>
      <c r="B97" s="23" t="str">
        <f>IFERROR(IF(М5_МАЗ4381_0592!C106="","",TEXT(М5_МАЗ4381_0592!C106,"General")),"")</f>
        <v/>
      </c>
      <c r="C97" s="24" t="str">
        <f>"Середа"</f>
        <v>Середа</v>
      </c>
      <c r="D97" s="24" t="str">
        <f>IFERROR(TEXT(М5_МАЗ4381_0592!D106,"h:mm"),"")</f>
        <v>14:15</v>
      </c>
      <c r="E97" s="24" t="str">
        <f>"№5"</f>
        <v>№5</v>
      </c>
      <c r="F97" s="24" t="str">
        <f>"МАЗ 4381"</f>
        <v>МАЗ 4381</v>
      </c>
      <c r="G97" s="24" t="str">
        <f>"СВ 81-71 ВК"</f>
        <v>СВ 81-71 ВК</v>
      </c>
      <c r="H97" s="24"/>
      <c r="J97" s="13" t="str">
        <f t="shared" si="3"/>
        <v>вул. Європейська|</v>
      </c>
      <c r="K97" s="32">
        <f t="shared" si="4"/>
        <v>0.59375</v>
      </c>
      <c r="L97" s="13" t="str">
        <f>IF($A97="","",IF(COUNTIFS($J$4:$J97,$J97,$E$4:$E97,$E97)=1,$E97,""))</f>
        <v>№5</v>
      </c>
      <c r="M97" s="13" t="str">
        <f>IF($A97="","",IF(COUNTIFS($J$4:$J97,$J97,$F$4:$F97,$F97)=1,$F97,""))</f>
        <v>МАЗ 4381</v>
      </c>
    </row>
    <row r="98" spans="1:13" x14ac:dyDescent="0.35">
      <c r="A98" s="23" t="str">
        <f>IFERROR(М5_МАЗ4381_0592!B124,"")</f>
        <v>вул. Європейська</v>
      </c>
      <c r="B98" s="23" t="str">
        <f>IFERROR(IF(М5_МАЗ4381_0592!C124="","",TEXT(М5_МАЗ4381_0592!C124,"General")),"")</f>
        <v/>
      </c>
      <c r="C98" s="24" t="str">
        <f>"Четвер"</f>
        <v>Четвер</v>
      </c>
      <c r="D98" s="24" t="str">
        <f>IFERROR(TEXT(М5_МАЗ4381_0592!D124,"h:mm"),"")</f>
        <v>8:10</v>
      </c>
      <c r="E98" s="24" t="str">
        <f>"№5"</f>
        <v>№5</v>
      </c>
      <c r="F98" s="24" t="str">
        <f>"МАЗ 4381"</f>
        <v>МАЗ 4381</v>
      </c>
      <c r="G98" s="24" t="str">
        <f>"СВ 81-71 ВК"</f>
        <v>СВ 81-71 ВК</v>
      </c>
      <c r="H98" s="24"/>
      <c r="J98" s="13" t="str">
        <f t="shared" si="3"/>
        <v>вул. Європейська|</v>
      </c>
      <c r="K98" s="32">
        <f t="shared" si="4"/>
        <v>0.34027777777777779</v>
      </c>
      <c r="L98" s="13" t="str">
        <f>IF($A98="","",IF(COUNTIFS($J$4:$J98,$J98,$E$4:$E98,$E98)=1,$E98,""))</f>
        <v/>
      </c>
      <c r="M98" s="13" t="str">
        <f>IF($A98="","",IF(COUNTIFS($J$4:$J98,$J98,$F$4:$F98,$F98)=1,$F98,""))</f>
        <v/>
      </c>
    </row>
    <row r="99" spans="1:13" x14ac:dyDescent="0.35">
      <c r="A99" s="23" t="str">
        <f>IFERROR('М1-2_АТ4021-1120_0585'!B30,"")</f>
        <v>вул. Європейська</v>
      </c>
      <c r="B99" s="23" t="str">
        <f>IFERROR(IF('М1-2_АТ4021-1120_0585'!C30="","",TEXT('М1-2_АТ4021-1120_0585'!C30,"General")),"")</f>
        <v>"Акваріум"</v>
      </c>
      <c r="C99" s="24" t="str">
        <f>"Понеділок"</f>
        <v>Понеділок</v>
      </c>
      <c r="D99" s="24" t="str">
        <f>IFERROR(TEXT('М1-2_АТ4021-1120_0585'!D30,"h:mm"),"")</f>
        <v>14:25</v>
      </c>
      <c r="E99" s="24" t="str">
        <f>"№1"</f>
        <v>№1</v>
      </c>
      <c r="F99" s="24" t="str">
        <f>"АТ-4021/1120"</f>
        <v>АТ-4021/1120</v>
      </c>
      <c r="G99" s="24" t="str">
        <f>"СВ 14-65 ЕО"</f>
        <v>СВ 14-65 ЕО</v>
      </c>
      <c r="H99" s="24">
        <f>IFERROR('М1-2_АТ4021-1120_0585'!G30,"")</f>
        <v>1</v>
      </c>
      <c r="J99" s="13" t="str">
        <f t="shared" si="3"/>
        <v>вул. Європейська|"Акваріум"</v>
      </c>
      <c r="K99" s="32">
        <f t="shared" si="4"/>
        <v>0.60069444444444442</v>
      </c>
      <c r="L99" s="13" t="str">
        <f>IF($A99="","",IF(COUNTIFS($J$4:$J99,$J99,$E$4:$E99,$E99)=1,$E99,""))</f>
        <v>№1</v>
      </c>
      <c r="M99" s="13" t="str">
        <f>IF($A99="","",IF(COUNTIFS($J$4:$J99,$J99,$F$4:$F99,$F99)=1,$F99,""))</f>
        <v>АТ-4021/1120</v>
      </c>
    </row>
    <row r="100" spans="1:13" x14ac:dyDescent="0.35">
      <c r="A100" s="23" t="str">
        <f>IFERROR(М3_МАЗ4371_0587!B19,"")</f>
        <v>вул. Європейська</v>
      </c>
      <c r="B100" s="23" t="str">
        <f>IFERROR(IF(М3_МАЗ4371_0587!C19="","",TEXT(М3_МАЗ4371_0587!C19,"General")),"")</f>
        <v>(двір Вокзальна, 19)</v>
      </c>
      <c r="C100" s="24" t="str">
        <f>"Понеділок"</f>
        <v>Понеділок</v>
      </c>
      <c r="D100" s="24" t="str">
        <f>IFERROR(TEXT(М3_МАЗ4371_0587!D19,"h:mm"),"")</f>
        <v>9:45</v>
      </c>
      <c r="E100" s="24" t="str">
        <f t="shared" ref="E100:E114" si="6">"№3"</f>
        <v>№3</v>
      </c>
      <c r="F100" s="24" t="str">
        <f>"МАЗ-4371"</f>
        <v>МАЗ-4371</v>
      </c>
      <c r="G100" s="24" t="str">
        <f>"СВ 53-06 СА"</f>
        <v>СВ 53-06 СА</v>
      </c>
      <c r="H100" s="24">
        <f>IFERROR(М3_МАЗ4371_0587!G19,"")</f>
        <v>4</v>
      </c>
      <c r="J100" s="13" t="str">
        <f t="shared" si="3"/>
        <v>вул. Європейська|(двір Вокзальна, 19)</v>
      </c>
      <c r="K100" s="32">
        <f t="shared" si="4"/>
        <v>0.40625</v>
      </c>
      <c r="L100" s="13" t="str">
        <f>IF($A100="","",IF(COUNTIFS($J$4:$J100,$J100,$E$4:$E100,$E100)=1,$E100,""))</f>
        <v>№3</v>
      </c>
      <c r="M100" s="13" t="str">
        <f>IF($A100="","",IF(COUNTIFS($J$4:$J100,$J100,$F$4:$F100,$F100)=1,$F100,""))</f>
        <v>МАЗ-4371</v>
      </c>
    </row>
    <row r="101" spans="1:13" x14ac:dyDescent="0.35">
      <c r="A101" s="23" t="str">
        <f>IFERROR(М3_МАЗ4371_0587!B63,"")</f>
        <v>вул. Європейська</v>
      </c>
      <c r="B101" s="23" t="str">
        <f>IFERROR(IF(М3_МАЗ4371_0587!C63="","",TEXT(М3_МАЗ4371_0587!C63,"General")),"")</f>
        <v>(двір Вокзальна, 19)</v>
      </c>
      <c r="C101" s="24" t="str">
        <f>"Вівторок"</f>
        <v>Вівторок</v>
      </c>
      <c r="D101" s="24" t="str">
        <f>IFERROR(TEXT(М3_МАЗ4371_0587!D63,"h:mm"),"")</f>
        <v>13:45</v>
      </c>
      <c r="E101" s="24" t="str">
        <f t="shared" si="6"/>
        <v>№3</v>
      </c>
      <c r="F101" s="24" t="str">
        <f>"МАЗ-4371"</f>
        <v>МАЗ-4371</v>
      </c>
      <c r="G101" s="24" t="str">
        <f>"СВ 53-06 СА"</f>
        <v>СВ 53-06 СА</v>
      </c>
      <c r="H101" s="24">
        <f>IFERROR(М3_МАЗ4371_0587!G63,"")</f>
        <v>4</v>
      </c>
      <c r="J101" s="13" t="str">
        <f t="shared" si="3"/>
        <v>вул. Європейська|(двір Вокзальна, 19)</v>
      </c>
      <c r="K101" s="32">
        <f t="shared" si="4"/>
        <v>0.57291666666666663</v>
      </c>
      <c r="L101" s="13" t="str">
        <f>IF($A101="","",IF(COUNTIFS($J$4:$J101,$J101,$E$4:$E101,$E101)=1,$E101,""))</f>
        <v/>
      </c>
      <c r="M101" s="13" t="str">
        <f>IF($A101="","",IF(COUNTIFS($J$4:$J101,$J101,$F$4:$F101,$F101)=1,$F101,""))</f>
        <v/>
      </c>
    </row>
    <row r="102" spans="1:13" x14ac:dyDescent="0.35">
      <c r="A102" s="23" t="str">
        <f>IFERROR(М3_МАЗ4371_0587!B93,"")</f>
        <v>вул. Європейська</v>
      </c>
      <c r="B102" s="23" t="str">
        <f>IFERROR(IF(М3_МАЗ4371_0587!C93="","",TEXT(М3_МАЗ4371_0587!C93,"General")),"")</f>
        <v>(двір Вокзальна, 19)</v>
      </c>
      <c r="C102" s="24" t="str">
        <f>"Середа"</f>
        <v>Середа</v>
      </c>
      <c r="D102" s="24" t="str">
        <f>IFERROR(TEXT(М3_МАЗ4371_0587!D93,"h:mm"),"")</f>
        <v>12:45</v>
      </c>
      <c r="E102" s="24" t="str">
        <f t="shared" si="6"/>
        <v>№3</v>
      </c>
      <c r="F102" s="24" t="str">
        <f>"МАЗ-4371"</f>
        <v>МАЗ-4371</v>
      </c>
      <c r="G102" s="24" t="str">
        <f>"СВ 53-06 СА"</f>
        <v>СВ 53-06 СА</v>
      </c>
      <c r="H102" s="24">
        <f>IFERROR(М3_МАЗ4371_0587!G93,"")</f>
        <v>4</v>
      </c>
      <c r="J102" s="13" t="str">
        <f t="shared" si="3"/>
        <v>вул. Європейська|(двір Вокзальна, 19)</v>
      </c>
      <c r="K102" s="32">
        <f t="shared" si="4"/>
        <v>0.53125</v>
      </c>
      <c r="L102" s="13" t="str">
        <f>IF($A102="","",IF(COUNTIFS($J$4:$J102,$J102,$E$4:$E102,$E102)=1,$E102,""))</f>
        <v/>
      </c>
      <c r="M102" s="13" t="str">
        <f>IF($A102="","",IF(COUNTIFS($J$4:$J102,$J102,$F$4:$F102,$F102)=1,$F102,""))</f>
        <v/>
      </c>
    </row>
    <row r="103" spans="1:13" x14ac:dyDescent="0.35">
      <c r="A103" s="23" t="str">
        <f>IFERROR('М3-4_ГАЗ3309_0590'!B29,"")</f>
        <v>вул. Європейська</v>
      </c>
      <c r="B103" s="23" t="str">
        <f>IFERROR(IF('М3-4_ГАЗ3309_0590'!C29="","",TEXT('М3-4_ГАЗ3309_0590'!C29,"General")),"")</f>
        <v>(двір Вокзальна, 19)</v>
      </c>
      <c r="C103" s="24" t="str">
        <f>"Четвер"</f>
        <v>Четвер</v>
      </c>
      <c r="D103" s="24" t="str">
        <f>IFERROR(TEXT('М3-4_ГАЗ3309_0590'!D29,"h:mm"),"")</f>
        <v>15:20</v>
      </c>
      <c r="E103" s="24" t="str">
        <f t="shared" si="6"/>
        <v>№3</v>
      </c>
      <c r="F103" s="24" t="str">
        <f>"ГАЗ 3309"</f>
        <v>ГАЗ 3309</v>
      </c>
      <c r="G103" s="24" t="str">
        <f>"СВ 17-85 ВН"</f>
        <v>СВ 17-85 ВН</v>
      </c>
      <c r="H103" s="24">
        <f>IFERROR('М3-4_ГАЗ3309_0590'!G29,"")</f>
        <v>3</v>
      </c>
      <c r="J103" s="13" t="str">
        <f t="shared" si="3"/>
        <v>вул. Європейська|(двір Вокзальна, 19)</v>
      </c>
      <c r="K103" s="32">
        <f t="shared" si="4"/>
        <v>0.63888888888888884</v>
      </c>
      <c r="L103" s="13" t="str">
        <f>IF($A103="","",IF(COUNTIFS($J$4:$J103,$J103,$E$4:$E103,$E103)=1,$E103,""))</f>
        <v/>
      </c>
      <c r="M103" s="13" t="str">
        <f>IF($A103="","",IF(COUNTIFS($J$4:$J103,$J103,$F$4:$F103,$F103)=1,$F103,""))</f>
        <v>ГАЗ 3309</v>
      </c>
    </row>
    <row r="104" spans="1:13" x14ac:dyDescent="0.35">
      <c r="A104" s="23" t="str">
        <f>IFERROR(М3_МАЗ4371_0587!B138,"")</f>
        <v>вул. Європейська</v>
      </c>
      <c r="B104" s="23" t="str">
        <f>IFERROR(IF(М3_МАЗ4371_0587!C138="","",TEXT(М3_МАЗ4371_0587!C138,"General")),"")</f>
        <v>(двір Вокзальна, 19)</v>
      </c>
      <c r="C104" s="24" t="str">
        <f>"П'ятниця"</f>
        <v>П'ятниця</v>
      </c>
      <c r="D104" s="24" t="str">
        <f>IFERROR(TEXT(М3_МАЗ4371_0587!D138,"h:mm"),"")</f>
        <v>14:00</v>
      </c>
      <c r="E104" s="24" t="str">
        <f t="shared" si="6"/>
        <v>№3</v>
      </c>
      <c r="F104" s="24" t="str">
        <f>"МАЗ-4371"</f>
        <v>МАЗ-4371</v>
      </c>
      <c r="G104" s="24" t="str">
        <f>"СВ 53-06 СА"</f>
        <v>СВ 53-06 СА</v>
      </c>
      <c r="H104" s="24">
        <f>IFERROR(М3_МАЗ4371_0587!G138,"")</f>
        <v>4</v>
      </c>
      <c r="J104" s="13" t="str">
        <f t="shared" si="3"/>
        <v>вул. Європейська|(двір Вокзальна, 19)</v>
      </c>
      <c r="K104" s="32">
        <f t="shared" si="4"/>
        <v>0.58333333333333337</v>
      </c>
      <c r="L104" s="13" t="str">
        <f>IF($A104="","",IF(COUNTIFS($J$4:$J104,$J104,$E$4:$E104,$E104)=1,$E104,""))</f>
        <v/>
      </c>
      <c r="M104" s="13" t="str">
        <f>IF($A104="","",IF(COUNTIFS($J$4:$J104,$J104,$F$4:$F104,$F104)=1,$F104,""))</f>
        <v/>
      </c>
    </row>
    <row r="105" spans="1:13" x14ac:dyDescent="0.35">
      <c r="A105" s="23" t="str">
        <f>IFERROR(М3_МАЗ4371_0587!B172,"")</f>
        <v>вул. Європейська</v>
      </c>
      <c r="B105" s="23" t="str">
        <f>IFERROR(IF(М3_МАЗ4371_0587!C172="","",TEXT(М3_МАЗ4371_0587!C172,"General")),"")</f>
        <v>(двір Вокзальна, 19)</v>
      </c>
      <c r="C105" s="24" t="str">
        <f>"Субота"</f>
        <v>Субота</v>
      </c>
      <c r="D105" s="24" t="str">
        <f>IFERROR(TEXT(М3_МАЗ4371_0587!D172,"h:mm"),"")</f>
        <v>14:40</v>
      </c>
      <c r="E105" s="24" t="str">
        <f t="shared" si="6"/>
        <v>№3</v>
      </c>
      <c r="F105" s="24" t="str">
        <f>"МАЗ-4371"</f>
        <v>МАЗ-4371</v>
      </c>
      <c r="G105" s="24" t="str">
        <f>"СВ 53-06 СА"</f>
        <v>СВ 53-06 СА</v>
      </c>
      <c r="H105" s="24">
        <f>IFERROR(М3_МАЗ4371_0587!G172,"")</f>
        <v>4</v>
      </c>
      <c r="J105" s="13" t="str">
        <f t="shared" si="3"/>
        <v>вул. Європейська|(двір Вокзальна, 19)</v>
      </c>
      <c r="K105" s="32">
        <f t="shared" si="4"/>
        <v>0.61111111111111116</v>
      </c>
      <c r="L105" s="13" t="str">
        <f>IF($A105="","",IF(COUNTIFS($J$4:$J105,$J105,$E$4:$E105,$E105)=1,$E105,""))</f>
        <v/>
      </c>
      <c r="M105" s="13" t="str">
        <f>IF($A105="","",IF(COUNTIFS($J$4:$J105,$J105,$F$4:$F105,$F105)=1,$F105,""))</f>
        <v/>
      </c>
    </row>
    <row r="106" spans="1:13" x14ac:dyDescent="0.35">
      <c r="A106" s="23" t="str">
        <f>IFERROR('М3-4_ГАЗ3309_0590'!B61,"")</f>
        <v>вул. Європейська</v>
      </c>
      <c r="B106" s="23" t="str">
        <f>IFERROR(IF('М3-4_ГАЗ3309_0590'!C61="","",TEXT('М3-4_ГАЗ3309_0590'!C61,"General")),"")</f>
        <v>(двір Вокзальна, 19)</v>
      </c>
      <c r="C106" s="24" t="str">
        <f>"Неділя"</f>
        <v>Неділя</v>
      </c>
      <c r="D106" s="24" t="str">
        <f>IFERROR(TEXT('М3-4_ГАЗ3309_0590'!D61,"h:mm"),"")</f>
        <v>15:20</v>
      </c>
      <c r="E106" s="24" t="str">
        <f t="shared" si="6"/>
        <v>№3</v>
      </c>
      <c r="F106" s="24" t="str">
        <f>"ГАЗ 3309"</f>
        <v>ГАЗ 3309</v>
      </c>
      <c r="G106" s="24" t="str">
        <f>"СВ 17-85 ВН"</f>
        <v>СВ 17-85 ВН</v>
      </c>
      <c r="H106" s="24">
        <f>IFERROR('М3-4_ГАЗ3309_0590'!G61,"")</f>
        <v>3</v>
      </c>
      <c r="J106" s="13" t="str">
        <f t="shared" si="3"/>
        <v>вул. Європейська|(двір Вокзальна, 19)</v>
      </c>
      <c r="K106" s="32">
        <f t="shared" si="4"/>
        <v>0.63888888888888884</v>
      </c>
      <c r="L106" s="13" t="str">
        <f>IF($A106="","",IF(COUNTIFS($J$4:$J106,$J106,$E$4:$E106,$E106)=1,$E106,""))</f>
        <v/>
      </c>
      <c r="M106" s="13" t="str">
        <f>IF($A106="","",IF(COUNTIFS($J$4:$J106,$J106,$F$4:$F106,$F106)=1,$F106,""))</f>
        <v/>
      </c>
    </row>
    <row r="107" spans="1:13" x14ac:dyDescent="0.35">
      <c r="A107" s="23" t="str">
        <f>IFERROR(М3_МАЗ4371_0587!B24,"")</f>
        <v>вул. Європейська</v>
      </c>
      <c r="B107" s="23" t="str">
        <f>IFERROR(IF(М3_МАЗ4371_0587!C24="","",TEXT(М3_МАЗ4371_0587!C24,"General")),"")</f>
        <v>110</v>
      </c>
      <c r="C107" s="24" t="str">
        <f>"Понеділок"</f>
        <v>Понеділок</v>
      </c>
      <c r="D107" s="24" t="str">
        <f>IFERROR(TEXT(М3_МАЗ4371_0587!D24,"h:mm"),"")</f>
        <v>12:15</v>
      </c>
      <c r="E107" s="24" t="str">
        <f t="shared" si="6"/>
        <v>№3</v>
      </c>
      <c r="F107" s="24" t="str">
        <f>"МАЗ-4371"</f>
        <v>МАЗ-4371</v>
      </c>
      <c r="G107" s="24" t="str">
        <f>"СВ 53-06 СА"</f>
        <v>СВ 53-06 СА</v>
      </c>
      <c r="H107" s="24">
        <f>IFERROR(М3_МАЗ4371_0587!G24,"")</f>
        <v>5</v>
      </c>
      <c r="J107" s="13" t="str">
        <f t="shared" si="3"/>
        <v>вул. Європейська|110</v>
      </c>
      <c r="K107" s="32">
        <f t="shared" si="4"/>
        <v>0.51041666666666663</v>
      </c>
      <c r="L107" s="13" t="str">
        <f>IF($A107="","",IF(COUNTIFS($J$4:$J107,$J107,$E$4:$E107,$E107)=1,$E107,""))</f>
        <v>№3</v>
      </c>
      <c r="M107" s="13" t="str">
        <f>IF($A107="","",IF(COUNTIFS($J$4:$J107,$J107,$F$4:$F107,$F107)=1,$F107,""))</f>
        <v>МАЗ-4371</v>
      </c>
    </row>
    <row r="108" spans="1:13" x14ac:dyDescent="0.35">
      <c r="A108" s="23" t="str">
        <f>IFERROR(М3_МАЗ4371_0587!B64,"")</f>
        <v>вул. Європейська</v>
      </c>
      <c r="B108" s="23" t="str">
        <f>IFERROR(IF(М3_МАЗ4371_0587!C64="","",TEXT(М3_МАЗ4371_0587!C64,"General")),"")</f>
        <v>110</v>
      </c>
      <c r="C108" s="24" t="str">
        <f>"Вівторок"</f>
        <v>Вівторок</v>
      </c>
      <c r="D108" s="24" t="str">
        <f>IFERROR(TEXT(М3_МАЗ4371_0587!D64,"h:mm"),"")</f>
        <v>14:00</v>
      </c>
      <c r="E108" s="24" t="str">
        <f t="shared" si="6"/>
        <v>№3</v>
      </c>
      <c r="F108" s="24" t="str">
        <f>"МАЗ-4371"</f>
        <v>МАЗ-4371</v>
      </c>
      <c r="G108" s="24" t="str">
        <f>"СВ 53-06 СА"</f>
        <v>СВ 53-06 СА</v>
      </c>
      <c r="H108" s="24">
        <f>IFERROR(М3_МАЗ4371_0587!G64,"")</f>
        <v>5</v>
      </c>
      <c r="J108" s="13" t="str">
        <f t="shared" si="3"/>
        <v>вул. Європейська|110</v>
      </c>
      <c r="K108" s="32">
        <f t="shared" si="4"/>
        <v>0.58333333333333337</v>
      </c>
      <c r="L108" s="13" t="str">
        <f>IF($A108="","",IF(COUNTIFS($J$4:$J108,$J108,$E$4:$E108,$E108)=1,$E108,""))</f>
        <v/>
      </c>
      <c r="M108" s="13" t="str">
        <f>IF($A108="","",IF(COUNTIFS($J$4:$J108,$J108,$F$4:$F108,$F108)=1,$F108,""))</f>
        <v/>
      </c>
    </row>
    <row r="109" spans="1:13" x14ac:dyDescent="0.35">
      <c r="A109" s="23" t="str">
        <f>IFERROR(М3_МАЗ4371_0587!B92,"")</f>
        <v>вул. Європейська</v>
      </c>
      <c r="B109" s="23" t="str">
        <f>IFERROR(IF(М3_МАЗ4371_0587!C92="","",TEXT(М3_МАЗ4371_0587!C92,"General")),"")</f>
        <v>110</v>
      </c>
      <c r="C109" s="24" t="str">
        <f>"Середа"</f>
        <v>Середа</v>
      </c>
      <c r="D109" s="24" t="str">
        <f>IFERROR(TEXT(М3_МАЗ4371_0587!D92,"h:mm"),"")</f>
        <v>12:30</v>
      </c>
      <c r="E109" s="24" t="str">
        <f t="shared" si="6"/>
        <v>№3</v>
      </c>
      <c r="F109" s="24" t="str">
        <f>"МАЗ-4371"</f>
        <v>МАЗ-4371</v>
      </c>
      <c r="G109" s="24" t="str">
        <f>"СВ 53-06 СА"</f>
        <v>СВ 53-06 СА</v>
      </c>
      <c r="H109" s="24">
        <f>IFERROR(М3_МАЗ4371_0587!G92,"")</f>
        <v>5</v>
      </c>
      <c r="J109" s="13" t="str">
        <f t="shared" si="3"/>
        <v>вул. Європейська|110</v>
      </c>
      <c r="K109" s="32">
        <f t="shared" si="4"/>
        <v>0.52083333333333337</v>
      </c>
      <c r="L109" s="13" t="str">
        <f>IF($A109="","",IF(COUNTIFS($J$4:$J109,$J109,$E$4:$E109,$E109)=1,$E109,""))</f>
        <v/>
      </c>
      <c r="M109" s="13" t="str">
        <f>IF($A109="","",IF(COUNTIFS($J$4:$J109,$J109,$F$4:$F109,$F109)=1,$F109,""))</f>
        <v/>
      </c>
    </row>
    <row r="110" spans="1:13" x14ac:dyDescent="0.35">
      <c r="A110" s="23" t="str">
        <f>IFERROR('М3-4_ГАЗ3309_0590'!B27,"")</f>
        <v>вул. Європейська</v>
      </c>
      <c r="B110" s="23" t="str">
        <f>IFERROR(IF('М3-4_ГАЗ3309_0590'!C27="","",TEXT('М3-4_ГАЗ3309_0590'!C27,"General")),"")</f>
        <v>110</v>
      </c>
      <c r="C110" s="24" t="str">
        <f>"Четвер"</f>
        <v>Четвер</v>
      </c>
      <c r="D110" s="24" t="str">
        <f>IFERROR(TEXT('М3-4_ГАЗ3309_0590'!D27,"h:mm"),"")</f>
        <v>14:55</v>
      </c>
      <c r="E110" s="24" t="str">
        <f t="shared" si="6"/>
        <v>№3</v>
      </c>
      <c r="F110" s="24" t="str">
        <f>"ГАЗ 3309"</f>
        <v>ГАЗ 3309</v>
      </c>
      <c r="G110" s="24" t="str">
        <f>"СВ 17-85 ВН"</f>
        <v>СВ 17-85 ВН</v>
      </c>
      <c r="H110" s="24">
        <f>IFERROR('М3-4_ГАЗ3309_0590'!G27,"")</f>
        <v>3</v>
      </c>
      <c r="J110" s="13" t="str">
        <f t="shared" si="3"/>
        <v>вул. Європейська|110</v>
      </c>
      <c r="K110" s="32">
        <f t="shared" si="4"/>
        <v>0.62152777777777779</v>
      </c>
      <c r="L110" s="13" t="str">
        <f>IF($A110="","",IF(COUNTIFS($J$4:$J110,$J110,$E$4:$E110,$E110)=1,$E110,""))</f>
        <v/>
      </c>
      <c r="M110" s="13" t="str">
        <f>IF($A110="","",IF(COUNTIFS($J$4:$J110,$J110,$F$4:$F110,$F110)=1,$F110,""))</f>
        <v>ГАЗ 3309</v>
      </c>
    </row>
    <row r="111" spans="1:13" x14ac:dyDescent="0.35">
      <c r="A111" s="23" t="str">
        <f>IFERROR(М3_МАЗ4371_0587!B132,"")</f>
        <v>вул. Європейська</v>
      </c>
      <c r="B111" s="23" t="str">
        <f>IFERROR(IF(М3_МАЗ4371_0587!C132="","",TEXT(М3_МАЗ4371_0587!C132,"General")),"")</f>
        <v>110</v>
      </c>
      <c r="C111" s="24" t="str">
        <f>"П'ятниця"</f>
        <v>П'ятниця</v>
      </c>
      <c r="D111" s="24" t="str">
        <f>IFERROR(TEXT(М3_МАЗ4371_0587!D132,"h:mm"),"")</f>
        <v>12:30</v>
      </c>
      <c r="E111" s="24" t="str">
        <f t="shared" si="6"/>
        <v>№3</v>
      </c>
      <c r="F111" s="24" t="str">
        <f>"МАЗ-4371"</f>
        <v>МАЗ-4371</v>
      </c>
      <c r="G111" s="24" t="str">
        <f>"СВ 53-06 СА"</f>
        <v>СВ 53-06 СА</v>
      </c>
      <c r="H111" s="24">
        <f>IFERROR(М3_МАЗ4371_0587!G132,"")</f>
        <v>5</v>
      </c>
      <c r="J111" s="13" t="str">
        <f t="shared" si="3"/>
        <v>вул. Європейська|110</v>
      </c>
      <c r="K111" s="32">
        <f t="shared" si="4"/>
        <v>0.52083333333333337</v>
      </c>
      <c r="L111" s="13" t="str">
        <f>IF($A111="","",IF(COUNTIFS($J$4:$J111,$J111,$E$4:$E111,$E111)=1,$E111,""))</f>
        <v/>
      </c>
      <c r="M111" s="13" t="str">
        <f>IF($A111="","",IF(COUNTIFS($J$4:$J111,$J111,$F$4:$F111,$F111)=1,$F111,""))</f>
        <v/>
      </c>
    </row>
    <row r="112" spans="1:13" x14ac:dyDescent="0.35">
      <c r="A112" s="23" t="str">
        <f>IFERROR(М3_МАЗ4371_0587!B171,"")</f>
        <v>вул. Європейська</v>
      </c>
      <c r="B112" s="23" t="str">
        <f>IFERROR(IF(М3_МАЗ4371_0587!C171="","",TEXT(М3_МАЗ4371_0587!C171,"General")),"")</f>
        <v>110</v>
      </c>
      <c r="C112" s="24" t="str">
        <f>"Субота"</f>
        <v>Субота</v>
      </c>
      <c r="D112" s="24" t="str">
        <f>IFERROR(TEXT(М3_МАЗ4371_0587!D171,"h:mm"),"")</f>
        <v>14:25</v>
      </c>
      <c r="E112" s="24" t="str">
        <f t="shared" si="6"/>
        <v>№3</v>
      </c>
      <c r="F112" s="24" t="str">
        <f>"МАЗ-4371"</f>
        <v>МАЗ-4371</v>
      </c>
      <c r="G112" s="24" t="str">
        <f>"СВ 53-06 СА"</f>
        <v>СВ 53-06 СА</v>
      </c>
      <c r="H112" s="24">
        <f>IFERROR(М3_МАЗ4371_0587!G171,"")</f>
        <v>5</v>
      </c>
      <c r="J112" s="13" t="str">
        <f t="shared" si="3"/>
        <v>вул. Європейська|110</v>
      </c>
      <c r="K112" s="32">
        <f t="shared" si="4"/>
        <v>0.60069444444444442</v>
      </c>
      <c r="L112" s="13" t="str">
        <f>IF($A112="","",IF(COUNTIFS($J$4:$J112,$J112,$E$4:$E112,$E112)=1,$E112,""))</f>
        <v/>
      </c>
      <c r="M112" s="13" t="str">
        <f>IF($A112="","",IF(COUNTIFS($J$4:$J112,$J112,$F$4:$F112,$F112)=1,$F112,""))</f>
        <v/>
      </c>
    </row>
    <row r="113" spans="1:13" x14ac:dyDescent="0.35">
      <c r="A113" s="23" t="str">
        <f>IFERROR('М3-4_ГАЗ3309_0590'!B59,"")</f>
        <v>вул. Європейська</v>
      </c>
      <c r="B113" s="23" t="str">
        <f>IFERROR(IF('М3-4_ГАЗ3309_0590'!C59="","",TEXT('М3-4_ГАЗ3309_0590'!C59,"General")),"")</f>
        <v>110</v>
      </c>
      <c r="C113" s="24" t="str">
        <f>"Неділя"</f>
        <v>Неділя</v>
      </c>
      <c r="D113" s="24" t="str">
        <f>IFERROR(TEXT('М3-4_ГАЗ3309_0590'!D59,"h:mm"),"")</f>
        <v>14:55</v>
      </c>
      <c r="E113" s="24" t="str">
        <f t="shared" si="6"/>
        <v>№3</v>
      </c>
      <c r="F113" s="24" t="str">
        <f>"ГАЗ 3309"</f>
        <v>ГАЗ 3309</v>
      </c>
      <c r="G113" s="24" t="str">
        <f>"СВ 17-85 ВН"</f>
        <v>СВ 17-85 ВН</v>
      </c>
      <c r="H113" s="24">
        <f>IFERROR('М3-4_ГАЗ3309_0590'!G59,"")</f>
        <v>3</v>
      </c>
      <c r="J113" s="13" t="str">
        <f t="shared" si="3"/>
        <v>вул. Європейська|110</v>
      </c>
      <c r="K113" s="32">
        <f t="shared" si="4"/>
        <v>0.62152777777777779</v>
      </c>
      <c r="L113" s="13" t="str">
        <f>IF($A113="","",IF(COUNTIFS($J$4:$J113,$J113,$E$4:$E113,$E113)=1,$E113,""))</f>
        <v/>
      </c>
      <c r="M113" s="13" t="str">
        <f>IF($A113="","",IF(COUNTIFS($J$4:$J113,$J113,$F$4:$F113,$F113)=1,$F113,""))</f>
        <v/>
      </c>
    </row>
    <row r="114" spans="1:13" x14ac:dyDescent="0.35">
      <c r="A114" s="23" t="str">
        <f>IFERROR('М3-4_ГАЗ3309_0590'!B138,"")</f>
        <v>вул. Європейська</v>
      </c>
      <c r="B114" s="23" t="str">
        <f>IFERROR(IF('М3-4_ГАЗ3309_0590'!C138="","",TEXT('М3-4_ГАЗ3309_0590'!C138,"General")),"")</f>
        <v>дит.лікарня</v>
      </c>
      <c r="C114" s="24" t="str">
        <f>"Понеділок"</f>
        <v>Понеділок</v>
      </c>
      <c r="D114" s="24" t="str">
        <f>IFERROR(TEXT('М3-4_ГАЗ3309_0590'!D138,"h:mm"),"")</f>
        <v>14:15</v>
      </c>
      <c r="E114" s="24" t="str">
        <f t="shared" si="6"/>
        <v>№3</v>
      </c>
      <c r="F114" s="24" t="str">
        <f>"ГАЗ 3309"</f>
        <v>ГАЗ 3309</v>
      </c>
      <c r="G114" s="24" t="str">
        <f>"СВ 17-85 ВН"</f>
        <v>СВ 17-85 ВН</v>
      </c>
      <c r="H114" s="24">
        <f>IFERROR('М3-4_ГАЗ3309_0590'!G138,"")</f>
        <v>2</v>
      </c>
      <c r="J114" s="13" t="str">
        <f t="shared" si="3"/>
        <v>вул. Європейська|дит.лікарня</v>
      </c>
      <c r="K114" s="32">
        <f t="shared" si="4"/>
        <v>0.59375</v>
      </c>
      <c r="L114" s="13" t="str">
        <f>IF($A114="","",IF(COUNTIFS($J$4:$J114,$J114,$E$4:$E114,$E114)=1,$E114,""))</f>
        <v>№3</v>
      </c>
      <c r="M114" s="13" t="str">
        <f>IF($A114="","",IF(COUNTIFS($J$4:$J114,$J114,$F$4:$F114,$F114)=1,$F114,""))</f>
        <v>ГАЗ 3309</v>
      </c>
    </row>
    <row r="115" spans="1:13" x14ac:dyDescent="0.35">
      <c r="A115" s="23" t="str">
        <f>IFERROR(М5_МАЗ4381_0592!B110,"")</f>
        <v>вул. Європейська</v>
      </c>
      <c r="B115" s="23" t="str">
        <f>IFERROR(IF(М5_МАЗ4381_0592!C110="","",TEXT(М5_МАЗ4381_0592!C110,"General")),"")</f>
        <v>м-н Акваріум</v>
      </c>
      <c r="C115" s="24" t="str">
        <f>"Середа"</f>
        <v>Середа</v>
      </c>
      <c r="D115" s="24" t="str">
        <f>IFERROR(TEXT(М5_МАЗ4381_0592!D110,"h:mm"),"")</f>
        <v>15:20</v>
      </c>
      <c r="E115" s="24" t="str">
        <f>"№5"</f>
        <v>№5</v>
      </c>
      <c r="F115" s="24" t="str">
        <f>"МАЗ 4381"</f>
        <v>МАЗ 4381</v>
      </c>
      <c r="G115" s="24" t="str">
        <f>"СВ 81-71 ВК"</f>
        <v>СВ 81-71 ВК</v>
      </c>
      <c r="H115" s="24"/>
      <c r="J115" s="13" t="str">
        <f t="shared" si="3"/>
        <v>вул. Європейська|м-н Акваріум</v>
      </c>
      <c r="K115" s="32">
        <f t="shared" si="4"/>
        <v>0.63888888888888884</v>
      </c>
      <c r="L115" s="13" t="str">
        <f>IF($A115="","",IF(COUNTIFS($J$4:$J115,$J115,$E$4:$E115,$E115)=1,$E115,""))</f>
        <v>№5</v>
      </c>
      <c r="M115" s="13" t="str">
        <f>IF($A115="","",IF(COUNTIFS($J$4:$J115,$J115,$F$4:$F115,$F115)=1,$F115,""))</f>
        <v>МАЗ 4381</v>
      </c>
    </row>
    <row r="116" spans="1:13" x14ac:dyDescent="0.35">
      <c r="A116" s="23" t="str">
        <f>IFERROR(М1_КАМАЗ55111_0591!B9,"")</f>
        <v>вул. Європейська</v>
      </c>
      <c r="B116" s="23" t="str">
        <f>IFERROR(IF(М1_КАМАЗ55111_0591!C9="","",TEXT(М1_КАМАЗ55111_0591!C9,"General")),"")</f>
        <v>стовпи</v>
      </c>
      <c r="C116" s="24" t="str">
        <f>"Понеділок"</f>
        <v>Понеділок</v>
      </c>
      <c r="D116" s="24" t="str">
        <f>IFERROR(TEXT(М1_КАМАЗ55111_0591!D9,"h:mm"),"")</f>
        <v>7:25</v>
      </c>
      <c r="E116" s="24" t="str">
        <f t="shared" ref="E116:E122" si="7">"№1"</f>
        <v>№1</v>
      </c>
      <c r="F116" s="24" t="str">
        <f>"КАМАЗ 55111"</f>
        <v>КАМАЗ 55111</v>
      </c>
      <c r="G116" s="24" t="str">
        <f>"СВ 50-33 АР"</f>
        <v>СВ 50-33 АР</v>
      </c>
      <c r="H116" s="24">
        <f>IFERROR(М1_КАМАЗ55111_0591!G9,"")</f>
        <v>3</v>
      </c>
      <c r="J116" s="13" t="str">
        <f t="shared" si="3"/>
        <v>вул. Європейська|стовпи</v>
      </c>
      <c r="K116" s="32">
        <f t="shared" si="4"/>
        <v>0.30902777777777779</v>
      </c>
      <c r="L116" s="13" t="str">
        <f>IF($A116="","",IF(COUNTIFS($J$4:$J116,$J116,$E$4:$E116,$E116)=1,$E116,""))</f>
        <v>№1</v>
      </c>
      <c r="M116" s="13" t="str">
        <f>IF($A116="","",IF(COUNTIFS($J$4:$J116,$J116,$F$4:$F116,$F116)=1,$F116,""))</f>
        <v>КАМАЗ 55111</v>
      </c>
    </row>
    <row r="117" spans="1:13" x14ac:dyDescent="0.35">
      <c r="A117" s="23" t="str">
        <f>IFERROR(М1_КАМАЗ55111_0591!B44,"")</f>
        <v>вул. Європейська</v>
      </c>
      <c r="B117" s="23" t="str">
        <f>IFERROR(IF(М1_КАМАЗ55111_0591!C44="","",TEXT(М1_КАМАЗ55111_0591!C44,"General")),"")</f>
        <v>стовпи</v>
      </c>
      <c r="C117" s="24" t="str">
        <f>"Вівторок"</f>
        <v>Вівторок</v>
      </c>
      <c r="D117" s="24" t="str">
        <f>IFERROR(TEXT(М1_КАМАЗ55111_0591!D44,"h:mm"),"")</f>
        <v>7:25</v>
      </c>
      <c r="E117" s="24" t="str">
        <f t="shared" si="7"/>
        <v>№1</v>
      </c>
      <c r="F117" s="24" t="str">
        <f>"КАМАЗ 55111"</f>
        <v>КАМАЗ 55111</v>
      </c>
      <c r="G117" s="24" t="str">
        <f>"СВ 50-33 АР"</f>
        <v>СВ 50-33 АР</v>
      </c>
      <c r="H117" s="24">
        <f>IFERROR(М1_КАМАЗ55111_0591!G44,"")</f>
        <v>3</v>
      </c>
      <c r="J117" s="13" t="str">
        <f t="shared" si="3"/>
        <v>вул. Європейська|стовпи</v>
      </c>
      <c r="K117" s="32">
        <f t="shared" si="4"/>
        <v>0.30902777777777779</v>
      </c>
      <c r="L117" s="13" t="str">
        <f>IF($A117="","",IF(COUNTIFS($J$4:$J117,$J117,$E$4:$E117,$E117)=1,$E117,""))</f>
        <v/>
      </c>
      <c r="M117" s="13" t="str">
        <f>IF($A117="","",IF(COUNTIFS($J$4:$J117,$J117,$F$4:$F117,$F117)=1,$F117,""))</f>
        <v/>
      </c>
    </row>
    <row r="118" spans="1:13" x14ac:dyDescent="0.35">
      <c r="A118" s="23" t="str">
        <f>IFERROR(М1_КАМАЗ55111_0591!B76,"")</f>
        <v>вул. Європейська</v>
      </c>
      <c r="B118" s="23" t="str">
        <f>IFERROR(IF(М1_КАМАЗ55111_0591!C76="","",TEXT(М1_КАМАЗ55111_0591!C76,"General")),"")</f>
        <v>стовпи</v>
      </c>
      <c r="C118" s="24" t="str">
        <f>"Середа"</f>
        <v>Середа</v>
      </c>
      <c r="D118" s="24" t="str">
        <f>IFERROR(TEXT(М1_КАМАЗ55111_0591!D76,"h:mm"),"")</f>
        <v>7:25</v>
      </c>
      <c r="E118" s="24" t="str">
        <f t="shared" si="7"/>
        <v>№1</v>
      </c>
      <c r="F118" s="24" t="str">
        <f>"КАМАЗ 55111"</f>
        <v>КАМАЗ 55111</v>
      </c>
      <c r="G118" s="24" t="str">
        <f>"СВ 50-33 АР"</f>
        <v>СВ 50-33 АР</v>
      </c>
      <c r="H118" s="24">
        <f>IFERROR(М1_КАМАЗ55111_0591!G76,"")</f>
        <v>3</v>
      </c>
      <c r="J118" s="13" t="str">
        <f t="shared" si="3"/>
        <v>вул. Європейська|стовпи</v>
      </c>
      <c r="K118" s="32">
        <f t="shared" si="4"/>
        <v>0.30902777777777779</v>
      </c>
      <c r="L118" s="13" t="str">
        <f>IF($A118="","",IF(COUNTIFS($J$4:$J118,$J118,$E$4:$E118,$E118)=1,$E118,""))</f>
        <v/>
      </c>
      <c r="M118" s="13" t="str">
        <f>IF($A118="","",IF(COUNTIFS($J$4:$J118,$J118,$F$4:$F118,$F118)=1,$F118,""))</f>
        <v/>
      </c>
    </row>
    <row r="119" spans="1:13" x14ac:dyDescent="0.35">
      <c r="A119" s="23" t="str">
        <f>IFERROR('М1-2_АТ4021-1120_0585'!B111,"")</f>
        <v>вул. Європейська</v>
      </c>
      <c r="B119" s="23" t="str">
        <f>IFERROR(IF('М1-2_АТ4021-1120_0585'!C111="","",TEXT('М1-2_АТ4021-1120_0585'!C111,"General")),"")</f>
        <v>стовпи</v>
      </c>
      <c r="C119" s="24" t="str">
        <f>"Четвер"</f>
        <v>Четвер</v>
      </c>
      <c r="D119" s="24" t="str">
        <f>IFERROR(TEXT('М1-2_АТ4021-1120_0585'!D111,"h:mm"),"")</f>
        <v>8:40</v>
      </c>
      <c r="E119" s="24" t="str">
        <f t="shared" si="7"/>
        <v>№1</v>
      </c>
      <c r="F119" s="24" t="str">
        <f>"АТ-4021/1120"</f>
        <v>АТ-4021/1120</v>
      </c>
      <c r="G119" s="24" t="str">
        <f>"СВ 14-65 ЕО"</f>
        <v>СВ 14-65 ЕО</v>
      </c>
      <c r="H119" s="24">
        <f>IFERROR('М1-2_АТ4021-1120_0585'!G111,"")</f>
        <v>5</v>
      </c>
      <c r="J119" s="13" t="str">
        <f t="shared" si="3"/>
        <v>вул. Європейська|стовпи</v>
      </c>
      <c r="K119" s="32">
        <f t="shared" si="4"/>
        <v>0.3611111111111111</v>
      </c>
      <c r="L119" s="13" t="str">
        <f>IF($A119="","",IF(COUNTIFS($J$4:$J119,$J119,$E$4:$E119,$E119)=1,$E119,""))</f>
        <v/>
      </c>
      <c r="M119" s="13" t="str">
        <f>IF($A119="","",IF(COUNTIFS($J$4:$J119,$J119,$F$4:$F119,$F119)=1,$F119,""))</f>
        <v>АТ-4021/1120</v>
      </c>
    </row>
    <row r="120" spans="1:13" x14ac:dyDescent="0.35">
      <c r="A120" s="23" t="str">
        <f>IFERROR(М1_КАМАЗ55111_0591!B108,"")</f>
        <v>вул. Європейська</v>
      </c>
      <c r="B120" s="23" t="str">
        <f>IFERROR(IF(М1_КАМАЗ55111_0591!C108="","",TEXT(М1_КАМАЗ55111_0591!C108,"General")),"")</f>
        <v>стовпи</v>
      </c>
      <c r="C120" s="24" t="str">
        <f>"П'ятниця"</f>
        <v>П'ятниця</v>
      </c>
      <c r="D120" s="24" t="str">
        <f>IFERROR(TEXT(М1_КАМАЗ55111_0591!D108,"h:mm"),"")</f>
        <v>7:25</v>
      </c>
      <c r="E120" s="24" t="str">
        <f t="shared" si="7"/>
        <v>№1</v>
      </c>
      <c r="F120" s="24" t="str">
        <f>"КАМАЗ 55111"</f>
        <v>КАМАЗ 55111</v>
      </c>
      <c r="G120" s="24" t="str">
        <f>"СВ 50-33 АР"</f>
        <v>СВ 50-33 АР</v>
      </c>
      <c r="H120" s="24">
        <f>IFERROR(М1_КАМАЗ55111_0591!G108,"")</f>
        <v>3</v>
      </c>
      <c r="J120" s="13" t="str">
        <f t="shared" si="3"/>
        <v>вул. Європейська|стовпи</v>
      </c>
      <c r="K120" s="32">
        <f t="shared" si="4"/>
        <v>0.30902777777777779</v>
      </c>
      <c r="L120" s="13" t="str">
        <f>IF($A120="","",IF(COUNTIFS($J$4:$J120,$J120,$E$4:$E120,$E120)=1,$E120,""))</f>
        <v/>
      </c>
      <c r="M120" s="13" t="str">
        <f>IF($A120="","",IF(COUNTIFS($J$4:$J120,$J120,$F$4:$F120,$F120)=1,$F120,""))</f>
        <v/>
      </c>
    </row>
    <row r="121" spans="1:13" x14ac:dyDescent="0.35">
      <c r="A121" s="23" t="str">
        <f>IFERROR(М1_КАМАЗ55111_0591!B143,"")</f>
        <v>вул. Європейська</v>
      </c>
      <c r="B121" s="23" t="str">
        <f>IFERROR(IF(М1_КАМАЗ55111_0591!C143="","",TEXT(М1_КАМАЗ55111_0591!C143,"General")),"")</f>
        <v>стовпи</v>
      </c>
      <c r="C121" s="24" t="str">
        <f>"Субота"</f>
        <v>Субота</v>
      </c>
      <c r="D121" s="24" t="str">
        <f>IFERROR(TEXT(М1_КАМАЗ55111_0591!D143,"h:mm"),"")</f>
        <v>7:25</v>
      </c>
      <c r="E121" s="24" t="str">
        <f t="shared" si="7"/>
        <v>№1</v>
      </c>
      <c r="F121" s="24" t="str">
        <f>"КАМАЗ 55111"</f>
        <v>КАМАЗ 55111</v>
      </c>
      <c r="G121" s="24" t="str">
        <f>"СВ 50-33 АР"</f>
        <v>СВ 50-33 АР</v>
      </c>
      <c r="H121" s="24">
        <f>IFERROR(М1_КАМАЗ55111_0591!G143,"")</f>
        <v>3</v>
      </c>
      <c r="J121" s="13" t="str">
        <f t="shared" si="3"/>
        <v>вул. Європейська|стовпи</v>
      </c>
      <c r="K121" s="32">
        <f t="shared" si="4"/>
        <v>0.30902777777777779</v>
      </c>
      <c r="L121" s="13" t="str">
        <f>IF($A121="","",IF(COUNTIFS($J$4:$J121,$J121,$E$4:$E121,$E121)=1,$E121,""))</f>
        <v/>
      </c>
      <c r="M121" s="13" t="str">
        <f>IF($A121="","",IF(COUNTIFS($J$4:$J121,$J121,$F$4:$F121,$F121)=1,$F121,""))</f>
        <v/>
      </c>
    </row>
    <row r="122" spans="1:13" x14ac:dyDescent="0.35">
      <c r="A122" s="23" t="str">
        <f>IFERROR('М1-2_АТ4021-1120_0585'!B146,"")</f>
        <v>вул. Європейська</v>
      </c>
      <c r="B122" s="23" t="str">
        <f>IFERROR(IF('М1-2_АТ4021-1120_0585'!C146="","",TEXT('М1-2_АТ4021-1120_0585'!C146,"General")),"")</f>
        <v>стовпи</v>
      </c>
      <c r="C122" s="24" t="str">
        <f>"Неділя"</f>
        <v>Неділя</v>
      </c>
      <c r="D122" s="24" t="str">
        <f>IFERROR(TEXT('М1-2_АТ4021-1120_0585'!D146,"h:mm"),"")</f>
        <v>8:40</v>
      </c>
      <c r="E122" s="24" t="str">
        <f t="shared" si="7"/>
        <v>№1</v>
      </c>
      <c r="F122" s="24" t="str">
        <f>"АТ-4021/1120"</f>
        <v>АТ-4021/1120</v>
      </c>
      <c r="G122" s="24" t="str">
        <f>"СВ 14-65 ЕО"</f>
        <v>СВ 14-65 ЕО</v>
      </c>
      <c r="H122" s="24">
        <f>IFERROR('М1-2_АТ4021-1120_0585'!G146,"")</f>
        <v>5</v>
      </c>
      <c r="J122" s="13" t="str">
        <f t="shared" si="3"/>
        <v>вул. Європейська|стовпи</v>
      </c>
      <c r="K122" s="32">
        <f t="shared" si="4"/>
        <v>0.3611111111111111</v>
      </c>
      <c r="L122" s="13" t="str">
        <f>IF($A122="","",IF(COUNTIFS($J$4:$J122,$J122,$E$4:$E122,$E122)=1,$E122,""))</f>
        <v/>
      </c>
      <c r="M122" s="13" t="str">
        <f>IF($A122="","",IF(COUNTIFS($J$4:$J122,$J122,$F$4:$F122,$F122)=1,$F122,""))</f>
        <v/>
      </c>
    </row>
    <row r="123" spans="1:13" x14ac:dyDescent="0.35">
      <c r="A123" s="23" t="str">
        <f>IFERROR(М5_МАЗ4381_0592!B8,"")</f>
        <v>вул. І. Богуна</v>
      </c>
      <c r="B123" s="23" t="str">
        <f>IFERROR(IF(М5_МАЗ4381_0592!C8="","",TEXT(М5_МАЗ4381_0592!C8,"General")),"")</f>
        <v/>
      </c>
      <c r="C123" s="24" t="str">
        <f>"Понеділок"</f>
        <v>Понеділок</v>
      </c>
      <c r="D123" s="24" t="str">
        <f>IFERROR(TEXT(М5_МАЗ4381_0592!D8,"h:mm"),"")</f>
        <v>7:20</v>
      </c>
      <c r="E123" s="24" t="str">
        <f>"№5"</f>
        <v>№5</v>
      </c>
      <c r="F123" s="24" t="str">
        <f>"МАЗ 4381"</f>
        <v>МАЗ 4381</v>
      </c>
      <c r="G123" s="24" t="str">
        <f>"СВ 81-71 ВК"</f>
        <v>СВ 81-71 ВК</v>
      </c>
      <c r="H123" s="24"/>
      <c r="J123" s="13" t="str">
        <f t="shared" si="3"/>
        <v>вул. І. Богуна|</v>
      </c>
      <c r="K123" s="32">
        <f t="shared" si="4"/>
        <v>0.30555555555555558</v>
      </c>
      <c r="L123" s="13" t="str">
        <f>IF($A123="","",IF(COUNTIFS($J$4:$J123,$J123,$E$4:$E123,$E123)=1,$E123,""))</f>
        <v>№5</v>
      </c>
      <c r="M123" s="13" t="str">
        <f>IF($A123="","",IF(COUNTIFS($J$4:$J123,$J123,$F$4:$F123,$F123)=1,$F123,""))</f>
        <v>МАЗ 4381</v>
      </c>
    </row>
    <row r="124" spans="1:13" x14ac:dyDescent="0.35">
      <c r="A124" s="23" t="str">
        <f>IFERROR(М5_МАЗ4381_0592!B10,"")</f>
        <v>вул. І. Богуна</v>
      </c>
      <c r="B124" s="23" t="str">
        <f>IFERROR(IF(М5_МАЗ4381_0592!C10="","",TEXT(М5_МАЗ4381_0592!C10,"General")),"")</f>
        <v/>
      </c>
      <c r="C124" s="24" t="str">
        <f>"Понеділок"</f>
        <v>Понеділок</v>
      </c>
      <c r="D124" s="24" t="str">
        <f>IFERROR(TEXT(М5_МАЗ4381_0592!D10,"h:mm"),"")</f>
        <v>7:40</v>
      </c>
      <c r="E124" s="24" t="str">
        <f>"№5"</f>
        <v>№5</v>
      </c>
      <c r="F124" s="24" t="str">
        <f>"МАЗ 4381"</f>
        <v>МАЗ 4381</v>
      </c>
      <c r="G124" s="24" t="str">
        <f>"СВ 81-71 ВК"</f>
        <v>СВ 81-71 ВК</v>
      </c>
      <c r="H124" s="24"/>
      <c r="J124" s="13" t="str">
        <f t="shared" si="3"/>
        <v>вул. І. Богуна|</v>
      </c>
      <c r="K124" s="32">
        <f t="shared" si="4"/>
        <v>0.31944444444444442</v>
      </c>
      <c r="L124" s="13" t="str">
        <f>IF($A124="","",IF(COUNTIFS($J$4:$J124,$J124,$E$4:$E124,$E124)=1,$E124,""))</f>
        <v/>
      </c>
      <c r="M124" s="13" t="str">
        <f>IF($A124="","",IF(COUNTIFS($J$4:$J124,$J124,$F$4:$F124,$F124)=1,$F124,""))</f>
        <v/>
      </c>
    </row>
    <row r="125" spans="1:13" x14ac:dyDescent="0.35">
      <c r="A125" s="23" t="str">
        <f>IFERROR(М5_МАЗ4381_0592!B122,"")</f>
        <v>вул. І. Богуна</v>
      </c>
      <c r="B125" s="23" t="str">
        <f>IFERROR(IF(М5_МАЗ4381_0592!C122="","",TEXT(М5_МАЗ4381_0592!C122,"General")),"")</f>
        <v/>
      </c>
      <c r="C125" s="24" t="str">
        <f>"Четвер"</f>
        <v>Четвер</v>
      </c>
      <c r="D125" s="24" t="str">
        <f>IFERROR(TEXT(М5_МАЗ4381_0592!D122,"h:mm"),"")</f>
        <v>7:40</v>
      </c>
      <c r="E125" s="24" t="str">
        <f>"№5"</f>
        <v>№5</v>
      </c>
      <c r="F125" s="24" t="str">
        <f>"МАЗ 4381"</f>
        <v>МАЗ 4381</v>
      </c>
      <c r="G125" s="24" t="str">
        <f>"СВ 81-71 ВК"</f>
        <v>СВ 81-71 ВК</v>
      </c>
      <c r="H125" s="24"/>
      <c r="J125" s="13" t="str">
        <f t="shared" si="3"/>
        <v>вул. І. Богуна|</v>
      </c>
      <c r="K125" s="32">
        <f t="shared" si="4"/>
        <v>0.31944444444444442</v>
      </c>
      <c r="L125" s="13" t="str">
        <f>IF($A125="","",IF(COUNTIFS($J$4:$J125,$J125,$E$4:$E125,$E125)=1,$E125,""))</f>
        <v/>
      </c>
      <c r="M125" s="13" t="str">
        <f>IF($A125="","",IF(COUNTIFS($J$4:$J125,$J125,$F$4:$F125,$F125)=1,$F125,""))</f>
        <v/>
      </c>
    </row>
    <row r="126" spans="1:13" x14ac:dyDescent="0.35">
      <c r="A126" s="23" t="str">
        <f>IFERROR(М5_МАЗ4381_0592!B182,"")</f>
        <v>вул. І. Богуна</v>
      </c>
      <c r="B126" s="23" t="str">
        <f>IFERROR(IF(М5_МАЗ4381_0592!C182="","",TEXT(М5_МАЗ4381_0592!C182,"General")),"")</f>
        <v/>
      </c>
      <c r="C126" s="24" t="str">
        <f>"П'ятниця"</f>
        <v>П'ятниця</v>
      </c>
      <c r="D126" s="24" t="str">
        <f>IFERROR(TEXT(М5_МАЗ4381_0592!D182,"h:mm"),"")</f>
        <v>11:45</v>
      </c>
      <c r="E126" s="24" t="str">
        <f>"№5"</f>
        <v>№5</v>
      </c>
      <c r="F126" s="24" t="str">
        <f>"МАЗ 4381"</f>
        <v>МАЗ 4381</v>
      </c>
      <c r="G126" s="24" t="str">
        <f>"СВ 81-71 ВК"</f>
        <v>СВ 81-71 ВК</v>
      </c>
      <c r="H126" s="24"/>
      <c r="J126" s="13" t="str">
        <f t="shared" si="3"/>
        <v>вул. І. Богуна|</v>
      </c>
      <c r="K126" s="32">
        <f t="shared" si="4"/>
        <v>0.48958333333333331</v>
      </c>
      <c r="L126" s="13" t="str">
        <f>IF($A126="","",IF(COUNTIFS($J$4:$J126,$J126,$E$4:$E126,$E126)=1,$E126,""))</f>
        <v/>
      </c>
      <c r="M126" s="13" t="str">
        <f>IF($A126="","",IF(COUNTIFS($J$4:$J126,$J126,$F$4:$F126,$F126)=1,$F126,""))</f>
        <v/>
      </c>
    </row>
    <row r="127" spans="1:13" x14ac:dyDescent="0.35">
      <c r="A127" s="23" t="str">
        <f>IFERROR(М6_АТ4021_0586!B121,"")</f>
        <v>вул. І. Білгородського</v>
      </c>
      <c r="B127" s="23" t="str">
        <f>IFERROR(IF(М6_АТ4021_0586!C121="","",TEXT(М6_АТ4021_0586!C121,"General")),"")</f>
        <v>13,26  33</v>
      </c>
      <c r="C127" s="24" t="str">
        <f>"Четвер"</f>
        <v>Четвер</v>
      </c>
      <c r="D127" s="24" t="str">
        <f>IFERROR(TEXT(М6_АТ4021_0586!D121,"h:mm"),"")</f>
        <v>8:15</v>
      </c>
      <c r="E127" s="24" t="str">
        <f>"№6"</f>
        <v>№6</v>
      </c>
      <c r="F127" s="24" t="str">
        <f>"АТ 4021"</f>
        <v>АТ 4021</v>
      </c>
      <c r="G127" s="24" t="str">
        <f>"СВ 33-16 ЕО"</f>
        <v>СВ 33-16 ЕО</v>
      </c>
      <c r="H127" s="24"/>
      <c r="J127" s="13" t="str">
        <f t="shared" si="3"/>
        <v>вул. І. Білгородського|13,26  33</v>
      </c>
      <c r="K127" s="32">
        <f t="shared" si="4"/>
        <v>0.34375</v>
      </c>
      <c r="L127" s="13" t="str">
        <f>IF($A127="","",IF(COUNTIFS($J$4:$J127,$J127,$E$4:$E127,$E127)=1,$E127,""))</f>
        <v>№6</v>
      </c>
      <c r="M127" s="13" t="str">
        <f>IF($A127="","",IF(COUNTIFS($J$4:$J127,$J127,$F$4:$F127,$F127)=1,$F127,""))</f>
        <v>АТ 4021</v>
      </c>
    </row>
    <row r="128" spans="1:13" x14ac:dyDescent="0.35">
      <c r="A128" s="23" t="str">
        <f>IFERROR(М6_АТ4021_0586!B14,"")</f>
        <v>вул. І. Білгородського</v>
      </c>
      <c r="B128" s="23" t="str">
        <f>IFERROR(IF(М6_АТ4021_0586!C14="","",TEXT(М6_АТ4021_0586!C14,"General")),"")</f>
        <v>28,25  15,10</v>
      </c>
      <c r="C128" s="24" t="str">
        <f>"Понеділок"</f>
        <v>Понеділок</v>
      </c>
      <c r="D128" s="24" t="str">
        <f>IFERROR(TEXT(М6_АТ4021_0586!D14,"h:mm"),"")</f>
        <v>8:45</v>
      </c>
      <c r="E128" s="24" t="str">
        <f>"№6"</f>
        <v>№6</v>
      </c>
      <c r="F128" s="24" t="str">
        <f>"АТ 4021"</f>
        <v>АТ 4021</v>
      </c>
      <c r="G128" s="24" t="str">
        <f>"СВ 33-16 ЕО"</f>
        <v>СВ 33-16 ЕО</v>
      </c>
      <c r="H128" s="24"/>
      <c r="J128" s="13" t="str">
        <f t="shared" si="3"/>
        <v>вул. І. Білгородського|28,25  15,10</v>
      </c>
      <c r="K128" s="32">
        <f t="shared" si="4"/>
        <v>0.36458333333333331</v>
      </c>
      <c r="L128" s="13" t="str">
        <f>IF($A128="","",IF(COUNTIFS($J$4:$J128,$J128,$E$4:$E128,$E128)=1,$E128,""))</f>
        <v>№6</v>
      </c>
      <c r="M128" s="13" t="str">
        <f>IF($A128="","",IF(COUNTIFS($J$4:$J128,$J128,$F$4:$F128,$F128)=1,$F128,""))</f>
        <v>АТ 4021</v>
      </c>
    </row>
    <row r="129" spans="1:13" x14ac:dyDescent="0.35">
      <c r="A129" s="23" t="str">
        <f>IFERROR(М6_АТ4021_0586!B158,"")</f>
        <v>вул. І. Білгородського</v>
      </c>
      <c r="B129" s="23" t="str">
        <f>IFERROR(IF(М6_АТ4021_0586!C158="","",TEXT(М6_АТ4021_0586!C158,"General")),"")</f>
        <v>82,55  48,41</v>
      </c>
      <c r="C129" s="24" t="str">
        <f>"П'ятниця"</f>
        <v>П'ятниця</v>
      </c>
      <c r="D129" s="24" t="str">
        <f>IFERROR(TEXT(М6_АТ4021_0586!D158,"h:mm"),"")</f>
        <v>7:45</v>
      </c>
      <c r="E129" s="24" t="str">
        <f>"№6"</f>
        <v>№6</v>
      </c>
      <c r="F129" s="24" t="str">
        <f>"АТ 4021"</f>
        <v>АТ 4021</v>
      </c>
      <c r="G129" s="24" t="str">
        <f>"СВ 33-16 ЕО"</f>
        <v>СВ 33-16 ЕО</v>
      </c>
      <c r="H129" s="24"/>
      <c r="J129" s="13" t="str">
        <f t="shared" si="3"/>
        <v>вул. І. Білгородського|82,55  48,41</v>
      </c>
      <c r="K129" s="32">
        <f t="shared" si="4"/>
        <v>0.32291666666666669</v>
      </c>
      <c r="L129" s="13" t="str">
        <f>IF($A129="","",IF(COUNTIFS($J$4:$J129,$J129,$E$4:$E129,$E129)=1,$E129,""))</f>
        <v>№6</v>
      </c>
      <c r="M129" s="13" t="str">
        <f>IF($A129="","",IF(COUNTIFS($J$4:$J129,$J129,$F$4:$F129,$F129)=1,$F129,""))</f>
        <v>АТ 4021</v>
      </c>
    </row>
    <row r="130" spans="1:13" x14ac:dyDescent="0.35">
      <c r="A130" s="23" t="str">
        <f>IFERROR(М6_АТ4021_0586!B82,"")</f>
        <v>вул. І. Білгородського</v>
      </c>
      <c r="B130" s="23" t="str">
        <f>IFERROR(IF(М6_АТ4021_0586!C82="","",TEXT(М6_АТ4021_0586!C82,"General")),"")</f>
        <v>96</v>
      </c>
      <c r="C130" s="24" t="str">
        <f>"Середа"</f>
        <v>Середа</v>
      </c>
      <c r="D130" s="24" t="str">
        <f>IFERROR(TEXT(М6_АТ4021_0586!D82,"h:mm"),"")</f>
        <v>8:00</v>
      </c>
      <c r="E130" s="24" t="str">
        <f>"№6"</f>
        <v>№6</v>
      </c>
      <c r="F130" s="24" t="str">
        <f>"АТ 4021"</f>
        <v>АТ 4021</v>
      </c>
      <c r="G130" s="24" t="str">
        <f>"СВ 33-16 ЕО"</f>
        <v>СВ 33-16 ЕО</v>
      </c>
      <c r="H130" s="24"/>
      <c r="J130" s="13" t="str">
        <f t="shared" si="3"/>
        <v>вул. І. Білгородського|96</v>
      </c>
      <c r="K130" s="32">
        <f t="shared" si="4"/>
        <v>0.33333333333333331</v>
      </c>
      <c r="L130" s="13" t="str">
        <f>IF($A130="","",IF(COUNTIFS($J$4:$J130,$J130,$E$4:$E130,$E130)=1,$E130,""))</f>
        <v>№6</v>
      </c>
      <c r="M130" s="13" t="str">
        <f>IF($A130="","",IF(COUNTIFS($J$4:$J130,$J130,$F$4:$F130,$F130)=1,$F130,""))</f>
        <v>АТ 4021</v>
      </c>
    </row>
    <row r="131" spans="1:13" x14ac:dyDescent="0.35">
      <c r="A131" s="23" t="str">
        <f>IFERROR(М5_МАЗ4381_0592!B51,"")</f>
        <v>вул. І. Мазепи</v>
      </c>
      <c r="B131" s="23" t="str">
        <f>IFERROR(IF(М5_МАЗ4381_0592!C51="","",TEXT(М5_МАЗ4381_0592!C51,"General")),"")</f>
        <v/>
      </c>
      <c r="C131" s="24" t="str">
        <f>"Вівторок"</f>
        <v>Вівторок</v>
      </c>
      <c r="D131" s="24" t="str">
        <f>IFERROR(TEXT(М5_МАЗ4381_0592!D51,"h:mm"),"")</f>
        <v>8:15</v>
      </c>
      <c r="E131" s="24" t="str">
        <f t="shared" ref="E131:E136" si="8">"№5"</f>
        <v>№5</v>
      </c>
      <c r="F131" s="24" t="str">
        <f t="shared" ref="F131:F136" si="9">"МАЗ 4381"</f>
        <v>МАЗ 4381</v>
      </c>
      <c r="G131" s="24" t="str">
        <f t="shared" ref="G131:G136" si="10">"СВ 81-71 ВК"</f>
        <v>СВ 81-71 ВК</v>
      </c>
      <c r="H131" s="24"/>
      <c r="J131" s="13" t="str">
        <f t="shared" si="3"/>
        <v>вул. І. Мазепи|</v>
      </c>
      <c r="K131" s="32">
        <f t="shared" si="4"/>
        <v>0.34375</v>
      </c>
      <c r="L131" s="13" t="str">
        <f>IF($A131="","",IF(COUNTIFS($J$4:$J131,$J131,$E$4:$E131,$E131)=1,$E131,""))</f>
        <v>№5</v>
      </c>
      <c r="M131" s="13" t="str">
        <f>IF($A131="","",IF(COUNTIFS($J$4:$J131,$J131,$F$4:$F131,$F131)=1,$F131,""))</f>
        <v>МАЗ 4381</v>
      </c>
    </row>
    <row r="132" spans="1:13" x14ac:dyDescent="0.35">
      <c r="A132" s="23" t="str">
        <f>IFERROR(М5_МАЗ4381_0592!B99,"")</f>
        <v>вул. І. Піддубного</v>
      </c>
      <c r="B132" s="23" t="str">
        <f>IFERROR(IF(М5_МАЗ4381_0592!C99="","",TEXT(М5_МАЗ4381_0592!C99,"General")),"")</f>
        <v/>
      </c>
      <c r="C132" s="24" t="str">
        <f>"Середа"</f>
        <v>Середа</v>
      </c>
      <c r="D132" s="24" t="str">
        <f>IFERROR(TEXT(М5_МАЗ4381_0592!D99,"h:mm"),"")</f>
        <v>12:25</v>
      </c>
      <c r="E132" s="24" t="str">
        <f t="shared" si="8"/>
        <v>№5</v>
      </c>
      <c r="F132" s="24" t="str">
        <f t="shared" si="9"/>
        <v>МАЗ 4381</v>
      </c>
      <c r="G132" s="24" t="str">
        <f t="shared" si="10"/>
        <v>СВ 81-71 ВК</v>
      </c>
      <c r="H132" s="24"/>
      <c r="J132" s="13" t="str">
        <f t="shared" ref="J132:J195" si="11">IF(A132="","",A132&amp;"|"&amp;B132)</f>
        <v>вул. І. Піддубного|</v>
      </c>
      <c r="K132" s="32">
        <f t="shared" ref="K132:K195" si="12">IFERROR(IF(D132="","",IF(D132="×",9.99,TIMEVALUE(D132))),9.99)</f>
        <v>0.51736111111111116</v>
      </c>
      <c r="L132" s="13" t="str">
        <f>IF($A132="","",IF(COUNTIFS($J$4:$J132,$J132,$E$4:$E132,$E132)=1,$E132,""))</f>
        <v>№5</v>
      </c>
      <c r="M132" s="13" t="str">
        <f>IF($A132="","",IF(COUNTIFS($J$4:$J132,$J132,$F$4:$F132,$F132)=1,$F132,""))</f>
        <v>МАЗ 4381</v>
      </c>
    </row>
    <row r="133" spans="1:13" x14ac:dyDescent="0.35">
      <c r="A133" s="23" t="str">
        <f>IFERROR(М5_МАЗ4381_0592!B61,"")</f>
        <v>вул. І. Сірка</v>
      </c>
      <c r="B133" s="23" t="str">
        <f>IFERROR(IF(М5_МАЗ4381_0592!C61="","",TEXT(М5_МАЗ4381_0592!C61,"General")),"")</f>
        <v/>
      </c>
      <c r="C133" s="24" t="str">
        <f>"Вівторок"</f>
        <v>Вівторок</v>
      </c>
      <c r="D133" s="24" t="str">
        <f>IFERROR(TEXT(М5_МАЗ4381_0592!D61,"h:mm"),"")</f>
        <v>12:05</v>
      </c>
      <c r="E133" s="24" t="str">
        <f t="shared" si="8"/>
        <v>№5</v>
      </c>
      <c r="F133" s="24" t="str">
        <f t="shared" si="9"/>
        <v>МАЗ 4381</v>
      </c>
      <c r="G133" s="24" t="str">
        <f t="shared" si="10"/>
        <v>СВ 81-71 ВК</v>
      </c>
      <c r="H133" s="24"/>
      <c r="J133" s="13" t="str">
        <f t="shared" si="11"/>
        <v>вул. І. Сірка|</v>
      </c>
      <c r="K133" s="32">
        <f t="shared" si="12"/>
        <v>0.50347222222222221</v>
      </c>
      <c r="L133" s="13" t="str">
        <f>IF($A133="","",IF(COUNTIFS($J$4:$J133,$J133,$E$4:$E133,$E133)=1,$E133,""))</f>
        <v>№5</v>
      </c>
      <c r="M133" s="13" t="str">
        <f>IF($A133="","",IF(COUNTIFS($J$4:$J133,$J133,$F$4:$F133,$F133)=1,$F133,""))</f>
        <v>МАЗ 4381</v>
      </c>
    </row>
    <row r="134" spans="1:13" x14ac:dyDescent="0.35">
      <c r="A134" s="23" t="str">
        <f>IFERROR(М5_МАЗ4381_0592!B173,"")</f>
        <v>вул. І. Франка</v>
      </c>
      <c r="B134" s="23" t="str">
        <f>IFERROR(IF(М5_МАЗ4381_0592!C173="","",TEXT(М5_МАЗ4381_0592!C173,"General")),"")</f>
        <v/>
      </c>
      <c r="C134" s="24" t="str">
        <f>"П'ятниця"</f>
        <v>П'ятниця</v>
      </c>
      <c r="D134" s="24" t="str">
        <f>IFERROR(TEXT(М5_МАЗ4381_0592!D173,"h:mm"),"")</f>
        <v>10:00</v>
      </c>
      <c r="E134" s="24" t="str">
        <f t="shared" si="8"/>
        <v>№5</v>
      </c>
      <c r="F134" s="24" t="str">
        <f t="shared" si="9"/>
        <v>МАЗ 4381</v>
      </c>
      <c r="G134" s="24" t="str">
        <f t="shared" si="10"/>
        <v>СВ 81-71 ВК</v>
      </c>
      <c r="H134" s="24"/>
      <c r="J134" s="13" t="str">
        <f t="shared" si="11"/>
        <v>вул. І. Франка|</v>
      </c>
      <c r="K134" s="32">
        <f t="shared" si="12"/>
        <v>0.41666666666666669</v>
      </c>
      <c r="L134" s="13" t="str">
        <f>IF($A134="","",IF(COUNTIFS($J$4:$J134,$J134,$E$4:$E134,$E134)=1,$E134,""))</f>
        <v>№5</v>
      </c>
      <c r="M134" s="13" t="str">
        <f>IF($A134="","",IF(COUNTIFS($J$4:$J134,$J134,$F$4:$F134,$F134)=1,$F134,""))</f>
        <v>МАЗ 4381</v>
      </c>
    </row>
    <row r="135" spans="1:13" x14ac:dyDescent="0.35">
      <c r="A135" s="23" t="str">
        <f>IFERROR(М5_МАЗ4381_0592!B35,"")</f>
        <v>вул. Іванівська</v>
      </c>
      <c r="B135" s="23" t="str">
        <f>IFERROR(IF(М5_МАЗ4381_0592!C35="","",TEXT(М5_МАЗ4381_0592!C35,"General")),"")</f>
        <v/>
      </c>
      <c r="C135" s="24" t="str">
        <f>"Понеділок"</f>
        <v>Понеділок</v>
      </c>
      <c r="D135" s="24" t="str">
        <f>IFERROR(TEXT(М5_МАЗ4381_0592!D35,"h:mm"),"")</f>
        <v>14:20</v>
      </c>
      <c r="E135" s="24" t="str">
        <f t="shared" si="8"/>
        <v>№5</v>
      </c>
      <c r="F135" s="24" t="str">
        <f t="shared" si="9"/>
        <v>МАЗ 4381</v>
      </c>
      <c r="G135" s="24" t="str">
        <f t="shared" si="10"/>
        <v>СВ 81-71 ВК</v>
      </c>
      <c r="H135" s="24"/>
      <c r="J135" s="13" t="str">
        <f t="shared" si="11"/>
        <v>вул. Іванівська|</v>
      </c>
      <c r="K135" s="32">
        <f t="shared" si="12"/>
        <v>0.59722222222222221</v>
      </c>
      <c r="L135" s="13" t="str">
        <f>IF($A135="","",IF(COUNTIFS($J$4:$J135,$J135,$E$4:$E135,$E135)=1,$E135,""))</f>
        <v>№5</v>
      </c>
      <c r="M135" s="13" t="str">
        <f>IF($A135="","",IF(COUNTIFS($J$4:$J135,$J135,$F$4:$F135,$F135)=1,$F135,""))</f>
        <v>МАЗ 4381</v>
      </c>
    </row>
    <row r="136" spans="1:13" x14ac:dyDescent="0.35">
      <c r="A136" s="23" t="str">
        <f>IFERROR(М5_МАЗ4381_0592!B73,"")</f>
        <v>вул. Іванівська</v>
      </c>
      <c r="B136" s="23" t="str">
        <f>IFERROR(IF(М5_МАЗ4381_0592!C73="","",TEXT(М5_МАЗ4381_0592!C73,"General")),"")</f>
        <v/>
      </c>
      <c r="C136" s="24" t="str">
        <f>"Вівторок"</f>
        <v>Вівторок</v>
      </c>
      <c r="D136" s="24" t="str">
        <f>IFERROR(TEXT(М5_МАЗ4381_0592!D73,"h:mm"),"")</f>
        <v>14:40</v>
      </c>
      <c r="E136" s="24" t="str">
        <f t="shared" si="8"/>
        <v>№5</v>
      </c>
      <c r="F136" s="24" t="str">
        <f t="shared" si="9"/>
        <v>МАЗ 4381</v>
      </c>
      <c r="G136" s="24" t="str">
        <f t="shared" si="10"/>
        <v>СВ 81-71 ВК</v>
      </c>
      <c r="H136" s="24"/>
      <c r="J136" s="13" t="str">
        <f t="shared" si="11"/>
        <v>вул. Іванівська|</v>
      </c>
      <c r="K136" s="32">
        <f t="shared" si="12"/>
        <v>0.61111111111111116</v>
      </c>
      <c r="L136" s="13" t="str">
        <f>IF($A136="","",IF(COUNTIFS($J$4:$J136,$J136,$E$4:$E136,$E136)=1,$E136,""))</f>
        <v/>
      </c>
      <c r="M136" s="13" t="str">
        <f>IF($A136="","",IF(COUNTIFS($J$4:$J136,$J136,$F$4:$F136,$F136)=1,$F136,""))</f>
        <v/>
      </c>
    </row>
    <row r="137" spans="1:13" x14ac:dyDescent="0.35">
      <c r="A137" s="23" t="str">
        <f>IFERROR('М1-2_АТ4021-1120_0585'!B13,"")</f>
        <v>вул. Іванівська</v>
      </c>
      <c r="B137" s="23" t="str">
        <f>IFERROR(IF('М1-2_АТ4021-1120_0585'!C13="","",TEXT('М1-2_АТ4021-1120_0585'!C13,"General")),"")</f>
        <v>77</v>
      </c>
      <c r="C137" s="24" t="str">
        <f>"Понеділок"</f>
        <v>Понеділок</v>
      </c>
      <c r="D137" s="24" t="str">
        <f>IFERROR(TEXT('М1-2_АТ4021-1120_0585'!D13,"h:mm"),"")</f>
        <v>9:15</v>
      </c>
      <c r="E137" s="24" t="str">
        <f>"№1"</f>
        <v>№1</v>
      </c>
      <c r="F137" s="24" t="str">
        <f>"АТ-4021/1120"</f>
        <v>АТ-4021/1120</v>
      </c>
      <c r="G137" s="24" t="str">
        <f>"СВ 14-65 ЕО"</f>
        <v>СВ 14-65 ЕО</v>
      </c>
      <c r="H137" s="24">
        <f>IFERROR('М1-2_АТ4021-1120_0585'!G13,"")</f>
        <v>2</v>
      </c>
      <c r="J137" s="13" t="str">
        <f t="shared" si="11"/>
        <v>вул. Іванівська|77</v>
      </c>
      <c r="K137" s="32">
        <f t="shared" si="12"/>
        <v>0.38541666666666669</v>
      </c>
      <c r="L137" s="13" t="str">
        <f>IF($A137="","",IF(COUNTIFS($J$4:$J137,$J137,$E$4:$E137,$E137)=1,$E137,""))</f>
        <v>№1</v>
      </c>
      <c r="M137" s="13" t="str">
        <f>IF($A137="","",IF(COUNTIFS($J$4:$J137,$J137,$F$4:$F137,$F137)=1,$F137,""))</f>
        <v>АТ-4021/1120</v>
      </c>
    </row>
    <row r="138" spans="1:13" x14ac:dyDescent="0.35">
      <c r="A138" s="23" t="str">
        <f>IFERROR(М3_МАЗ4371_0587!B77,"")</f>
        <v>вул. Іванівська</v>
      </c>
      <c r="B138" s="23" t="str">
        <f>IFERROR(IF(М3_МАЗ4371_0587!C77="","",TEXT(М3_МАЗ4371_0587!C77,"General")),"")</f>
        <v>84</v>
      </c>
      <c r="C138" s="24" t="str">
        <f>"Середа"</f>
        <v>Середа</v>
      </c>
      <c r="D138" s="24" t="str">
        <f>IFERROR(TEXT(М3_МАЗ4371_0587!D77,"h:mm"),"")</f>
        <v>7:30</v>
      </c>
      <c r="E138" s="24" t="str">
        <f>"№3"</f>
        <v>№3</v>
      </c>
      <c r="F138" s="24" t="str">
        <f>"МАЗ-4371"</f>
        <v>МАЗ-4371</v>
      </c>
      <c r="G138" s="24" t="str">
        <f>"СВ 53-06 СА"</f>
        <v>СВ 53-06 СА</v>
      </c>
      <c r="H138" s="24">
        <f>IFERROR(М3_МАЗ4371_0587!G77,"")</f>
        <v>3</v>
      </c>
      <c r="J138" s="13" t="str">
        <f t="shared" si="11"/>
        <v>вул. Іванівська|84</v>
      </c>
      <c r="K138" s="32">
        <f t="shared" si="12"/>
        <v>0.3125</v>
      </c>
      <c r="L138" s="13" t="str">
        <f>IF($A138="","",IF(COUNTIFS($J$4:$J138,$J138,$E$4:$E138,$E138)=1,$E138,""))</f>
        <v>№3</v>
      </c>
      <c r="M138" s="13" t="str">
        <f>IF($A138="","",IF(COUNTIFS($J$4:$J138,$J138,$F$4:$F138,$F138)=1,$F138,""))</f>
        <v>МАЗ-4371</v>
      </c>
    </row>
    <row r="139" spans="1:13" x14ac:dyDescent="0.35">
      <c r="A139" s="23" t="str">
        <f>IFERROR(М3_МАЗ4371_0587!B8,"")</f>
        <v>вул. Іванівська</v>
      </c>
      <c r="B139" s="23" t="str">
        <f>IFERROR(IF(М3_МАЗ4371_0587!C8="","",TEXT(М3_МАЗ4371_0587!C8,"General")),"")</f>
        <v>Заправка</v>
      </c>
      <c r="C139" s="24" t="str">
        <f>"Понеділок"</f>
        <v>Понеділок</v>
      </c>
      <c r="D139" s="24" t="str">
        <f>IFERROR(TEXT(М3_МАЗ4371_0587!D8,"h:mm"),"")</f>
        <v>7:25</v>
      </c>
      <c r="E139" s="24" t="str">
        <f>"№3"</f>
        <v>№3</v>
      </c>
      <c r="F139" s="24" t="str">
        <f>"МАЗ-4371"</f>
        <v>МАЗ-4371</v>
      </c>
      <c r="G139" s="24" t="str">
        <f>"СВ 53-06 СА"</f>
        <v>СВ 53-06 СА</v>
      </c>
      <c r="H139" s="24">
        <f>IFERROR(М3_МАЗ4371_0587!G8,"")</f>
        <v>1</v>
      </c>
      <c r="J139" s="13" t="str">
        <f t="shared" si="11"/>
        <v>вул. Іванівська|Заправка</v>
      </c>
      <c r="K139" s="32">
        <f t="shared" si="12"/>
        <v>0.30902777777777779</v>
      </c>
      <c r="L139" s="13" t="str">
        <f>IF($A139="","",IF(COUNTIFS($J$4:$J139,$J139,$E$4:$E139,$E139)=1,$E139,""))</f>
        <v>№3</v>
      </c>
      <c r="M139" s="13" t="str">
        <f>IF($A139="","",IF(COUNTIFS($J$4:$J139,$J139,$F$4:$F139,$F139)=1,$F139,""))</f>
        <v>МАЗ-4371</v>
      </c>
    </row>
    <row r="140" spans="1:13" x14ac:dyDescent="0.35">
      <c r="A140" s="23" t="str">
        <f>IFERROR(М3_МАЗ4371_0587!B47,"")</f>
        <v>вул. Іванівська</v>
      </c>
      <c r="B140" s="23" t="str">
        <f>IFERROR(IF(М3_МАЗ4371_0587!C47="","",TEXT(М3_МАЗ4371_0587!C47,"General")),"")</f>
        <v>Заправка</v>
      </c>
      <c r="C140" s="24" t="str">
        <f>"Вівторок"</f>
        <v>Вівторок</v>
      </c>
      <c r="D140" s="24" t="str">
        <f>IFERROR(TEXT(М3_МАЗ4371_0587!D47,"h:mm"),"")</f>
        <v>7:30</v>
      </c>
      <c r="E140" s="24" t="str">
        <f>"№3"</f>
        <v>№3</v>
      </c>
      <c r="F140" s="24" t="str">
        <f>"МАЗ-4371"</f>
        <v>МАЗ-4371</v>
      </c>
      <c r="G140" s="24" t="str">
        <f>"СВ 53-06 СА"</f>
        <v>СВ 53-06 СА</v>
      </c>
      <c r="H140" s="24">
        <f>IFERROR(М3_МАЗ4371_0587!G47,"")</f>
        <v>1</v>
      </c>
      <c r="J140" s="13" t="str">
        <f t="shared" si="11"/>
        <v>вул. Іванівська|Заправка</v>
      </c>
      <c r="K140" s="32">
        <f t="shared" si="12"/>
        <v>0.3125</v>
      </c>
      <c r="L140" s="13" t="str">
        <f>IF($A140="","",IF(COUNTIFS($J$4:$J140,$J140,$E$4:$E140,$E140)=1,$E140,""))</f>
        <v/>
      </c>
      <c r="M140" s="13" t="str">
        <f>IF($A140="","",IF(COUNTIFS($J$4:$J140,$J140,$F$4:$F140,$F140)=1,$F140,""))</f>
        <v/>
      </c>
    </row>
    <row r="141" spans="1:13" x14ac:dyDescent="0.35">
      <c r="A141" s="23" t="str">
        <f>IFERROR('М1-2_АТ4021-1120_0585'!B12,"")</f>
        <v>вул. Іванівська</v>
      </c>
      <c r="B141" s="23" t="str">
        <f>IFERROR(IF('М1-2_АТ4021-1120_0585'!C12="","",TEXT('М1-2_АТ4021-1120_0585'!C12,"General")),"")</f>
        <v>Океан</v>
      </c>
      <c r="C141" s="24" t="str">
        <f>"Понеділок"</f>
        <v>Понеділок</v>
      </c>
      <c r="D141" s="24" t="str">
        <f>IFERROR(TEXT('М1-2_АТ4021-1120_0585'!D12,"h:mm"),"")</f>
        <v>9:00</v>
      </c>
      <c r="E141" s="24" t="str">
        <f>"№1"</f>
        <v>№1</v>
      </c>
      <c r="F141" s="24" t="str">
        <f>"АТ-4021/1120"</f>
        <v>АТ-4021/1120</v>
      </c>
      <c r="G141" s="24" t="str">
        <f>"СВ 14-65 ЕО"</f>
        <v>СВ 14-65 ЕО</v>
      </c>
      <c r="H141" s="24">
        <f>IFERROR('М1-2_АТ4021-1120_0585'!G12,"")</f>
        <v>2</v>
      </c>
      <c r="J141" s="13" t="str">
        <f t="shared" si="11"/>
        <v>вул. Іванівська|Океан</v>
      </c>
      <c r="K141" s="32">
        <f t="shared" si="12"/>
        <v>0.375</v>
      </c>
      <c r="L141" s="13" t="str">
        <f>IF($A141="","",IF(COUNTIFS($J$4:$J141,$J141,$E$4:$E141,$E141)=1,$E141,""))</f>
        <v>№1</v>
      </c>
      <c r="M141" s="13" t="str">
        <f>IF($A141="","",IF(COUNTIFS($J$4:$J141,$J141,$F$4:$F141,$F141)=1,$F141,""))</f>
        <v>АТ-4021/1120</v>
      </c>
    </row>
    <row r="142" spans="1:13" x14ac:dyDescent="0.35">
      <c r="A142" s="23" t="str">
        <f>IFERROR(М3_МАЗ4371_0587!B15,"")</f>
        <v>вул. Індустріальна</v>
      </c>
      <c r="B142" s="23" t="str">
        <f>IFERROR(IF(М3_МАЗ4371_0587!C15="","",TEXT(М3_МАЗ4371_0587!C15,"General")),"")</f>
        <v>7</v>
      </c>
      <c r="C142" s="24" t="str">
        <f>"Понеділок"</f>
        <v>Понеділок</v>
      </c>
      <c r="D142" s="24" t="str">
        <f>IFERROR(TEXT(М3_МАЗ4371_0587!D15,"h:mm"),"")</f>
        <v>8:45</v>
      </c>
      <c r="E142" s="24" t="str">
        <f t="shared" ref="E142:E155" si="13">"№3"</f>
        <v>№3</v>
      </c>
      <c r="F142" s="24" t="str">
        <f>"МАЗ-4371"</f>
        <v>МАЗ-4371</v>
      </c>
      <c r="G142" s="24" t="str">
        <f>"СВ 53-06 СА"</f>
        <v>СВ 53-06 СА</v>
      </c>
      <c r="H142" s="24">
        <f>IFERROR(М3_МАЗ4371_0587!G15,"")</f>
        <v>2</v>
      </c>
      <c r="J142" s="13" t="str">
        <f t="shared" si="11"/>
        <v>вул. Індустріальна|7</v>
      </c>
      <c r="K142" s="32">
        <f t="shared" si="12"/>
        <v>0.36458333333333331</v>
      </c>
      <c r="L142" s="13" t="str">
        <f>IF($A142="","",IF(COUNTIFS($J$4:$J142,$J142,$E$4:$E142,$E142)=1,$E142,""))</f>
        <v>№3</v>
      </c>
      <c r="M142" s="13" t="str">
        <f>IF($A142="","",IF(COUNTIFS($J$4:$J142,$J142,$F$4:$F142,$F142)=1,$F142,""))</f>
        <v>МАЗ-4371</v>
      </c>
    </row>
    <row r="143" spans="1:13" x14ac:dyDescent="0.35">
      <c r="A143" s="23" t="str">
        <f>IFERROR(М3_МАЗ4371_0587!B53,"")</f>
        <v>вул. Індустріальна</v>
      </c>
      <c r="B143" s="23" t="str">
        <f>IFERROR(IF(М3_МАЗ4371_0587!C53="","",TEXT(М3_МАЗ4371_0587!C53,"General")),"")</f>
        <v>7</v>
      </c>
      <c r="C143" s="24" t="str">
        <f>"Вівторок"</f>
        <v>Вівторок</v>
      </c>
      <c r="D143" s="24" t="str">
        <f>IFERROR(TEXT(М3_МАЗ4371_0587!D53,"h:mm"),"")</f>
        <v>9:10</v>
      </c>
      <c r="E143" s="24" t="str">
        <f t="shared" si="13"/>
        <v>№3</v>
      </c>
      <c r="F143" s="24" t="str">
        <f>"МАЗ-4371"</f>
        <v>МАЗ-4371</v>
      </c>
      <c r="G143" s="24" t="str">
        <f>"СВ 53-06 СА"</f>
        <v>СВ 53-06 СА</v>
      </c>
      <c r="H143" s="24">
        <f>IFERROR(М3_МАЗ4371_0587!G53,"")</f>
        <v>2</v>
      </c>
      <c r="J143" s="13" t="str">
        <f t="shared" si="11"/>
        <v>вул. Індустріальна|7</v>
      </c>
      <c r="K143" s="32">
        <f t="shared" si="12"/>
        <v>0.38194444444444442</v>
      </c>
      <c r="L143" s="13" t="str">
        <f>IF($A143="","",IF(COUNTIFS($J$4:$J143,$J143,$E$4:$E143,$E143)=1,$E143,""))</f>
        <v/>
      </c>
      <c r="M143" s="13" t="str">
        <f>IF($A143="","",IF(COUNTIFS($J$4:$J143,$J143,$F$4:$F143,$F143)=1,$F143,""))</f>
        <v/>
      </c>
    </row>
    <row r="144" spans="1:13" x14ac:dyDescent="0.35">
      <c r="A144" s="23" t="str">
        <f>IFERROR(М3_МАЗ4371_0587!B83,"")</f>
        <v>вул. Індустріальна</v>
      </c>
      <c r="B144" s="23" t="str">
        <f>IFERROR(IF(М3_МАЗ4371_0587!C83="","",TEXT(М3_МАЗ4371_0587!C83,"General")),"")</f>
        <v>7</v>
      </c>
      <c r="C144" s="24" t="str">
        <f>"Середа"</f>
        <v>Середа</v>
      </c>
      <c r="D144" s="24" t="str">
        <f>IFERROR(TEXT(М3_МАЗ4371_0587!D83,"h:mm"),"")</f>
        <v>9:10</v>
      </c>
      <c r="E144" s="24" t="str">
        <f t="shared" si="13"/>
        <v>№3</v>
      </c>
      <c r="F144" s="24" t="str">
        <f>"МАЗ-4371"</f>
        <v>МАЗ-4371</v>
      </c>
      <c r="G144" s="24" t="str">
        <f>"СВ 53-06 СА"</f>
        <v>СВ 53-06 СА</v>
      </c>
      <c r="H144" s="24">
        <f>IFERROR(М3_МАЗ4371_0587!G83,"")</f>
        <v>2</v>
      </c>
      <c r="J144" s="13" t="str">
        <f t="shared" si="11"/>
        <v>вул. Індустріальна|7</v>
      </c>
      <c r="K144" s="32">
        <f t="shared" si="12"/>
        <v>0.38194444444444442</v>
      </c>
      <c r="L144" s="13" t="str">
        <f>IF($A144="","",IF(COUNTIFS($J$4:$J144,$J144,$E$4:$E144,$E144)=1,$E144,""))</f>
        <v/>
      </c>
      <c r="M144" s="13" t="str">
        <f>IF($A144="","",IF(COUNTIFS($J$4:$J144,$J144,$F$4:$F144,$F144)=1,$F144,""))</f>
        <v/>
      </c>
    </row>
    <row r="145" spans="1:13" x14ac:dyDescent="0.35">
      <c r="A145" s="23" t="str">
        <f>IFERROR('М3-4_ГАЗ3309_0590'!B12,"")</f>
        <v>вул. Індустріальна</v>
      </c>
      <c r="B145" s="23" t="str">
        <f>IFERROR(IF('М3-4_ГАЗ3309_0590'!C12="","",TEXT('М3-4_ГАЗ3309_0590'!C12,"General")),"")</f>
        <v>7</v>
      </c>
      <c r="C145" s="24" t="str">
        <f>"Четвер"</f>
        <v>Четвер</v>
      </c>
      <c r="D145" s="24" t="str">
        <f>IFERROR(TEXT('М3-4_ГАЗ3309_0590'!D12,"h:mm"),"")</f>
        <v>8:45</v>
      </c>
      <c r="E145" s="24" t="str">
        <f t="shared" si="13"/>
        <v>№3</v>
      </c>
      <c r="F145" s="24" t="str">
        <f>"ГАЗ 3309"</f>
        <v>ГАЗ 3309</v>
      </c>
      <c r="G145" s="24" t="str">
        <f>"СВ 17-85 ВН"</f>
        <v>СВ 17-85 ВН</v>
      </c>
      <c r="H145" s="24">
        <f>IFERROR('М3-4_ГАЗ3309_0590'!G12,"")</f>
        <v>1</v>
      </c>
      <c r="J145" s="13" t="str">
        <f t="shared" si="11"/>
        <v>вул. Індустріальна|7</v>
      </c>
      <c r="K145" s="32">
        <f t="shared" si="12"/>
        <v>0.36458333333333331</v>
      </c>
      <c r="L145" s="13" t="str">
        <f>IF($A145="","",IF(COUNTIFS($J$4:$J145,$J145,$E$4:$E145,$E145)=1,$E145,""))</f>
        <v/>
      </c>
      <c r="M145" s="13" t="str">
        <f>IF($A145="","",IF(COUNTIFS($J$4:$J145,$J145,$F$4:$F145,$F145)=1,$F145,""))</f>
        <v>ГАЗ 3309</v>
      </c>
    </row>
    <row r="146" spans="1:13" x14ac:dyDescent="0.35">
      <c r="A146" s="23" t="str">
        <f>IFERROR(М3_МАЗ4371_0587!B121,"")</f>
        <v>вул. Індустріальна</v>
      </c>
      <c r="B146" s="23" t="str">
        <f>IFERROR(IF(М3_МАЗ4371_0587!C121="","",TEXT(М3_МАЗ4371_0587!C121,"General")),"")</f>
        <v>7</v>
      </c>
      <c r="C146" s="24" t="str">
        <f>"П'ятниця"</f>
        <v>П'ятниця</v>
      </c>
      <c r="D146" s="24" t="str">
        <f>IFERROR(TEXT(М3_МАЗ4371_0587!D121,"h:mm"),"")</f>
        <v>8:45</v>
      </c>
      <c r="E146" s="24" t="str">
        <f t="shared" si="13"/>
        <v>№3</v>
      </c>
      <c r="F146" s="24" t="str">
        <f>"МАЗ-4371"</f>
        <v>МАЗ-4371</v>
      </c>
      <c r="G146" s="24" t="str">
        <f>"СВ 53-06 СА"</f>
        <v>СВ 53-06 СА</v>
      </c>
      <c r="H146" s="24">
        <f>IFERROR(М3_МАЗ4371_0587!G121,"")</f>
        <v>2</v>
      </c>
      <c r="J146" s="13" t="str">
        <f t="shared" si="11"/>
        <v>вул. Індустріальна|7</v>
      </c>
      <c r="K146" s="32">
        <f t="shared" si="12"/>
        <v>0.36458333333333331</v>
      </c>
      <c r="L146" s="13" t="str">
        <f>IF($A146="","",IF(COUNTIFS($J$4:$J146,$J146,$E$4:$E146,$E146)=1,$E146,""))</f>
        <v/>
      </c>
      <c r="M146" s="13" t="str">
        <f>IF($A146="","",IF(COUNTIFS($J$4:$J146,$J146,$F$4:$F146,$F146)=1,$F146,""))</f>
        <v/>
      </c>
    </row>
    <row r="147" spans="1:13" x14ac:dyDescent="0.35">
      <c r="A147" s="23" t="str">
        <f>IFERROR(М3_МАЗ4371_0587!B160,"")</f>
        <v>вул. Індустріальна</v>
      </c>
      <c r="B147" s="23" t="str">
        <f>IFERROR(IF(М3_МАЗ4371_0587!C160="","",TEXT(М3_МАЗ4371_0587!C160,"General")),"")</f>
        <v>7</v>
      </c>
      <c r="C147" s="24" t="str">
        <f>"Субота"</f>
        <v>Субота</v>
      </c>
      <c r="D147" s="24" t="str">
        <f>IFERROR(TEXT(М3_МАЗ4371_0587!D160,"h:mm"),"")</f>
        <v>9:10</v>
      </c>
      <c r="E147" s="24" t="str">
        <f t="shared" si="13"/>
        <v>№3</v>
      </c>
      <c r="F147" s="24" t="str">
        <f>"МАЗ-4371"</f>
        <v>МАЗ-4371</v>
      </c>
      <c r="G147" s="24" t="str">
        <f>"СВ 53-06 СА"</f>
        <v>СВ 53-06 СА</v>
      </c>
      <c r="H147" s="24">
        <f>IFERROR(М3_МАЗ4371_0587!G160,"")</f>
        <v>2</v>
      </c>
      <c r="J147" s="13" t="str">
        <f t="shared" si="11"/>
        <v>вул. Індустріальна|7</v>
      </c>
      <c r="K147" s="32">
        <f t="shared" si="12"/>
        <v>0.38194444444444442</v>
      </c>
      <c r="L147" s="13" t="str">
        <f>IF($A147="","",IF(COUNTIFS($J$4:$J147,$J147,$E$4:$E147,$E147)=1,$E147,""))</f>
        <v/>
      </c>
      <c r="M147" s="13" t="str">
        <f>IF($A147="","",IF(COUNTIFS($J$4:$J147,$J147,$F$4:$F147,$F147)=1,$F147,""))</f>
        <v/>
      </c>
    </row>
    <row r="148" spans="1:13" x14ac:dyDescent="0.35">
      <c r="A148" s="23" t="str">
        <f>IFERROR('М3-4_ГАЗ3309_0590'!B44,"")</f>
        <v>вул. Індустріальна</v>
      </c>
      <c r="B148" s="23" t="str">
        <f>IFERROR(IF('М3-4_ГАЗ3309_0590'!C44="","",TEXT('М3-4_ГАЗ3309_0590'!C44,"General")),"")</f>
        <v>7</v>
      </c>
      <c r="C148" s="24" t="str">
        <f>"Неділя"</f>
        <v>Неділя</v>
      </c>
      <c r="D148" s="24" t="str">
        <f>IFERROR(TEXT('М3-4_ГАЗ3309_0590'!D44,"h:mm"),"")</f>
        <v>8:45</v>
      </c>
      <c r="E148" s="24" t="str">
        <f t="shared" si="13"/>
        <v>№3</v>
      </c>
      <c r="F148" s="24" t="str">
        <f>"ГАЗ 3309"</f>
        <v>ГАЗ 3309</v>
      </c>
      <c r="G148" s="24" t="str">
        <f>"СВ 17-85 ВН"</f>
        <v>СВ 17-85 ВН</v>
      </c>
      <c r="H148" s="24">
        <f>IFERROR('М3-4_ГАЗ3309_0590'!G44,"")</f>
        <v>1</v>
      </c>
      <c r="J148" s="13" t="str">
        <f t="shared" si="11"/>
        <v>вул. Індустріальна|7</v>
      </c>
      <c r="K148" s="32">
        <f t="shared" si="12"/>
        <v>0.36458333333333331</v>
      </c>
      <c r="L148" s="13" t="str">
        <f>IF($A148="","",IF(COUNTIFS($J$4:$J148,$J148,$E$4:$E148,$E148)=1,$E148,""))</f>
        <v/>
      </c>
      <c r="M148" s="13" t="str">
        <f>IF($A148="","",IF(COUNTIFS($J$4:$J148,$J148,$F$4:$F148,$F148)=1,$F148,""))</f>
        <v/>
      </c>
    </row>
    <row r="149" spans="1:13" x14ac:dyDescent="0.35">
      <c r="A149" s="23" t="str">
        <f>IFERROR(М3_МАЗ4371_0587!B14,"")</f>
        <v>вул. Індустріальна</v>
      </c>
      <c r="B149" s="23" t="str">
        <f>IFERROR(IF(М3_МАЗ4371_0587!C14="","",TEXT(М3_МАЗ4371_0587!C14,"General")),"")</f>
        <v>7а</v>
      </c>
      <c r="C149" s="24" t="str">
        <f>"Понеділок"</f>
        <v>Понеділок</v>
      </c>
      <c r="D149" s="24" t="str">
        <f>IFERROR(TEXT(М3_МАЗ4371_0587!D14,"h:mm"),"")</f>
        <v>8:40</v>
      </c>
      <c r="E149" s="24" t="str">
        <f t="shared" si="13"/>
        <v>№3</v>
      </c>
      <c r="F149" s="24" t="str">
        <f>"МАЗ-4371"</f>
        <v>МАЗ-4371</v>
      </c>
      <c r="G149" s="24" t="str">
        <f>"СВ 53-06 СА"</f>
        <v>СВ 53-06 СА</v>
      </c>
      <c r="H149" s="24">
        <f>IFERROR(М3_МАЗ4371_0587!G14,"")</f>
        <v>1</v>
      </c>
      <c r="J149" s="13" t="str">
        <f t="shared" si="11"/>
        <v>вул. Індустріальна|7а</v>
      </c>
      <c r="K149" s="32">
        <f t="shared" si="12"/>
        <v>0.3611111111111111</v>
      </c>
      <c r="L149" s="13" t="str">
        <f>IF($A149="","",IF(COUNTIFS($J$4:$J149,$J149,$E$4:$E149,$E149)=1,$E149,""))</f>
        <v>№3</v>
      </c>
      <c r="M149" s="13" t="str">
        <f>IF($A149="","",IF(COUNTIFS($J$4:$J149,$J149,$F$4:$F149,$F149)=1,$F149,""))</f>
        <v>МАЗ-4371</v>
      </c>
    </row>
    <row r="150" spans="1:13" x14ac:dyDescent="0.35">
      <c r="A150" s="23" t="str">
        <f>IFERROR(М3_МАЗ4371_0587!B52,"")</f>
        <v>вул. Індустріальна</v>
      </c>
      <c r="B150" s="23" t="str">
        <f>IFERROR(IF(М3_МАЗ4371_0587!C52="","",TEXT(М3_МАЗ4371_0587!C52,"General")),"")</f>
        <v>7а</v>
      </c>
      <c r="C150" s="24" t="str">
        <f>"Вівторок"</f>
        <v>Вівторок</v>
      </c>
      <c r="D150" s="24" t="str">
        <f>IFERROR(TEXT(М3_МАЗ4371_0587!D52,"h:mm"),"")</f>
        <v>8:55</v>
      </c>
      <c r="E150" s="24" t="str">
        <f t="shared" si="13"/>
        <v>№3</v>
      </c>
      <c r="F150" s="24" t="str">
        <f>"МАЗ-4371"</f>
        <v>МАЗ-4371</v>
      </c>
      <c r="G150" s="24" t="str">
        <f>"СВ 53-06 СА"</f>
        <v>СВ 53-06 СА</v>
      </c>
      <c r="H150" s="24">
        <f>IFERROR(М3_МАЗ4371_0587!G52,"")</f>
        <v>1</v>
      </c>
      <c r="J150" s="13" t="str">
        <f t="shared" si="11"/>
        <v>вул. Індустріальна|7а</v>
      </c>
      <c r="K150" s="32">
        <f t="shared" si="12"/>
        <v>0.37152777777777779</v>
      </c>
      <c r="L150" s="13" t="str">
        <f>IF($A150="","",IF(COUNTIFS($J$4:$J150,$J150,$E$4:$E150,$E150)=1,$E150,""))</f>
        <v/>
      </c>
      <c r="M150" s="13" t="str">
        <f>IF($A150="","",IF(COUNTIFS($J$4:$J150,$J150,$F$4:$F150,$F150)=1,$F150,""))</f>
        <v/>
      </c>
    </row>
    <row r="151" spans="1:13" x14ac:dyDescent="0.35">
      <c r="A151" s="23" t="str">
        <f>IFERROR(М3_МАЗ4371_0587!B82,"")</f>
        <v>вул. Індустріальна</v>
      </c>
      <c r="B151" s="23" t="str">
        <f>IFERROR(IF(М3_МАЗ4371_0587!C82="","",TEXT(М3_МАЗ4371_0587!C82,"General")),"")</f>
        <v>7а</v>
      </c>
      <c r="C151" s="24" t="str">
        <f>"Середа"</f>
        <v>Середа</v>
      </c>
      <c r="D151" s="24" t="str">
        <f>IFERROR(TEXT(М3_МАЗ4371_0587!D82,"h:mm"),"")</f>
        <v>8:50</v>
      </c>
      <c r="E151" s="24" t="str">
        <f t="shared" si="13"/>
        <v>№3</v>
      </c>
      <c r="F151" s="24" t="str">
        <f>"МАЗ-4371"</f>
        <v>МАЗ-4371</v>
      </c>
      <c r="G151" s="24" t="str">
        <f>"СВ 53-06 СА"</f>
        <v>СВ 53-06 СА</v>
      </c>
      <c r="H151" s="24">
        <f>IFERROR(М3_МАЗ4371_0587!G82,"")</f>
        <v>1</v>
      </c>
      <c r="J151" s="13" t="str">
        <f t="shared" si="11"/>
        <v>вул. Індустріальна|7а</v>
      </c>
      <c r="K151" s="32">
        <f t="shared" si="12"/>
        <v>0.36805555555555558</v>
      </c>
      <c r="L151" s="13" t="str">
        <f>IF($A151="","",IF(COUNTIFS($J$4:$J151,$J151,$E$4:$E151,$E151)=1,$E151,""))</f>
        <v/>
      </c>
      <c r="M151" s="13" t="str">
        <f>IF($A151="","",IF(COUNTIFS($J$4:$J151,$J151,$F$4:$F151,$F151)=1,$F151,""))</f>
        <v/>
      </c>
    </row>
    <row r="152" spans="1:13" x14ac:dyDescent="0.35">
      <c r="A152" s="23" t="str">
        <f>IFERROR('М3-4_ГАЗ3309_0590'!B13,"")</f>
        <v>вул. Індустріальна</v>
      </c>
      <c r="B152" s="23" t="str">
        <f>IFERROR(IF('М3-4_ГАЗ3309_0590'!C13="","",TEXT('М3-4_ГАЗ3309_0590'!C13,"General")),"")</f>
        <v>7а</v>
      </c>
      <c r="C152" s="24" t="str">
        <f>"Четвер"</f>
        <v>Четвер</v>
      </c>
      <c r="D152" s="24" t="str">
        <f>IFERROR(TEXT('М3-4_ГАЗ3309_0590'!D13,"h:mm"),"")</f>
        <v>8:55</v>
      </c>
      <c r="E152" s="24" t="str">
        <f t="shared" si="13"/>
        <v>№3</v>
      </c>
      <c r="F152" s="24" t="str">
        <f>"ГАЗ 3309"</f>
        <v>ГАЗ 3309</v>
      </c>
      <c r="G152" s="24" t="str">
        <f>"СВ 17-85 ВН"</f>
        <v>СВ 17-85 ВН</v>
      </c>
      <c r="H152" s="24">
        <f>IFERROR('М3-4_ГАЗ3309_0590'!G13,"")</f>
        <v>1</v>
      </c>
      <c r="J152" s="13" t="str">
        <f t="shared" si="11"/>
        <v>вул. Індустріальна|7а</v>
      </c>
      <c r="K152" s="32">
        <f t="shared" si="12"/>
        <v>0.37152777777777779</v>
      </c>
      <c r="L152" s="13" t="str">
        <f>IF($A152="","",IF(COUNTIFS($J$4:$J152,$J152,$E$4:$E152,$E152)=1,$E152,""))</f>
        <v/>
      </c>
      <c r="M152" s="13" t="str">
        <f>IF($A152="","",IF(COUNTIFS($J$4:$J152,$J152,$F$4:$F152,$F152)=1,$F152,""))</f>
        <v>ГАЗ 3309</v>
      </c>
    </row>
    <row r="153" spans="1:13" x14ac:dyDescent="0.35">
      <c r="A153" s="23" t="str">
        <f>IFERROR(М3_МАЗ4371_0587!B120,"")</f>
        <v>вул. Індустріальна</v>
      </c>
      <c r="B153" s="23" t="str">
        <f>IFERROR(IF(М3_МАЗ4371_0587!C120="","",TEXT(М3_МАЗ4371_0587!C120,"General")),"")</f>
        <v>7а</v>
      </c>
      <c r="C153" s="24" t="str">
        <f>"П'ятниця"</f>
        <v>П'ятниця</v>
      </c>
      <c r="D153" s="24" t="str">
        <f>IFERROR(TEXT(М3_МАЗ4371_0587!D120,"h:mm"),"")</f>
        <v>8:40</v>
      </c>
      <c r="E153" s="24" t="str">
        <f t="shared" si="13"/>
        <v>№3</v>
      </c>
      <c r="F153" s="24" t="str">
        <f>"МАЗ-4371"</f>
        <v>МАЗ-4371</v>
      </c>
      <c r="G153" s="24" t="str">
        <f>"СВ 53-06 СА"</f>
        <v>СВ 53-06 СА</v>
      </c>
      <c r="H153" s="24">
        <f>IFERROR(М3_МАЗ4371_0587!G120,"")</f>
        <v>1</v>
      </c>
      <c r="J153" s="13" t="str">
        <f t="shared" si="11"/>
        <v>вул. Індустріальна|7а</v>
      </c>
      <c r="K153" s="32">
        <f t="shared" si="12"/>
        <v>0.3611111111111111</v>
      </c>
      <c r="L153" s="13" t="str">
        <f>IF($A153="","",IF(COUNTIFS($J$4:$J153,$J153,$E$4:$E153,$E153)=1,$E153,""))</f>
        <v/>
      </c>
      <c r="M153" s="13" t="str">
        <f>IF($A153="","",IF(COUNTIFS($J$4:$J153,$J153,$F$4:$F153,$F153)=1,$F153,""))</f>
        <v/>
      </c>
    </row>
    <row r="154" spans="1:13" x14ac:dyDescent="0.35">
      <c r="A154" s="23" t="str">
        <f>IFERROR(М3_МАЗ4371_0587!B159,"")</f>
        <v>вул. Індустріальна</v>
      </c>
      <c r="B154" s="23" t="str">
        <f>IFERROR(IF(М3_МАЗ4371_0587!C159="","",TEXT(М3_МАЗ4371_0587!C159,"General")),"")</f>
        <v>7а</v>
      </c>
      <c r="C154" s="24" t="str">
        <f>"Субота"</f>
        <v>Субота</v>
      </c>
      <c r="D154" s="24" t="str">
        <f>IFERROR(TEXT(М3_МАЗ4371_0587!D159,"h:mm"),"")</f>
        <v>8:55</v>
      </c>
      <c r="E154" s="24" t="str">
        <f t="shared" si="13"/>
        <v>№3</v>
      </c>
      <c r="F154" s="24" t="str">
        <f>"МАЗ-4371"</f>
        <v>МАЗ-4371</v>
      </c>
      <c r="G154" s="24" t="str">
        <f>"СВ 53-06 СА"</f>
        <v>СВ 53-06 СА</v>
      </c>
      <c r="H154" s="24">
        <f>IFERROR(М3_МАЗ4371_0587!G159,"")</f>
        <v>1</v>
      </c>
      <c r="J154" s="13" t="str">
        <f t="shared" si="11"/>
        <v>вул. Індустріальна|7а</v>
      </c>
      <c r="K154" s="32">
        <f t="shared" si="12"/>
        <v>0.37152777777777779</v>
      </c>
      <c r="L154" s="13" t="str">
        <f>IF($A154="","",IF(COUNTIFS($J$4:$J154,$J154,$E$4:$E154,$E154)=1,$E154,""))</f>
        <v/>
      </c>
      <c r="M154" s="13" t="str">
        <f>IF($A154="","",IF(COUNTIFS($J$4:$J154,$J154,$F$4:$F154,$F154)=1,$F154,""))</f>
        <v/>
      </c>
    </row>
    <row r="155" spans="1:13" x14ac:dyDescent="0.35">
      <c r="A155" s="23" t="str">
        <f>IFERROR('М3-4_ГАЗ3309_0590'!B45,"")</f>
        <v>вул. Індустріальна</v>
      </c>
      <c r="B155" s="23" t="str">
        <f>IFERROR(IF('М3-4_ГАЗ3309_0590'!C45="","",TEXT('М3-4_ГАЗ3309_0590'!C45,"General")),"")</f>
        <v>7а</v>
      </c>
      <c r="C155" s="24" t="str">
        <f>"Неділя"</f>
        <v>Неділя</v>
      </c>
      <c r="D155" s="24" t="str">
        <f>IFERROR(TEXT('М3-4_ГАЗ3309_0590'!D45,"h:mm"),"")</f>
        <v>8:55</v>
      </c>
      <c r="E155" s="24" t="str">
        <f t="shared" si="13"/>
        <v>№3</v>
      </c>
      <c r="F155" s="24" t="str">
        <f>"ГАЗ 3309"</f>
        <v>ГАЗ 3309</v>
      </c>
      <c r="G155" s="24" t="str">
        <f>"СВ 17-85 ВН"</f>
        <v>СВ 17-85 ВН</v>
      </c>
      <c r="H155" s="24">
        <f>IFERROR('М3-4_ГАЗ3309_0590'!G45,"")</f>
        <v>1</v>
      </c>
      <c r="J155" s="13" t="str">
        <f t="shared" si="11"/>
        <v>вул. Індустріальна|7а</v>
      </c>
      <c r="K155" s="32">
        <f t="shared" si="12"/>
        <v>0.37152777777777779</v>
      </c>
      <c r="L155" s="13" t="str">
        <f>IF($A155="","",IF(COUNTIFS($J$4:$J155,$J155,$E$4:$E155,$E155)=1,$E155,""))</f>
        <v/>
      </c>
      <c r="M155" s="13" t="str">
        <f>IF($A155="","",IF(COUNTIFS($J$4:$J155,$J155,$F$4:$F155,$F155)=1,$F155,""))</f>
        <v/>
      </c>
    </row>
    <row r="156" spans="1:13" x14ac:dyDescent="0.35">
      <c r="A156" s="23" t="str">
        <f>IFERROR(М6_АТ4021_0586!B90,"")</f>
        <v>вул. Авіації</v>
      </c>
      <c r="B156" s="23" t="str">
        <f>IFERROR(IF(М6_АТ4021_0586!C90="","",TEXT(М6_АТ4021_0586!C90,"General")),"")</f>
        <v>36,28  22,165</v>
      </c>
      <c r="C156" s="24" t="str">
        <f>"Середа"</f>
        <v>Середа</v>
      </c>
      <c r="D156" s="24" t="str">
        <f>IFERROR(TEXT(М6_АТ4021_0586!D90,"h:mm"),"")</f>
        <v>10:15</v>
      </c>
      <c r="E156" s="24" t="str">
        <f>"№6"</f>
        <v>№6</v>
      </c>
      <c r="F156" s="24" t="str">
        <f>"АТ 4021"</f>
        <v>АТ 4021</v>
      </c>
      <c r="G156" s="24" t="str">
        <f>"СВ 33-16 ЕО"</f>
        <v>СВ 33-16 ЕО</v>
      </c>
      <c r="H156" s="24"/>
      <c r="J156" s="13" t="str">
        <f t="shared" si="11"/>
        <v>вул. Авіації|36,28  22,165</v>
      </c>
      <c r="K156" s="32">
        <f t="shared" si="12"/>
        <v>0.42708333333333331</v>
      </c>
      <c r="L156" s="13" t="str">
        <f>IF($A156="","",IF(COUNTIFS($J$4:$J156,$J156,$E$4:$E156,$E156)=1,$E156,""))</f>
        <v>№6</v>
      </c>
      <c r="M156" s="13" t="str">
        <f>IF($A156="","",IF(COUNTIFS($J$4:$J156,$J156,$F$4:$F156,$F156)=1,$F156,""))</f>
        <v>АТ 4021</v>
      </c>
    </row>
    <row r="157" spans="1:13" x14ac:dyDescent="0.35">
      <c r="A157" s="23" t="str">
        <f>IFERROR(М6_АТ4021_0586!B183,"")</f>
        <v>вул. Аерофлотська</v>
      </c>
      <c r="B157" s="23" t="str">
        <f>IFERROR(IF(М6_АТ4021_0586!C183="","",TEXT(М6_АТ4021_0586!C183,"General")),"")</f>
        <v/>
      </c>
      <c r="C157" s="24" t="str">
        <f>"П'ятниця"</f>
        <v>П'ятниця</v>
      </c>
      <c r="D157" s="24" t="str">
        <f>IFERROR(TEXT(М6_АТ4021_0586!D183,"h:mm"),"")</f>
        <v>15:00</v>
      </c>
      <c r="E157" s="24" t="str">
        <f>"№6"</f>
        <v>№6</v>
      </c>
      <c r="F157" s="24" t="str">
        <f>"АТ 4021"</f>
        <v>АТ 4021</v>
      </c>
      <c r="G157" s="24" t="str">
        <f>"СВ 33-16 ЕО"</f>
        <v>СВ 33-16 ЕО</v>
      </c>
      <c r="H157" s="24"/>
      <c r="J157" s="13" t="str">
        <f t="shared" si="11"/>
        <v>вул. Аерофлотська|</v>
      </c>
      <c r="K157" s="32">
        <f t="shared" si="12"/>
        <v>0.625</v>
      </c>
      <c r="L157" s="13" t="str">
        <f>IF($A157="","",IF(COUNTIFS($J$4:$J157,$J157,$E$4:$E157,$E157)=1,$E157,""))</f>
        <v>№6</v>
      </c>
      <c r="M157" s="13" t="str">
        <f>IF($A157="","",IF(COUNTIFS($J$4:$J157,$J157,$F$4:$F157,$F157)=1,$F157,""))</f>
        <v>АТ 4021</v>
      </c>
    </row>
    <row r="158" spans="1:13" x14ac:dyDescent="0.35">
      <c r="A158" s="23" t="str">
        <f>IFERROR(М5_МАЗ4381_0592!B123,"")</f>
        <v>вул. Андріївська</v>
      </c>
      <c r="B158" s="23" t="str">
        <f>IFERROR(IF(М5_МАЗ4381_0592!C123="","",TEXT(М5_МАЗ4381_0592!C123,"General")),"")</f>
        <v/>
      </c>
      <c r="C158" s="24" t="str">
        <f>"Четвер"</f>
        <v>Четвер</v>
      </c>
      <c r="D158" s="24" t="str">
        <f>IFERROR(TEXT(М5_МАЗ4381_0592!D123,"h:mm"),"")</f>
        <v>7:50</v>
      </c>
      <c r="E158" s="24" t="str">
        <f>"№5"</f>
        <v>№5</v>
      </c>
      <c r="F158" s="24" t="str">
        <f>"МАЗ 4381"</f>
        <v>МАЗ 4381</v>
      </c>
      <c r="G158" s="24" t="str">
        <f>"СВ 81-71 ВК"</f>
        <v>СВ 81-71 ВК</v>
      </c>
      <c r="H158" s="24"/>
      <c r="J158" s="13" t="str">
        <f t="shared" si="11"/>
        <v>вул. Андріївська|</v>
      </c>
      <c r="K158" s="32">
        <f t="shared" si="12"/>
        <v>0.3263888888888889</v>
      </c>
      <c r="L158" s="13" t="str">
        <f>IF($A158="","",IF(COUNTIFS($J$4:$J158,$J158,$E$4:$E158,$E158)=1,$E158,""))</f>
        <v>№5</v>
      </c>
      <c r="M158" s="13" t="str">
        <f>IF($A158="","",IF(COUNTIFS($J$4:$J158,$J158,$F$4:$F158,$F158)=1,$F158,""))</f>
        <v>МАЗ 4381</v>
      </c>
    </row>
    <row r="159" spans="1:13" x14ac:dyDescent="0.35">
      <c r="A159" s="23" t="str">
        <f>IFERROR(М5_МАЗ4381_0592!B132,"")</f>
        <v>вул. Андріївська</v>
      </c>
      <c r="B159" s="23" t="str">
        <f>IFERROR(IF(М5_МАЗ4381_0592!C132="","",TEXT(М5_МАЗ4381_0592!C132,"General")),"")</f>
        <v/>
      </c>
      <c r="C159" s="24" t="str">
        <f>"Четвер"</f>
        <v>Четвер</v>
      </c>
      <c r="D159" s="24" t="str">
        <f>IFERROR(TEXT(М5_МАЗ4381_0592!D132,"h:mm"),"")</f>
        <v>10:35</v>
      </c>
      <c r="E159" s="24" t="str">
        <f>"№5"</f>
        <v>№5</v>
      </c>
      <c r="F159" s="24" t="str">
        <f>"МАЗ 4381"</f>
        <v>МАЗ 4381</v>
      </c>
      <c r="G159" s="24" t="str">
        <f>"СВ 81-71 ВК"</f>
        <v>СВ 81-71 ВК</v>
      </c>
      <c r="H159" s="24"/>
      <c r="J159" s="13" t="str">
        <f t="shared" si="11"/>
        <v>вул. Андріївська|</v>
      </c>
      <c r="K159" s="32">
        <f t="shared" si="12"/>
        <v>0.44097222222222221</v>
      </c>
      <c r="L159" s="13" t="str">
        <f>IF($A159="","",IF(COUNTIFS($J$4:$J159,$J159,$E$4:$E159,$E159)=1,$E159,""))</f>
        <v/>
      </c>
      <c r="M159" s="13" t="str">
        <f>IF($A159="","",IF(COUNTIFS($J$4:$J159,$J159,$F$4:$F159,$F159)=1,$F159,""))</f>
        <v/>
      </c>
    </row>
    <row r="160" spans="1:13" x14ac:dyDescent="0.35">
      <c r="A160" s="23" t="str">
        <f>IFERROR(М5_МАЗ4381_0592!B159,"")</f>
        <v>вул. Андріївська</v>
      </c>
      <c r="B160" s="23" t="str">
        <f>IFERROR(IF(М5_МАЗ4381_0592!C159="","",TEXT(М5_МАЗ4381_0592!C159,"General")),"")</f>
        <v/>
      </c>
      <c r="C160" s="24" t="str">
        <f>"П'ятниця"</f>
        <v>П'ятниця</v>
      </c>
      <c r="D160" s="24" t="str">
        <f>IFERROR(TEXT(М5_МАЗ4381_0592!D159,"h:mm"),"")</f>
        <v>7:15</v>
      </c>
      <c r="E160" s="24" t="str">
        <f>"№5"</f>
        <v>№5</v>
      </c>
      <c r="F160" s="24" t="str">
        <f>"МАЗ 4381"</f>
        <v>МАЗ 4381</v>
      </c>
      <c r="G160" s="24" t="str">
        <f>"СВ 81-71 ВК"</f>
        <v>СВ 81-71 ВК</v>
      </c>
      <c r="H160" s="24"/>
      <c r="J160" s="13" t="str">
        <f t="shared" si="11"/>
        <v>вул. Андріївська|</v>
      </c>
      <c r="K160" s="32">
        <f t="shared" si="12"/>
        <v>0.30208333333333331</v>
      </c>
      <c r="L160" s="13" t="str">
        <f>IF($A160="","",IF(COUNTIFS($J$4:$J160,$J160,$E$4:$E160,$E160)=1,$E160,""))</f>
        <v/>
      </c>
      <c r="M160" s="13" t="str">
        <f>IF($A160="","",IF(COUNTIFS($J$4:$J160,$J160,$F$4:$F160,$F160)=1,$F160,""))</f>
        <v/>
      </c>
    </row>
    <row r="161" spans="1:13" x14ac:dyDescent="0.35">
      <c r="A161" s="23" t="str">
        <f>IFERROR(М2_ВГВ_РеноЛендер_0589!B8,"")</f>
        <v>вул. Архиповича</v>
      </c>
      <c r="B161" s="23" t="str">
        <f>IFERROR(IF(М2_ВГВ_РеноЛендер_0589!C8="","",TEXT(М2_ВГВ_РеноЛендер_0589!C8,"General")),"")</f>
        <v>14</v>
      </c>
      <c r="C161" s="24" t="str">
        <f>IFERROR(М2_ВГВ_РеноЛендер_0589!D8,"")</f>
        <v>П'ятниця</v>
      </c>
      <c r="D161" s="24" t="str">
        <f>"×"</f>
        <v>×</v>
      </c>
      <c r="E161" s="24" t="str">
        <f>"№2 (ВГВ)"</f>
        <v>№2 (ВГВ)</v>
      </c>
      <c r="F161" s="24" t="str">
        <f>"Рено Лендер"</f>
        <v>Рено Лендер</v>
      </c>
      <c r="G161" s="24" t="str">
        <f>"СВ 52-62 СА"</f>
        <v>СВ 52-62 СА</v>
      </c>
      <c r="H161" s="24"/>
      <c r="J161" s="13" t="str">
        <f t="shared" si="11"/>
        <v>вул. Архиповича|14</v>
      </c>
      <c r="K161" s="32">
        <f t="shared" si="12"/>
        <v>9.99</v>
      </c>
      <c r="L161" s="13" t="str">
        <f>IF($A161="","",IF(COUNTIFS($J$4:$J161,$J161,$E$4:$E161,$E161)=1,$E161,""))</f>
        <v>№2 (ВГВ)</v>
      </c>
      <c r="M161" s="13" t="str">
        <f>IF($A161="","",IF(COUNTIFS($J$4:$J161,$J161,$F$4:$F161,$F161)=1,$F161,""))</f>
        <v>Рено Лендер</v>
      </c>
    </row>
    <row r="162" spans="1:13" x14ac:dyDescent="0.35">
      <c r="A162" s="23" t="str">
        <f>IFERROR(М6_АТ4021_0586!B61,"")</f>
        <v>вул. Архиповича</v>
      </c>
      <c r="B162" s="23" t="str">
        <f>IFERROR(IF(М6_АТ4021_0586!C61="","",TEXT(М6_АТ4021_0586!C61,"General")),"")</f>
        <v>18,41  52</v>
      </c>
      <c r="C162" s="24" t="str">
        <f>"Вівторок"</f>
        <v>Вівторок</v>
      </c>
      <c r="D162" s="24" t="str">
        <f>IFERROR(TEXT(М6_АТ4021_0586!D61,"h:mm"),"")</f>
        <v>12:25</v>
      </c>
      <c r="E162" s="24" t="str">
        <f>"№6"</f>
        <v>№6</v>
      </c>
      <c r="F162" s="24" t="str">
        <f>"АТ 4021"</f>
        <v>АТ 4021</v>
      </c>
      <c r="G162" s="24" t="str">
        <f>"СВ 33-16 ЕО"</f>
        <v>СВ 33-16 ЕО</v>
      </c>
      <c r="H162" s="24"/>
      <c r="J162" s="13" t="str">
        <f t="shared" si="11"/>
        <v>вул. Архиповича|18,41  52</v>
      </c>
      <c r="K162" s="32">
        <f t="shared" si="12"/>
        <v>0.51736111111111116</v>
      </c>
      <c r="L162" s="13" t="str">
        <f>IF($A162="","",IF(COUNTIFS($J$4:$J162,$J162,$E$4:$E162,$E162)=1,$E162,""))</f>
        <v>№6</v>
      </c>
      <c r="M162" s="13" t="str">
        <f>IF($A162="","",IF(COUNTIFS($J$4:$J162,$J162,$F$4:$F162,$F162)=1,$F162,""))</f>
        <v>АТ 4021</v>
      </c>
    </row>
    <row r="163" spans="1:13" x14ac:dyDescent="0.35">
      <c r="A163" s="23" t="str">
        <f>IFERROR(М6_АТ4021_0586!B7,"")</f>
        <v>вул. Архиповича</v>
      </c>
      <c r="B163" s="23" t="str">
        <f>IFERROR(IF(М6_АТ4021_0586!C7="","",TEXT(М6_АТ4021_0586!C7,"General")),"")</f>
        <v>21,5</v>
      </c>
      <c r="C163" s="24" t="str">
        <f>"Понеділок"</f>
        <v>Понеділок</v>
      </c>
      <c r="D163" s="24" t="str">
        <f>IFERROR(TEXT(М6_АТ4021_0586!D7,"h:mm"),"")</f>
        <v>7:00</v>
      </c>
      <c r="E163" s="24" t="str">
        <f>"№6"</f>
        <v>№6</v>
      </c>
      <c r="F163" s="24" t="str">
        <f>"АТ 4021"</f>
        <v>АТ 4021</v>
      </c>
      <c r="G163" s="24" t="str">
        <f>"СВ 33-16 ЕО"</f>
        <v>СВ 33-16 ЕО</v>
      </c>
      <c r="H163" s="24"/>
      <c r="J163" s="13" t="str">
        <f t="shared" si="11"/>
        <v>вул. Архиповича|21,5</v>
      </c>
      <c r="K163" s="32">
        <f t="shared" si="12"/>
        <v>0.29166666666666669</v>
      </c>
      <c r="L163" s="13" t="str">
        <f>IF($A163="","",IF(COUNTIFS($J$4:$J163,$J163,$E$4:$E163,$E163)=1,$E163,""))</f>
        <v>№6</v>
      </c>
      <c r="M163" s="13" t="str">
        <f>IF($A163="","",IF(COUNTIFS($J$4:$J163,$J163,$F$4:$F163,$F163)=1,$F163,""))</f>
        <v>АТ 4021</v>
      </c>
    </row>
    <row r="164" spans="1:13" x14ac:dyDescent="0.35">
      <c r="A164" s="23" t="str">
        <f>IFERROR(М6_АТ4021_0586!B46,"")</f>
        <v>вул. Архиповича</v>
      </c>
      <c r="B164" s="23" t="str">
        <f>IFERROR(IF(М6_АТ4021_0586!C46="","",TEXT(М6_АТ4021_0586!C46,"General")),"")</f>
        <v>41,47  88</v>
      </c>
      <c r="C164" s="24" t="str">
        <f>"Вівторок"</f>
        <v>Вівторок</v>
      </c>
      <c r="D164" s="24" t="str">
        <f>IFERROR(TEXT(М6_АТ4021_0586!D46,"h:mm"),"")</f>
        <v>7:25</v>
      </c>
      <c r="E164" s="24" t="str">
        <f>"№6"</f>
        <v>№6</v>
      </c>
      <c r="F164" s="24" t="str">
        <f>"АТ 4021"</f>
        <v>АТ 4021</v>
      </c>
      <c r="G164" s="24" t="str">
        <f>"СВ 33-16 ЕО"</f>
        <v>СВ 33-16 ЕО</v>
      </c>
      <c r="H164" s="24"/>
      <c r="J164" s="13" t="str">
        <f t="shared" si="11"/>
        <v>вул. Архиповича|41,47  88</v>
      </c>
      <c r="K164" s="32">
        <f t="shared" si="12"/>
        <v>0.30902777777777779</v>
      </c>
      <c r="L164" s="13" t="str">
        <f>IF($A164="","",IF(COUNTIFS($J$4:$J164,$J164,$E$4:$E164,$E164)=1,$E164,""))</f>
        <v>№6</v>
      </c>
      <c r="M164" s="13" t="str">
        <f>IF($A164="","",IF(COUNTIFS($J$4:$J164,$J164,$F$4:$F164,$F164)=1,$F164,""))</f>
        <v>АТ 4021</v>
      </c>
    </row>
    <row r="165" spans="1:13" x14ac:dyDescent="0.35">
      <c r="A165" s="23" t="str">
        <f>IFERROR(М5_МАЗ4381_0592!B188,"")</f>
        <v>вул. Б. Носенка</v>
      </c>
      <c r="B165" s="23" t="str">
        <f>IFERROR(IF(М5_МАЗ4381_0592!C188="","",TEXT(М5_МАЗ4381_0592!C188,"General")),"")</f>
        <v/>
      </c>
      <c r="C165" s="24" t="str">
        <f>"П'ятниця"</f>
        <v>П'ятниця</v>
      </c>
      <c r="D165" s="24" t="str">
        <f>IFERROR(TEXT(М5_МАЗ4381_0592!D188,"h:mm"),"")</f>
        <v>13:20</v>
      </c>
      <c r="E165" s="24" t="str">
        <f>"№5"</f>
        <v>№5</v>
      </c>
      <c r="F165" s="24" t="str">
        <f>"МАЗ 4381"</f>
        <v>МАЗ 4381</v>
      </c>
      <c r="G165" s="24" t="str">
        <f>"СВ 81-71 ВК"</f>
        <v>СВ 81-71 ВК</v>
      </c>
      <c r="H165" s="24"/>
      <c r="J165" s="13" t="str">
        <f t="shared" si="11"/>
        <v>вул. Б. Носенка|</v>
      </c>
      <c r="K165" s="32">
        <f t="shared" si="12"/>
        <v>0.55555555555555558</v>
      </c>
      <c r="L165" s="13" t="str">
        <f>IF($A165="","",IF(COUNTIFS($J$4:$J165,$J165,$E$4:$E165,$E165)=1,$E165,""))</f>
        <v>№5</v>
      </c>
      <c r="M165" s="13" t="str">
        <f>IF($A165="","",IF(COUNTIFS($J$4:$J165,$J165,$F$4:$F165,$F165)=1,$F165,""))</f>
        <v>МАЗ 4381</v>
      </c>
    </row>
    <row r="166" spans="1:13" x14ac:dyDescent="0.35">
      <c r="A166" s="23" t="str">
        <f>IFERROR(М6_АТ4021_0586!B103,"")</f>
        <v>вул. Б. Носенка</v>
      </c>
      <c r="B166" s="23" t="str">
        <f>IFERROR(IF(М6_АТ4021_0586!C103="","",TEXT(М6_АТ4021_0586!C103,"General")),"")</f>
        <v>130</v>
      </c>
      <c r="C166" s="24" t="str">
        <f>"Середа"</f>
        <v>Середа</v>
      </c>
      <c r="D166" s="24" t="str">
        <f>IFERROR(TEXT(М6_АТ4021_0586!D103,"h:mm"),"")</f>
        <v>14:15</v>
      </c>
      <c r="E166" s="24" t="str">
        <f t="shared" ref="E166:E171" si="14">"№6"</f>
        <v>№6</v>
      </c>
      <c r="F166" s="24" t="str">
        <f t="shared" ref="F166:F171" si="15">"АТ 4021"</f>
        <v>АТ 4021</v>
      </c>
      <c r="G166" s="24" t="str">
        <f t="shared" ref="G166:G171" si="16">"СВ 33-16 ЕО"</f>
        <v>СВ 33-16 ЕО</v>
      </c>
      <c r="H166" s="24"/>
      <c r="J166" s="13" t="str">
        <f t="shared" si="11"/>
        <v>вул. Б. Носенка|130</v>
      </c>
      <c r="K166" s="32">
        <f t="shared" si="12"/>
        <v>0.59375</v>
      </c>
      <c r="L166" s="13" t="str">
        <f>IF($A166="","",IF(COUNTIFS($J$4:$J166,$J166,$E$4:$E166,$E166)=1,$E166,""))</f>
        <v>№6</v>
      </c>
      <c r="M166" s="13" t="str">
        <f>IF($A166="","",IF(COUNTIFS($J$4:$J166,$J166,$F$4:$F166,$F166)=1,$F166,""))</f>
        <v>АТ 4021</v>
      </c>
    </row>
    <row r="167" spans="1:13" x14ac:dyDescent="0.35">
      <c r="A167" s="23" t="str">
        <f>IFERROR(М6_АТ4021_0586!B102,"")</f>
        <v>вул. Б. Носенка</v>
      </c>
      <c r="B167" s="23" t="str">
        <f>IFERROR(IF(М6_АТ4021_0586!C102="","",TEXT(М6_АТ4021_0586!C102,"General")),"")</f>
        <v>2,16  58,80</v>
      </c>
      <c r="C167" s="24" t="str">
        <f>"Середа"</f>
        <v>Середа</v>
      </c>
      <c r="D167" s="24" t="str">
        <f>IFERROR(TEXT(М6_АТ4021_0586!D102,"h:mm"),"")</f>
        <v>14:00</v>
      </c>
      <c r="E167" s="24" t="str">
        <f t="shared" si="14"/>
        <v>№6</v>
      </c>
      <c r="F167" s="24" t="str">
        <f t="shared" si="15"/>
        <v>АТ 4021</v>
      </c>
      <c r="G167" s="24" t="str">
        <f t="shared" si="16"/>
        <v>СВ 33-16 ЕО</v>
      </c>
      <c r="H167" s="24"/>
      <c r="J167" s="13" t="str">
        <f t="shared" si="11"/>
        <v>вул. Б. Носенка|2,16  58,80</v>
      </c>
      <c r="K167" s="32">
        <f t="shared" si="12"/>
        <v>0.58333333333333337</v>
      </c>
      <c r="L167" s="13" t="str">
        <f>IF($A167="","",IF(COUNTIFS($J$4:$J167,$J167,$E$4:$E167,$E167)=1,$E167,""))</f>
        <v>№6</v>
      </c>
      <c r="M167" s="13" t="str">
        <f>IF($A167="","",IF(COUNTIFS($J$4:$J167,$J167,$F$4:$F167,$F167)=1,$F167,""))</f>
        <v>АТ 4021</v>
      </c>
    </row>
    <row r="168" spans="1:13" x14ac:dyDescent="0.35">
      <c r="A168" s="23" t="str">
        <f>IFERROR(М6_АТ4021_0586!B98,"")</f>
        <v>вул. Б. Хмельницького</v>
      </c>
      <c r="B168" s="23" t="str">
        <f>IFERROR(IF(М6_АТ4021_0586!C98="","",TEXT(М6_АТ4021_0586!C98,"General")),"")</f>
        <v>18,20  28,31</v>
      </c>
      <c r="C168" s="24" t="str">
        <f>"Середа"</f>
        <v>Середа</v>
      </c>
      <c r="D168" s="24" t="str">
        <f>IFERROR(TEXT(М6_АТ4021_0586!D98,"h:mm"),"")</f>
        <v>12:35</v>
      </c>
      <c r="E168" s="24" t="str">
        <f t="shared" si="14"/>
        <v>№6</v>
      </c>
      <c r="F168" s="24" t="str">
        <f t="shared" si="15"/>
        <v>АТ 4021</v>
      </c>
      <c r="G168" s="24" t="str">
        <f t="shared" si="16"/>
        <v>СВ 33-16 ЕО</v>
      </c>
      <c r="H168" s="24"/>
      <c r="J168" s="13" t="str">
        <f t="shared" si="11"/>
        <v>вул. Б. Хмельницького|18,20  28,31</v>
      </c>
      <c r="K168" s="32">
        <f t="shared" si="12"/>
        <v>0.52430555555555558</v>
      </c>
      <c r="L168" s="13" t="str">
        <f>IF($A168="","",IF(COUNTIFS($J$4:$J168,$J168,$E$4:$E168,$E168)=1,$E168,""))</f>
        <v>№6</v>
      </c>
      <c r="M168" s="13" t="str">
        <f>IF($A168="","",IF(COUNTIFS($J$4:$J168,$J168,$F$4:$F168,$F168)=1,$F168,""))</f>
        <v>АТ 4021</v>
      </c>
    </row>
    <row r="169" spans="1:13" x14ac:dyDescent="0.35">
      <c r="A169" s="23" t="str">
        <f>IFERROR(М6_АТ4021_0586!B68,"")</f>
        <v>вул. Берегова Рута</v>
      </c>
      <c r="B169" s="23" t="str">
        <f>IFERROR(IF(М6_АТ4021_0586!C68="","",TEXT(М6_АТ4021_0586!C68,"General")),"")</f>
        <v>8,16  21</v>
      </c>
      <c r="C169" s="24" t="str">
        <f>"Вівторок"</f>
        <v>Вівторок</v>
      </c>
      <c r="D169" s="24" t="str">
        <f>IFERROR(TEXT(М6_АТ4021_0586!D68,"h:mm"),"")</f>
        <v>15:10</v>
      </c>
      <c r="E169" s="24" t="str">
        <f t="shared" si="14"/>
        <v>№6</v>
      </c>
      <c r="F169" s="24" t="str">
        <f t="shared" si="15"/>
        <v>АТ 4021</v>
      </c>
      <c r="G169" s="24" t="str">
        <f t="shared" si="16"/>
        <v>СВ 33-16 ЕО</v>
      </c>
      <c r="H169" s="24"/>
      <c r="J169" s="13" t="str">
        <f t="shared" si="11"/>
        <v>вул. Берегова Рута|8,16  21</v>
      </c>
      <c r="K169" s="32">
        <f t="shared" si="12"/>
        <v>0.63194444444444442</v>
      </c>
      <c r="L169" s="13" t="str">
        <f>IF($A169="","",IF(COUNTIFS($J$4:$J169,$J169,$E$4:$E169,$E169)=1,$E169,""))</f>
        <v>№6</v>
      </c>
      <c r="M169" s="13" t="str">
        <f>IF($A169="","",IF(COUNTIFS($J$4:$J169,$J169,$F$4:$F169,$F169)=1,$F169,""))</f>
        <v>АТ 4021</v>
      </c>
    </row>
    <row r="170" spans="1:13" x14ac:dyDescent="0.35">
      <c r="A170" s="23" t="str">
        <f>IFERROR(М6_АТ4021_0586!B63,"")</f>
        <v>вул. Берегова</v>
      </c>
      <c r="B170" s="23" t="str">
        <f>IFERROR(IF(М6_АТ4021_0586!C63="","",TEXT(М6_АТ4021_0586!C63,"General")),"")</f>
        <v>144  123,93</v>
      </c>
      <c r="C170" s="24" t="str">
        <f>"Вівторок"</f>
        <v>Вівторок</v>
      </c>
      <c r="D170" s="24" t="str">
        <f>IFERROR(TEXT(М6_АТ4021_0586!D63,"h:mm"),"")</f>
        <v>13:20</v>
      </c>
      <c r="E170" s="24" t="str">
        <f t="shared" si="14"/>
        <v>№6</v>
      </c>
      <c r="F170" s="24" t="str">
        <f t="shared" si="15"/>
        <v>АТ 4021</v>
      </c>
      <c r="G170" s="24" t="str">
        <f t="shared" si="16"/>
        <v>СВ 33-16 ЕО</v>
      </c>
      <c r="H170" s="24"/>
      <c r="J170" s="13" t="str">
        <f t="shared" si="11"/>
        <v>вул. Берегова|144  123,93</v>
      </c>
      <c r="K170" s="32">
        <f t="shared" si="12"/>
        <v>0.55555555555555558</v>
      </c>
      <c r="L170" s="13" t="str">
        <f>IF($A170="","",IF(COUNTIFS($J$4:$J170,$J170,$E$4:$E170,$E170)=1,$E170,""))</f>
        <v>№6</v>
      </c>
      <c r="M170" s="13" t="str">
        <f>IF($A170="","",IF(COUNTIFS($J$4:$J170,$J170,$F$4:$F170,$F170)=1,$F170,""))</f>
        <v>АТ 4021</v>
      </c>
    </row>
    <row r="171" spans="1:13" x14ac:dyDescent="0.35">
      <c r="A171" s="23" t="str">
        <f>IFERROR(М6_АТ4021_0586!B93,"")</f>
        <v>вул. Берегова</v>
      </c>
      <c r="B171" s="23" t="str">
        <f>IFERROR(IF(М6_АТ4021_0586!C93="","",TEXT(М6_АТ4021_0586!C93,"General")),"")</f>
        <v>83,77  61,23</v>
      </c>
      <c r="C171" s="24" t="str">
        <f>"Середа"</f>
        <v>Середа</v>
      </c>
      <c r="D171" s="24" t="str">
        <f>IFERROR(TEXT(М6_АТ4021_0586!D93,"h:mm"),"")</f>
        <v>11:05</v>
      </c>
      <c r="E171" s="24" t="str">
        <f t="shared" si="14"/>
        <v>№6</v>
      </c>
      <c r="F171" s="24" t="str">
        <f t="shared" si="15"/>
        <v>АТ 4021</v>
      </c>
      <c r="G171" s="24" t="str">
        <f t="shared" si="16"/>
        <v>СВ 33-16 ЕО</v>
      </c>
      <c r="H171" s="24"/>
      <c r="J171" s="13" t="str">
        <f t="shared" si="11"/>
        <v>вул. Берегова|83,77  61,23</v>
      </c>
      <c r="K171" s="32">
        <f t="shared" si="12"/>
        <v>0.46180555555555558</v>
      </c>
      <c r="L171" s="13" t="str">
        <f>IF($A171="","",IF(COUNTIFS($J$4:$J171,$J171,$E$4:$E171,$E171)=1,$E171,""))</f>
        <v>№6</v>
      </c>
      <c r="M171" s="13" t="str">
        <f>IF($A171="","",IF(COUNTIFS($J$4:$J171,$J171,$F$4:$F171,$F171)=1,$F171,""))</f>
        <v>АТ 4021</v>
      </c>
    </row>
    <row r="172" spans="1:13" x14ac:dyDescent="0.35">
      <c r="A172" s="23" t="str">
        <f>IFERROR(М5_МАЗ4381_0592!B104,"")</f>
        <v>вул. Ботанічна</v>
      </c>
      <c r="B172" s="23" t="str">
        <f>IFERROR(IF(М5_МАЗ4381_0592!C104="","",TEXT(М5_МАЗ4381_0592!C104,"General")),"")</f>
        <v/>
      </c>
      <c r="C172" s="24" t="str">
        <f>"Середа"</f>
        <v>Середа</v>
      </c>
      <c r="D172" s="24" t="str">
        <f>IFERROR(TEXT(М5_МАЗ4381_0592!D104,"h:mm"),"")</f>
        <v>13:45</v>
      </c>
      <c r="E172" s="24" t="str">
        <f>"№5"</f>
        <v>№5</v>
      </c>
      <c r="F172" s="24" t="str">
        <f>"МАЗ 4381"</f>
        <v>МАЗ 4381</v>
      </c>
      <c r="G172" s="24" t="str">
        <f>"СВ 81-71 ВК"</f>
        <v>СВ 81-71 ВК</v>
      </c>
      <c r="H172" s="24"/>
      <c r="J172" s="13" t="str">
        <f t="shared" si="11"/>
        <v>вул. Ботанічна|</v>
      </c>
      <c r="K172" s="32">
        <f t="shared" si="12"/>
        <v>0.57291666666666663</v>
      </c>
      <c r="L172" s="13" t="str">
        <f>IF($A172="","",IF(COUNTIFS($J$4:$J172,$J172,$E$4:$E172,$E172)=1,$E172,""))</f>
        <v>№5</v>
      </c>
      <c r="M172" s="13" t="str">
        <f>IF($A172="","",IF(COUNTIFS($J$4:$J172,$J172,$F$4:$F172,$F172)=1,$F172,""))</f>
        <v>МАЗ 4381</v>
      </c>
    </row>
    <row r="173" spans="1:13" x14ac:dyDescent="0.35">
      <c r="A173" s="23" t="str">
        <f>IFERROR(М5_МАЗ4381_0592!B7,"")</f>
        <v>вул. Братів Ревуцьких</v>
      </c>
      <c r="B173" s="23" t="str">
        <f>IFERROR(IF(М5_МАЗ4381_0592!C7="","",TEXT(М5_МАЗ4381_0592!C7,"General")),"")</f>
        <v/>
      </c>
      <c r="C173" s="24" t="str">
        <f>"Понеділок"</f>
        <v>Понеділок</v>
      </c>
      <c r="D173" s="24" t="str">
        <f>IFERROR(TEXT(М5_МАЗ4381_0592!D7,"h:mm"),"")</f>
        <v>7:10</v>
      </c>
      <c r="E173" s="24" t="str">
        <f>"№5"</f>
        <v>№5</v>
      </c>
      <c r="F173" s="24" t="str">
        <f>"МАЗ 4381"</f>
        <v>МАЗ 4381</v>
      </c>
      <c r="G173" s="24" t="str">
        <f>"СВ 81-71 ВК"</f>
        <v>СВ 81-71 ВК</v>
      </c>
      <c r="H173" s="24"/>
      <c r="J173" s="13" t="str">
        <f t="shared" si="11"/>
        <v>вул. Братів Ревуцьких|</v>
      </c>
      <c r="K173" s="32">
        <f t="shared" si="12"/>
        <v>0.2986111111111111</v>
      </c>
      <c r="L173" s="13" t="str">
        <f>IF($A173="","",IF(COUNTIFS($J$4:$J173,$J173,$E$4:$E173,$E173)=1,$E173,""))</f>
        <v>№5</v>
      </c>
      <c r="M173" s="13" t="str">
        <f>IF($A173="","",IF(COUNTIFS($J$4:$J173,$J173,$F$4:$F173,$F173)=1,$F173,""))</f>
        <v>МАЗ 4381</v>
      </c>
    </row>
    <row r="174" spans="1:13" x14ac:dyDescent="0.35">
      <c r="A174" s="23" t="str">
        <f>IFERROR(М5_МАЗ4381_0592!B121,"")</f>
        <v>вул. Братів Ревуцьких</v>
      </c>
      <c r="B174" s="23" t="str">
        <f>IFERROR(IF(М5_МАЗ4381_0592!C121="","",TEXT(М5_МАЗ4381_0592!C121,"General")),"")</f>
        <v/>
      </c>
      <c r="C174" s="24" t="str">
        <f>"Четвер"</f>
        <v>Четвер</v>
      </c>
      <c r="D174" s="24" t="str">
        <f>IFERROR(TEXT(М5_МАЗ4381_0592!D121,"h:mm"),"")</f>
        <v>7:30</v>
      </c>
      <c r="E174" s="24" t="str">
        <f>"№5"</f>
        <v>№5</v>
      </c>
      <c r="F174" s="24" t="str">
        <f>"МАЗ 4381"</f>
        <v>МАЗ 4381</v>
      </c>
      <c r="G174" s="24" t="str">
        <f>"СВ 81-71 ВК"</f>
        <v>СВ 81-71 ВК</v>
      </c>
      <c r="H174" s="24"/>
      <c r="J174" s="13" t="str">
        <f t="shared" si="11"/>
        <v>вул. Братів Ревуцьких|</v>
      </c>
      <c r="K174" s="32">
        <f t="shared" si="12"/>
        <v>0.3125</v>
      </c>
      <c r="L174" s="13" t="str">
        <f>IF($A174="","",IF(COUNTIFS($J$4:$J174,$J174,$E$4:$E174,$E174)=1,$E174,""))</f>
        <v/>
      </c>
      <c r="M174" s="13" t="str">
        <f>IF($A174="","",IF(COUNTIFS($J$4:$J174,$J174,$F$4:$F174,$F174)=1,$F174,""))</f>
        <v/>
      </c>
    </row>
    <row r="175" spans="1:13" x14ac:dyDescent="0.35">
      <c r="A175" s="23" t="str">
        <f>IFERROR(М5_МАЗ4381_0592!B181,"")</f>
        <v>вул. Братів Ревуцьких</v>
      </c>
      <c r="B175" s="23" t="str">
        <f>IFERROR(IF(М5_МАЗ4381_0592!C181="","",TEXT(М5_МАЗ4381_0592!C181,"General")),"")</f>
        <v/>
      </c>
      <c r="C175" s="24" t="str">
        <f>"П'ятниця"</f>
        <v>П'ятниця</v>
      </c>
      <c r="D175" s="24" t="str">
        <f>IFERROR(TEXT(М5_МАЗ4381_0592!D181,"h:mm"),"")</f>
        <v>11:35</v>
      </c>
      <c r="E175" s="24" t="str">
        <f>"№5"</f>
        <v>№5</v>
      </c>
      <c r="F175" s="24" t="str">
        <f>"МАЗ 4381"</f>
        <v>МАЗ 4381</v>
      </c>
      <c r="G175" s="24" t="str">
        <f>"СВ 81-71 ВК"</f>
        <v>СВ 81-71 ВК</v>
      </c>
      <c r="H175" s="24"/>
      <c r="J175" s="13" t="str">
        <f t="shared" si="11"/>
        <v>вул. Братів Ревуцьких|</v>
      </c>
      <c r="K175" s="32">
        <f t="shared" si="12"/>
        <v>0.4826388888888889</v>
      </c>
      <c r="L175" s="13" t="str">
        <f>IF($A175="","",IF(COUNTIFS($J$4:$J175,$J175,$E$4:$E175,$E175)=1,$E175,""))</f>
        <v/>
      </c>
      <c r="M175" s="13" t="str">
        <f>IF($A175="","",IF(COUNTIFS($J$4:$J175,$J175,$F$4:$F175,$F175)=1,$F175,""))</f>
        <v/>
      </c>
    </row>
    <row r="176" spans="1:13" x14ac:dyDescent="0.35">
      <c r="A176" s="23" t="str">
        <f>IFERROR(М6_АТ4021_0586!B148,"")</f>
        <v>вул. Будівельників</v>
      </c>
      <c r="B176" s="23" t="str">
        <f>IFERROR(IF(М6_АТ4021_0586!C148="","",TEXT(М6_АТ4021_0586!C148,"General")),"")</f>
        <v>3,17  25</v>
      </c>
      <c r="C176" s="24" t="str">
        <f>"Четвер"</f>
        <v>Четвер</v>
      </c>
      <c r="D176" s="24" t="str">
        <f>IFERROR(TEXT(М6_АТ4021_0586!D148,"h:mm"),"")</f>
        <v>15:45</v>
      </c>
      <c r="E176" s="24" t="str">
        <f>"№6"</f>
        <v>№6</v>
      </c>
      <c r="F176" s="24" t="str">
        <f>"АТ 4021"</f>
        <v>АТ 4021</v>
      </c>
      <c r="G176" s="24" t="str">
        <f>"СВ 33-16 ЕО"</f>
        <v>СВ 33-16 ЕО</v>
      </c>
      <c r="H176" s="24"/>
      <c r="J176" s="13" t="str">
        <f t="shared" si="11"/>
        <v>вул. Будівельників|3,17  25</v>
      </c>
      <c r="K176" s="32">
        <f t="shared" si="12"/>
        <v>0.65625</v>
      </c>
      <c r="L176" s="13" t="str">
        <f>IF($A176="","",IF(COUNTIFS($J$4:$J176,$J176,$E$4:$E176,$E176)=1,$E176,""))</f>
        <v>№6</v>
      </c>
      <c r="M176" s="13" t="str">
        <f>IF($A176="","",IF(COUNTIFS($J$4:$J176,$J176,$F$4:$F176,$F176)=1,$F176,""))</f>
        <v>АТ 4021</v>
      </c>
    </row>
    <row r="177" spans="1:13" x14ac:dyDescent="0.35">
      <c r="A177" s="23" t="str">
        <f>IFERROR(М6_АТ4021_0586!B117,"")</f>
        <v>вул. В. Завітневича</v>
      </c>
      <c r="B177" s="23" t="str">
        <f>IFERROR(IF(М6_АТ4021_0586!C117="","",TEXT(М6_АТ4021_0586!C117,"General")),"")</f>
        <v>17,19  13,10</v>
      </c>
      <c r="C177" s="24" t="str">
        <f>"Четвер"</f>
        <v>Четвер</v>
      </c>
      <c r="D177" s="24" t="str">
        <f>IFERROR(TEXT(М6_АТ4021_0586!D117,"h:mm"),"")</f>
        <v>7:15</v>
      </c>
      <c r="E177" s="24" t="str">
        <f>"№6"</f>
        <v>№6</v>
      </c>
      <c r="F177" s="24" t="str">
        <f>"АТ 4021"</f>
        <v>АТ 4021</v>
      </c>
      <c r="G177" s="24" t="str">
        <f>"СВ 33-16 ЕО"</f>
        <v>СВ 33-16 ЕО</v>
      </c>
      <c r="H177" s="24"/>
      <c r="J177" s="13" t="str">
        <f t="shared" si="11"/>
        <v>вул. В. Завітневича|17,19  13,10</v>
      </c>
      <c r="K177" s="32">
        <f t="shared" si="12"/>
        <v>0.30208333333333331</v>
      </c>
      <c r="L177" s="13" t="str">
        <f>IF($A177="","",IF(COUNTIFS($J$4:$J177,$J177,$E$4:$E177,$E177)=1,$E177,""))</f>
        <v>№6</v>
      </c>
      <c r="M177" s="13" t="str">
        <f>IF($A177="","",IF(COUNTIFS($J$4:$J177,$J177,$F$4:$F177,$F177)=1,$F177,""))</f>
        <v>АТ 4021</v>
      </c>
    </row>
    <row r="178" spans="1:13" x14ac:dyDescent="0.35">
      <c r="A178" s="23" t="str">
        <f>IFERROR(М6_АТ4021_0586!B8,"")</f>
        <v>вул. В. Завітневича</v>
      </c>
      <c r="B178" s="23" t="str">
        <f>IFERROR(IF(М6_АТ4021_0586!C8="","",TEXT(М6_АТ4021_0586!C8,"General")),"")</f>
        <v>33,17</v>
      </c>
      <c r="C178" s="24" t="str">
        <f>"Понеділок"</f>
        <v>Понеділок</v>
      </c>
      <c r="D178" s="24" t="str">
        <f>IFERROR(TEXT(М6_АТ4021_0586!D8,"h:mm"),"")</f>
        <v>7:15</v>
      </c>
      <c r="E178" s="24" t="str">
        <f>"№6"</f>
        <v>№6</v>
      </c>
      <c r="F178" s="24" t="str">
        <f>"АТ 4021"</f>
        <v>АТ 4021</v>
      </c>
      <c r="G178" s="24" t="str">
        <f>"СВ 33-16 ЕО"</f>
        <v>СВ 33-16 ЕО</v>
      </c>
      <c r="H178" s="24"/>
      <c r="J178" s="13" t="str">
        <f t="shared" si="11"/>
        <v>вул. В. Завітневича|33,17</v>
      </c>
      <c r="K178" s="32">
        <f t="shared" si="12"/>
        <v>0.30208333333333331</v>
      </c>
      <c r="L178" s="13" t="str">
        <f>IF($A178="","",IF(COUNTIFS($J$4:$J178,$J178,$E$4:$E178,$E178)=1,$E178,""))</f>
        <v>№6</v>
      </c>
      <c r="M178" s="13" t="str">
        <f>IF($A178="","",IF(COUNTIFS($J$4:$J178,$J178,$F$4:$F178,$F178)=1,$F178,""))</f>
        <v>АТ 4021</v>
      </c>
    </row>
    <row r="179" spans="1:13" x14ac:dyDescent="0.35">
      <c r="A179" s="23" t="str">
        <f>IFERROR(М5_МАЗ4381_0592!B140,"")</f>
        <v>вул. В. Стуса</v>
      </c>
      <c r="B179" s="23" t="str">
        <f>IFERROR(IF(М5_МАЗ4381_0592!C140="","",TEXT(М5_МАЗ4381_0592!C140,"General")),"")</f>
        <v/>
      </c>
      <c r="C179" s="24" t="str">
        <f>"Четвер"</f>
        <v>Четвер</v>
      </c>
      <c r="D179" s="24" t="str">
        <f>IFERROR(TEXT(М5_МАЗ4381_0592!D140,"h:mm"),"")</f>
        <v>12:35</v>
      </c>
      <c r="E179" s="24" t="str">
        <f>"№5"</f>
        <v>№5</v>
      </c>
      <c r="F179" s="24" t="str">
        <f>"МАЗ 4381"</f>
        <v>МАЗ 4381</v>
      </c>
      <c r="G179" s="24" t="str">
        <f>"СВ 81-71 ВК"</f>
        <v>СВ 81-71 ВК</v>
      </c>
      <c r="H179" s="24"/>
      <c r="J179" s="13" t="str">
        <f t="shared" si="11"/>
        <v>вул. В. Стуса|</v>
      </c>
      <c r="K179" s="32">
        <f t="shared" si="12"/>
        <v>0.52430555555555558</v>
      </c>
      <c r="L179" s="13" t="str">
        <f>IF($A179="","",IF(COUNTIFS($J$4:$J179,$J179,$E$4:$E179,$E179)=1,$E179,""))</f>
        <v>№5</v>
      </c>
      <c r="M179" s="13" t="str">
        <f>IF($A179="","",IF(COUNTIFS($J$4:$J179,$J179,$F$4:$F179,$F179)=1,$F179,""))</f>
        <v>МАЗ 4381</v>
      </c>
    </row>
    <row r="180" spans="1:13" x14ac:dyDescent="0.35">
      <c r="A180" s="23" t="str">
        <f>IFERROR(М5_МАЗ4381_0592!B192,"")</f>
        <v>вул. В. Стуса</v>
      </c>
      <c r="B180" s="23" t="str">
        <f>IFERROR(IF(М5_МАЗ4381_0592!C192="","",TEXT(М5_МАЗ4381_0592!C192,"General")),"")</f>
        <v/>
      </c>
      <c r="C180" s="24" t="str">
        <f>"П'ятниця"</f>
        <v>П'ятниця</v>
      </c>
      <c r="D180" s="24" t="str">
        <f>IFERROR(TEXT(М5_МАЗ4381_0592!D192,"h:mm"),"")</f>
        <v>14:00</v>
      </c>
      <c r="E180" s="24" t="str">
        <f>"№5"</f>
        <v>№5</v>
      </c>
      <c r="F180" s="24" t="str">
        <f>"МАЗ 4381"</f>
        <v>МАЗ 4381</v>
      </c>
      <c r="G180" s="24" t="str">
        <f>"СВ 81-71 ВК"</f>
        <v>СВ 81-71 ВК</v>
      </c>
      <c r="H180" s="24"/>
      <c r="J180" s="13" t="str">
        <f t="shared" si="11"/>
        <v>вул. В. Стуса|</v>
      </c>
      <c r="K180" s="32">
        <f t="shared" si="12"/>
        <v>0.58333333333333337</v>
      </c>
      <c r="L180" s="13" t="str">
        <f>IF($A180="","",IF(COUNTIFS($J$4:$J180,$J180,$E$4:$E180,$E180)=1,$E180,""))</f>
        <v/>
      </c>
      <c r="M180" s="13" t="str">
        <f>IF($A180="","",IF(COUNTIFS($J$4:$J180,$J180,$F$4:$F180,$F180)=1,$F180,""))</f>
        <v/>
      </c>
    </row>
    <row r="181" spans="1:13" x14ac:dyDescent="0.35">
      <c r="A181" s="23" t="str">
        <f>IFERROR('М3-4_ГАЗ3309_0590'!B141,"")</f>
        <v>вул. В. Стуса</v>
      </c>
      <c r="B181" s="23" t="str">
        <f>IFERROR(IF('М3-4_ГАЗ3309_0590'!C141="","",TEXT('М3-4_ГАЗ3309_0590'!C141,"General")),"")</f>
        <v>"Надія"</v>
      </c>
      <c r="C181" s="24" t="str">
        <f>"Понеділок"</f>
        <v>Понеділок</v>
      </c>
      <c r="D181" s="24" t="str">
        <f>IFERROR(TEXT('М3-4_ГАЗ3309_0590'!D141,"h:mm"),"")</f>
        <v>14:55</v>
      </c>
      <c r="E181" s="24" t="str">
        <f>"№3"</f>
        <v>№3</v>
      </c>
      <c r="F181" s="24" t="str">
        <f>"ГАЗ 3309"</f>
        <v>ГАЗ 3309</v>
      </c>
      <c r="G181" s="24" t="str">
        <f>"СВ 17-85 ВН"</f>
        <v>СВ 17-85 ВН</v>
      </c>
      <c r="H181" s="24">
        <f>IFERROR('М3-4_ГАЗ3309_0590'!G141,"")</f>
        <v>1</v>
      </c>
      <c r="J181" s="13" t="str">
        <f t="shared" si="11"/>
        <v>вул. В. Стуса|"Надія"</v>
      </c>
      <c r="K181" s="32">
        <f t="shared" si="12"/>
        <v>0.62152777777777779</v>
      </c>
      <c r="L181" s="13" t="str">
        <f>IF($A181="","",IF(COUNTIFS($J$4:$J181,$J181,$E$4:$E181,$E181)=1,$E181,""))</f>
        <v>№3</v>
      </c>
      <c r="M181" s="13" t="str">
        <f>IF($A181="","",IF(COUNTIFS($J$4:$J181,$J181,$F$4:$F181,$F181)=1,$F181,""))</f>
        <v>ГАЗ 3309</v>
      </c>
    </row>
    <row r="182" spans="1:13" x14ac:dyDescent="0.35">
      <c r="A182" s="23" t="str">
        <f>IFERROR(М6_АТ4021_0586!B52,"")</f>
        <v>вул. В. Стуса</v>
      </c>
      <c r="B182" s="23" t="str">
        <f>IFERROR(IF(М6_АТ4021_0586!C52="","",TEXT(М6_АТ4021_0586!C52,"General")),"")</f>
        <v>3,15  11</v>
      </c>
      <c r="C182" s="24" t="str">
        <f>"Вівторок"</f>
        <v>Вівторок</v>
      </c>
      <c r="D182" s="24" t="str">
        <f>IFERROR(TEXT(М6_АТ4021_0586!D52,"h:mm"),"")</f>
        <v>9:35</v>
      </c>
      <c r="E182" s="24" t="str">
        <f>"№6"</f>
        <v>№6</v>
      </c>
      <c r="F182" s="24" t="str">
        <f>"АТ 4021"</f>
        <v>АТ 4021</v>
      </c>
      <c r="G182" s="24" t="str">
        <f>"СВ 33-16 ЕО"</f>
        <v>СВ 33-16 ЕО</v>
      </c>
      <c r="H182" s="24"/>
      <c r="J182" s="13" t="str">
        <f t="shared" si="11"/>
        <v>вул. В. Стуса|3,15  11</v>
      </c>
      <c r="K182" s="32">
        <f t="shared" si="12"/>
        <v>0.39930555555555558</v>
      </c>
      <c r="L182" s="13" t="str">
        <f>IF($A182="","",IF(COUNTIFS($J$4:$J182,$J182,$E$4:$E182,$E182)=1,$E182,""))</f>
        <v>№6</v>
      </c>
      <c r="M182" s="13" t="str">
        <f>IF($A182="","",IF(COUNTIFS($J$4:$J182,$J182,$F$4:$F182,$F182)=1,$F182,""))</f>
        <v>АТ 4021</v>
      </c>
    </row>
    <row r="183" spans="1:13" x14ac:dyDescent="0.35">
      <c r="A183" s="23" t="str">
        <f>IFERROR('М3-4_ГАЗ3309_0590'!B139,"")</f>
        <v>вул. В. Стуса</v>
      </c>
      <c r="B183" s="23" t="str">
        <f>IFERROR(IF('М3-4_ГАЗ3309_0590'!C139="","",TEXT('М3-4_ГАЗ3309_0590'!C139,"General")),"")</f>
        <v>Д/с 29</v>
      </c>
      <c r="C183" s="24" t="str">
        <f>"Понеділок"</f>
        <v>Понеділок</v>
      </c>
      <c r="D183" s="24" t="str">
        <f>IFERROR(TEXT('М3-4_ГАЗ3309_0590'!D139,"h:mm"),"")</f>
        <v>14:35</v>
      </c>
      <c r="E183" s="24" t="str">
        <f>"№3"</f>
        <v>№3</v>
      </c>
      <c r="F183" s="24" t="str">
        <f>"ГАЗ 3309"</f>
        <v>ГАЗ 3309</v>
      </c>
      <c r="G183" s="24" t="str">
        <f>"СВ 17-85 ВН"</f>
        <v>СВ 17-85 ВН</v>
      </c>
      <c r="H183" s="24">
        <f>IFERROR('М3-4_ГАЗ3309_0590'!G139,"")</f>
        <v>1</v>
      </c>
      <c r="J183" s="13" t="str">
        <f t="shared" si="11"/>
        <v>вул. В. Стуса|Д/с 29</v>
      </c>
      <c r="K183" s="32">
        <f t="shared" si="12"/>
        <v>0.60763888888888884</v>
      </c>
      <c r="L183" s="13" t="str">
        <f>IF($A183="","",IF(COUNTIFS($J$4:$J183,$J183,$E$4:$E183,$E183)=1,$E183,""))</f>
        <v>№3</v>
      </c>
      <c r="M183" s="13" t="str">
        <f>IF($A183="","",IF(COUNTIFS($J$4:$J183,$J183,$F$4:$F183,$F183)=1,$F183,""))</f>
        <v>ГАЗ 3309</v>
      </c>
    </row>
    <row r="184" spans="1:13" x14ac:dyDescent="0.35">
      <c r="A184" s="23" t="str">
        <f>IFERROR('М3-4_ГАЗ3309_0590'!B140,"")</f>
        <v>вул. В. Стуса</v>
      </c>
      <c r="B184" s="23" t="str">
        <f>IFERROR(IF('М3-4_ГАЗ3309_0590'!C140="","",TEXT('М3-4_ГАЗ3309_0590'!C140,"General")),"")</f>
        <v>НРЦ</v>
      </c>
      <c r="C184" s="24" t="str">
        <f>"Понеділок"</f>
        <v>Понеділок</v>
      </c>
      <c r="D184" s="24" t="str">
        <f>IFERROR(TEXT('М3-4_ГАЗ3309_0590'!D140,"h:mm"),"")</f>
        <v>14:45</v>
      </c>
      <c r="E184" s="24" t="str">
        <f>"№3"</f>
        <v>№3</v>
      </c>
      <c r="F184" s="24" t="str">
        <f>"ГАЗ 3309"</f>
        <v>ГАЗ 3309</v>
      </c>
      <c r="G184" s="24" t="str">
        <f>"СВ 17-85 ВН"</f>
        <v>СВ 17-85 ВН</v>
      </c>
      <c r="H184" s="24">
        <f>IFERROR('М3-4_ГАЗ3309_0590'!G140,"")</f>
        <v>1</v>
      </c>
      <c r="J184" s="13" t="str">
        <f t="shared" si="11"/>
        <v>вул. В. Стуса|НРЦ</v>
      </c>
      <c r="K184" s="32">
        <f t="shared" si="12"/>
        <v>0.61458333333333337</v>
      </c>
      <c r="L184" s="13" t="str">
        <f>IF($A184="","",IF(COUNTIFS($J$4:$J184,$J184,$E$4:$E184,$E184)=1,$E184,""))</f>
        <v>№3</v>
      </c>
      <c r="M184" s="13" t="str">
        <f>IF($A184="","",IF(COUNTIFS($J$4:$J184,$J184,$F$4:$F184,$F184)=1,$F184,""))</f>
        <v>ГАЗ 3309</v>
      </c>
    </row>
    <row r="185" spans="1:13" x14ac:dyDescent="0.35">
      <c r="A185" s="23" t="str">
        <f>IFERROR(М5_МАЗ4381_0592!B133,"")</f>
        <v>вул. В. Чорновола</v>
      </c>
      <c r="B185" s="23" t="str">
        <f>IFERROR(IF(М5_МАЗ4381_0592!C133="","",TEXT(М5_МАЗ4381_0592!C133,"General")),"")</f>
        <v/>
      </c>
      <c r="C185" s="24" t="str">
        <f>"Четвер"</f>
        <v>Четвер</v>
      </c>
      <c r="D185" s="24" t="str">
        <f>IFERROR(TEXT(М5_МАЗ4381_0592!D133,"h:mm"),"")</f>
        <v>10:50</v>
      </c>
      <c r="E185" s="24" t="str">
        <f>"№5"</f>
        <v>№5</v>
      </c>
      <c r="F185" s="24" t="str">
        <f>"МАЗ 4381"</f>
        <v>МАЗ 4381</v>
      </c>
      <c r="G185" s="24" t="str">
        <f>"СВ 81-71 ВК"</f>
        <v>СВ 81-71 ВК</v>
      </c>
      <c r="H185" s="24"/>
      <c r="J185" s="13" t="str">
        <f t="shared" si="11"/>
        <v>вул. В. Чорновола|</v>
      </c>
      <c r="K185" s="32">
        <f t="shared" si="12"/>
        <v>0.4513888888888889</v>
      </c>
      <c r="L185" s="13" t="str">
        <f>IF($A185="","",IF(COUNTIFS($J$4:$J185,$J185,$E$4:$E185,$E185)=1,$E185,""))</f>
        <v>№5</v>
      </c>
      <c r="M185" s="13" t="str">
        <f>IF($A185="","",IF(COUNTIFS($J$4:$J185,$J185,$F$4:$F185,$F185)=1,$F185,""))</f>
        <v>МАЗ 4381</v>
      </c>
    </row>
    <row r="186" spans="1:13" x14ac:dyDescent="0.35">
      <c r="A186" s="23" t="str">
        <f>IFERROR(М5_МАЗ4381_0592!B162,"")</f>
        <v>вул. В. Чорновола</v>
      </c>
      <c r="B186" s="23" t="str">
        <f>IFERROR(IF(М5_МАЗ4381_0592!C162="","",TEXT(М5_МАЗ4381_0592!C162,"General")),"")</f>
        <v/>
      </c>
      <c r="C186" s="24" t="str">
        <f>"П'ятниця"</f>
        <v>П'ятниця</v>
      </c>
      <c r="D186" s="24" t="str">
        <f>IFERROR(TEXT(М5_МАЗ4381_0592!D162,"h:mm"),"")</f>
        <v>7:35</v>
      </c>
      <c r="E186" s="24" t="str">
        <f>"№5"</f>
        <v>№5</v>
      </c>
      <c r="F186" s="24" t="str">
        <f>"МАЗ 4381"</f>
        <v>МАЗ 4381</v>
      </c>
      <c r="G186" s="24" t="str">
        <f>"СВ 81-71 ВК"</f>
        <v>СВ 81-71 ВК</v>
      </c>
      <c r="H186" s="24"/>
      <c r="J186" s="13" t="str">
        <f t="shared" si="11"/>
        <v>вул. В. Чорновола|</v>
      </c>
      <c r="K186" s="32">
        <f t="shared" si="12"/>
        <v>0.31597222222222221</v>
      </c>
      <c r="L186" s="13" t="str">
        <f>IF($A186="","",IF(COUNTIFS($J$4:$J186,$J186,$E$4:$E186,$E186)=1,$E186,""))</f>
        <v/>
      </c>
      <c r="M186" s="13" t="str">
        <f>IF($A186="","",IF(COUNTIFS($J$4:$J186,$J186,$F$4:$F186,$F186)=1,$F186,""))</f>
        <v/>
      </c>
    </row>
    <row r="187" spans="1:13" x14ac:dyDescent="0.35">
      <c r="A187" s="23" t="str">
        <f>IFERROR('М3-4_ГАЗ3309_0590'!B22,"")</f>
        <v>вул. В. Чорновола</v>
      </c>
      <c r="B187" s="23" t="str">
        <f>IFERROR(IF('М3-4_ГАЗ3309_0590'!C22="","",TEXT('М3-4_ГАЗ3309_0590'!C22,"General")),"")</f>
        <v>109 а</v>
      </c>
      <c r="C187" s="24" t="str">
        <f>"Четвер"</f>
        <v>Четвер</v>
      </c>
      <c r="D187" s="24" t="str">
        <f>IFERROR(TEXT('М3-4_ГАЗ3309_0590'!D22,"h:mm"),"")</f>
        <v>13:15</v>
      </c>
      <c r="E187" s="24" t="str">
        <f t="shared" ref="E187:E201" si="17">"№3"</f>
        <v>№3</v>
      </c>
      <c r="F187" s="24" t="str">
        <f>"ГАЗ 3309"</f>
        <v>ГАЗ 3309</v>
      </c>
      <c r="G187" s="24" t="str">
        <f>"СВ 17-85 ВН"</f>
        <v>СВ 17-85 ВН</v>
      </c>
      <c r="H187" s="24">
        <f>IFERROR('М3-4_ГАЗ3309_0590'!G22,"")</f>
        <v>2</v>
      </c>
      <c r="J187" s="13" t="str">
        <f t="shared" si="11"/>
        <v>вул. В. Чорновола|109 а</v>
      </c>
      <c r="K187" s="32">
        <f t="shared" si="12"/>
        <v>0.55208333333333337</v>
      </c>
      <c r="L187" s="13" t="str">
        <f>IF($A187="","",IF(COUNTIFS($J$4:$J187,$J187,$E$4:$E187,$E187)=1,$E187,""))</f>
        <v>№3</v>
      </c>
      <c r="M187" s="13" t="str">
        <f>IF($A187="","",IF(COUNTIFS($J$4:$J187,$J187,$F$4:$F187,$F187)=1,$F187,""))</f>
        <v>ГАЗ 3309</v>
      </c>
    </row>
    <row r="188" spans="1:13" x14ac:dyDescent="0.35">
      <c r="A188" s="23" t="str">
        <f>IFERROR('М3-4_ГАЗ3309_0590'!B54,"")</f>
        <v>вул. В. Чорновола</v>
      </c>
      <c r="B188" s="23" t="str">
        <f>IFERROR(IF('М3-4_ГАЗ3309_0590'!C54="","",TEXT('М3-4_ГАЗ3309_0590'!C54,"General")),"")</f>
        <v>109 а</v>
      </c>
      <c r="C188" s="24" t="str">
        <f>"Неділя"</f>
        <v>Неділя</v>
      </c>
      <c r="D188" s="24" t="str">
        <f>IFERROR(TEXT('М3-4_ГАЗ3309_0590'!D54,"h:mm"),"")</f>
        <v>13:15</v>
      </c>
      <c r="E188" s="24" t="str">
        <f t="shared" si="17"/>
        <v>№3</v>
      </c>
      <c r="F188" s="24" t="str">
        <f>"ГАЗ 3309"</f>
        <v>ГАЗ 3309</v>
      </c>
      <c r="G188" s="24" t="str">
        <f>"СВ 17-85 ВН"</f>
        <v>СВ 17-85 ВН</v>
      </c>
      <c r="H188" s="24">
        <f>IFERROR('М3-4_ГАЗ3309_0590'!G54,"")</f>
        <v>3</v>
      </c>
      <c r="J188" s="13" t="str">
        <f t="shared" si="11"/>
        <v>вул. В. Чорновола|109 а</v>
      </c>
      <c r="K188" s="32">
        <f t="shared" si="12"/>
        <v>0.55208333333333337</v>
      </c>
      <c r="L188" s="13" t="str">
        <f>IF($A188="","",IF(COUNTIFS($J$4:$J188,$J188,$E$4:$E188,$E188)=1,$E188,""))</f>
        <v/>
      </c>
      <c r="M188" s="13" t="str">
        <f>IF($A188="","",IF(COUNTIFS($J$4:$J188,$J188,$F$4:$F188,$F188)=1,$F188,""))</f>
        <v/>
      </c>
    </row>
    <row r="189" spans="1:13" x14ac:dyDescent="0.35">
      <c r="A189" s="23" t="str">
        <f>IFERROR(М3_МАЗ4371_0587!B25,"")</f>
        <v>вул. В. Чорновола</v>
      </c>
      <c r="B189" s="23" t="str">
        <f>IFERROR(IF(М3_МАЗ4371_0587!C25="","",TEXT(М3_МАЗ4371_0587!C25,"General")),"")</f>
        <v>109а</v>
      </c>
      <c r="C189" s="24" t="str">
        <f>"Понеділок"</f>
        <v>Понеділок</v>
      </c>
      <c r="D189" s="24" t="str">
        <f>IFERROR(TEXT(М3_МАЗ4371_0587!D25,"h:mm"),"")</f>
        <v>12:30</v>
      </c>
      <c r="E189" s="24" t="str">
        <f t="shared" si="17"/>
        <v>№3</v>
      </c>
      <c r="F189" s="24" t="str">
        <f t="shared" ref="F189:F196" si="18">"МАЗ-4371"</f>
        <v>МАЗ-4371</v>
      </c>
      <c r="G189" s="24" t="str">
        <f t="shared" ref="G189:G196" si="19">"СВ 53-06 СА"</f>
        <v>СВ 53-06 СА</v>
      </c>
      <c r="H189" s="24">
        <f>IFERROR(М3_МАЗ4371_0587!G25,"")</f>
        <v>5</v>
      </c>
      <c r="J189" s="13" t="str">
        <f t="shared" si="11"/>
        <v>вул. В. Чорновола|109а</v>
      </c>
      <c r="K189" s="32">
        <f t="shared" si="12"/>
        <v>0.52083333333333337</v>
      </c>
      <c r="L189" s="13" t="str">
        <f>IF($A189="","",IF(COUNTIFS($J$4:$J189,$J189,$E$4:$E189,$E189)=1,$E189,""))</f>
        <v>№3</v>
      </c>
      <c r="M189" s="13" t="str">
        <f>IF($A189="","",IF(COUNTIFS($J$4:$J189,$J189,$F$4:$F189,$F189)=1,$F189,""))</f>
        <v>МАЗ-4371</v>
      </c>
    </row>
    <row r="190" spans="1:13" x14ac:dyDescent="0.35">
      <c r="A190" s="23" t="str">
        <f>IFERROR(М3_МАЗ4371_0587!B60,"")</f>
        <v>вул. В. Чорновола</v>
      </c>
      <c r="B190" s="23" t="str">
        <f>IFERROR(IF(М3_МАЗ4371_0587!C60="","",TEXT(М3_МАЗ4371_0587!C60,"General")),"")</f>
        <v>109а</v>
      </c>
      <c r="C190" s="24" t="str">
        <f>"Вівторок"</f>
        <v>Вівторок</v>
      </c>
      <c r="D190" s="24" t="str">
        <f>IFERROR(TEXT(М3_МАЗ4371_0587!D60,"h:mm"),"")</f>
        <v>12:25</v>
      </c>
      <c r="E190" s="24" t="str">
        <f t="shared" si="17"/>
        <v>№3</v>
      </c>
      <c r="F190" s="24" t="str">
        <f t="shared" si="18"/>
        <v>МАЗ-4371</v>
      </c>
      <c r="G190" s="24" t="str">
        <f t="shared" si="19"/>
        <v>СВ 53-06 СА</v>
      </c>
      <c r="H190" s="24">
        <f>IFERROR(М3_МАЗ4371_0587!G60,"")</f>
        <v>5</v>
      </c>
      <c r="J190" s="13" t="str">
        <f t="shared" si="11"/>
        <v>вул. В. Чорновола|109а</v>
      </c>
      <c r="K190" s="32">
        <f t="shared" si="12"/>
        <v>0.51736111111111116</v>
      </c>
      <c r="L190" s="13" t="str">
        <f>IF($A190="","",IF(COUNTIFS($J$4:$J190,$J190,$E$4:$E190,$E190)=1,$E190,""))</f>
        <v/>
      </c>
      <c r="M190" s="13" t="str">
        <f>IF($A190="","",IF(COUNTIFS($J$4:$J190,$J190,$F$4:$F190,$F190)=1,$F190,""))</f>
        <v/>
      </c>
    </row>
    <row r="191" spans="1:13" x14ac:dyDescent="0.35">
      <c r="A191" s="23" t="str">
        <f>IFERROR(М3_МАЗ4371_0587!B86,"")</f>
        <v>вул. В. Чорновола</v>
      </c>
      <c r="B191" s="23" t="str">
        <f>IFERROR(IF(М3_МАЗ4371_0587!C86="","",TEXT(М3_МАЗ4371_0587!C86,"General")),"")</f>
        <v>109а</v>
      </c>
      <c r="C191" s="24" t="str">
        <f>"Середа"</f>
        <v>Середа</v>
      </c>
      <c r="D191" s="24" t="str">
        <f>IFERROR(TEXT(М3_МАЗ4371_0587!D86,"h:mm"),"")</f>
        <v>9:45</v>
      </c>
      <c r="E191" s="24" t="str">
        <f t="shared" si="17"/>
        <v>№3</v>
      </c>
      <c r="F191" s="24" t="str">
        <f t="shared" si="18"/>
        <v>МАЗ-4371</v>
      </c>
      <c r="G191" s="24" t="str">
        <f t="shared" si="19"/>
        <v>СВ 53-06 СА</v>
      </c>
      <c r="H191" s="24">
        <f>IFERROR(М3_МАЗ4371_0587!G86,"")</f>
        <v>5</v>
      </c>
      <c r="J191" s="13" t="str">
        <f t="shared" si="11"/>
        <v>вул. В. Чорновола|109а</v>
      </c>
      <c r="K191" s="32">
        <f t="shared" si="12"/>
        <v>0.40625</v>
      </c>
      <c r="L191" s="13" t="str">
        <f>IF($A191="","",IF(COUNTIFS($J$4:$J191,$J191,$E$4:$E191,$E191)=1,$E191,""))</f>
        <v/>
      </c>
      <c r="M191" s="13" t="str">
        <f>IF($A191="","",IF(COUNTIFS($J$4:$J191,$J191,$F$4:$F191,$F191)=1,$F191,""))</f>
        <v/>
      </c>
    </row>
    <row r="192" spans="1:13" x14ac:dyDescent="0.35">
      <c r="A192" s="23" t="str">
        <f>IFERROR(М3_МАЗ4371_0587!B129,"")</f>
        <v>вул. В. Чорновола</v>
      </c>
      <c r="B192" s="23" t="str">
        <f>IFERROR(IF(М3_МАЗ4371_0587!C129="","",TEXT(М3_МАЗ4371_0587!C129,"General")),"")</f>
        <v>109а</v>
      </c>
      <c r="C192" s="24" t="str">
        <f>"П'ятниця"</f>
        <v>П'ятниця</v>
      </c>
      <c r="D192" s="24" t="str">
        <f>IFERROR(TEXT(М3_МАЗ4371_0587!D129,"h:mm"),"")</f>
        <v>10:45</v>
      </c>
      <c r="E192" s="24" t="str">
        <f t="shared" si="17"/>
        <v>№3</v>
      </c>
      <c r="F192" s="24" t="str">
        <f t="shared" si="18"/>
        <v>МАЗ-4371</v>
      </c>
      <c r="G192" s="24" t="str">
        <f t="shared" si="19"/>
        <v>СВ 53-06 СА</v>
      </c>
      <c r="H192" s="24">
        <f>IFERROR(М3_МАЗ4371_0587!G129,"")</f>
        <v>5</v>
      </c>
      <c r="J192" s="13" t="str">
        <f t="shared" si="11"/>
        <v>вул. В. Чорновола|109а</v>
      </c>
      <c r="K192" s="32">
        <f t="shared" si="12"/>
        <v>0.44791666666666669</v>
      </c>
      <c r="L192" s="13" t="str">
        <f>IF($A192="","",IF(COUNTIFS($J$4:$J192,$J192,$E$4:$E192,$E192)=1,$E192,""))</f>
        <v/>
      </c>
      <c r="M192" s="13" t="str">
        <f>IF($A192="","",IF(COUNTIFS($J$4:$J192,$J192,$F$4:$F192,$F192)=1,$F192,""))</f>
        <v/>
      </c>
    </row>
    <row r="193" spans="1:13" x14ac:dyDescent="0.35">
      <c r="A193" s="23" t="str">
        <f>IFERROR(М3_МАЗ4371_0587!B167,"")</f>
        <v>вул. В. Чорновола</v>
      </c>
      <c r="B193" s="23" t="str">
        <f>IFERROR(IF(М3_МАЗ4371_0587!C167="","",TEXT(М3_МАЗ4371_0587!C167,"General")),"")</f>
        <v>109а</v>
      </c>
      <c r="C193" s="24" t="str">
        <f>"Субота"</f>
        <v>Субота</v>
      </c>
      <c r="D193" s="24" t="str">
        <f>IFERROR(TEXT(М3_МАЗ4371_0587!D167,"h:mm"),"")</f>
        <v>12:25</v>
      </c>
      <c r="E193" s="24" t="str">
        <f t="shared" si="17"/>
        <v>№3</v>
      </c>
      <c r="F193" s="24" t="str">
        <f t="shared" si="18"/>
        <v>МАЗ-4371</v>
      </c>
      <c r="G193" s="24" t="str">
        <f t="shared" si="19"/>
        <v>СВ 53-06 СА</v>
      </c>
      <c r="H193" s="24">
        <f>IFERROR(М3_МАЗ4371_0587!G167,"")</f>
        <v>4</v>
      </c>
      <c r="J193" s="13" t="str">
        <f t="shared" si="11"/>
        <v>вул. В. Чорновола|109а</v>
      </c>
      <c r="K193" s="32">
        <f t="shared" si="12"/>
        <v>0.51736111111111116</v>
      </c>
      <c r="L193" s="13" t="str">
        <f>IF($A193="","",IF(COUNTIFS($J$4:$J193,$J193,$E$4:$E193,$E193)=1,$E193,""))</f>
        <v/>
      </c>
      <c r="M193" s="13" t="str">
        <f>IF($A193="","",IF(COUNTIFS($J$4:$J193,$J193,$F$4:$F193,$F193)=1,$F193,""))</f>
        <v/>
      </c>
    </row>
    <row r="194" spans="1:13" x14ac:dyDescent="0.35">
      <c r="A194" s="23" t="str">
        <f>IFERROR(М3_МАЗ4371_0587!B20,"")</f>
        <v>вул. В. Чорновола</v>
      </c>
      <c r="B194" s="23" t="str">
        <f>IFERROR(IF(М3_МАЗ4371_0587!C20="","",TEXT(М3_МАЗ4371_0587!C20,"General")),"")</f>
        <v>113</v>
      </c>
      <c r="C194" s="24" t="str">
        <f>"Понеділок"</f>
        <v>Понеділок</v>
      </c>
      <c r="D194" s="24" t="str">
        <f>IFERROR(TEXT(М3_МАЗ4371_0587!D20,"h:mm"),"")</f>
        <v>10:00</v>
      </c>
      <c r="E194" s="24" t="str">
        <f t="shared" si="17"/>
        <v>№3</v>
      </c>
      <c r="F194" s="24" t="str">
        <f t="shared" si="18"/>
        <v>МАЗ-4371</v>
      </c>
      <c r="G194" s="24" t="str">
        <f t="shared" si="19"/>
        <v>СВ 53-06 СА</v>
      </c>
      <c r="H194" s="24">
        <f>IFERROR(М3_МАЗ4371_0587!G20,"")</f>
        <v>3</v>
      </c>
      <c r="J194" s="13" t="str">
        <f t="shared" si="11"/>
        <v>вул. В. Чорновола|113</v>
      </c>
      <c r="K194" s="32">
        <f t="shared" si="12"/>
        <v>0.41666666666666669</v>
      </c>
      <c r="L194" s="13" t="str">
        <f>IF($A194="","",IF(COUNTIFS($J$4:$J194,$J194,$E$4:$E194,$E194)=1,$E194,""))</f>
        <v>№3</v>
      </c>
      <c r="M194" s="13" t="str">
        <f>IF($A194="","",IF(COUNTIFS($J$4:$J194,$J194,$F$4:$F194,$F194)=1,$F194,""))</f>
        <v>МАЗ-4371</v>
      </c>
    </row>
    <row r="195" spans="1:13" x14ac:dyDescent="0.35">
      <c r="A195" s="23" t="str">
        <f>IFERROR(М3_МАЗ4371_0587!B61,"")</f>
        <v>вул. В. Чорновола</v>
      </c>
      <c r="B195" s="23" t="str">
        <f>IFERROR(IF(М3_МАЗ4371_0587!C61="","",TEXT(М3_МАЗ4371_0587!C61,"General")),"")</f>
        <v>113</v>
      </c>
      <c r="C195" s="24" t="str">
        <f>"Вівторок"</f>
        <v>Вівторок</v>
      </c>
      <c r="D195" s="24" t="str">
        <f>IFERROR(TEXT(М3_МАЗ4371_0587!D61,"h:mm"),"")</f>
        <v>12:55</v>
      </c>
      <c r="E195" s="24" t="str">
        <f t="shared" si="17"/>
        <v>№3</v>
      </c>
      <c r="F195" s="24" t="str">
        <f t="shared" si="18"/>
        <v>МАЗ-4371</v>
      </c>
      <c r="G195" s="24" t="str">
        <f t="shared" si="19"/>
        <v>СВ 53-06 СА</v>
      </c>
      <c r="H195" s="24">
        <f>IFERROR(М3_МАЗ4371_0587!G61,"")</f>
        <v>3</v>
      </c>
      <c r="J195" s="13" t="str">
        <f t="shared" si="11"/>
        <v>вул. В. Чорновола|113</v>
      </c>
      <c r="K195" s="32">
        <f t="shared" si="12"/>
        <v>0.53819444444444442</v>
      </c>
      <c r="L195" s="13" t="str">
        <f>IF($A195="","",IF(COUNTIFS($J$4:$J195,$J195,$E$4:$E195,$E195)=1,$E195,""))</f>
        <v/>
      </c>
      <c r="M195" s="13" t="str">
        <f>IF($A195="","",IF(COUNTIFS($J$4:$J195,$J195,$F$4:$F195,$F195)=1,$F195,""))</f>
        <v/>
      </c>
    </row>
    <row r="196" spans="1:13" x14ac:dyDescent="0.35">
      <c r="A196" s="23" t="str">
        <f>IFERROR(М3_МАЗ4371_0587!B87,"")</f>
        <v>вул. В. Чорновола</v>
      </c>
      <c r="B196" s="23" t="str">
        <f>IFERROR(IF(М3_МАЗ4371_0587!C87="","",TEXT(М3_МАЗ4371_0587!C87,"General")),"")</f>
        <v>113</v>
      </c>
      <c r="C196" s="24" t="str">
        <f>"Середа"</f>
        <v>Середа</v>
      </c>
      <c r="D196" s="24" t="str">
        <f>IFERROR(TEXT(М3_МАЗ4371_0587!D87,"h:mm"),"")</f>
        <v>10:00</v>
      </c>
      <c r="E196" s="24" t="str">
        <f t="shared" si="17"/>
        <v>№3</v>
      </c>
      <c r="F196" s="24" t="str">
        <f t="shared" si="18"/>
        <v>МАЗ-4371</v>
      </c>
      <c r="G196" s="24" t="str">
        <f t="shared" si="19"/>
        <v>СВ 53-06 СА</v>
      </c>
      <c r="H196" s="24">
        <f>IFERROR(М3_МАЗ4371_0587!G87,"")</f>
        <v>3</v>
      </c>
      <c r="J196" s="13" t="str">
        <f t="shared" ref="J196:J259" si="20">IF(A196="","",A196&amp;"|"&amp;B196)</f>
        <v>вул. В. Чорновола|113</v>
      </c>
      <c r="K196" s="32">
        <f t="shared" ref="K196:K259" si="21">IFERROR(IF(D196="","",IF(D196="×",9.99,TIMEVALUE(D196))),9.99)</f>
        <v>0.41666666666666669</v>
      </c>
      <c r="L196" s="13" t="str">
        <f>IF($A196="","",IF(COUNTIFS($J$4:$J196,$J196,$E$4:$E196,$E196)=1,$E196,""))</f>
        <v/>
      </c>
      <c r="M196" s="13" t="str">
        <f>IF($A196="","",IF(COUNTIFS($J$4:$J196,$J196,$F$4:$F196,$F196)=1,$F196,""))</f>
        <v/>
      </c>
    </row>
    <row r="197" spans="1:13" x14ac:dyDescent="0.35">
      <c r="A197" s="23" t="str">
        <f>IFERROR('М3-4_ГАЗ3309_0590'!B21,"")</f>
        <v>вул. В. Чорновола</v>
      </c>
      <c r="B197" s="23" t="str">
        <f>IFERROR(IF('М3-4_ГАЗ3309_0590'!C21="","",TEXT('М3-4_ГАЗ3309_0590'!C21,"General")),"")</f>
        <v>113</v>
      </c>
      <c r="C197" s="24" t="str">
        <f>"Четвер"</f>
        <v>Четвер</v>
      </c>
      <c r="D197" s="24" t="str">
        <f>IFERROR(TEXT('М3-4_ГАЗ3309_0590'!D21,"h:mm"),"")</f>
        <v>12:55</v>
      </c>
      <c r="E197" s="24" t="str">
        <f t="shared" si="17"/>
        <v>№3</v>
      </c>
      <c r="F197" s="24" t="str">
        <f>"ГАЗ 3309"</f>
        <v>ГАЗ 3309</v>
      </c>
      <c r="G197" s="24" t="str">
        <f>"СВ 17-85 ВН"</f>
        <v>СВ 17-85 ВН</v>
      </c>
      <c r="H197" s="24">
        <f>IFERROR('М3-4_ГАЗ3309_0590'!G21,"")</f>
        <v>3</v>
      </c>
      <c r="J197" s="13" t="str">
        <f t="shared" si="20"/>
        <v>вул. В. Чорновола|113</v>
      </c>
      <c r="K197" s="32">
        <f t="shared" si="21"/>
        <v>0.53819444444444442</v>
      </c>
      <c r="L197" s="13" t="str">
        <f>IF($A197="","",IF(COUNTIFS($J$4:$J197,$J197,$E$4:$E197,$E197)=1,$E197,""))</f>
        <v/>
      </c>
      <c r="M197" s="13" t="str">
        <f>IF($A197="","",IF(COUNTIFS($J$4:$J197,$J197,$F$4:$F197,$F197)=1,$F197,""))</f>
        <v>ГАЗ 3309</v>
      </c>
    </row>
    <row r="198" spans="1:13" x14ac:dyDescent="0.35">
      <c r="A198" s="23" t="str">
        <f>IFERROR(М3_МАЗ4371_0587!B128,"")</f>
        <v>вул. В. Чорновола</v>
      </c>
      <c r="B198" s="23" t="str">
        <f>IFERROR(IF(М3_МАЗ4371_0587!C128="","",TEXT(М3_МАЗ4371_0587!C128,"General")),"")</f>
        <v>113</v>
      </c>
      <c r="C198" s="24" t="str">
        <f>"П'ятниця"</f>
        <v>П'ятниця</v>
      </c>
      <c r="D198" s="24" t="str">
        <f>IFERROR(TEXT(М3_МАЗ4371_0587!D128,"h:mm"),"")</f>
        <v>10:35</v>
      </c>
      <c r="E198" s="24" t="str">
        <f t="shared" si="17"/>
        <v>№3</v>
      </c>
      <c r="F198" s="24" t="str">
        <f>"МАЗ-4371"</f>
        <v>МАЗ-4371</v>
      </c>
      <c r="G198" s="24" t="str">
        <f>"СВ 53-06 СА"</f>
        <v>СВ 53-06 СА</v>
      </c>
      <c r="H198" s="24">
        <f>IFERROR(М3_МАЗ4371_0587!G128,"")</f>
        <v>3</v>
      </c>
      <c r="J198" s="13" t="str">
        <f t="shared" si="20"/>
        <v>вул. В. Чорновола|113</v>
      </c>
      <c r="K198" s="32">
        <f t="shared" si="21"/>
        <v>0.44097222222222221</v>
      </c>
      <c r="L198" s="13" t="str">
        <f>IF($A198="","",IF(COUNTIFS($J$4:$J198,$J198,$E$4:$E198,$E198)=1,$E198,""))</f>
        <v/>
      </c>
      <c r="M198" s="13" t="str">
        <f>IF($A198="","",IF(COUNTIFS($J$4:$J198,$J198,$F$4:$F198,$F198)=1,$F198,""))</f>
        <v/>
      </c>
    </row>
    <row r="199" spans="1:13" x14ac:dyDescent="0.35">
      <c r="A199" s="23" t="str">
        <f>IFERROR(М3_МАЗ4371_0587!B144,"")</f>
        <v>вул. В. Чорновола</v>
      </c>
      <c r="B199" s="23" t="str">
        <f>IFERROR(IF(М3_МАЗ4371_0587!C144="","",TEXT(М3_МАЗ4371_0587!C144,"General")),"")</f>
        <v>113</v>
      </c>
      <c r="C199" s="24" t="str">
        <f>"П'ятниця"</f>
        <v>П'ятниця</v>
      </c>
      <c r="D199" s="24" t="str">
        <f>IFERROR(TEXT(М3_МАЗ4371_0587!D144,"h:mm"),"")</f>
        <v>15:35</v>
      </c>
      <c r="E199" s="24" t="str">
        <f t="shared" si="17"/>
        <v>№3</v>
      </c>
      <c r="F199" s="24" t="str">
        <f>"МАЗ-4371"</f>
        <v>МАЗ-4371</v>
      </c>
      <c r="G199" s="24" t="str">
        <f>"СВ 53-06 СА"</f>
        <v>СВ 53-06 СА</v>
      </c>
      <c r="H199" s="24">
        <f>IFERROR(М3_МАЗ4371_0587!G144,"")</f>
        <v>3</v>
      </c>
      <c r="J199" s="13" t="str">
        <f t="shared" si="20"/>
        <v>вул. В. Чорновола|113</v>
      </c>
      <c r="K199" s="32">
        <f t="shared" si="21"/>
        <v>0.64930555555555558</v>
      </c>
      <c r="L199" s="13" t="str">
        <f>IF($A199="","",IF(COUNTIFS($J$4:$J199,$J199,$E$4:$E199,$E199)=1,$E199,""))</f>
        <v/>
      </c>
      <c r="M199" s="13" t="str">
        <f>IF($A199="","",IF(COUNTIFS($J$4:$J199,$J199,$F$4:$F199,$F199)=1,$F199,""))</f>
        <v/>
      </c>
    </row>
    <row r="200" spans="1:13" x14ac:dyDescent="0.35">
      <c r="A200" s="23" t="str">
        <f>IFERROR(М3_МАЗ4371_0587!B166,"")</f>
        <v>вул. В. Чорновола</v>
      </c>
      <c r="B200" s="23" t="str">
        <f>IFERROR(IF(М3_МАЗ4371_0587!C166="","",TEXT(М3_МАЗ4371_0587!C166,"General")),"")</f>
        <v>113</v>
      </c>
      <c r="C200" s="24" t="str">
        <f>"Субота"</f>
        <v>Субота</v>
      </c>
      <c r="D200" s="24" t="str">
        <f>IFERROR(TEXT(М3_МАЗ4371_0587!D166,"h:mm"),"")</f>
        <v>12:10</v>
      </c>
      <c r="E200" s="24" t="str">
        <f t="shared" si="17"/>
        <v>№3</v>
      </c>
      <c r="F200" s="24" t="str">
        <f>"МАЗ-4371"</f>
        <v>МАЗ-4371</v>
      </c>
      <c r="G200" s="24" t="str">
        <f>"СВ 53-06 СА"</f>
        <v>СВ 53-06 СА</v>
      </c>
      <c r="H200" s="24">
        <f>IFERROR(М3_МАЗ4371_0587!G166,"")</f>
        <v>3</v>
      </c>
      <c r="J200" s="13" t="str">
        <f t="shared" si="20"/>
        <v>вул. В. Чорновола|113</v>
      </c>
      <c r="K200" s="32">
        <f t="shared" si="21"/>
        <v>0.50694444444444442</v>
      </c>
      <c r="L200" s="13" t="str">
        <f>IF($A200="","",IF(COUNTIFS($J$4:$J200,$J200,$E$4:$E200,$E200)=1,$E200,""))</f>
        <v/>
      </c>
      <c r="M200" s="13" t="str">
        <f>IF($A200="","",IF(COUNTIFS($J$4:$J200,$J200,$F$4:$F200,$F200)=1,$F200,""))</f>
        <v/>
      </c>
    </row>
    <row r="201" spans="1:13" x14ac:dyDescent="0.35">
      <c r="A201" s="23" t="str">
        <f>IFERROR('М3-4_ГАЗ3309_0590'!B53,"")</f>
        <v>вул. В. Чорновола</v>
      </c>
      <c r="B201" s="23" t="str">
        <f>IFERROR(IF('М3-4_ГАЗ3309_0590'!C53="","",TEXT('М3-4_ГАЗ3309_0590'!C53,"General")),"")</f>
        <v>113</v>
      </c>
      <c r="C201" s="24" t="str">
        <f>"Неділя"</f>
        <v>Неділя</v>
      </c>
      <c r="D201" s="24" t="str">
        <f>IFERROR(TEXT('М3-4_ГАЗ3309_0590'!D53,"h:mm"),"")</f>
        <v>12:55</v>
      </c>
      <c r="E201" s="24" t="str">
        <f t="shared" si="17"/>
        <v>№3</v>
      </c>
      <c r="F201" s="24" t="str">
        <f>"ГАЗ 3309"</f>
        <v>ГАЗ 3309</v>
      </c>
      <c r="G201" s="24" t="str">
        <f>"СВ 17-85 ВН"</f>
        <v>СВ 17-85 ВН</v>
      </c>
      <c r="H201" s="24">
        <f>IFERROR('М3-4_ГАЗ3309_0590'!G53,"")</f>
        <v>2</v>
      </c>
      <c r="J201" s="13" t="str">
        <f t="shared" si="20"/>
        <v>вул. В. Чорновола|113</v>
      </c>
      <c r="K201" s="32">
        <f t="shared" si="21"/>
        <v>0.53819444444444442</v>
      </c>
      <c r="L201" s="13" t="str">
        <f>IF($A201="","",IF(COUNTIFS($J$4:$J201,$J201,$E$4:$E201,$E201)=1,$E201,""))</f>
        <v/>
      </c>
      <c r="M201" s="13" t="str">
        <f>IF($A201="","",IF(COUNTIFS($J$4:$J201,$J201,$F$4:$F201,$F201)=1,$F201,""))</f>
        <v/>
      </c>
    </row>
    <row r="202" spans="1:13" x14ac:dyDescent="0.35">
      <c r="A202" s="23" t="str">
        <f>IFERROR(М2_ВГВ_РеноЛендер_0589!B11,"")</f>
        <v>вул. В. Чорновола</v>
      </c>
      <c r="B202" s="23" t="str">
        <f>IFERROR(IF(М2_ВГВ_РеноЛендер_0589!C11="","",TEXT(М2_ВГВ_РеноЛендер_0589!C11,"General")),"")</f>
        <v>87-А</v>
      </c>
      <c r="C202" s="24" t="str">
        <f>IFERROR(М2_ВГВ_РеноЛендер_0589!D11,"")</f>
        <v>Середа</v>
      </c>
      <c r="D202" s="24" t="str">
        <f>"×"</f>
        <v>×</v>
      </c>
      <c r="E202" s="24" t="str">
        <f>"№2 (ВГВ)"</f>
        <v>№2 (ВГВ)</v>
      </c>
      <c r="F202" s="24" t="str">
        <f>"Рено Лендер"</f>
        <v>Рено Лендер</v>
      </c>
      <c r="G202" s="24" t="str">
        <f>"СВ 52-62 СА"</f>
        <v>СВ 52-62 СА</v>
      </c>
      <c r="H202" s="24"/>
      <c r="J202" s="13" t="str">
        <f t="shared" si="20"/>
        <v>вул. В. Чорновола|87-А</v>
      </c>
      <c r="K202" s="32">
        <f t="shared" si="21"/>
        <v>9.99</v>
      </c>
      <c r="L202" s="13" t="str">
        <f>IF($A202="","",IF(COUNTIFS($J$4:$J202,$J202,$E$4:$E202,$E202)=1,$E202,""))</f>
        <v>№2 (ВГВ)</v>
      </c>
      <c r="M202" s="13" t="str">
        <f>IF($A202="","",IF(COUNTIFS($J$4:$J202,$J202,$F$4:$F202,$F202)=1,$F202,""))</f>
        <v>Рено Лендер</v>
      </c>
    </row>
    <row r="203" spans="1:13" x14ac:dyDescent="0.35">
      <c r="A203" s="23" t="str">
        <f>IFERROR('М1-2_АТ4021-1120_0585'!B18,"")</f>
        <v>вул. В. Чорновола</v>
      </c>
      <c r="B203" s="23" t="str">
        <f>IFERROR(IF('М1-2_АТ4021-1120_0585'!C18="","",TEXT('М1-2_АТ4021-1120_0585'!C18,"General")),"")</f>
        <v>АЗС</v>
      </c>
      <c r="C203" s="24" t="str">
        <f>"Понеділок"</f>
        <v>Понеділок</v>
      </c>
      <c r="D203" s="24" t="str">
        <f>IFERROR(TEXT('М1-2_АТ4021-1120_0585'!D18,"h:mm"),"")</f>
        <v>12:10</v>
      </c>
      <c r="E203" s="24" t="str">
        <f>"№1"</f>
        <v>№1</v>
      </c>
      <c r="F203" s="24" t="str">
        <f>"АТ-4021/1120"</f>
        <v>АТ-4021/1120</v>
      </c>
      <c r="G203" s="24" t="str">
        <f>"СВ 14-65 ЕО"</f>
        <v>СВ 14-65 ЕО</v>
      </c>
      <c r="H203" s="24">
        <f>IFERROR('М1-2_АТ4021-1120_0585'!G18,"")</f>
        <v>1</v>
      </c>
      <c r="J203" s="13" t="str">
        <f t="shared" si="20"/>
        <v>вул. В. Чорновола|АЗС</v>
      </c>
      <c r="K203" s="32">
        <f t="shared" si="21"/>
        <v>0.50694444444444442</v>
      </c>
      <c r="L203" s="13" t="str">
        <f>IF($A203="","",IF(COUNTIFS($J$4:$J203,$J203,$E$4:$E203,$E203)=1,$E203,""))</f>
        <v>№1</v>
      </c>
      <c r="M203" s="13" t="str">
        <f>IF($A203="","",IF(COUNTIFS($J$4:$J203,$J203,$F$4:$F203,$F203)=1,$F203,""))</f>
        <v>АТ-4021/1120</v>
      </c>
    </row>
    <row r="204" spans="1:13" x14ac:dyDescent="0.35">
      <c r="A204" s="23" t="str">
        <f>IFERROR(М1_КАМАЗ55111_0591!B122,"")</f>
        <v>вул. В. Чорновола</v>
      </c>
      <c r="B204" s="23" t="str">
        <f>IFERROR(IF(М1_КАМАЗ55111_0591!C122="","",TEXT(М1_КАМАЗ55111_0591!C122,"General")),"")</f>
        <v>АЗС</v>
      </c>
      <c r="C204" s="24" t="str">
        <f>"П'ятниця"</f>
        <v>П'ятниця</v>
      </c>
      <c r="D204" s="24" t="str">
        <f>IFERROR(TEXT(М1_КАМАЗ55111_0591!D122,"h:mm"),"")</f>
        <v>10:05</v>
      </c>
      <c r="E204" s="24" t="str">
        <f>"№1"</f>
        <v>№1</v>
      </c>
      <c r="F204" s="24" t="str">
        <f>"КАМАЗ 55111"</f>
        <v>КАМАЗ 55111</v>
      </c>
      <c r="G204" s="24" t="str">
        <f>"СВ 50-33 АР"</f>
        <v>СВ 50-33 АР</v>
      </c>
      <c r="H204" s="24">
        <f>IFERROR(М1_КАМАЗ55111_0591!G122,"")</f>
        <v>1</v>
      </c>
      <c r="J204" s="13" t="str">
        <f t="shared" si="20"/>
        <v>вул. В. Чорновола|АЗС</v>
      </c>
      <c r="K204" s="32">
        <f t="shared" si="21"/>
        <v>0.4201388888888889</v>
      </c>
      <c r="L204" s="13" t="str">
        <f>IF($A204="","",IF(COUNTIFS($J$4:$J204,$J204,$E$4:$E204,$E204)=1,$E204,""))</f>
        <v/>
      </c>
      <c r="M204" s="13" t="str">
        <f>IF($A204="","",IF(COUNTIFS($J$4:$J204,$J204,$F$4:$F204,$F204)=1,$F204,""))</f>
        <v>КАМАЗ 55111</v>
      </c>
    </row>
    <row r="205" spans="1:13" x14ac:dyDescent="0.35">
      <c r="A205" s="23" t="str">
        <f>IFERROR(М1_КАМАЗ55111_0591!B58,"")</f>
        <v>вул. В. Чорновола</v>
      </c>
      <c r="B205" s="23" t="str">
        <f>IFERROR(IF(М1_КАМАЗ55111_0591!C58="","",TEXT(М1_КАМАЗ55111_0591!C58,"General")),"")</f>
        <v>Панорама</v>
      </c>
      <c r="C205" s="24" t="str">
        <f>"Вівторок"</f>
        <v>Вівторок</v>
      </c>
      <c r="D205" s="24" t="str">
        <f>IFERROR(TEXT(М1_КАМАЗ55111_0591!D58,"h:mm"),"")</f>
        <v>10:00</v>
      </c>
      <c r="E205" s="24" t="str">
        <f>"№1"</f>
        <v>№1</v>
      </c>
      <c r="F205" s="24" t="str">
        <f>"КАМАЗ 55111"</f>
        <v>КАМАЗ 55111</v>
      </c>
      <c r="G205" s="24" t="str">
        <f>"СВ 50-33 АР"</f>
        <v>СВ 50-33 АР</v>
      </c>
      <c r="H205" s="24">
        <f>IFERROR(М1_КАМАЗ55111_0591!G58,"")</f>
        <v>1</v>
      </c>
      <c r="J205" s="13" t="str">
        <f t="shared" si="20"/>
        <v>вул. В. Чорновола|Панорама</v>
      </c>
      <c r="K205" s="32">
        <f t="shared" si="21"/>
        <v>0.41666666666666669</v>
      </c>
      <c r="L205" s="13" t="str">
        <f>IF($A205="","",IF(COUNTIFS($J$4:$J205,$J205,$E$4:$E205,$E205)=1,$E205,""))</f>
        <v>№1</v>
      </c>
      <c r="M205" s="13" t="str">
        <f>IF($A205="","",IF(COUNTIFS($J$4:$J205,$J205,$F$4:$F205,$F205)=1,$F205,""))</f>
        <v>КАМАЗ 55111</v>
      </c>
    </row>
    <row r="206" spans="1:13" x14ac:dyDescent="0.35">
      <c r="A206" s="23" t="str">
        <f>IFERROR(М1_КАМАЗ55111_0591!B125,"")</f>
        <v>вул. В. Чорновола</v>
      </c>
      <c r="B206" s="23" t="str">
        <f>IFERROR(IF(М1_КАМАЗ55111_0591!C125="","",TEXT(М1_КАМАЗ55111_0591!C125,"General")),"")</f>
        <v>Панорама</v>
      </c>
      <c r="C206" s="24" t="str">
        <f>"П'ятниця"</f>
        <v>П'ятниця</v>
      </c>
      <c r="D206" s="24" t="str">
        <f>IFERROR(TEXT(М1_КАМАЗ55111_0591!D125,"h:mm"),"")</f>
        <v>10:50</v>
      </c>
      <c r="E206" s="24" t="str">
        <f>"№1"</f>
        <v>№1</v>
      </c>
      <c r="F206" s="24" t="str">
        <f>"КАМАЗ 55111"</f>
        <v>КАМАЗ 55111</v>
      </c>
      <c r="G206" s="24" t="str">
        <f>"СВ 50-33 АР"</f>
        <v>СВ 50-33 АР</v>
      </c>
      <c r="H206" s="24">
        <f>IFERROR(М1_КАМАЗ55111_0591!G125,"")</f>
        <v>1</v>
      </c>
      <c r="J206" s="13" t="str">
        <f t="shared" si="20"/>
        <v>вул. В. Чорновола|Панорама</v>
      </c>
      <c r="K206" s="32">
        <f t="shared" si="21"/>
        <v>0.4513888888888889</v>
      </c>
      <c r="L206" s="13" t="str">
        <f>IF($A206="","",IF(COUNTIFS($J$4:$J206,$J206,$E$4:$E206,$E206)=1,$E206,""))</f>
        <v/>
      </c>
      <c r="M206" s="13" t="str">
        <f>IF($A206="","",IF(COUNTIFS($J$4:$J206,$J206,$F$4:$F206,$F206)=1,$F206,""))</f>
        <v/>
      </c>
    </row>
    <row r="207" spans="1:13" x14ac:dyDescent="0.35">
      <c r="A207" s="23" t="str">
        <f>IFERROR(М1_КАМАЗ55111_0591!B157,"")</f>
        <v>вул. В. Чорновола</v>
      </c>
      <c r="B207" s="23" t="str">
        <f>IFERROR(IF(М1_КАМАЗ55111_0591!C157="","",TEXT(М1_КАМАЗ55111_0591!C157,"General")),"")</f>
        <v>Панорама</v>
      </c>
      <c r="C207" s="24" t="str">
        <f>"Субота"</f>
        <v>Субота</v>
      </c>
      <c r="D207" s="24" t="str">
        <f>IFERROR(TEXT(М1_КАМАЗ55111_0591!D157,"h:mm"),"")</f>
        <v>10:00</v>
      </c>
      <c r="E207" s="24" t="str">
        <f>"№1"</f>
        <v>№1</v>
      </c>
      <c r="F207" s="24" t="str">
        <f>"КАМАЗ 55111"</f>
        <v>КАМАЗ 55111</v>
      </c>
      <c r="G207" s="24" t="str">
        <f>"СВ 50-33 АР"</f>
        <v>СВ 50-33 АР</v>
      </c>
      <c r="H207" s="24">
        <f>IFERROR(М1_КАМАЗ55111_0591!G157,"")</f>
        <v>1</v>
      </c>
      <c r="J207" s="13" t="str">
        <f t="shared" si="20"/>
        <v>вул. В. Чорновола|Панорама</v>
      </c>
      <c r="K207" s="32">
        <f t="shared" si="21"/>
        <v>0.41666666666666669</v>
      </c>
      <c r="L207" s="13" t="str">
        <f>IF($A207="","",IF(COUNTIFS($J$4:$J207,$J207,$E$4:$E207,$E207)=1,$E207,""))</f>
        <v/>
      </c>
      <c r="M207" s="13" t="str">
        <f>IF($A207="","",IF(COUNTIFS($J$4:$J207,$J207,$F$4:$F207,$F207)=1,$F207,""))</f>
        <v/>
      </c>
    </row>
    <row r="208" spans="1:13" x14ac:dyDescent="0.35">
      <c r="A208" s="23" t="str">
        <f>IFERROR(М3_МАЗ4371_0587!B21,"")</f>
        <v>вул. В. Чорновола</v>
      </c>
      <c r="B208" s="23" t="str">
        <f>IFERROR(IF(М3_МАЗ4371_0587!C21="","",TEXT(М3_МАЗ4371_0587!C21,"General")),"")</f>
        <v>Приймальний пункт</v>
      </c>
      <c r="C208" s="24" t="str">
        <f>"Понеділок"</f>
        <v>Понеділок</v>
      </c>
      <c r="D208" s="24" t="str">
        <f>IFERROR(TEXT(М3_МАЗ4371_0587!D21,"h:mm"),"")</f>
        <v>10:10</v>
      </c>
      <c r="E208" s="24" t="str">
        <f t="shared" ref="E208:E216" si="22">"№3"</f>
        <v>№3</v>
      </c>
      <c r="F208" s="24" t="str">
        <f>"МАЗ-4371"</f>
        <v>МАЗ-4371</v>
      </c>
      <c r="G208" s="24" t="str">
        <f>"СВ 53-06 СА"</f>
        <v>СВ 53-06 СА</v>
      </c>
      <c r="H208" s="24">
        <f>IFERROR(М3_МАЗ4371_0587!G21,"")</f>
        <v>5</v>
      </c>
      <c r="J208" s="13" t="str">
        <f t="shared" si="20"/>
        <v>вул. В. Чорновола|Приймальний пункт</v>
      </c>
      <c r="K208" s="32">
        <f t="shared" si="21"/>
        <v>0.4236111111111111</v>
      </c>
      <c r="L208" s="13" t="str">
        <f>IF($A208="","",IF(COUNTIFS($J$4:$J208,$J208,$E$4:$E208,$E208)=1,$E208,""))</f>
        <v>№3</v>
      </c>
      <c r="M208" s="13" t="str">
        <f>IF($A208="","",IF(COUNTIFS($J$4:$J208,$J208,$F$4:$F208,$F208)=1,$F208,""))</f>
        <v>МАЗ-4371</v>
      </c>
    </row>
    <row r="209" spans="1:13" x14ac:dyDescent="0.35">
      <c r="A209" s="23" t="str">
        <f>IFERROR(М3_МАЗ4371_0587!B35,"")</f>
        <v>вул. В. Чорновола</v>
      </c>
      <c r="B209" s="23" t="str">
        <f>IFERROR(IF(М3_МАЗ4371_0587!C35="","",TEXT(М3_МАЗ4371_0587!C35,"General")),"")</f>
        <v>Приймальний пункт</v>
      </c>
      <c r="C209" s="24" t="str">
        <f>"Понеділок"</f>
        <v>Понеділок</v>
      </c>
      <c r="D209" s="24" t="str">
        <f>IFERROR(TEXT(М3_МАЗ4371_0587!D35,"h:mm"),"")</f>
        <v>14:55</v>
      </c>
      <c r="E209" s="24" t="str">
        <f t="shared" si="22"/>
        <v>№3</v>
      </c>
      <c r="F209" s="24" t="str">
        <f>"МАЗ-4371"</f>
        <v>МАЗ-4371</v>
      </c>
      <c r="G209" s="24" t="str">
        <f>"СВ 53-06 СА"</f>
        <v>СВ 53-06 СА</v>
      </c>
      <c r="H209" s="24">
        <f>IFERROR(М3_МАЗ4371_0587!G35,"")</f>
        <v>5</v>
      </c>
      <c r="J209" s="13" t="str">
        <f t="shared" si="20"/>
        <v>вул. В. Чорновола|Приймальний пункт</v>
      </c>
      <c r="K209" s="32">
        <f t="shared" si="21"/>
        <v>0.62152777777777779</v>
      </c>
      <c r="L209" s="13" t="str">
        <f>IF($A209="","",IF(COUNTIFS($J$4:$J209,$J209,$E$4:$E209,$E209)=1,$E209,""))</f>
        <v/>
      </c>
      <c r="M209" s="13" t="str">
        <f>IF($A209="","",IF(COUNTIFS($J$4:$J209,$J209,$F$4:$F209,$F209)=1,$F209,""))</f>
        <v/>
      </c>
    </row>
    <row r="210" spans="1:13" x14ac:dyDescent="0.35">
      <c r="A210" s="23" t="str">
        <f>IFERROR(М3_МАЗ4371_0587!B67,"")</f>
        <v>вул. В. Чорновола</v>
      </c>
      <c r="B210" s="23" t="str">
        <f>IFERROR(IF(М3_МАЗ4371_0587!C67="","",TEXT(М3_МАЗ4371_0587!C67,"General")),"")</f>
        <v>Приймальний пункт</v>
      </c>
      <c r="C210" s="24" t="str">
        <f>"Вівторок"</f>
        <v>Вівторок</v>
      </c>
      <c r="D210" s="24" t="str">
        <f>IFERROR(TEXT(М3_МАЗ4371_0587!D67,"h:mm"),"")</f>
        <v>15:00</v>
      </c>
      <c r="E210" s="24" t="str">
        <f t="shared" si="22"/>
        <v>№3</v>
      </c>
      <c r="F210" s="24" t="str">
        <f>"МАЗ-4371"</f>
        <v>МАЗ-4371</v>
      </c>
      <c r="G210" s="24" t="str">
        <f>"СВ 53-06 СА"</f>
        <v>СВ 53-06 СА</v>
      </c>
      <c r="H210" s="24">
        <f>IFERROR(М3_МАЗ4371_0587!G67,"")</f>
        <v>5</v>
      </c>
      <c r="J210" s="13" t="str">
        <f t="shared" si="20"/>
        <v>вул. В. Чорновола|Приймальний пункт</v>
      </c>
      <c r="K210" s="32">
        <f t="shared" si="21"/>
        <v>0.625</v>
      </c>
      <c r="L210" s="13" t="str">
        <f>IF($A210="","",IF(COUNTIFS($J$4:$J210,$J210,$E$4:$E210,$E210)=1,$E210,""))</f>
        <v/>
      </c>
      <c r="M210" s="13" t="str">
        <f>IF($A210="","",IF(COUNTIFS($J$4:$J210,$J210,$F$4:$F210,$F210)=1,$F210,""))</f>
        <v/>
      </c>
    </row>
    <row r="211" spans="1:13" x14ac:dyDescent="0.35">
      <c r="A211" s="23" t="str">
        <f>IFERROR(М3_МАЗ4371_0587!B85,"")</f>
        <v>вул. В. Чорновола</v>
      </c>
      <c r="B211" s="23" t="str">
        <f>IFERROR(IF(М3_МАЗ4371_0587!C85="","",TEXT(М3_МАЗ4371_0587!C85,"General")),"")</f>
        <v>Приймальний пункт</v>
      </c>
      <c r="C211" s="24" t="str">
        <f>"Середа"</f>
        <v>Середа</v>
      </c>
      <c r="D211" s="24" t="str">
        <f>IFERROR(TEXT(М3_МАЗ4371_0587!D85,"h:mm"),"")</f>
        <v>9:30</v>
      </c>
      <c r="E211" s="24" t="str">
        <f t="shared" si="22"/>
        <v>№3</v>
      </c>
      <c r="F211" s="24" t="str">
        <f>"МАЗ-4371"</f>
        <v>МАЗ-4371</v>
      </c>
      <c r="G211" s="24" t="str">
        <f>"СВ 53-06 СА"</f>
        <v>СВ 53-06 СА</v>
      </c>
      <c r="H211" s="24">
        <f>IFERROR(М3_МАЗ4371_0587!G85,"")</f>
        <v>5</v>
      </c>
      <c r="J211" s="13" t="str">
        <f t="shared" si="20"/>
        <v>вул. В. Чорновола|Приймальний пункт</v>
      </c>
      <c r="K211" s="32">
        <f t="shared" si="21"/>
        <v>0.39583333333333331</v>
      </c>
      <c r="L211" s="13" t="str">
        <f>IF($A211="","",IF(COUNTIFS($J$4:$J211,$J211,$E$4:$E211,$E211)=1,$E211,""))</f>
        <v/>
      </c>
      <c r="M211" s="13" t="str">
        <f>IF($A211="","",IF(COUNTIFS($J$4:$J211,$J211,$F$4:$F211,$F211)=1,$F211,""))</f>
        <v/>
      </c>
    </row>
    <row r="212" spans="1:13" x14ac:dyDescent="0.35">
      <c r="A212" s="23" t="str">
        <f>IFERROR(М3_МАЗ4371_0587!B102,"")</f>
        <v>вул. В. Чорновола</v>
      </c>
      <c r="B212" s="23" t="str">
        <f>IFERROR(IF(М3_МАЗ4371_0587!C102="","",TEXT(М3_МАЗ4371_0587!C102,"General")),"")</f>
        <v>Приймальний пункт</v>
      </c>
      <c r="C212" s="24" t="str">
        <f>"Середа"</f>
        <v>Середа</v>
      </c>
      <c r="D212" s="24" t="str">
        <f>IFERROR(TEXT(М3_МАЗ4371_0587!D102,"h:mm"),"")</f>
        <v>14:55</v>
      </c>
      <c r="E212" s="24" t="str">
        <f t="shared" si="22"/>
        <v>№3</v>
      </c>
      <c r="F212" s="24" t="str">
        <f>"МАЗ-4371"</f>
        <v>МАЗ-4371</v>
      </c>
      <c r="G212" s="24" t="str">
        <f>"СВ 53-06 СА"</f>
        <v>СВ 53-06 СА</v>
      </c>
      <c r="H212" s="24">
        <f>IFERROR(М3_МАЗ4371_0587!G102,"")</f>
        <v>4</v>
      </c>
      <c r="J212" s="13" t="str">
        <f t="shared" si="20"/>
        <v>вул. В. Чорновола|Приймальний пункт</v>
      </c>
      <c r="K212" s="32">
        <f t="shared" si="21"/>
        <v>0.62152777777777779</v>
      </c>
      <c r="L212" s="13" t="str">
        <f>IF($A212="","",IF(COUNTIFS($J$4:$J212,$J212,$E$4:$E212,$E212)=1,$E212,""))</f>
        <v/>
      </c>
      <c r="M212" s="13" t="str">
        <f>IF($A212="","",IF(COUNTIFS($J$4:$J212,$J212,$F$4:$F212,$F212)=1,$F212,""))</f>
        <v/>
      </c>
    </row>
    <row r="213" spans="1:13" x14ac:dyDescent="0.35">
      <c r="A213" s="23" t="str">
        <f>IFERROR('М3-4_ГАЗ3309_0590'!B19,"")</f>
        <v>вул. В. Чорновола</v>
      </c>
      <c r="B213" s="23" t="str">
        <f>IFERROR(IF('М3-4_ГАЗ3309_0590'!C19="","",TEXT('М3-4_ГАЗ3309_0590'!C19,"General")),"")</f>
        <v>Приймальний пункт</v>
      </c>
      <c r="C213" s="24" t="str">
        <f>"Четвер"</f>
        <v>Четвер</v>
      </c>
      <c r="D213" s="24" t="str">
        <f>IFERROR(TEXT('М3-4_ГАЗ3309_0590'!D19,"h:mm"),"")</f>
        <v>10:55</v>
      </c>
      <c r="E213" s="24" t="str">
        <f t="shared" si="22"/>
        <v>№3</v>
      </c>
      <c r="F213" s="24" t="str">
        <f>"ГАЗ 3309"</f>
        <v>ГАЗ 3309</v>
      </c>
      <c r="G213" s="24" t="str">
        <f>"СВ 17-85 ВН"</f>
        <v>СВ 17-85 ВН</v>
      </c>
      <c r="H213" s="24">
        <f>IFERROR('М3-4_ГАЗ3309_0590'!G19,"")</f>
        <v>3</v>
      </c>
      <c r="J213" s="13" t="str">
        <f t="shared" si="20"/>
        <v>вул. В. Чорновола|Приймальний пункт</v>
      </c>
      <c r="K213" s="32">
        <f t="shared" si="21"/>
        <v>0.4548611111111111</v>
      </c>
      <c r="L213" s="13" t="str">
        <f>IF($A213="","",IF(COUNTIFS($J$4:$J213,$J213,$E$4:$E213,$E213)=1,$E213,""))</f>
        <v/>
      </c>
      <c r="M213" s="13" t="str">
        <f>IF($A213="","",IF(COUNTIFS($J$4:$J213,$J213,$F$4:$F213,$F213)=1,$F213,""))</f>
        <v>ГАЗ 3309</v>
      </c>
    </row>
    <row r="214" spans="1:13" x14ac:dyDescent="0.35">
      <c r="A214" s="23" t="str">
        <f>IFERROR(М3_МАЗ4371_0587!B135,"")</f>
        <v>вул. В. Чорновола</v>
      </c>
      <c r="B214" s="23" t="str">
        <f>IFERROR(IF(М3_МАЗ4371_0587!C135="","",TEXT(М3_МАЗ4371_0587!C135,"General")),"")</f>
        <v>Приймальний пункт</v>
      </c>
      <c r="C214" s="24" t="str">
        <f>"П'ятниця"</f>
        <v>П'ятниця</v>
      </c>
      <c r="D214" s="24" t="str">
        <f>IFERROR(TEXT(М3_МАЗ4371_0587!D135,"h:mm"),"")</f>
        <v>13:10</v>
      </c>
      <c r="E214" s="24" t="str">
        <f t="shared" si="22"/>
        <v>№3</v>
      </c>
      <c r="F214" s="24" t="str">
        <f>"МАЗ-4371"</f>
        <v>МАЗ-4371</v>
      </c>
      <c r="G214" s="24" t="str">
        <f>"СВ 53-06 СА"</f>
        <v>СВ 53-06 СА</v>
      </c>
      <c r="H214" s="24">
        <f>IFERROR(М3_МАЗ4371_0587!G135,"")</f>
        <v>4</v>
      </c>
      <c r="J214" s="13" t="str">
        <f t="shared" si="20"/>
        <v>вул. В. Чорновола|Приймальний пункт</v>
      </c>
      <c r="K214" s="32">
        <f t="shared" si="21"/>
        <v>0.54861111111111116</v>
      </c>
      <c r="L214" s="13" t="str">
        <f>IF($A214="","",IF(COUNTIFS($J$4:$J214,$J214,$E$4:$E214,$E214)=1,$E214,""))</f>
        <v/>
      </c>
      <c r="M214" s="13" t="str">
        <f>IF($A214="","",IF(COUNTIFS($J$4:$J214,$J214,$F$4:$F214,$F214)=1,$F214,""))</f>
        <v/>
      </c>
    </row>
    <row r="215" spans="1:13" x14ac:dyDescent="0.35">
      <c r="A215" s="23" t="str">
        <f>IFERROR(М3_МАЗ4371_0587!B170,"")</f>
        <v>вул. В. Чорновола</v>
      </c>
      <c r="B215" s="23" t="str">
        <f>IFERROR(IF(М3_МАЗ4371_0587!C170="","",TEXT(М3_МАЗ4371_0587!C170,"General")),"")</f>
        <v>Приймальний пункт</v>
      </c>
      <c r="C215" s="24" t="str">
        <f>"Субота"</f>
        <v>Субота</v>
      </c>
      <c r="D215" s="24" t="str">
        <f>IFERROR(TEXT(М3_МАЗ4371_0587!D170,"h:mm"),"")</f>
        <v>14:00</v>
      </c>
      <c r="E215" s="24" t="str">
        <f t="shared" si="22"/>
        <v>№3</v>
      </c>
      <c r="F215" s="24" t="str">
        <f>"МАЗ-4371"</f>
        <v>МАЗ-4371</v>
      </c>
      <c r="G215" s="24" t="str">
        <f>"СВ 53-06 СА"</f>
        <v>СВ 53-06 СА</v>
      </c>
      <c r="H215" s="24">
        <f>IFERROR(М3_МАЗ4371_0587!G170,"")</f>
        <v>5</v>
      </c>
      <c r="J215" s="13" t="str">
        <f t="shared" si="20"/>
        <v>вул. В. Чорновола|Приймальний пункт</v>
      </c>
      <c r="K215" s="32">
        <f t="shared" si="21"/>
        <v>0.58333333333333337</v>
      </c>
      <c r="L215" s="13" t="str">
        <f>IF($A215="","",IF(COUNTIFS($J$4:$J215,$J215,$E$4:$E215,$E215)=1,$E215,""))</f>
        <v/>
      </c>
      <c r="M215" s="13" t="str">
        <f>IF($A215="","",IF(COUNTIFS($J$4:$J215,$J215,$F$4:$F215,$F215)=1,$F215,""))</f>
        <v/>
      </c>
    </row>
    <row r="216" spans="1:13" x14ac:dyDescent="0.35">
      <c r="A216" s="23" t="str">
        <f>IFERROR('М3-4_ГАЗ3309_0590'!B51,"")</f>
        <v>вул. В. Чорновола</v>
      </c>
      <c r="B216" s="23" t="str">
        <f>IFERROR(IF('М3-4_ГАЗ3309_0590'!C51="","",TEXT('М3-4_ГАЗ3309_0590'!C51,"General")),"")</f>
        <v>Приймальний пункт</v>
      </c>
      <c r="C216" s="24" t="str">
        <f>"Неділя"</f>
        <v>Неділя</v>
      </c>
      <c r="D216" s="24" t="str">
        <f>IFERROR(TEXT('М3-4_ГАЗ3309_0590'!D51,"h:mm"),"")</f>
        <v>10:55</v>
      </c>
      <c r="E216" s="24" t="str">
        <f t="shared" si="22"/>
        <v>№3</v>
      </c>
      <c r="F216" s="24" t="str">
        <f>"ГАЗ 3309"</f>
        <v>ГАЗ 3309</v>
      </c>
      <c r="G216" s="24" t="str">
        <f>"СВ 17-85 ВН"</f>
        <v>СВ 17-85 ВН</v>
      </c>
      <c r="H216" s="24">
        <f>IFERROR('М3-4_ГАЗ3309_0590'!G51,"")</f>
        <v>3</v>
      </c>
      <c r="J216" s="13" t="str">
        <f t="shared" si="20"/>
        <v>вул. В. Чорновола|Приймальний пункт</v>
      </c>
      <c r="K216" s="32">
        <f t="shared" si="21"/>
        <v>0.4548611111111111</v>
      </c>
      <c r="L216" s="13" t="str">
        <f>IF($A216="","",IF(COUNTIFS($J$4:$J216,$J216,$E$4:$E216,$E216)=1,$E216,""))</f>
        <v/>
      </c>
      <c r="M216" s="13" t="str">
        <f>IF($A216="","",IF(COUNTIFS($J$4:$J216,$J216,$F$4:$F216,$F216)=1,$F216,""))</f>
        <v/>
      </c>
    </row>
    <row r="217" spans="1:13" x14ac:dyDescent="0.35">
      <c r="A217" s="23" t="str">
        <f>IFERROR(М6_АТ4021_0586!B146,"")</f>
        <v>вул. Варвинська</v>
      </c>
      <c r="B217" s="23" t="str">
        <f>IFERROR(IF(М6_АТ4021_0586!C146="","",TEXT(М6_АТ4021_0586!C146,"General")),"")</f>
        <v>14,18  28,42</v>
      </c>
      <c r="C217" s="24" t="str">
        <f>"Четвер"</f>
        <v>Четвер</v>
      </c>
      <c r="D217" s="24" t="str">
        <f>IFERROR(TEXT(М6_АТ4021_0586!D146,"h:mm"),"")</f>
        <v>15:20</v>
      </c>
      <c r="E217" s="24" t="str">
        <f>"№6"</f>
        <v>№6</v>
      </c>
      <c r="F217" s="24" t="str">
        <f>"АТ 4021"</f>
        <v>АТ 4021</v>
      </c>
      <c r="G217" s="24" t="str">
        <f>"СВ 33-16 ЕО"</f>
        <v>СВ 33-16 ЕО</v>
      </c>
      <c r="H217" s="24"/>
      <c r="J217" s="13" t="str">
        <f t="shared" si="20"/>
        <v>вул. Варвинська|14,18  28,42</v>
      </c>
      <c r="K217" s="32">
        <f t="shared" si="21"/>
        <v>0.63888888888888884</v>
      </c>
      <c r="L217" s="13" t="str">
        <f>IF($A217="","",IF(COUNTIFS($J$4:$J217,$J217,$E$4:$E217,$E217)=1,$E217,""))</f>
        <v>№6</v>
      </c>
      <c r="M217" s="13" t="str">
        <f>IF($A217="","",IF(COUNTIFS($J$4:$J217,$J217,$F$4:$F217,$F217)=1,$F217,""))</f>
        <v>АТ 4021</v>
      </c>
    </row>
    <row r="218" spans="1:13" x14ac:dyDescent="0.35">
      <c r="A218" s="23" t="str">
        <f>IFERROR(М5_МАЗ4381_0592!B137,"")</f>
        <v>вул. Вербна</v>
      </c>
      <c r="B218" s="23" t="str">
        <f>IFERROR(IF(М5_МАЗ4381_0592!C137="","",TEXT(М5_МАЗ4381_0592!C137,"General")),"")</f>
        <v/>
      </c>
      <c r="C218" s="24" t="str">
        <f>"Четвер"</f>
        <v>Четвер</v>
      </c>
      <c r="D218" s="24" t="str">
        <f>IFERROR(TEXT(М5_МАЗ4381_0592!D137,"h:mm"),"")</f>
        <v>12:10</v>
      </c>
      <c r="E218" s="24" t="str">
        <f>"№5"</f>
        <v>№5</v>
      </c>
      <c r="F218" s="24" t="str">
        <f>"МАЗ 4381"</f>
        <v>МАЗ 4381</v>
      </c>
      <c r="G218" s="24" t="str">
        <f>"СВ 81-71 ВК"</f>
        <v>СВ 81-71 ВК</v>
      </c>
      <c r="H218" s="24"/>
      <c r="J218" s="13" t="str">
        <f t="shared" si="20"/>
        <v>вул. Вербна|</v>
      </c>
      <c r="K218" s="32">
        <f t="shared" si="21"/>
        <v>0.50694444444444442</v>
      </c>
      <c r="L218" s="13" t="str">
        <f>IF($A218="","",IF(COUNTIFS($J$4:$J218,$J218,$E$4:$E218,$E218)=1,$E218,""))</f>
        <v>№5</v>
      </c>
      <c r="M218" s="13" t="str">
        <f>IF($A218="","",IF(COUNTIFS($J$4:$J218,$J218,$F$4:$F218,$F218)=1,$F218,""))</f>
        <v>МАЗ 4381</v>
      </c>
    </row>
    <row r="219" spans="1:13" x14ac:dyDescent="0.35">
      <c r="A219" s="23" t="str">
        <f>IFERROR(М5_МАЗ4381_0592!B30,"")</f>
        <v>вул. Ветеранська</v>
      </c>
      <c r="B219" s="23" t="str">
        <f>IFERROR(IF(М5_МАЗ4381_0592!C30="","",TEXT(М5_МАЗ4381_0592!C30,"General")),"")</f>
        <v/>
      </c>
      <c r="C219" s="24" t="str">
        <f>"Понеділок"</f>
        <v>Понеділок</v>
      </c>
      <c r="D219" s="24" t="str">
        <f>IFERROR(TEXT(М5_МАЗ4381_0592!D30,"h:mm"),"")</f>
        <v>12:55</v>
      </c>
      <c r="E219" s="24" t="str">
        <f>"№5"</f>
        <v>№5</v>
      </c>
      <c r="F219" s="24" t="str">
        <f>"МАЗ 4381"</f>
        <v>МАЗ 4381</v>
      </c>
      <c r="G219" s="24" t="str">
        <f>"СВ 81-71 ВК"</f>
        <v>СВ 81-71 ВК</v>
      </c>
      <c r="H219" s="24"/>
      <c r="J219" s="13" t="str">
        <f t="shared" si="20"/>
        <v>вул. Ветеранська|</v>
      </c>
      <c r="K219" s="32">
        <f t="shared" si="21"/>
        <v>0.53819444444444442</v>
      </c>
      <c r="L219" s="13" t="str">
        <f>IF($A219="","",IF(COUNTIFS($J$4:$J219,$J219,$E$4:$E219,$E219)=1,$E219,""))</f>
        <v>№5</v>
      </c>
      <c r="M219" s="13" t="str">
        <f>IF($A219="","",IF(COUNTIFS($J$4:$J219,$J219,$F$4:$F219,$F219)=1,$F219,""))</f>
        <v>МАЗ 4381</v>
      </c>
    </row>
    <row r="220" spans="1:13" x14ac:dyDescent="0.35">
      <c r="A220" s="23" t="str">
        <f>IFERROR(М1_КАМАЗ55111_0591!B10,"")</f>
        <v>вул. Ветеранська</v>
      </c>
      <c r="B220" s="23" t="str">
        <f>IFERROR(IF(М1_КАМАЗ55111_0591!C10="","",TEXT(М1_КАМАЗ55111_0591!C10,"General")),"")</f>
        <v>парк Вічної Слави</v>
      </c>
      <c r="C220" s="24" t="str">
        <f>"Понеділок"</f>
        <v>Понеділок</v>
      </c>
      <c r="D220" s="24" t="str">
        <f>IFERROR(TEXT(М1_КАМАЗ55111_0591!D10,"h:mm"),"")</f>
        <v>7:40</v>
      </c>
      <c r="E220" s="24" t="str">
        <f t="shared" ref="E220:E226" si="23">"№1"</f>
        <v>№1</v>
      </c>
      <c r="F220" s="24" t="str">
        <f>"КАМАЗ 55111"</f>
        <v>КАМАЗ 55111</v>
      </c>
      <c r="G220" s="24" t="str">
        <f>"СВ 50-33 АР"</f>
        <v>СВ 50-33 АР</v>
      </c>
      <c r="H220" s="24">
        <f>IFERROR(М1_КАМАЗ55111_0591!G10,"")</f>
        <v>3</v>
      </c>
      <c r="J220" s="13" t="str">
        <f t="shared" si="20"/>
        <v>вул. Ветеранська|парк Вічної Слави</v>
      </c>
      <c r="K220" s="32">
        <f t="shared" si="21"/>
        <v>0.31944444444444442</v>
      </c>
      <c r="L220" s="13" t="str">
        <f>IF($A220="","",IF(COUNTIFS($J$4:$J220,$J220,$E$4:$E220,$E220)=1,$E220,""))</f>
        <v>№1</v>
      </c>
      <c r="M220" s="13" t="str">
        <f>IF($A220="","",IF(COUNTIFS($J$4:$J220,$J220,$F$4:$F220,$F220)=1,$F220,""))</f>
        <v>КАМАЗ 55111</v>
      </c>
    </row>
    <row r="221" spans="1:13" x14ac:dyDescent="0.35">
      <c r="A221" s="23" t="str">
        <f>IFERROR(М1_КАМАЗ55111_0591!B45,"")</f>
        <v>вул. Ветеранська</v>
      </c>
      <c r="B221" s="23" t="str">
        <f>IFERROR(IF(М1_КАМАЗ55111_0591!C45="","",TEXT(М1_КАМАЗ55111_0591!C45,"General")),"")</f>
        <v>парк Вічної Слави</v>
      </c>
      <c r="C221" s="24" t="str">
        <f>"Вівторок"</f>
        <v>Вівторок</v>
      </c>
      <c r="D221" s="24" t="str">
        <f>IFERROR(TEXT(М1_КАМАЗ55111_0591!D45,"h:mm"),"")</f>
        <v>7:40</v>
      </c>
      <c r="E221" s="24" t="str">
        <f t="shared" si="23"/>
        <v>№1</v>
      </c>
      <c r="F221" s="24" t="str">
        <f>"КАМАЗ 55111"</f>
        <v>КАМАЗ 55111</v>
      </c>
      <c r="G221" s="24" t="str">
        <f>"СВ 50-33 АР"</f>
        <v>СВ 50-33 АР</v>
      </c>
      <c r="H221" s="24">
        <f>IFERROR(М1_КАМАЗ55111_0591!G45,"")</f>
        <v>3</v>
      </c>
      <c r="J221" s="13" t="str">
        <f t="shared" si="20"/>
        <v>вул. Ветеранська|парк Вічної Слави</v>
      </c>
      <c r="K221" s="32">
        <f t="shared" si="21"/>
        <v>0.31944444444444442</v>
      </c>
      <c r="L221" s="13" t="str">
        <f>IF($A221="","",IF(COUNTIFS($J$4:$J221,$J221,$E$4:$E221,$E221)=1,$E221,""))</f>
        <v/>
      </c>
      <c r="M221" s="13" t="str">
        <f>IF($A221="","",IF(COUNTIFS($J$4:$J221,$J221,$F$4:$F221,$F221)=1,$F221,""))</f>
        <v/>
      </c>
    </row>
    <row r="222" spans="1:13" x14ac:dyDescent="0.35">
      <c r="A222" s="23" t="str">
        <f>IFERROR(М1_КАМАЗ55111_0591!B77,"")</f>
        <v>вул. Ветеранська</v>
      </c>
      <c r="B222" s="23" t="str">
        <f>IFERROR(IF(М1_КАМАЗ55111_0591!C77="","",TEXT(М1_КАМАЗ55111_0591!C77,"General")),"")</f>
        <v>парк Вічної Слави</v>
      </c>
      <c r="C222" s="24" t="str">
        <f>"Середа"</f>
        <v>Середа</v>
      </c>
      <c r="D222" s="24" t="str">
        <f>IFERROR(TEXT(М1_КАМАЗ55111_0591!D77,"h:mm"),"")</f>
        <v>7:40</v>
      </c>
      <c r="E222" s="24" t="str">
        <f t="shared" si="23"/>
        <v>№1</v>
      </c>
      <c r="F222" s="24" t="str">
        <f>"КАМАЗ 55111"</f>
        <v>КАМАЗ 55111</v>
      </c>
      <c r="G222" s="24" t="str">
        <f>"СВ 50-33 АР"</f>
        <v>СВ 50-33 АР</v>
      </c>
      <c r="H222" s="24">
        <f>IFERROR(М1_КАМАЗ55111_0591!G77,"")</f>
        <v>3</v>
      </c>
      <c r="J222" s="13" t="str">
        <f t="shared" si="20"/>
        <v>вул. Ветеранська|парк Вічної Слави</v>
      </c>
      <c r="K222" s="32">
        <f t="shared" si="21"/>
        <v>0.31944444444444442</v>
      </c>
      <c r="L222" s="13" t="str">
        <f>IF($A222="","",IF(COUNTIFS($J$4:$J222,$J222,$E$4:$E222,$E222)=1,$E222,""))</f>
        <v/>
      </c>
      <c r="M222" s="13" t="str">
        <f>IF($A222="","",IF(COUNTIFS($J$4:$J222,$J222,$F$4:$F222,$F222)=1,$F222,""))</f>
        <v/>
      </c>
    </row>
    <row r="223" spans="1:13" x14ac:dyDescent="0.35">
      <c r="A223" s="23" t="str">
        <f>IFERROR('М1-2_АТ4021-1120_0585'!B112,"")</f>
        <v>вул. Ветеранська</v>
      </c>
      <c r="B223" s="23" t="str">
        <f>IFERROR(IF('М1-2_АТ4021-1120_0585'!C112="","",TEXT('М1-2_АТ4021-1120_0585'!C112,"General")),"")</f>
        <v>парк Вічної Слави</v>
      </c>
      <c r="C223" s="24" t="str">
        <f>"Четвер"</f>
        <v>Четвер</v>
      </c>
      <c r="D223" s="24" t="str">
        <f>IFERROR(TEXT('М1-2_АТ4021-1120_0585'!D112,"h:mm"),"")</f>
        <v>8:55</v>
      </c>
      <c r="E223" s="24" t="str">
        <f t="shared" si="23"/>
        <v>№1</v>
      </c>
      <c r="F223" s="24" t="str">
        <f>"АТ-4021/1120"</f>
        <v>АТ-4021/1120</v>
      </c>
      <c r="G223" s="24" t="str">
        <f>"СВ 14-65 ЕО"</f>
        <v>СВ 14-65 ЕО</v>
      </c>
      <c r="H223" s="24">
        <f>IFERROR('М1-2_АТ4021-1120_0585'!G112,"")</f>
        <v>2</v>
      </c>
      <c r="J223" s="13" t="str">
        <f t="shared" si="20"/>
        <v>вул. Ветеранська|парк Вічної Слави</v>
      </c>
      <c r="K223" s="32">
        <f t="shared" si="21"/>
        <v>0.37152777777777779</v>
      </c>
      <c r="L223" s="13" t="str">
        <f>IF($A223="","",IF(COUNTIFS($J$4:$J223,$J223,$E$4:$E223,$E223)=1,$E223,""))</f>
        <v/>
      </c>
      <c r="M223" s="13" t="str">
        <f>IF($A223="","",IF(COUNTIFS($J$4:$J223,$J223,$F$4:$F223,$F223)=1,$F223,""))</f>
        <v>АТ-4021/1120</v>
      </c>
    </row>
    <row r="224" spans="1:13" x14ac:dyDescent="0.35">
      <c r="A224" s="23" t="str">
        <f>IFERROR(М1_КАМАЗ55111_0591!B109,"")</f>
        <v>вул. Ветеранська</v>
      </c>
      <c r="B224" s="23" t="str">
        <f>IFERROR(IF(М1_КАМАЗ55111_0591!C109="","",TEXT(М1_КАМАЗ55111_0591!C109,"General")),"")</f>
        <v>парк Вічної Слави</v>
      </c>
      <c r="C224" s="24" t="str">
        <f>"П'ятниця"</f>
        <v>П'ятниця</v>
      </c>
      <c r="D224" s="24" t="str">
        <f>IFERROR(TEXT(М1_КАМАЗ55111_0591!D109,"h:mm"),"")</f>
        <v>7:40</v>
      </c>
      <c r="E224" s="24" t="str">
        <f t="shared" si="23"/>
        <v>№1</v>
      </c>
      <c r="F224" s="24" t="str">
        <f>"КАМАЗ 55111"</f>
        <v>КАМАЗ 55111</v>
      </c>
      <c r="G224" s="24" t="str">
        <f>"СВ 50-33 АР"</f>
        <v>СВ 50-33 АР</v>
      </c>
      <c r="H224" s="24">
        <f>IFERROR(М1_КАМАЗ55111_0591!G109,"")</f>
        <v>3</v>
      </c>
      <c r="J224" s="13" t="str">
        <f t="shared" si="20"/>
        <v>вул. Ветеранська|парк Вічної Слави</v>
      </c>
      <c r="K224" s="32">
        <f t="shared" si="21"/>
        <v>0.31944444444444442</v>
      </c>
      <c r="L224" s="13" t="str">
        <f>IF($A224="","",IF(COUNTIFS($J$4:$J224,$J224,$E$4:$E224,$E224)=1,$E224,""))</f>
        <v/>
      </c>
      <c r="M224" s="13" t="str">
        <f>IF($A224="","",IF(COUNTIFS($J$4:$J224,$J224,$F$4:$F224,$F224)=1,$F224,""))</f>
        <v/>
      </c>
    </row>
    <row r="225" spans="1:13" x14ac:dyDescent="0.35">
      <c r="A225" s="23" t="str">
        <f>IFERROR(М1_КАМАЗ55111_0591!B144,"")</f>
        <v>вул. Ветеранська</v>
      </c>
      <c r="B225" s="23" t="str">
        <f>IFERROR(IF(М1_КАМАЗ55111_0591!C144="","",TEXT(М1_КАМАЗ55111_0591!C144,"General")),"")</f>
        <v>парк Вічної Слави</v>
      </c>
      <c r="C225" s="24" t="str">
        <f>"Субота"</f>
        <v>Субота</v>
      </c>
      <c r="D225" s="24" t="str">
        <f>IFERROR(TEXT(М1_КАМАЗ55111_0591!D144,"h:mm"),"")</f>
        <v>7:40</v>
      </c>
      <c r="E225" s="24" t="str">
        <f t="shared" si="23"/>
        <v>№1</v>
      </c>
      <c r="F225" s="24" t="str">
        <f>"КАМАЗ 55111"</f>
        <v>КАМАЗ 55111</v>
      </c>
      <c r="G225" s="24" t="str">
        <f>"СВ 50-33 АР"</f>
        <v>СВ 50-33 АР</v>
      </c>
      <c r="H225" s="24">
        <f>IFERROR(М1_КАМАЗ55111_0591!G144,"")</f>
        <v>3</v>
      </c>
      <c r="J225" s="13" t="str">
        <f t="shared" si="20"/>
        <v>вул. Ветеранська|парк Вічної Слави</v>
      </c>
      <c r="K225" s="32">
        <f t="shared" si="21"/>
        <v>0.31944444444444442</v>
      </c>
      <c r="L225" s="13" t="str">
        <f>IF($A225="","",IF(COUNTIFS($J$4:$J225,$J225,$E$4:$E225,$E225)=1,$E225,""))</f>
        <v/>
      </c>
      <c r="M225" s="13" t="str">
        <f>IF($A225="","",IF(COUNTIFS($J$4:$J225,$J225,$F$4:$F225,$F225)=1,$F225,""))</f>
        <v/>
      </c>
    </row>
    <row r="226" spans="1:13" x14ac:dyDescent="0.35">
      <c r="A226" s="23" t="str">
        <f>IFERROR('М1-2_АТ4021-1120_0585'!B147,"")</f>
        <v>вул. Ветеранська</v>
      </c>
      <c r="B226" s="23" t="str">
        <f>IFERROR(IF('М1-2_АТ4021-1120_0585'!C147="","",TEXT('М1-2_АТ4021-1120_0585'!C147,"General")),"")</f>
        <v>парк Вічної Слави</v>
      </c>
      <c r="C226" s="24" t="str">
        <f>"Неділя"</f>
        <v>Неділя</v>
      </c>
      <c r="D226" s="24" t="str">
        <f>IFERROR(TEXT('М1-2_АТ4021-1120_0585'!D147,"h:mm"),"")</f>
        <v>8:55</v>
      </c>
      <c r="E226" s="24" t="str">
        <f t="shared" si="23"/>
        <v>№1</v>
      </c>
      <c r="F226" s="24" t="str">
        <f>"АТ-4021/1120"</f>
        <v>АТ-4021/1120</v>
      </c>
      <c r="G226" s="24" t="str">
        <f>"СВ 14-65 ЕО"</f>
        <v>СВ 14-65 ЕО</v>
      </c>
      <c r="H226" s="24">
        <f>IFERROR('М1-2_АТ4021-1120_0585'!G147,"")</f>
        <v>3</v>
      </c>
      <c r="J226" s="13" t="str">
        <f t="shared" si="20"/>
        <v>вул. Ветеранська|парк Вічної Слави</v>
      </c>
      <c r="K226" s="32">
        <f t="shared" si="21"/>
        <v>0.37152777777777779</v>
      </c>
      <c r="L226" s="13" t="str">
        <f>IF($A226="","",IF(COUNTIFS($J$4:$J226,$J226,$E$4:$E226,$E226)=1,$E226,""))</f>
        <v/>
      </c>
      <c r="M226" s="13" t="str">
        <f>IF($A226="","",IF(COUNTIFS($J$4:$J226,$J226,$F$4:$F226,$F226)=1,$F226,""))</f>
        <v/>
      </c>
    </row>
    <row r="227" spans="1:13" x14ac:dyDescent="0.35">
      <c r="A227" s="23" t="str">
        <f>IFERROR('М3-4_ГАЗ3309_0590'!B127,"")</f>
        <v>вул. Ветеранська</v>
      </c>
      <c r="B227" s="23" t="str">
        <f>IFERROR(IF('М3-4_ГАЗ3309_0590'!C127="","",TEXT('М3-4_ГАЗ3309_0590'!C127,"General")),"")</f>
        <v>шк. 2</v>
      </c>
      <c r="C227" s="24" t="str">
        <f>"Понеділок"</f>
        <v>Понеділок</v>
      </c>
      <c r="D227" s="24" t="str">
        <f>IFERROR(TEXT('М3-4_ГАЗ3309_0590'!D127,"h:mm"),"")</f>
        <v>9:50</v>
      </c>
      <c r="E227" s="24" t="str">
        <f>"№3"</f>
        <v>№3</v>
      </c>
      <c r="F227" s="24" t="str">
        <f>"ГАЗ 3309"</f>
        <v>ГАЗ 3309</v>
      </c>
      <c r="G227" s="24" t="str">
        <f>"СВ 17-85 ВН"</f>
        <v>СВ 17-85 ВН</v>
      </c>
      <c r="H227" s="24">
        <f>IFERROR('М3-4_ГАЗ3309_0590'!G127,"")</f>
        <v>1</v>
      </c>
      <c r="J227" s="13" t="str">
        <f t="shared" si="20"/>
        <v>вул. Ветеранська|шк. 2</v>
      </c>
      <c r="K227" s="32">
        <f t="shared" si="21"/>
        <v>0.40972222222222221</v>
      </c>
      <c r="L227" s="13" t="str">
        <f>IF($A227="","",IF(COUNTIFS($J$4:$J227,$J227,$E$4:$E227,$E227)=1,$E227,""))</f>
        <v>№3</v>
      </c>
      <c r="M227" s="13" t="str">
        <f>IF($A227="","",IF(COUNTIFS($J$4:$J227,$J227,$F$4:$F227,$F227)=1,$F227,""))</f>
        <v>ГАЗ 3309</v>
      </c>
    </row>
    <row r="228" spans="1:13" x14ac:dyDescent="0.35">
      <c r="A228" s="23" t="str">
        <f>IFERROR(М5_МАЗ4381_0592!B135,"")</f>
        <v>вул. Вокзальна</v>
      </c>
      <c r="B228" s="23" t="str">
        <f>IFERROR(IF(М5_МАЗ4381_0592!C135="","",TEXT(М5_МАЗ4381_0592!C135,"General")),"")</f>
        <v/>
      </c>
      <c r="C228" s="24" t="str">
        <f>"Четвер"</f>
        <v>Четвер</v>
      </c>
      <c r="D228" s="24" t="str">
        <f>IFERROR(TEXT(М5_МАЗ4381_0592!D135,"h:mm"),"")</f>
        <v>11:50</v>
      </c>
      <c r="E228" s="24" t="str">
        <f>"№5"</f>
        <v>№5</v>
      </c>
      <c r="F228" s="24" t="str">
        <f>"МАЗ 4381"</f>
        <v>МАЗ 4381</v>
      </c>
      <c r="G228" s="24" t="str">
        <f>"СВ 81-71 ВК"</f>
        <v>СВ 81-71 ВК</v>
      </c>
      <c r="H228" s="24"/>
      <c r="J228" s="13" t="str">
        <f t="shared" si="20"/>
        <v>вул. Вокзальна|</v>
      </c>
      <c r="K228" s="32">
        <f t="shared" si="21"/>
        <v>0.49305555555555558</v>
      </c>
      <c r="L228" s="13" t="str">
        <f>IF($A228="","",IF(COUNTIFS($J$4:$J228,$J228,$E$4:$E228,$E228)=1,$E228,""))</f>
        <v>№5</v>
      </c>
      <c r="M228" s="13" t="str">
        <f>IF($A228="","",IF(COUNTIFS($J$4:$J228,$J228,$F$4:$F228,$F228)=1,$F228,""))</f>
        <v>МАЗ 4381</v>
      </c>
    </row>
    <row r="229" spans="1:13" x14ac:dyDescent="0.35">
      <c r="A229" s="23" t="str">
        <f>IFERROR(М3_МАЗ4371_0587!B22,"")</f>
        <v>вул. Вокзальна</v>
      </c>
      <c r="B229" s="23" t="str">
        <f>IFERROR(IF(М3_МАЗ4371_0587!C22="","",TEXT(М3_МАЗ4371_0587!C22,"General")),"")</f>
        <v>"Лімон"</v>
      </c>
      <c r="C229" s="24" t="str">
        <f>"Понеділок"</f>
        <v>Понеділок</v>
      </c>
      <c r="D229" s="24" t="str">
        <f>IFERROR(TEXT(М3_МАЗ4371_0587!D22,"h:mm"),"")</f>
        <v>10:35</v>
      </c>
      <c r="E229" s="24" t="str">
        <f>"№3"</f>
        <v>№3</v>
      </c>
      <c r="F229" s="24" t="str">
        <f>"МАЗ-4371"</f>
        <v>МАЗ-4371</v>
      </c>
      <c r="G229" s="24" t="str">
        <f>"СВ 53-06 СА"</f>
        <v>СВ 53-06 СА</v>
      </c>
      <c r="H229" s="24">
        <f>IFERROR(М3_МАЗ4371_0587!G22,"")</f>
        <v>1</v>
      </c>
      <c r="J229" s="13" t="str">
        <f t="shared" si="20"/>
        <v>вул. Вокзальна|"Лімон"</v>
      </c>
      <c r="K229" s="32">
        <f t="shared" si="21"/>
        <v>0.44097222222222221</v>
      </c>
      <c r="L229" s="13" t="str">
        <f>IF($A229="","",IF(COUNTIFS($J$4:$J229,$J229,$E$4:$E229,$E229)=1,$E229,""))</f>
        <v>№3</v>
      </c>
      <c r="M229" s="13" t="str">
        <f>IF($A229="","",IF(COUNTIFS($J$4:$J229,$J229,$F$4:$F229,$F229)=1,$F229,""))</f>
        <v>МАЗ-4371</v>
      </c>
    </row>
    <row r="230" spans="1:13" x14ac:dyDescent="0.35">
      <c r="A230" s="23" t="str">
        <f>IFERROR(М3_МАЗ4371_0587!B127,"")</f>
        <v>вул. Вокзальна</v>
      </c>
      <c r="B230" s="23" t="str">
        <f>IFERROR(IF(М3_МАЗ4371_0587!C127="","",TEXT(М3_МАЗ4371_0587!C127,"General")),"")</f>
        <v>"Лімон"</v>
      </c>
      <c r="C230" s="24" t="str">
        <f>"П'ятниця"</f>
        <v>П'ятниця</v>
      </c>
      <c r="D230" s="24" t="str">
        <f>IFERROR(TEXT(М3_МАЗ4371_0587!D127,"h:mm"),"")</f>
        <v>10:10</v>
      </c>
      <c r="E230" s="24" t="str">
        <f>"№3"</f>
        <v>№3</v>
      </c>
      <c r="F230" s="24" t="str">
        <f>"МАЗ-4371"</f>
        <v>МАЗ-4371</v>
      </c>
      <c r="G230" s="24" t="str">
        <f>"СВ 53-06 СА"</f>
        <v>СВ 53-06 СА</v>
      </c>
      <c r="H230" s="24">
        <f>IFERROR(М3_МАЗ4371_0587!G127,"")</f>
        <v>1</v>
      </c>
      <c r="J230" s="13" t="str">
        <f t="shared" si="20"/>
        <v>вул. Вокзальна|"Лімон"</v>
      </c>
      <c r="K230" s="32">
        <f t="shared" si="21"/>
        <v>0.4236111111111111</v>
      </c>
      <c r="L230" s="13" t="str">
        <f>IF($A230="","",IF(COUNTIFS($J$4:$J230,$J230,$E$4:$E230,$E230)=1,$E230,""))</f>
        <v/>
      </c>
      <c r="M230" s="13" t="str">
        <f>IF($A230="","",IF(COUNTIFS($J$4:$J230,$J230,$F$4:$F230,$F230)=1,$F230,""))</f>
        <v/>
      </c>
    </row>
    <row r="231" spans="1:13" x14ac:dyDescent="0.35">
      <c r="A231" s="23" t="str">
        <f>IFERROR('М2_АТ4021-1120_0588'!B9,"")</f>
        <v>вул. Вокзальна</v>
      </c>
      <c r="B231" s="23" t="str">
        <f>IFERROR(IF('М2_АТ4021-1120_0588'!C9="","",TEXT('М2_АТ4021-1120_0588'!C9,"General")),"")</f>
        <v>12</v>
      </c>
      <c r="C231" s="24" t="str">
        <f>"Понеділок"</f>
        <v>Понеділок</v>
      </c>
      <c r="D231" s="24" t="str">
        <f>IFERROR(TEXT('М2_АТ4021-1120_0588'!D9,"h:mm"),"")</f>
        <v>7:55</v>
      </c>
      <c r="E231" s="24" t="str">
        <f t="shared" ref="E231:E237" si="24">"№2"</f>
        <v>№2</v>
      </c>
      <c r="F231" s="24" t="str">
        <f>"АТ 4021/1120"</f>
        <v>АТ 4021/1120</v>
      </c>
      <c r="G231" s="24" t="str">
        <f>"СВ 64-11 ЕТ"</f>
        <v>СВ 64-11 ЕТ</v>
      </c>
      <c r="H231" s="24">
        <f>IFERROR('М2_АТ4021-1120_0588'!G9,"")</f>
        <v>2</v>
      </c>
      <c r="J231" s="13" t="str">
        <f t="shared" si="20"/>
        <v>вул. Вокзальна|12</v>
      </c>
      <c r="K231" s="32">
        <f t="shared" si="21"/>
        <v>0.3298611111111111</v>
      </c>
      <c r="L231" s="13" t="str">
        <f>IF($A231="","",IF(COUNTIFS($J$4:$J231,$J231,$E$4:$E231,$E231)=1,$E231,""))</f>
        <v>№2</v>
      </c>
      <c r="M231" s="13" t="str">
        <f>IF($A231="","",IF(COUNTIFS($J$4:$J231,$J231,$F$4:$F231,$F231)=1,$F231,""))</f>
        <v>АТ 4021/1120</v>
      </c>
    </row>
    <row r="232" spans="1:13" x14ac:dyDescent="0.35">
      <c r="A232" s="23" t="str">
        <f>IFERROR('М2_АТ4021-1120_0588'!B40,"")</f>
        <v>вул. Вокзальна</v>
      </c>
      <c r="B232" s="23" t="str">
        <f>IFERROR(IF('М2_АТ4021-1120_0588'!C40="","",TEXT('М2_АТ4021-1120_0588'!C40,"General")),"")</f>
        <v>12</v>
      </c>
      <c r="C232" s="24" t="str">
        <f>"Вівторок"</f>
        <v>Вівторок</v>
      </c>
      <c r="D232" s="24" t="str">
        <f>IFERROR(TEXT('М2_АТ4021-1120_0588'!D40,"h:mm"),"")</f>
        <v>7:55</v>
      </c>
      <c r="E232" s="24" t="str">
        <f t="shared" si="24"/>
        <v>№2</v>
      </c>
      <c r="F232" s="24" t="str">
        <f>"АТ 4021/1120"</f>
        <v>АТ 4021/1120</v>
      </c>
      <c r="G232" s="24" t="str">
        <f>"СВ 64-11 ЕТ"</f>
        <v>СВ 64-11 ЕТ</v>
      </c>
      <c r="H232" s="24">
        <f>IFERROR('М2_АТ4021-1120_0588'!G40,"")</f>
        <v>2</v>
      </c>
      <c r="J232" s="13" t="str">
        <f t="shared" si="20"/>
        <v>вул. Вокзальна|12</v>
      </c>
      <c r="K232" s="32">
        <f t="shared" si="21"/>
        <v>0.3298611111111111</v>
      </c>
      <c r="L232" s="13" t="str">
        <f>IF($A232="","",IF(COUNTIFS($J$4:$J232,$J232,$E$4:$E232,$E232)=1,$E232,""))</f>
        <v/>
      </c>
      <c r="M232" s="13" t="str">
        <f>IF($A232="","",IF(COUNTIFS($J$4:$J232,$J232,$F$4:$F232,$F232)=1,$F232,""))</f>
        <v/>
      </c>
    </row>
    <row r="233" spans="1:13" x14ac:dyDescent="0.35">
      <c r="A233" s="23" t="str">
        <f>IFERROR('М1-2_АТ4021-1120_0585'!B62,"")</f>
        <v>вул. Вокзальна</v>
      </c>
      <c r="B233" s="23" t="str">
        <f>IFERROR(IF('М1-2_АТ4021-1120_0585'!C62="","",TEXT('М1-2_АТ4021-1120_0585'!C62,"General")),"")</f>
        <v>12</v>
      </c>
      <c r="C233" s="24" t="str">
        <f>"Середа"</f>
        <v>Середа</v>
      </c>
      <c r="D233" s="24" t="str">
        <f>IFERROR(TEXT('М1-2_АТ4021-1120_0585'!D62,"h:mm"),"")</f>
        <v>13:15</v>
      </c>
      <c r="E233" s="24" t="str">
        <f t="shared" si="24"/>
        <v>№2</v>
      </c>
      <c r="F233" s="24" t="str">
        <f>"АТ-4021/1120"</f>
        <v>АТ-4021/1120</v>
      </c>
      <c r="G233" s="24" t="str">
        <f>"СВ 14-65 ЕО"</f>
        <v>СВ 14-65 ЕО</v>
      </c>
      <c r="H233" s="24">
        <f>IFERROR('М1-2_АТ4021-1120_0585'!G62,"")</f>
        <v>2</v>
      </c>
      <c r="J233" s="13" t="str">
        <f t="shared" si="20"/>
        <v>вул. Вокзальна|12</v>
      </c>
      <c r="K233" s="32">
        <f t="shared" si="21"/>
        <v>0.55208333333333337</v>
      </c>
      <c r="L233" s="13" t="str">
        <f>IF($A233="","",IF(COUNTIFS($J$4:$J233,$J233,$E$4:$E233,$E233)=1,$E233,""))</f>
        <v/>
      </c>
      <c r="M233" s="13" t="str">
        <f>IF($A233="","",IF(COUNTIFS($J$4:$J233,$J233,$F$4:$F233,$F233)=1,$F233,""))</f>
        <v>АТ-4021/1120</v>
      </c>
    </row>
    <row r="234" spans="1:13" x14ac:dyDescent="0.35">
      <c r="A234" s="23" t="str">
        <f>IFERROR('М2_АТ4021-1120_0588'!B71,"")</f>
        <v>вул. Вокзальна</v>
      </c>
      <c r="B234" s="23" t="str">
        <f>IFERROR(IF('М2_АТ4021-1120_0588'!C71="","",TEXT('М2_АТ4021-1120_0588'!C71,"General")),"")</f>
        <v>12</v>
      </c>
      <c r="C234" s="24" t="str">
        <f>"Четвер"</f>
        <v>Четвер</v>
      </c>
      <c r="D234" s="24" t="str">
        <f>IFERROR(TEXT('М2_АТ4021-1120_0588'!D71,"h:mm"),"")</f>
        <v>7:55</v>
      </c>
      <c r="E234" s="24" t="str">
        <f t="shared" si="24"/>
        <v>№2</v>
      </c>
      <c r="F234" s="24" t="str">
        <f>"АТ 4021/1120"</f>
        <v>АТ 4021/1120</v>
      </c>
      <c r="G234" s="24" t="str">
        <f>"СВ 64-11 ЕТ"</f>
        <v>СВ 64-11 ЕТ</v>
      </c>
      <c r="H234" s="24">
        <f>IFERROR('М2_АТ4021-1120_0588'!G71,"")</f>
        <v>2</v>
      </c>
      <c r="J234" s="13" t="str">
        <f t="shared" si="20"/>
        <v>вул. Вокзальна|12</v>
      </c>
      <c r="K234" s="32">
        <f t="shared" si="21"/>
        <v>0.3298611111111111</v>
      </c>
      <c r="L234" s="13" t="str">
        <f>IF($A234="","",IF(COUNTIFS($J$4:$J234,$J234,$E$4:$E234,$E234)=1,$E234,""))</f>
        <v/>
      </c>
      <c r="M234" s="13" t="str">
        <f>IF($A234="","",IF(COUNTIFS($J$4:$J234,$J234,$F$4:$F234,$F234)=1,$F234,""))</f>
        <v/>
      </c>
    </row>
    <row r="235" spans="1:13" x14ac:dyDescent="0.35">
      <c r="A235" s="23" t="str">
        <f>IFERROR('М2_АТ4021-1120_0588'!B101,"")</f>
        <v>вул. Вокзальна</v>
      </c>
      <c r="B235" s="23" t="str">
        <f>IFERROR(IF('М2_АТ4021-1120_0588'!C101="","",TEXT('М2_АТ4021-1120_0588'!C101,"General")),"")</f>
        <v>12</v>
      </c>
      <c r="C235" s="24" t="str">
        <f>"П'ятниця"</f>
        <v>П'ятниця</v>
      </c>
      <c r="D235" s="24" t="str">
        <f>IFERROR(TEXT('М2_АТ4021-1120_0588'!D101,"h:mm"),"")</f>
        <v>7:55</v>
      </c>
      <c r="E235" s="24" t="str">
        <f t="shared" si="24"/>
        <v>№2</v>
      </c>
      <c r="F235" s="24" t="str">
        <f>"АТ 4021/1120"</f>
        <v>АТ 4021/1120</v>
      </c>
      <c r="G235" s="24" t="str">
        <f>"СВ 64-11 ЕТ"</f>
        <v>СВ 64-11 ЕТ</v>
      </c>
      <c r="H235" s="24">
        <f>IFERROR('М2_АТ4021-1120_0588'!G101,"")</f>
        <v>2</v>
      </c>
      <c r="J235" s="13" t="str">
        <f t="shared" si="20"/>
        <v>вул. Вокзальна|12</v>
      </c>
      <c r="K235" s="32">
        <f t="shared" si="21"/>
        <v>0.3298611111111111</v>
      </c>
      <c r="L235" s="13" t="str">
        <f>IF($A235="","",IF(COUNTIFS($J$4:$J235,$J235,$E$4:$E235,$E235)=1,$E235,""))</f>
        <v/>
      </c>
      <c r="M235" s="13" t="str">
        <f>IF($A235="","",IF(COUNTIFS($J$4:$J235,$J235,$F$4:$F235,$F235)=1,$F235,""))</f>
        <v/>
      </c>
    </row>
    <row r="236" spans="1:13" x14ac:dyDescent="0.35">
      <c r="A236" s="23" t="str">
        <f>IFERROR('М1-2_АТ4021-1120_0585'!B91,"")</f>
        <v>вул. Вокзальна</v>
      </c>
      <c r="B236" s="23" t="str">
        <f>IFERROR(IF('М1-2_АТ4021-1120_0585'!C91="","",TEXT('М1-2_АТ4021-1120_0585'!C91,"General")),"")</f>
        <v>12</v>
      </c>
      <c r="C236" s="24" t="str">
        <f>"Субота"</f>
        <v>Субота</v>
      </c>
      <c r="D236" s="24" t="str">
        <f>IFERROR(TEXT('М1-2_АТ4021-1120_0585'!D91,"h:mm"),"")</f>
        <v>13:15</v>
      </c>
      <c r="E236" s="24" t="str">
        <f t="shared" si="24"/>
        <v>№2</v>
      </c>
      <c r="F236" s="24" t="str">
        <f>"АТ-4021/1120"</f>
        <v>АТ-4021/1120</v>
      </c>
      <c r="G236" s="24" t="str">
        <f>"СВ 14-65 ЕО"</f>
        <v>СВ 14-65 ЕО</v>
      </c>
      <c r="H236" s="24">
        <f>IFERROR('М1-2_АТ4021-1120_0585'!G91,"")</f>
        <v>2</v>
      </c>
      <c r="J236" s="13" t="str">
        <f t="shared" si="20"/>
        <v>вул. Вокзальна|12</v>
      </c>
      <c r="K236" s="32">
        <f t="shared" si="21"/>
        <v>0.55208333333333337</v>
      </c>
      <c r="L236" s="13" t="str">
        <f>IF($A236="","",IF(COUNTIFS($J$4:$J236,$J236,$E$4:$E236,$E236)=1,$E236,""))</f>
        <v/>
      </c>
      <c r="M236" s="13" t="str">
        <f>IF($A236="","",IF(COUNTIFS($J$4:$J236,$J236,$F$4:$F236,$F236)=1,$F236,""))</f>
        <v/>
      </c>
    </row>
    <row r="237" spans="1:13" x14ac:dyDescent="0.35">
      <c r="A237" s="23" t="str">
        <f>IFERROR('М2_АТ4021-1120_0588'!B131,"")</f>
        <v>вул. Вокзальна</v>
      </c>
      <c r="B237" s="23" t="str">
        <f>IFERROR(IF('М2_АТ4021-1120_0588'!C131="","",TEXT('М2_АТ4021-1120_0588'!C131,"General")),"")</f>
        <v>12</v>
      </c>
      <c r="C237" s="24" t="str">
        <f>"Неділя"</f>
        <v>Неділя</v>
      </c>
      <c r="D237" s="24" t="str">
        <f>IFERROR(TEXT('М2_АТ4021-1120_0588'!D131,"h:mm"),"")</f>
        <v>7:55</v>
      </c>
      <c r="E237" s="24" t="str">
        <f t="shared" si="24"/>
        <v>№2</v>
      </c>
      <c r="F237" s="24" t="str">
        <f>"АТ 4021/1120"</f>
        <v>АТ 4021/1120</v>
      </c>
      <c r="G237" s="24" t="str">
        <f>"СВ 64-11 ЕТ"</f>
        <v>СВ 64-11 ЕТ</v>
      </c>
      <c r="H237" s="24">
        <f>IFERROR('М2_АТ4021-1120_0588'!G131,"")</f>
        <v>2</v>
      </c>
      <c r="J237" s="13" t="str">
        <f t="shared" si="20"/>
        <v>вул. Вокзальна|12</v>
      </c>
      <c r="K237" s="32">
        <f t="shared" si="21"/>
        <v>0.3298611111111111</v>
      </c>
      <c r="L237" s="13" t="str">
        <f>IF($A237="","",IF(COUNTIFS($J$4:$J237,$J237,$E$4:$E237,$E237)=1,$E237,""))</f>
        <v/>
      </c>
      <c r="M237" s="13" t="str">
        <f>IF($A237="","",IF(COUNTIFS($J$4:$J237,$J237,$F$4:$F237,$F237)=1,$F237,""))</f>
        <v/>
      </c>
    </row>
    <row r="238" spans="1:13" x14ac:dyDescent="0.35">
      <c r="A238" s="23" t="str">
        <f>IFERROR(М4_АТ4042ROD_0584!B8,"")</f>
        <v>вул. Вокзальна</v>
      </c>
      <c r="B238" s="23" t="str">
        <f>IFERROR(IF(М4_АТ4042ROD_0584!C8="","",TEXT(М4_АТ4042ROD_0584!C8,"General")),"")</f>
        <v>29</v>
      </c>
      <c r="C238" s="24" t="str">
        <f>"Понеділок"</f>
        <v>Понеділок</v>
      </c>
      <c r="D238" s="24" t="str">
        <f>IFERROR(TEXT(М4_АТ4042ROD_0584!D8,"h:mm"),"")</f>
        <v>8:00</v>
      </c>
      <c r="E238" s="24" t="str">
        <f t="shared" ref="E238:E269" si="25">"№4"</f>
        <v>№4</v>
      </c>
      <c r="F238" s="24" t="str">
        <f>"АТ 40-42/ROD21003"</f>
        <v>АТ 40-42/ROD21003</v>
      </c>
      <c r="G238" s="24" t="str">
        <f>"СВ 33-15 ЕО"</f>
        <v>СВ 33-15 ЕО</v>
      </c>
      <c r="H238" s="24">
        <f>IFERROR(М4_АТ4042ROD_0584!G8,"")</f>
        <v>3</v>
      </c>
      <c r="J238" s="13" t="str">
        <f t="shared" si="20"/>
        <v>вул. Вокзальна|29</v>
      </c>
      <c r="K238" s="32">
        <f t="shared" si="21"/>
        <v>0.33333333333333331</v>
      </c>
      <c r="L238" s="13" t="str">
        <f>IF($A238="","",IF(COUNTIFS($J$4:$J238,$J238,$E$4:$E238,$E238)=1,$E238,""))</f>
        <v>№4</v>
      </c>
      <c r="M238" s="13" t="str">
        <f>IF($A238="","",IF(COUNTIFS($J$4:$J238,$J238,$F$4:$F238,$F238)=1,$F238,""))</f>
        <v>АТ 40-42/ROD21003</v>
      </c>
    </row>
    <row r="239" spans="1:13" x14ac:dyDescent="0.35">
      <c r="A239" s="23" t="str">
        <f>IFERROR(М4_АТ4042ROD_0584!B31,"")</f>
        <v>вул. Вокзальна</v>
      </c>
      <c r="B239" s="23" t="str">
        <f>IFERROR(IF(М4_АТ4042ROD_0584!C31="","",TEXT(М4_АТ4042ROD_0584!C31,"General")),"")</f>
        <v>29</v>
      </c>
      <c r="C239" s="24" t="str">
        <f>"Понеділок"</f>
        <v>Понеділок</v>
      </c>
      <c r="D239" s="24" t="str">
        <f>IFERROR(TEXT(М4_АТ4042ROD_0584!D31,"h:mm"),"")</f>
        <v>15:40</v>
      </c>
      <c r="E239" s="24" t="str">
        <f t="shared" si="25"/>
        <v>№4</v>
      </c>
      <c r="F239" s="24" t="str">
        <f>"АТ 40-42/ROD21003"</f>
        <v>АТ 40-42/ROD21003</v>
      </c>
      <c r="G239" s="24" t="str">
        <f>"СВ 33-15 ЕО"</f>
        <v>СВ 33-15 ЕО</v>
      </c>
      <c r="H239" s="24">
        <f>IFERROR(М4_АТ4042ROD_0584!G31,"")</f>
        <v>3</v>
      </c>
      <c r="J239" s="13" t="str">
        <f t="shared" si="20"/>
        <v>вул. Вокзальна|29</v>
      </c>
      <c r="K239" s="32">
        <f t="shared" si="21"/>
        <v>0.65277777777777779</v>
      </c>
      <c r="L239" s="13" t="str">
        <f>IF($A239="","",IF(COUNTIFS($J$4:$J239,$J239,$E$4:$E239,$E239)=1,$E239,""))</f>
        <v/>
      </c>
      <c r="M239" s="13" t="str">
        <f>IF($A239="","",IF(COUNTIFS($J$4:$J239,$J239,$F$4:$F239,$F239)=1,$F239,""))</f>
        <v/>
      </c>
    </row>
    <row r="240" spans="1:13" x14ac:dyDescent="0.35">
      <c r="A240" s="23" t="str">
        <f>IFERROR(М4_АТ4042ROD_0584!B42,"")</f>
        <v>вул. Вокзальна</v>
      </c>
      <c r="B240" s="23" t="str">
        <f>IFERROR(IF(М4_АТ4042ROD_0584!C42="","",TEXT(М4_АТ4042ROD_0584!C42,"General")),"")</f>
        <v>29</v>
      </c>
      <c r="C240" s="24" t="str">
        <f>"Вівторок"</f>
        <v>Вівторок</v>
      </c>
      <c r="D240" s="24" t="str">
        <f>IFERROR(TEXT(М4_АТ4042ROD_0584!D42,"h:mm"),"")</f>
        <v>8:15</v>
      </c>
      <c r="E240" s="24" t="str">
        <f t="shared" si="25"/>
        <v>№4</v>
      </c>
      <c r="F240" s="24" t="str">
        <f>"АТ 40-42/ROD21003"</f>
        <v>АТ 40-42/ROD21003</v>
      </c>
      <c r="G240" s="24" t="str">
        <f>"СВ 33-15 ЕО"</f>
        <v>СВ 33-15 ЕО</v>
      </c>
      <c r="H240" s="24">
        <f>IFERROR(М4_АТ4042ROD_0584!G42,"")</f>
        <v>3</v>
      </c>
      <c r="J240" s="13" t="str">
        <f t="shared" si="20"/>
        <v>вул. Вокзальна|29</v>
      </c>
      <c r="K240" s="32">
        <f t="shared" si="21"/>
        <v>0.34375</v>
      </c>
      <c r="L240" s="13" t="str">
        <f>IF($A240="","",IF(COUNTIFS($J$4:$J240,$J240,$E$4:$E240,$E240)=1,$E240,""))</f>
        <v/>
      </c>
      <c r="M240" s="13" t="str">
        <f>IF($A240="","",IF(COUNTIFS($J$4:$J240,$J240,$F$4:$F240,$F240)=1,$F240,""))</f>
        <v/>
      </c>
    </row>
    <row r="241" spans="1:13" x14ac:dyDescent="0.35">
      <c r="A241" s="23" t="str">
        <f>IFERROR(М4_АТ4042ROD_0584!B60,"")</f>
        <v>вул. Вокзальна</v>
      </c>
      <c r="B241" s="23" t="str">
        <f>IFERROR(IF(М4_АТ4042ROD_0584!C60="","",TEXT(М4_АТ4042ROD_0584!C60,"General")),"")</f>
        <v>29</v>
      </c>
      <c r="C241" s="24" t="str">
        <f>"Вівторок"</f>
        <v>Вівторок</v>
      </c>
      <c r="D241" s="24" t="str">
        <f>IFERROR(TEXT(М4_АТ4042ROD_0584!D60,"h:mm"),"")</f>
        <v>15:10</v>
      </c>
      <c r="E241" s="24" t="str">
        <f t="shared" si="25"/>
        <v>№4</v>
      </c>
      <c r="F241" s="24" t="str">
        <f>"АТ 40-42/ROD21003"</f>
        <v>АТ 40-42/ROD21003</v>
      </c>
      <c r="G241" s="24" t="str">
        <f>"СВ 33-15 ЕО"</f>
        <v>СВ 33-15 ЕО</v>
      </c>
      <c r="H241" s="24">
        <f>IFERROR(М4_АТ4042ROD_0584!G60,"")</f>
        <v>3</v>
      </c>
      <c r="J241" s="13" t="str">
        <f t="shared" si="20"/>
        <v>вул. Вокзальна|29</v>
      </c>
      <c r="K241" s="32">
        <f t="shared" si="21"/>
        <v>0.63194444444444442</v>
      </c>
      <c r="L241" s="13" t="str">
        <f>IF($A241="","",IF(COUNTIFS($J$4:$J241,$J241,$E$4:$E241,$E241)=1,$E241,""))</f>
        <v/>
      </c>
      <c r="M241" s="13" t="str">
        <f>IF($A241="","",IF(COUNTIFS($J$4:$J241,$J241,$F$4:$F241,$F241)=1,$F241,""))</f>
        <v/>
      </c>
    </row>
    <row r="242" spans="1:13" x14ac:dyDescent="0.35">
      <c r="A242" s="23" t="str">
        <f>IFERROR(М4_АТ4042ROD_0584!B161,"")</f>
        <v>вул. Вокзальна</v>
      </c>
      <c r="B242" s="23" t="str">
        <f>IFERROR(IF(М4_АТ4042ROD_0584!C161="","",TEXT(М4_АТ4042ROD_0584!C161,"General")),"")</f>
        <v>29</v>
      </c>
      <c r="C242" s="24" t="str">
        <f>"Неділя"</f>
        <v>Неділя</v>
      </c>
      <c r="D242" s="24" t="str">
        <f>IFERROR(TEXT(М4_АТ4042ROD_0584!D161,"h:mm"),"")</f>
        <v>15:30</v>
      </c>
      <c r="E242" s="24" t="str">
        <f t="shared" si="25"/>
        <v>№4</v>
      </c>
      <c r="F242" s="24" t="str">
        <f>"АТ 40-42/ROD21003"</f>
        <v>АТ 40-42/ROD21003</v>
      </c>
      <c r="G242" s="24" t="str">
        <f>"СВ 33-15 ЕО"</f>
        <v>СВ 33-15 ЕО</v>
      </c>
      <c r="H242" s="24">
        <f>IFERROR(М4_АТ4042ROD_0584!G161,"")</f>
        <v>3</v>
      </c>
      <c r="J242" s="13" t="str">
        <f t="shared" si="20"/>
        <v>вул. Вокзальна|29</v>
      </c>
      <c r="K242" s="32">
        <f t="shared" si="21"/>
        <v>0.64583333333333337</v>
      </c>
      <c r="L242" s="13" t="str">
        <f>IF($A242="","",IF(COUNTIFS($J$4:$J242,$J242,$E$4:$E242,$E242)=1,$E242,""))</f>
        <v/>
      </c>
      <c r="M242" s="13" t="str">
        <f>IF($A242="","",IF(COUNTIFS($J$4:$J242,$J242,$F$4:$F242,$F242)=1,$F242,""))</f>
        <v/>
      </c>
    </row>
    <row r="243" spans="1:13" x14ac:dyDescent="0.35">
      <c r="A243" s="23" t="str">
        <f>IFERROR('М3-4_ГАЗ3309_0590'!B72,"")</f>
        <v>вул. Вокзальна</v>
      </c>
      <c r="B243" s="23" t="str">
        <f>IFERROR(IF('М3-4_ГАЗ3309_0590'!C72="","",TEXT('М3-4_ГАЗ3309_0590'!C72,"General")),"")</f>
        <v>29 а</v>
      </c>
      <c r="C243" s="24" t="str">
        <f>"Середа"</f>
        <v>Середа</v>
      </c>
      <c r="D243" s="24" t="str">
        <f>IFERROR(TEXT('М3-4_ГАЗ3309_0590'!D72,"h:mm"),"")</f>
        <v>7:45</v>
      </c>
      <c r="E243" s="24" t="str">
        <f t="shared" si="25"/>
        <v>№4</v>
      </c>
      <c r="F243" s="24" t="str">
        <f>"ГАЗ 3309"</f>
        <v>ГАЗ 3309</v>
      </c>
      <c r="G243" s="24" t="str">
        <f>"СВ 17-85 ВН"</f>
        <v>СВ 17-85 ВН</v>
      </c>
      <c r="H243" s="24">
        <f>IFERROR('М3-4_ГАЗ3309_0590'!G72,"")</f>
        <v>3</v>
      </c>
      <c r="J243" s="13" t="str">
        <f t="shared" si="20"/>
        <v>вул. Вокзальна|29 а</v>
      </c>
      <c r="K243" s="32">
        <f t="shared" si="21"/>
        <v>0.32291666666666669</v>
      </c>
      <c r="L243" s="13" t="str">
        <f>IF($A243="","",IF(COUNTIFS($J$4:$J243,$J243,$E$4:$E243,$E243)=1,$E243,""))</f>
        <v>№4</v>
      </c>
      <c r="M243" s="13" t="str">
        <f>IF($A243="","",IF(COUNTIFS($J$4:$J243,$J243,$F$4:$F243,$F243)=1,$F243,""))</f>
        <v>ГАЗ 3309</v>
      </c>
    </row>
    <row r="244" spans="1:13" x14ac:dyDescent="0.35">
      <c r="A244" s="23" t="str">
        <f>IFERROR('М3-4_ГАЗ3309_0590'!B97,"")</f>
        <v>вул. Вокзальна</v>
      </c>
      <c r="B244" s="23" t="str">
        <f>IFERROR(IF('М3-4_ГАЗ3309_0590'!C97="","",TEXT('М3-4_ГАЗ3309_0590'!C97,"General")),"")</f>
        <v>29 а</v>
      </c>
      <c r="C244" s="24" t="str">
        <f>"Субота"</f>
        <v>Субота</v>
      </c>
      <c r="D244" s="24" t="str">
        <f>IFERROR(TEXT('М3-4_ГАЗ3309_0590'!D97,"h:mm"),"")</f>
        <v>7:45</v>
      </c>
      <c r="E244" s="24" t="str">
        <f t="shared" si="25"/>
        <v>№4</v>
      </c>
      <c r="F244" s="24" t="str">
        <f>"ГАЗ 3309"</f>
        <v>ГАЗ 3309</v>
      </c>
      <c r="G244" s="24" t="str">
        <f>"СВ 17-85 ВН"</f>
        <v>СВ 17-85 ВН</v>
      </c>
      <c r="H244" s="24">
        <f>IFERROR('М3-4_ГАЗ3309_0590'!G97,"")</f>
        <v>3</v>
      </c>
      <c r="J244" s="13" t="str">
        <f t="shared" si="20"/>
        <v>вул. Вокзальна|29 а</v>
      </c>
      <c r="K244" s="32">
        <f t="shared" si="21"/>
        <v>0.32291666666666669</v>
      </c>
      <c r="L244" s="13" t="str">
        <f>IF($A244="","",IF(COUNTIFS($J$4:$J244,$J244,$E$4:$E244,$E244)=1,$E244,""))</f>
        <v/>
      </c>
      <c r="M244" s="13" t="str">
        <f>IF($A244="","",IF(COUNTIFS($J$4:$J244,$J244,$F$4:$F244,$F244)=1,$F244,""))</f>
        <v/>
      </c>
    </row>
    <row r="245" spans="1:13" x14ac:dyDescent="0.35">
      <c r="A245" s="23" t="str">
        <f>IFERROR(М4_АТ4042ROD_0584!B73,"")</f>
        <v>вул. Вокзальна</v>
      </c>
      <c r="B245" s="23" t="str">
        <f>IFERROR(IF(М4_АТ4042ROD_0584!C73="","",TEXT(М4_АТ4042ROD_0584!C73,"General")),"")</f>
        <v>29а</v>
      </c>
      <c r="C245" s="24" t="str">
        <f>"Четвер"</f>
        <v>Четвер</v>
      </c>
      <c r="D245" s="24" t="str">
        <f>IFERROR(TEXT(М4_АТ4042ROD_0584!D73,"h:mm"),"")</f>
        <v>8:00</v>
      </c>
      <c r="E245" s="24" t="str">
        <f t="shared" si="25"/>
        <v>№4</v>
      </c>
      <c r="F245" s="24" t="str">
        <f t="shared" ref="F245:F253" si="26">"АТ 40-42/ROD21003"</f>
        <v>АТ 40-42/ROD21003</v>
      </c>
      <c r="G245" s="24" t="str">
        <f t="shared" ref="G245:G253" si="27">"СВ 33-15 ЕО"</f>
        <v>СВ 33-15 ЕО</v>
      </c>
      <c r="H245" s="24">
        <f>IFERROR(М4_АТ4042ROD_0584!G73,"")</f>
        <v>3</v>
      </c>
      <c r="J245" s="13" t="str">
        <f t="shared" si="20"/>
        <v>вул. Вокзальна|29а</v>
      </c>
      <c r="K245" s="32">
        <f t="shared" si="21"/>
        <v>0.33333333333333331</v>
      </c>
      <c r="L245" s="13" t="str">
        <f>IF($A245="","",IF(COUNTIFS($J$4:$J245,$J245,$E$4:$E245,$E245)=1,$E245,""))</f>
        <v>№4</v>
      </c>
      <c r="M245" s="13" t="str">
        <f>IF($A245="","",IF(COUNTIFS($J$4:$J245,$J245,$F$4:$F245,$F245)=1,$F245,""))</f>
        <v>АТ 40-42/ROD21003</v>
      </c>
    </row>
    <row r="246" spans="1:13" x14ac:dyDescent="0.35">
      <c r="A246" s="23" t="str">
        <f>IFERROR(М4_АТ4042ROD_0584!B96,"")</f>
        <v>вул. Вокзальна</v>
      </c>
      <c r="B246" s="23" t="str">
        <f>IFERROR(IF(М4_АТ4042ROD_0584!C96="","",TEXT(М4_АТ4042ROD_0584!C96,"General")),"")</f>
        <v>29а</v>
      </c>
      <c r="C246" s="24" t="str">
        <f>"Четвер"</f>
        <v>Четвер</v>
      </c>
      <c r="D246" s="24" t="str">
        <f>IFERROR(TEXT(М4_АТ4042ROD_0584!D96,"h:mm"),"")</f>
        <v>15:30</v>
      </c>
      <c r="E246" s="24" t="str">
        <f t="shared" si="25"/>
        <v>№4</v>
      </c>
      <c r="F246" s="24" t="str">
        <f t="shared" si="26"/>
        <v>АТ 40-42/ROD21003</v>
      </c>
      <c r="G246" s="24" t="str">
        <f t="shared" si="27"/>
        <v>СВ 33-15 ЕО</v>
      </c>
      <c r="H246" s="24">
        <f>IFERROR(М4_АТ4042ROD_0584!G96,"")</f>
        <v>3</v>
      </c>
      <c r="J246" s="13" t="str">
        <f t="shared" si="20"/>
        <v>вул. Вокзальна|29а</v>
      </c>
      <c r="K246" s="32">
        <f t="shared" si="21"/>
        <v>0.64583333333333337</v>
      </c>
      <c r="L246" s="13" t="str">
        <f>IF($A246="","",IF(COUNTIFS($J$4:$J246,$J246,$E$4:$E246,$E246)=1,$E246,""))</f>
        <v/>
      </c>
      <c r="M246" s="13" t="str">
        <f>IF($A246="","",IF(COUNTIFS($J$4:$J246,$J246,$F$4:$F246,$F246)=1,$F246,""))</f>
        <v/>
      </c>
    </row>
    <row r="247" spans="1:13" x14ac:dyDescent="0.35">
      <c r="A247" s="23" t="str">
        <f>IFERROR(М4_АТ4042ROD_0584!B107,"")</f>
        <v>вул. Вокзальна</v>
      </c>
      <c r="B247" s="23" t="str">
        <f>IFERROR(IF(М4_АТ4042ROD_0584!C107="","",TEXT(М4_АТ4042ROD_0584!C107,"General")),"")</f>
        <v>29а</v>
      </c>
      <c r="C247" s="24" t="str">
        <f>"П'ятниця"</f>
        <v>П'ятниця</v>
      </c>
      <c r="D247" s="24" t="str">
        <f>IFERROR(TEXT(М4_АТ4042ROD_0584!D107,"h:mm"),"")</f>
        <v>8:00</v>
      </c>
      <c r="E247" s="24" t="str">
        <f t="shared" si="25"/>
        <v>№4</v>
      </c>
      <c r="F247" s="24" t="str">
        <f t="shared" si="26"/>
        <v>АТ 40-42/ROD21003</v>
      </c>
      <c r="G247" s="24" t="str">
        <f t="shared" si="27"/>
        <v>СВ 33-15 ЕО</v>
      </c>
      <c r="H247" s="24">
        <f>IFERROR(М4_АТ4042ROD_0584!G107,"")</f>
        <v>3</v>
      </c>
      <c r="J247" s="13" t="str">
        <f t="shared" si="20"/>
        <v>вул. Вокзальна|29а</v>
      </c>
      <c r="K247" s="32">
        <f t="shared" si="21"/>
        <v>0.33333333333333331</v>
      </c>
      <c r="L247" s="13" t="str">
        <f>IF($A247="","",IF(COUNTIFS($J$4:$J247,$J247,$E$4:$E247,$E247)=1,$E247,""))</f>
        <v/>
      </c>
      <c r="M247" s="13" t="str">
        <f>IF($A247="","",IF(COUNTIFS($J$4:$J247,$J247,$F$4:$F247,$F247)=1,$F247,""))</f>
        <v/>
      </c>
    </row>
    <row r="248" spans="1:13" x14ac:dyDescent="0.35">
      <c r="A248" s="23" t="str">
        <f>IFERROR(М4_АТ4042ROD_0584!B126,"")</f>
        <v>вул. Вокзальна</v>
      </c>
      <c r="B248" s="23" t="str">
        <f>IFERROR(IF(М4_АТ4042ROD_0584!C126="","",TEXT(М4_АТ4042ROD_0584!C126,"General")),"")</f>
        <v>29а</v>
      </c>
      <c r="C248" s="24" t="str">
        <f>"П'ятниця"</f>
        <v>П'ятниця</v>
      </c>
      <c r="D248" s="24" t="str">
        <f>IFERROR(TEXT(М4_АТ4042ROD_0584!D126,"h:mm"),"")</f>
        <v>15:00</v>
      </c>
      <c r="E248" s="24" t="str">
        <f t="shared" si="25"/>
        <v>№4</v>
      </c>
      <c r="F248" s="24" t="str">
        <f t="shared" si="26"/>
        <v>АТ 40-42/ROD21003</v>
      </c>
      <c r="G248" s="24" t="str">
        <f t="shared" si="27"/>
        <v>СВ 33-15 ЕО</v>
      </c>
      <c r="H248" s="24">
        <f>IFERROR(М4_АТ4042ROD_0584!G126,"")</f>
        <v>3</v>
      </c>
      <c r="J248" s="13" t="str">
        <f t="shared" si="20"/>
        <v>вул. Вокзальна|29а</v>
      </c>
      <c r="K248" s="32">
        <f t="shared" si="21"/>
        <v>0.625</v>
      </c>
      <c r="L248" s="13" t="str">
        <f>IF($A248="","",IF(COUNTIFS($J$4:$J248,$J248,$E$4:$E248,$E248)=1,$E248,""))</f>
        <v/>
      </c>
      <c r="M248" s="13" t="str">
        <f>IF($A248="","",IF(COUNTIFS($J$4:$J248,$J248,$F$4:$F248,$F248)=1,$F248,""))</f>
        <v/>
      </c>
    </row>
    <row r="249" spans="1:13" x14ac:dyDescent="0.35">
      <c r="A249" s="23" t="str">
        <f>IFERROR(М4_АТ4042ROD_0584!B142,"")</f>
        <v>вул. Вокзальна</v>
      </c>
      <c r="B249" s="23" t="str">
        <f>IFERROR(IF(М4_АТ4042ROD_0584!C142="","",TEXT(М4_АТ4042ROD_0584!C142,"General")),"")</f>
        <v>29а</v>
      </c>
      <c r="C249" s="24" t="str">
        <f>"Неділя"</f>
        <v>Неділя</v>
      </c>
      <c r="D249" s="24" t="str">
        <f>IFERROR(TEXT(М4_АТ4042ROD_0584!D142,"h:mm"),"")</f>
        <v>8:15</v>
      </c>
      <c r="E249" s="24" t="str">
        <f t="shared" si="25"/>
        <v>№4</v>
      </c>
      <c r="F249" s="24" t="str">
        <f t="shared" si="26"/>
        <v>АТ 40-42/ROD21003</v>
      </c>
      <c r="G249" s="24" t="str">
        <f t="shared" si="27"/>
        <v>СВ 33-15 ЕО</v>
      </c>
      <c r="H249" s="24">
        <f>IFERROR(М4_АТ4042ROD_0584!G142,"")</f>
        <v>3</v>
      </c>
      <c r="J249" s="13" t="str">
        <f t="shared" si="20"/>
        <v>вул. Вокзальна|29а</v>
      </c>
      <c r="K249" s="32">
        <f t="shared" si="21"/>
        <v>0.34375</v>
      </c>
      <c r="L249" s="13" t="str">
        <f>IF($A249="","",IF(COUNTIFS($J$4:$J249,$J249,$E$4:$E249,$E249)=1,$E249,""))</f>
        <v/>
      </c>
      <c r="M249" s="13" t="str">
        <f>IF($A249="","",IF(COUNTIFS($J$4:$J249,$J249,$F$4:$F249,$F249)=1,$F249,""))</f>
        <v/>
      </c>
    </row>
    <row r="250" spans="1:13" x14ac:dyDescent="0.35">
      <c r="A250" s="23" t="str">
        <f>IFERROR(М4_АТ4042ROD_0584!B9,"")</f>
        <v>вул. Вокзальна</v>
      </c>
      <c r="B250" s="23" t="str">
        <f>IFERROR(IF(М4_АТ4042ROD_0584!C9="","",TEXT(М4_АТ4042ROD_0584!C9,"General")),"")</f>
        <v>3</v>
      </c>
      <c r="C250" s="24" t="str">
        <f>"Понеділок"</f>
        <v>Понеділок</v>
      </c>
      <c r="D250" s="24" t="str">
        <f>IFERROR(TEXT(М4_АТ4042ROD_0584!D9,"h:mm"),"")</f>
        <v>8:15</v>
      </c>
      <c r="E250" s="24" t="str">
        <f t="shared" si="25"/>
        <v>№4</v>
      </c>
      <c r="F250" s="24" t="str">
        <f t="shared" si="26"/>
        <v>АТ 40-42/ROD21003</v>
      </c>
      <c r="G250" s="24" t="str">
        <f t="shared" si="27"/>
        <v>СВ 33-15 ЕО</v>
      </c>
      <c r="H250" s="24">
        <f>IFERROR(М4_АТ4042ROD_0584!G9,"")</f>
        <v>3</v>
      </c>
      <c r="J250" s="13" t="str">
        <f t="shared" si="20"/>
        <v>вул. Вокзальна|3</v>
      </c>
      <c r="K250" s="32">
        <f t="shared" si="21"/>
        <v>0.34375</v>
      </c>
      <c r="L250" s="13" t="str">
        <f>IF($A250="","",IF(COUNTIFS($J$4:$J250,$J250,$E$4:$E250,$E250)=1,$E250,""))</f>
        <v>№4</v>
      </c>
      <c r="M250" s="13" t="str">
        <f>IF($A250="","",IF(COUNTIFS($J$4:$J250,$J250,$F$4:$F250,$F250)=1,$F250,""))</f>
        <v>АТ 40-42/ROD21003</v>
      </c>
    </row>
    <row r="251" spans="1:13" x14ac:dyDescent="0.35">
      <c r="A251" s="23" t="str">
        <f>IFERROR(М4_АТ4042ROD_0584!B29,"")</f>
        <v>вул. Вокзальна</v>
      </c>
      <c r="B251" s="23" t="str">
        <f>IFERROR(IF(М4_АТ4042ROD_0584!C29="","",TEXT(М4_АТ4042ROD_0584!C29,"General")),"")</f>
        <v>3</v>
      </c>
      <c r="C251" s="24" t="str">
        <f>"Понеділок"</f>
        <v>Понеділок</v>
      </c>
      <c r="D251" s="24" t="str">
        <f>IFERROR(TEXT(М4_АТ4042ROD_0584!D29,"h:mm"),"")</f>
        <v>15:25</v>
      </c>
      <c r="E251" s="24" t="str">
        <f t="shared" si="25"/>
        <v>№4</v>
      </c>
      <c r="F251" s="24" t="str">
        <f t="shared" si="26"/>
        <v>АТ 40-42/ROD21003</v>
      </c>
      <c r="G251" s="24" t="str">
        <f t="shared" si="27"/>
        <v>СВ 33-15 ЕО</v>
      </c>
      <c r="H251" s="24">
        <f>IFERROR(М4_АТ4042ROD_0584!G29,"")</f>
        <v>3</v>
      </c>
      <c r="J251" s="13" t="str">
        <f t="shared" si="20"/>
        <v>вул. Вокзальна|3</v>
      </c>
      <c r="K251" s="32">
        <f t="shared" si="21"/>
        <v>0.64236111111111116</v>
      </c>
      <c r="L251" s="13" t="str">
        <f>IF($A251="","",IF(COUNTIFS($J$4:$J251,$J251,$E$4:$E251,$E251)=1,$E251,""))</f>
        <v/>
      </c>
      <c r="M251" s="13" t="str">
        <f>IF($A251="","",IF(COUNTIFS($J$4:$J251,$J251,$F$4:$F251,$F251)=1,$F251,""))</f>
        <v/>
      </c>
    </row>
    <row r="252" spans="1:13" x14ac:dyDescent="0.35">
      <c r="A252" s="23" t="str">
        <f>IFERROR(М4_АТ4042ROD_0584!B43,"")</f>
        <v>вул. Вокзальна</v>
      </c>
      <c r="B252" s="23" t="str">
        <f>IFERROR(IF(М4_АТ4042ROD_0584!C43="","",TEXT(М4_АТ4042ROD_0584!C43,"General")),"")</f>
        <v>3</v>
      </c>
      <c r="C252" s="24" t="str">
        <f>"Вівторок"</f>
        <v>Вівторок</v>
      </c>
      <c r="D252" s="24" t="str">
        <f>IFERROR(TEXT(М4_АТ4042ROD_0584!D43,"h:mm"),"")</f>
        <v>8:25</v>
      </c>
      <c r="E252" s="24" t="str">
        <f t="shared" si="25"/>
        <v>№4</v>
      </c>
      <c r="F252" s="24" t="str">
        <f t="shared" si="26"/>
        <v>АТ 40-42/ROD21003</v>
      </c>
      <c r="G252" s="24" t="str">
        <f t="shared" si="27"/>
        <v>СВ 33-15 ЕО</v>
      </c>
      <c r="H252" s="24">
        <f>IFERROR(М4_АТ4042ROD_0584!G43,"")</f>
        <v>3</v>
      </c>
      <c r="J252" s="13" t="str">
        <f t="shared" si="20"/>
        <v>вул. Вокзальна|3</v>
      </c>
      <c r="K252" s="32">
        <f t="shared" si="21"/>
        <v>0.35069444444444442</v>
      </c>
      <c r="L252" s="13" t="str">
        <f>IF($A252="","",IF(COUNTIFS($J$4:$J252,$J252,$E$4:$E252,$E252)=1,$E252,""))</f>
        <v/>
      </c>
      <c r="M252" s="13" t="str">
        <f>IF($A252="","",IF(COUNTIFS($J$4:$J252,$J252,$F$4:$F252,$F252)=1,$F252,""))</f>
        <v/>
      </c>
    </row>
    <row r="253" spans="1:13" x14ac:dyDescent="0.35">
      <c r="A253" s="23" t="str">
        <f>IFERROR(М4_АТ4042ROD_0584!B61,"")</f>
        <v>вул. Вокзальна</v>
      </c>
      <c r="B253" s="23" t="str">
        <f>IFERROR(IF(М4_АТ4042ROD_0584!C61="","",TEXT(М4_АТ4042ROD_0584!C61,"General")),"")</f>
        <v>3</v>
      </c>
      <c r="C253" s="24" t="str">
        <f>"Вівторок"</f>
        <v>Вівторок</v>
      </c>
      <c r="D253" s="24" t="str">
        <f>IFERROR(TEXT(М4_АТ4042ROD_0584!D61,"h:mm"),"")</f>
        <v>15:25</v>
      </c>
      <c r="E253" s="24" t="str">
        <f t="shared" si="25"/>
        <v>№4</v>
      </c>
      <c r="F253" s="24" t="str">
        <f t="shared" si="26"/>
        <v>АТ 40-42/ROD21003</v>
      </c>
      <c r="G253" s="24" t="str">
        <f t="shared" si="27"/>
        <v>СВ 33-15 ЕО</v>
      </c>
      <c r="H253" s="24">
        <f>IFERROR(М4_АТ4042ROD_0584!G61,"")</f>
        <v>3</v>
      </c>
      <c r="J253" s="13" t="str">
        <f t="shared" si="20"/>
        <v>вул. Вокзальна|3</v>
      </c>
      <c r="K253" s="32">
        <f t="shared" si="21"/>
        <v>0.64236111111111116</v>
      </c>
      <c r="L253" s="13" t="str">
        <f>IF($A253="","",IF(COUNTIFS($J$4:$J253,$J253,$E$4:$E253,$E253)=1,$E253,""))</f>
        <v/>
      </c>
      <c r="M253" s="13" t="str">
        <f>IF($A253="","",IF(COUNTIFS($J$4:$J253,$J253,$F$4:$F253,$F253)=1,$F253,""))</f>
        <v/>
      </c>
    </row>
    <row r="254" spans="1:13" x14ac:dyDescent="0.35">
      <c r="A254" s="23" t="str">
        <f>IFERROR('М3-4_ГАЗ3309_0590'!B73,"")</f>
        <v>вул. Вокзальна</v>
      </c>
      <c r="B254" s="23" t="str">
        <f>IFERROR(IF('М3-4_ГАЗ3309_0590'!C73="","",TEXT('М3-4_ГАЗ3309_0590'!C73,"General")),"")</f>
        <v>3</v>
      </c>
      <c r="C254" s="24" t="str">
        <f>"Середа"</f>
        <v>Середа</v>
      </c>
      <c r="D254" s="24" t="str">
        <f>IFERROR(TEXT('М3-4_ГАЗ3309_0590'!D73,"h:mm"),"")</f>
        <v>8:00</v>
      </c>
      <c r="E254" s="24" t="str">
        <f t="shared" si="25"/>
        <v>№4</v>
      </c>
      <c r="F254" s="24" t="str">
        <f>"ГАЗ 3309"</f>
        <v>ГАЗ 3309</v>
      </c>
      <c r="G254" s="24" t="str">
        <f>"СВ 17-85 ВН"</f>
        <v>СВ 17-85 ВН</v>
      </c>
      <c r="H254" s="24">
        <f>IFERROR('М3-4_ГАЗ3309_0590'!G73,"")</f>
        <v>3</v>
      </c>
      <c r="J254" s="13" t="str">
        <f t="shared" si="20"/>
        <v>вул. Вокзальна|3</v>
      </c>
      <c r="K254" s="32">
        <f t="shared" si="21"/>
        <v>0.33333333333333331</v>
      </c>
      <c r="L254" s="13" t="str">
        <f>IF($A254="","",IF(COUNTIFS($J$4:$J254,$J254,$E$4:$E254,$E254)=1,$E254,""))</f>
        <v/>
      </c>
      <c r="M254" s="13" t="str">
        <f>IF($A254="","",IF(COUNTIFS($J$4:$J254,$J254,$F$4:$F254,$F254)=1,$F254,""))</f>
        <v>ГАЗ 3309</v>
      </c>
    </row>
    <row r="255" spans="1:13" x14ac:dyDescent="0.35">
      <c r="A255" s="23" t="str">
        <f>IFERROR(М4_АТ4042ROD_0584!B74,"")</f>
        <v>вул. Вокзальна</v>
      </c>
      <c r="B255" s="23" t="str">
        <f>IFERROR(IF(М4_АТ4042ROD_0584!C74="","",TEXT(М4_АТ4042ROD_0584!C74,"General")),"")</f>
        <v>3</v>
      </c>
      <c r="C255" s="24" t="str">
        <f>"Четвер"</f>
        <v>Четвер</v>
      </c>
      <c r="D255" s="24" t="str">
        <f>IFERROR(TEXT(М4_АТ4042ROD_0584!D74,"h:mm"),"")</f>
        <v>8:15</v>
      </c>
      <c r="E255" s="24" t="str">
        <f t="shared" si="25"/>
        <v>№4</v>
      </c>
      <c r="F255" s="24" t="str">
        <f>"АТ 40-42/ROD21003"</f>
        <v>АТ 40-42/ROD21003</v>
      </c>
      <c r="G255" s="24" t="str">
        <f>"СВ 33-15 ЕО"</f>
        <v>СВ 33-15 ЕО</v>
      </c>
      <c r="H255" s="24">
        <f>IFERROR(М4_АТ4042ROD_0584!G74,"")</f>
        <v>3</v>
      </c>
      <c r="J255" s="13" t="str">
        <f t="shared" si="20"/>
        <v>вул. Вокзальна|3</v>
      </c>
      <c r="K255" s="32">
        <f t="shared" si="21"/>
        <v>0.34375</v>
      </c>
      <c r="L255" s="13" t="str">
        <f>IF($A255="","",IF(COUNTIFS($J$4:$J255,$J255,$E$4:$E255,$E255)=1,$E255,""))</f>
        <v/>
      </c>
      <c r="M255" s="13" t="str">
        <f>IF($A255="","",IF(COUNTIFS($J$4:$J255,$J255,$F$4:$F255,$F255)=1,$F255,""))</f>
        <v/>
      </c>
    </row>
    <row r="256" spans="1:13" x14ac:dyDescent="0.35">
      <c r="A256" s="23" t="str">
        <f>IFERROR(М4_АТ4042ROD_0584!B95,"")</f>
        <v>вул. Вокзальна</v>
      </c>
      <c r="B256" s="23" t="str">
        <f>IFERROR(IF(М4_АТ4042ROD_0584!C95="","",TEXT(М4_АТ4042ROD_0584!C95,"General")),"")</f>
        <v>3</v>
      </c>
      <c r="C256" s="24" t="str">
        <f>"Четвер"</f>
        <v>Четвер</v>
      </c>
      <c r="D256" s="24" t="str">
        <f>IFERROR(TEXT(М4_АТ4042ROD_0584!D95,"h:mm"),"")</f>
        <v>15:25</v>
      </c>
      <c r="E256" s="24" t="str">
        <f t="shared" si="25"/>
        <v>№4</v>
      </c>
      <c r="F256" s="24" t="str">
        <f>"АТ 40-42/ROD21003"</f>
        <v>АТ 40-42/ROD21003</v>
      </c>
      <c r="G256" s="24" t="str">
        <f>"СВ 33-15 ЕО"</f>
        <v>СВ 33-15 ЕО</v>
      </c>
      <c r="H256" s="24">
        <f>IFERROR(М4_АТ4042ROD_0584!G95,"")</f>
        <v>2</v>
      </c>
      <c r="J256" s="13" t="str">
        <f t="shared" si="20"/>
        <v>вул. Вокзальна|3</v>
      </c>
      <c r="K256" s="32">
        <f t="shared" si="21"/>
        <v>0.64236111111111116</v>
      </c>
      <c r="L256" s="13" t="str">
        <f>IF($A256="","",IF(COUNTIFS($J$4:$J256,$J256,$E$4:$E256,$E256)=1,$E256,""))</f>
        <v/>
      </c>
      <c r="M256" s="13" t="str">
        <f>IF($A256="","",IF(COUNTIFS($J$4:$J256,$J256,$F$4:$F256,$F256)=1,$F256,""))</f>
        <v/>
      </c>
    </row>
    <row r="257" spans="1:13" x14ac:dyDescent="0.35">
      <c r="A257" s="23" t="str">
        <f>IFERROR(М4_АТ4042ROD_0584!B108,"")</f>
        <v>вул. Вокзальна</v>
      </c>
      <c r="B257" s="23" t="str">
        <f>IFERROR(IF(М4_АТ4042ROD_0584!C108="","",TEXT(М4_АТ4042ROD_0584!C108,"General")),"")</f>
        <v>3</v>
      </c>
      <c r="C257" s="24" t="str">
        <f>"П'ятниця"</f>
        <v>П'ятниця</v>
      </c>
      <c r="D257" s="24" t="str">
        <f>IFERROR(TEXT(М4_АТ4042ROD_0584!D108,"h:mm"),"")</f>
        <v>8:15</v>
      </c>
      <c r="E257" s="24" t="str">
        <f t="shared" si="25"/>
        <v>№4</v>
      </c>
      <c r="F257" s="24" t="str">
        <f>"АТ 40-42/ROD21003"</f>
        <v>АТ 40-42/ROD21003</v>
      </c>
      <c r="G257" s="24" t="str">
        <f>"СВ 33-15 ЕО"</f>
        <v>СВ 33-15 ЕО</v>
      </c>
      <c r="H257" s="24">
        <f>IFERROR(М4_АТ4042ROD_0584!G108,"")</f>
        <v>3</v>
      </c>
      <c r="J257" s="13" t="str">
        <f t="shared" si="20"/>
        <v>вул. Вокзальна|3</v>
      </c>
      <c r="K257" s="32">
        <f t="shared" si="21"/>
        <v>0.34375</v>
      </c>
      <c r="L257" s="13" t="str">
        <f>IF($A257="","",IF(COUNTIFS($J$4:$J257,$J257,$E$4:$E257,$E257)=1,$E257,""))</f>
        <v/>
      </c>
      <c r="M257" s="13" t="str">
        <f>IF($A257="","",IF(COUNTIFS($J$4:$J257,$J257,$F$4:$F257,$F257)=1,$F257,""))</f>
        <v/>
      </c>
    </row>
    <row r="258" spans="1:13" x14ac:dyDescent="0.35">
      <c r="A258" s="23" t="str">
        <f>IFERROR(М4_АТ4042ROD_0584!B127,"")</f>
        <v>вул. Вокзальна</v>
      </c>
      <c r="B258" s="23" t="str">
        <f>IFERROR(IF(М4_АТ4042ROD_0584!C127="","",TEXT(М4_АТ4042ROD_0584!C127,"General")),"")</f>
        <v>3</v>
      </c>
      <c r="C258" s="24" t="str">
        <f>"П'ятниця"</f>
        <v>П'ятниця</v>
      </c>
      <c r="D258" s="24" t="str">
        <f>IFERROR(TEXT(М4_АТ4042ROD_0584!D127,"h:mm"),"")</f>
        <v>15:05</v>
      </c>
      <c r="E258" s="24" t="str">
        <f t="shared" si="25"/>
        <v>№4</v>
      </c>
      <c r="F258" s="24" t="str">
        <f>"АТ 40-42/ROD21003"</f>
        <v>АТ 40-42/ROD21003</v>
      </c>
      <c r="G258" s="24" t="str">
        <f>"СВ 33-15 ЕО"</f>
        <v>СВ 33-15 ЕО</v>
      </c>
      <c r="H258" s="24">
        <f>IFERROR(М4_АТ4042ROD_0584!G127,"")</f>
        <v>2</v>
      </c>
      <c r="J258" s="13" t="str">
        <f t="shared" si="20"/>
        <v>вул. Вокзальна|3</v>
      </c>
      <c r="K258" s="32">
        <f t="shared" si="21"/>
        <v>0.62847222222222221</v>
      </c>
      <c r="L258" s="13" t="str">
        <f>IF($A258="","",IF(COUNTIFS($J$4:$J258,$J258,$E$4:$E258,$E258)=1,$E258,""))</f>
        <v/>
      </c>
      <c r="M258" s="13" t="str">
        <f>IF($A258="","",IF(COUNTIFS($J$4:$J258,$J258,$F$4:$F258,$F258)=1,$F258,""))</f>
        <v/>
      </c>
    </row>
    <row r="259" spans="1:13" x14ac:dyDescent="0.35">
      <c r="A259" s="23" t="str">
        <f>IFERROR('М3-4_ГАЗ3309_0590'!B98,"")</f>
        <v>вул. Вокзальна</v>
      </c>
      <c r="B259" s="23" t="str">
        <f>IFERROR(IF('М3-4_ГАЗ3309_0590'!C98="","",TEXT('М3-4_ГАЗ3309_0590'!C98,"General")),"")</f>
        <v>3</v>
      </c>
      <c r="C259" s="24" t="str">
        <f>"Субота"</f>
        <v>Субота</v>
      </c>
      <c r="D259" s="24" t="str">
        <f>IFERROR(TEXT('М3-4_ГАЗ3309_0590'!D98,"h:mm"),"")</f>
        <v>8:00</v>
      </c>
      <c r="E259" s="24" t="str">
        <f t="shared" si="25"/>
        <v>№4</v>
      </c>
      <c r="F259" s="24" t="str">
        <f>"ГАЗ 3309"</f>
        <v>ГАЗ 3309</v>
      </c>
      <c r="G259" s="24" t="str">
        <f>"СВ 17-85 ВН"</f>
        <v>СВ 17-85 ВН</v>
      </c>
      <c r="H259" s="24">
        <f>IFERROR('М3-4_ГАЗ3309_0590'!G98,"")</f>
        <v>2</v>
      </c>
      <c r="J259" s="13" t="str">
        <f t="shared" si="20"/>
        <v>вул. Вокзальна|3</v>
      </c>
      <c r="K259" s="32">
        <f t="shared" si="21"/>
        <v>0.33333333333333331</v>
      </c>
      <c r="L259" s="13" t="str">
        <f>IF($A259="","",IF(COUNTIFS($J$4:$J259,$J259,$E$4:$E259,$E259)=1,$E259,""))</f>
        <v/>
      </c>
      <c r="M259" s="13" t="str">
        <f>IF($A259="","",IF(COUNTIFS($J$4:$J259,$J259,$F$4:$F259,$F259)=1,$F259,""))</f>
        <v/>
      </c>
    </row>
    <row r="260" spans="1:13" x14ac:dyDescent="0.35">
      <c r="A260" s="23" t="str">
        <f>IFERROR(М4_АТ4042ROD_0584!B143,"")</f>
        <v>вул. Вокзальна</v>
      </c>
      <c r="B260" s="23" t="str">
        <f>IFERROR(IF(М4_АТ4042ROD_0584!C143="","",TEXT(М4_АТ4042ROD_0584!C143,"General")),"")</f>
        <v>3</v>
      </c>
      <c r="C260" s="24" t="str">
        <f>"Неділя"</f>
        <v>Неділя</v>
      </c>
      <c r="D260" s="24" t="str">
        <f>IFERROR(TEXT(М4_АТ4042ROD_0584!D143,"h:mm"),"")</f>
        <v>8:25</v>
      </c>
      <c r="E260" s="24" t="str">
        <f t="shared" si="25"/>
        <v>№4</v>
      </c>
      <c r="F260" s="24" t="str">
        <f>"АТ 40-42/ROD21003"</f>
        <v>АТ 40-42/ROD21003</v>
      </c>
      <c r="G260" s="24" t="str">
        <f>"СВ 33-15 ЕО"</f>
        <v>СВ 33-15 ЕО</v>
      </c>
      <c r="H260" s="24">
        <f>IFERROR(М4_АТ4042ROD_0584!G143,"")</f>
        <v>3</v>
      </c>
      <c r="J260" s="13" t="str">
        <f t="shared" ref="J260:J323" si="28">IF(A260="","",A260&amp;"|"&amp;B260)</f>
        <v>вул. Вокзальна|3</v>
      </c>
      <c r="K260" s="32">
        <f t="shared" ref="K260:K323" si="29">IFERROR(IF(D260="","",IF(D260="×",9.99,TIMEVALUE(D260))),9.99)</f>
        <v>0.35069444444444442</v>
      </c>
      <c r="L260" s="13" t="str">
        <f>IF($A260="","",IF(COUNTIFS($J$4:$J260,$J260,$E$4:$E260,$E260)=1,$E260,""))</f>
        <v/>
      </c>
      <c r="M260" s="13" t="str">
        <f>IF($A260="","",IF(COUNTIFS($J$4:$J260,$J260,$F$4:$F260,$F260)=1,$F260,""))</f>
        <v/>
      </c>
    </row>
    <row r="261" spans="1:13" x14ac:dyDescent="0.35">
      <c r="A261" s="23" t="str">
        <f>IFERROR(М4_АТ4042ROD_0584!B160,"")</f>
        <v>вул. Вокзальна</v>
      </c>
      <c r="B261" s="23" t="str">
        <f>IFERROR(IF(М4_АТ4042ROD_0584!C160="","",TEXT(М4_АТ4042ROD_0584!C160,"General")),"")</f>
        <v>3</v>
      </c>
      <c r="C261" s="24" t="str">
        <f>"Неділя"</f>
        <v>Неділя</v>
      </c>
      <c r="D261" s="24" t="str">
        <f>IFERROR(TEXT(М4_АТ4042ROD_0584!D160,"h:mm"),"")</f>
        <v>15:25</v>
      </c>
      <c r="E261" s="24" t="str">
        <f t="shared" si="25"/>
        <v>№4</v>
      </c>
      <c r="F261" s="24" t="str">
        <f>"АТ 40-42/ROD21003"</f>
        <v>АТ 40-42/ROD21003</v>
      </c>
      <c r="G261" s="24" t="str">
        <f>"СВ 33-15 ЕО"</f>
        <v>СВ 33-15 ЕО</v>
      </c>
      <c r="H261" s="24">
        <f>IFERROR(М4_АТ4042ROD_0584!G160,"")</f>
        <v>3</v>
      </c>
      <c r="J261" s="13" t="str">
        <f t="shared" si="28"/>
        <v>вул. Вокзальна|3</v>
      </c>
      <c r="K261" s="32">
        <f t="shared" si="29"/>
        <v>0.64236111111111116</v>
      </c>
      <c r="L261" s="13" t="str">
        <f>IF($A261="","",IF(COUNTIFS($J$4:$J261,$J261,$E$4:$E261,$E261)=1,$E261,""))</f>
        <v/>
      </c>
      <c r="M261" s="13" t="str">
        <f>IF($A261="","",IF(COUNTIFS($J$4:$J261,$J261,$F$4:$F261,$F261)=1,$F261,""))</f>
        <v/>
      </c>
    </row>
    <row r="262" spans="1:13" x14ac:dyDescent="0.35">
      <c r="A262" s="23" t="str">
        <f>IFERROR(М4_АТ4042ROD_0584!B7,"")</f>
        <v>вул. Вокзальна</v>
      </c>
      <c r="B262" s="23" t="str">
        <f>IFERROR(IF(М4_АТ4042ROD_0584!C7="","",TEXT(М4_АТ4042ROD_0584!C7,"General")),"")</f>
        <v>35</v>
      </c>
      <c r="C262" s="24" t="str">
        <f>"Понеділок"</f>
        <v>Понеділок</v>
      </c>
      <c r="D262" s="24" t="str">
        <f>IFERROR(TEXT(М4_АТ4042ROD_0584!D7,"h:mm"),"")</f>
        <v>7:45</v>
      </c>
      <c r="E262" s="24" t="str">
        <f t="shared" si="25"/>
        <v>№4</v>
      </c>
      <c r="F262" s="24" t="str">
        <f>"АТ 40-42/ROD21003"</f>
        <v>АТ 40-42/ROD21003</v>
      </c>
      <c r="G262" s="24" t="str">
        <f>"СВ 33-15 ЕО"</f>
        <v>СВ 33-15 ЕО</v>
      </c>
      <c r="H262" s="24">
        <f>IFERROR(М4_АТ4042ROD_0584!G7,"")</f>
        <v>2</v>
      </c>
      <c r="J262" s="13" t="str">
        <f t="shared" si="28"/>
        <v>вул. Вокзальна|35</v>
      </c>
      <c r="K262" s="32">
        <f t="shared" si="29"/>
        <v>0.32291666666666669</v>
      </c>
      <c r="L262" s="13" t="str">
        <f>IF($A262="","",IF(COUNTIFS($J$4:$J262,$J262,$E$4:$E262,$E262)=1,$E262,""))</f>
        <v>№4</v>
      </c>
      <c r="M262" s="13" t="str">
        <f>IF($A262="","",IF(COUNTIFS($J$4:$J262,$J262,$F$4:$F262,$F262)=1,$F262,""))</f>
        <v>АТ 40-42/ROD21003</v>
      </c>
    </row>
    <row r="263" spans="1:13" x14ac:dyDescent="0.35">
      <c r="A263" s="23" t="str">
        <f>IFERROR(М4_АТ4042ROD_0584!B41,"")</f>
        <v>вул. Вокзальна</v>
      </c>
      <c r="B263" s="23" t="str">
        <f>IFERROR(IF(М4_АТ4042ROD_0584!C41="","",TEXT(М4_АТ4042ROD_0584!C41,"General")),"")</f>
        <v>35</v>
      </c>
      <c r="C263" s="24" t="str">
        <f>"Вівторок"</f>
        <v>Вівторок</v>
      </c>
      <c r="D263" s="24" t="str">
        <f>IFERROR(TEXT(М4_АТ4042ROD_0584!D41,"h:mm"),"")</f>
        <v>8:00</v>
      </c>
      <c r="E263" s="24" t="str">
        <f t="shared" si="25"/>
        <v>№4</v>
      </c>
      <c r="F263" s="24" t="str">
        <f>"АТ 40-42/ROD21003"</f>
        <v>АТ 40-42/ROD21003</v>
      </c>
      <c r="G263" s="24" t="str">
        <f>"СВ 33-15 ЕО"</f>
        <v>СВ 33-15 ЕО</v>
      </c>
      <c r="H263" s="24">
        <f>IFERROR(М4_АТ4042ROD_0584!G41,"")</f>
        <v>2</v>
      </c>
      <c r="J263" s="13" t="str">
        <f t="shared" si="28"/>
        <v>вул. Вокзальна|35</v>
      </c>
      <c r="K263" s="32">
        <f t="shared" si="29"/>
        <v>0.33333333333333331</v>
      </c>
      <c r="L263" s="13" t="str">
        <f>IF($A263="","",IF(COUNTIFS($J$4:$J263,$J263,$E$4:$E263,$E263)=1,$E263,""))</f>
        <v/>
      </c>
      <c r="M263" s="13" t="str">
        <f>IF($A263="","",IF(COUNTIFS($J$4:$J263,$J263,$F$4:$F263,$F263)=1,$F263,""))</f>
        <v/>
      </c>
    </row>
    <row r="264" spans="1:13" x14ac:dyDescent="0.35">
      <c r="A264" s="23" t="str">
        <f>IFERROR('М3-4_ГАЗ3309_0590'!B84,"")</f>
        <v>вул. Вокзальна</v>
      </c>
      <c r="B264" s="23" t="str">
        <f>IFERROR(IF('М3-4_ГАЗ3309_0590'!C84="","",TEXT('М3-4_ГАЗ3309_0590'!C84,"General")),"")</f>
        <v>35</v>
      </c>
      <c r="C264" s="24" t="str">
        <f>"Середа"</f>
        <v>Середа</v>
      </c>
      <c r="D264" s="24" t="str">
        <f>IFERROR(TEXT('М3-4_ГАЗ3309_0590'!D84,"h:mm"),"")</f>
        <v>13:55</v>
      </c>
      <c r="E264" s="24" t="str">
        <f t="shared" si="25"/>
        <v>№4</v>
      </c>
      <c r="F264" s="24" t="str">
        <f>"ГАЗ 3309"</f>
        <v>ГАЗ 3309</v>
      </c>
      <c r="G264" s="24" t="str">
        <f>"СВ 17-85 ВН"</f>
        <v>СВ 17-85 ВН</v>
      </c>
      <c r="H264" s="24">
        <f>IFERROR('М3-4_ГАЗ3309_0590'!G84,"")</f>
        <v>2</v>
      </c>
      <c r="J264" s="13" t="str">
        <f t="shared" si="28"/>
        <v>вул. Вокзальна|35</v>
      </c>
      <c r="K264" s="32">
        <f t="shared" si="29"/>
        <v>0.57986111111111116</v>
      </c>
      <c r="L264" s="13" t="str">
        <f>IF($A264="","",IF(COUNTIFS($J$4:$J264,$J264,$E$4:$E264,$E264)=1,$E264,""))</f>
        <v/>
      </c>
      <c r="M264" s="13" t="str">
        <f>IF($A264="","",IF(COUNTIFS($J$4:$J264,$J264,$F$4:$F264,$F264)=1,$F264,""))</f>
        <v>ГАЗ 3309</v>
      </c>
    </row>
    <row r="265" spans="1:13" x14ac:dyDescent="0.35">
      <c r="A265" s="23" t="str">
        <f>IFERROR(М4_АТ4042ROD_0584!B72,"")</f>
        <v>вул. Вокзальна</v>
      </c>
      <c r="B265" s="23" t="str">
        <f>IFERROR(IF(М4_АТ4042ROD_0584!C72="","",TEXT(М4_АТ4042ROD_0584!C72,"General")),"")</f>
        <v>35</v>
      </c>
      <c r="C265" s="24" t="str">
        <f>"Четвер"</f>
        <v>Четвер</v>
      </c>
      <c r="D265" s="24" t="str">
        <f>IFERROR(TEXT(М4_АТ4042ROD_0584!D72,"h:mm"),"")</f>
        <v>7:45</v>
      </c>
      <c r="E265" s="24" t="str">
        <f t="shared" si="25"/>
        <v>№4</v>
      </c>
      <c r="F265" s="24" t="str">
        <f>"АТ 40-42/ROD21003"</f>
        <v>АТ 40-42/ROD21003</v>
      </c>
      <c r="G265" s="24" t="str">
        <f>"СВ 33-15 ЕО"</f>
        <v>СВ 33-15 ЕО</v>
      </c>
      <c r="H265" s="24">
        <f>IFERROR(М4_АТ4042ROD_0584!G72,"")</f>
        <v>2</v>
      </c>
      <c r="J265" s="13" t="str">
        <f t="shared" si="28"/>
        <v>вул. Вокзальна|35</v>
      </c>
      <c r="K265" s="32">
        <f t="shared" si="29"/>
        <v>0.32291666666666669</v>
      </c>
      <c r="L265" s="13" t="str">
        <f>IF($A265="","",IF(COUNTIFS($J$4:$J265,$J265,$E$4:$E265,$E265)=1,$E265,""))</f>
        <v/>
      </c>
      <c r="M265" s="13" t="str">
        <f>IF($A265="","",IF(COUNTIFS($J$4:$J265,$J265,$F$4:$F265,$F265)=1,$F265,""))</f>
        <v/>
      </c>
    </row>
    <row r="266" spans="1:13" x14ac:dyDescent="0.35">
      <c r="A266" s="23" t="str">
        <f>IFERROR(М4_АТ4042ROD_0584!B106,"")</f>
        <v>вул. Вокзальна</v>
      </c>
      <c r="B266" s="23" t="str">
        <f>IFERROR(IF(М4_АТ4042ROD_0584!C106="","",TEXT(М4_АТ4042ROD_0584!C106,"General")),"")</f>
        <v>35</v>
      </c>
      <c r="C266" s="24" t="str">
        <f>"П'ятниця"</f>
        <v>П'ятниця</v>
      </c>
      <c r="D266" s="24" t="str">
        <f>IFERROR(TEXT(М4_АТ4042ROD_0584!D106,"h:mm"),"")</f>
        <v>7:45</v>
      </c>
      <c r="E266" s="24" t="str">
        <f t="shared" si="25"/>
        <v>№4</v>
      </c>
      <c r="F266" s="24" t="str">
        <f>"АТ 40-42/ROD21003"</f>
        <v>АТ 40-42/ROD21003</v>
      </c>
      <c r="G266" s="24" t="str">
        <f>"СВ 33-15 ЕО"</f>
        <v>СВ 33-15 ЕО</v>
      </c>
      <c r="H266" s="24">
        <f>IFERROR(М4_АТ4042ROD_0584!G106,"")</f>
        <v>2</v>
      </c>
      <c r="J266" s="13" t="str">
        <f t="shared" si="28"/>
        <v>вул. Вокзальна|35</v>
      </c>
      <c r="K266" s="32">
        <f t="shared" si="29"/>
        <v>0.32291666666666669</v>
      </c>
      <c r="L266" s="13" t="str">
        <f>IF($A266="","",IF(COUNTIFS($J$4:$J266,$J266,$E$4:$E266,$E266)=1,$E266,""))</f>
        <v/>
      </c>
      <c r="M266" s="13" t="str">
        <f>IF($A266="","",IF(COUNTIFS($J$4:$J266,$J266,$F$4:$F266,$F266)=1,$F266,""))</f>
        <v/>
      </c>
    </row>
    <row r="267" spans="1:13" x14ac:dyDescent="0.35">
      <c r="A267" s="23" t="str">
        <f>IFERROR('М3-4_ГАЗ3309_0590'!B109,"")</f>
        <v>вул. Вокзальна</v>
      </c>
      <c r="B267" s="23" t="str">
        <f>IFERROR(IF('М3-4_ГАЗ3309_0590'!C109="","",TEXT('М3-4_ГАЗ3309_0590'!C109,"General")),"")</f>
        <v>35</v>
      </c>
      <c r="C267" s="24" t="str">
        <f>"Субота"</f>
        <v>Субота</v>
      </c>
      <c r="D267" s="24" t="str">
        <f>IFERROR(TEXT('М3-4_ГАЗ3309_0590'!D109,"h:mm"),"")</f>
        <v>13:55</v>
      </c>
      <c r="E267" s="24" t="str">
        <f t="shared" si="25"/>
        <v>№4</v>
      </c>
      <c r="F267" s="24" t="str">
        <f>"ГАЗ 3309"</f>
        <v>ГАЗ 3309</v>
      </c>
      <c r="G267" s="24" t="str">
        <f>"СВ 17-85 ВН"</f>
        <v>СВ 17-85 ВН</v>
      </c>
      <c r="H267" s="24">
        <f>IFERROR('М3-4_ГАЗ3309_0590'!G109,"")</f>
        <v>2</v>
      </c>
      <c r="J267" s="13" t="str">
        <f t="shared" si="28"/>
        <v>вул. Вокзальна|35</v>
      </c>
      <c r="K267" s="32">
        <f t="shared" si="29"/>
        <v>0.57986111111111116</v>
      </c>
      <c r="L267" s="13" t="str">
        <f>IF($A267="","",IF(COUNTIFS($J$4:$J267,$J267,$E$4:$E267,$E267)=1,$E267,""))</f>
        <v/>
      </c>
      <c r="M267" s="13" t="str">
        <f>IF($A267="","",IF(COUNTIFS($J$4:$J267,$J267,$F$4:$F267,$F267)=1,$F267,""))</f>
        <v/>
      </c>
    </row>
    <row r="268" spans="1:13" x14ac:dyDescent="0.35">
      <c r="A268" s="23" t="str">
        <f>IFERROR(М4_АТ4042ROD_0584!B141,"")</f>
        <v>вул. Вокзальна</v>
      </c>
      <c r="B268" s="23" t="str">
        <f>IFERROR(IF(М4_АТ4042ROD_0584!C141="","",TEXT(М4_АТ4042ROD_0584!C141,"General")),"")</f>
        <v>35</v>
      </c>
      <c r="C268" s="24" t="str">
        <f>"Неділя"</f>
        <v>Неділя</v>
      </c>
      <c r="D268" s="24" t="str">
        <f>IFERROR(TEXT(М4_АТ4042ROD_0584!D141,"h:mm"),"")</f>
        <v>8:00</v>
      </c>
      <c r="E268" s="24" t="str">
        <f t="shared" si="25"/>
        <v>№4</v>
      </c>
      <c r="F268" s="24" t="str">
        <f>"АТ 40-42/ROD21003"</f>
        <v>АТ 40-42/ROD21003</v>
      </c>
      <c r="G268" s="24" t="str">
        <f>"СВ 33-15 ЕО"</f>
        <v>СВ 33-15 ЕО</v>
      </c>
      <c r="H268" s="24">
        <f>IFERROR(М4_АТ4042ROD_0584!G141,"")</f>
        <v>2</v>
      </c>
      <c r="J268" s="13" t="str">
        <f t="shared" si="28"/>
        <v>вул. Вокзальна|35</v>
      </c>
      <c r="K268" s="32">
        <f t="shared" si="29"/>
        <v>0.33333333333333331</v>
      </c>
      <c r="L268" s="13" t="str">
        <f>IF($A268="","",IF(COUNTIFS($J$4:$J268,$J268,$E$4:$E268,$E268)=1,$E268,""))</f>
        <v/>
      </c>
      <c r="M268" s="13" t="str">
        <f>IF($A268="","",IF(COUNTIFS($J$4:$J268,$J268,$F$4:$F268,$F268)=1,$F268,""))</f>
        <v/>
      </c>
    </row>
    <row r="269" spans="1:13" x14ac:dyDescent="0.35">
      <c r="A269" s="23" t="str">
        <f>IFERROR(М4_АТ4042ROD_0584!B30,"")</f>
        <v>вул. Вокзальна</v>
      </c>
      <c r="B269" s="23" t="str">
        <f>IFERROR(IF(М4_АТ4042ROD_0584!C30="","",TEXT(М4_АТ4042ROD_0584!C30,"General")),"")</f>
        <v>5 ліцей</v>
      </c>
      <c r="C269" s="24" t="str">
        <f>"Понеділок"</f>
        <v>Понеділок</v>
      </c>
      <c r="D269" s="24" t="str">
        <f>IFERROR(TEXT(М4_АТ4042ROD_0584!D30,"h:mm"),"")</f>
        <v>15:30</v>
      </c>
      <c r="E269" s="24" t="str">
        <f t="shared" si="25"/>
        <v>№4</v>
      </c>
      <c r="F269" s="24" t="str">
        <f>"АТ 40-42/ROD21003"</f>
        <v>АТ 40-42/ROD21003</v>
      </c>
      <c r="G269" s="24" t="str">
        <f>"СВ 33-15 ЕО"</f>
        <v>СВ 33-15 ЕО</v>
      </c>
      <c r="H269" s="24">
        <f>IFERROR(М4_АТ4042ROD_0584!G30,"")</f>
        <v>3</v>
      </c>
      <c r="J269" s="13" t="str">
        <f t="shared" si="28"/>
        <v>вул. Вокзальна|5 ліцей</v>
      </c>
      <c r="K269" s="32">
        <f t="shared" si="29"/>
        <v>0.64583333333333337</v>
      </c>
      <c r="L269" s="13" t="str">
        <f>IF($A269="","",IF(COUNTIFS($J$4:$J269,$J269,$E$4:$E269,$E269)=1,$E269,""))</f>
        <v>№4</v>
      </c>
      <c r="M269" s="13" t="str">
        <f>IF($A269="","",IF(COUNTIFS($J$4:$J269,$J269,$F$4:$F269,$F269)=1,$F269,""))</f>
        <v>АТ 40-42/ROD21003</v>
      </c>
    </row>
    <row r="270" spans="1:13" x14ac:dyDescent="0.35">
      <c r="A270" s="23" t="str">
        <f>IFERROR('М1-2_АТ4021-1120_0585'!B19,"")</f>
        <v>вул. Вокзальна</v>
      </c>
      <c r="B270" s="23" t="str">
        <f>IFERROR(IF('М1-2_АТ4021-1120_0585'!C19="","",TEXT('М1-2_АТ4021-1120_0585'!C19,"General")),"")</f>
        <v>Аврора</v>
      </c>
      <c r="C270" s="24" t="str">
        <f>"Понеділок"</f>
        <v>Понеділок</v>
      </c>
      <c r="D270" s="24" t="str">
        <f>IFERROR(TEXT('М1-2_АТ4021-1120_0585'!D19,"h:mm"),"")</f>
        <v>12:20</v>
      </c>
      <c r="E270" s="24" t="str">
        <f>"№1"</f>
        <v>№1</v>
      </c>
      <c r="F270" s="24" t="str">
        <f>"АТ-4021/1120"</f>
        <v>АТ-4021/1120</v>
      </c>
      <c r="G270" s="24" t="str">
        <f>"СВ 14-65 ЕО"</f>
        <v>СВ 14-65 ЕО</v>
      </c>
      <c r="H270" s="24">
        <f>IFERROR('М1-2_АТ4021-1120_0585'!G19,"")</f>
        <v>1</v>
      </c>
      <c r="J270" s="13" t="str">
        <f t="shared" si="28"/>
        <v>вул. Вокзальна|Аврора</v>
      </c>
      <c r="K270" s="32">
        <f t="shared" si="29"/>
        <v>0.51388888888888884</v>
      </c>
      <c r="L270" s="13" t="str">
        <f>IF($A270="","",IF(COUNTIFS($J$4:$J270,$J270,$E$4:$E270,$E270)=1,$E270,""))</f>
        <v>№1</v>
      </c>
      <c r="M270" s="13" t="str">
        <f>IF($A270="","",IF(COUNTIFS($J$4:$J270,$J270,$F$4:$F270,$F270)=1,$F270,""))</f>
        <v>АТ-4021/1120</v>
      </c>
    </row>
    <row r="271" spans="1:13" x14ac:dyDescent="0.35">
      <c r="A271" s="23" t="str">
        <f>IFERROR('М2_АТ4021-1120_0588'!B10,"")</f>
        <v>вул. Вокзальна</v>
      </c>
      <c r="B271" s="23" t="str">
        <f>IFERROR(IF('М2_АТ4021-1120_0588'!C10="","",TEXT('М2_АТ4021-1120_0588'!C10,"General")),"")</f>
        <v>центр зайнятості</v>
      </c>
      <c r="C271" s="24" t="str">
        <f>"Понеділок"</f>
        <v>Понеділок</v>
      </c>
      <c r="D271" s="24" t="str">
        <f>IFERROR(TEXT('М2_АТ4021-1120_0588'!D10,"h:mm"),"")</f>
        <v>8:10</v>
      </c>
      <c r="E271" s="24" t="str">
        <f t="shared" ref="E271:E281" si="30">"№2"</f>
        <v>№2</v>
      </c>
      <c r="F271" s="24" t="str">
        <f>"АТ 4021/1120"</f>
        <v>АТ 4021/1120</v>
      </c>
      <c r="G271" s="24" t="str">
        <f>"СВ 64-11 ЕТ"</f>
        <v>СВ 64-11 ЕТ</v>
      </c>
      <c r="H271" s="24">
        <f>IFERROR('М2_АТ4021-1120_0588'!G10,"")</f>
        <v>3</v>
      </c>
      <c r="J271" s="13" t="str">
        <f t="shared" si="28"/>
        <v>вул. Вокзальна|центр зайнятості</v>
      </c>
      <c r="K271" s="32">
        <f t="shared" si="29"/>
        <v>0.34027777777777779</v>
      </c>
      <c r="L271" s="13" t="str">
        <f>IF($A271="","",IF(COUNTIFS($J$4:$J271,$J271,$E$4:$E271,$E271)=1,$E271,""))</f>
        <v>№2</v>
      </c>
      <c r="M271" s="13" t="str">
        <f>IF($A271="","",IF(COUNTIFS($J$4:$J271,$J271,$F$4:$F271,$F271)=1,$F271,""))</f>
        <v>АТ 4021/1120</v>
      </c>
    </row>
    <row r="272" spans="1:13" x14ac:dyDescent="0.35">
      <c r="A272" s="23" t="str">
        <f>IFERROR('М2_АТ4021-1120_0588'!B41,"")</f>
        <v>вул. Вокзальна</v>
      </c>
      <c r="B272" s="23" t="str">
        <f>IFERROR(IF('М2_АТ4021-1120_0588'!C41="","",TEXT('М2_АТ4021-1120_0588'!C41,"General")),"")</f>
        <v>центр зайнятості</v>
      </c>
      <c r="C272" s="24" t="str">
        <f>"Вівторок"</f>
        <v>Вівторок</v>
      </c>
      <c r="D272" s="24" t="str">
        <f>IFERROR(TEXT('М2_АТ4021-1120_0588'!D41,"h:mm"),"")</f>
        <v>8:10</v>
      </c>
      <c r="E272" s="24" t="str">
        <f t="shared" si="30"/>
        <v>№2</v>
      </c>
      <c r="F272" s="24" t="str">
        <f>"АТ 4021/1120"</f>
        <v>АТ 4021/1120</v>
      </c>
      <c r="G272" s="24" t="str">
        <f>"СВ 64-11 ЕТ"</f>
        <v>СВ 64-11 ЕТ</v>
      </c>
      <c r="H272" s="24">
        <f>IFERROR('М2_АТ4021-1120_0588'!G41,"")</f>
        <v>3</v>
      </c>
      <c r="J272" s="13" t="str">
        <f t="shared" si="28"/>
        <v>вул. Вокзальна|центр зайнятості</v>
      </c>
      <c r="K272" s="32">
        <f t="shared" si="29"/>
        <v>0.34027777777777779</v>
      </c>
      <c r="L272" s="13" t="str">
        <f>IF($A272="","",IF(COUNTIFS($J$4:$J272,$J272,$E$4:$E272,$E272)=1,$E272,""))</f>
        <v/>
      </c>
      <c r="M272" s="13" t="str">
        <f>IF($A272="","",IF(COUNTIFS($J$4:$J272,$J272,$F$4:$F272,$F272)=1,$F272,""))</f>
        <v/>
      </c>
    </row>
    <row r="273" spans="1:13" x14ac:dyDescent="0.35">
      <c r="A273" s="23" t="str">
        <f>IFERROR('М2_АТ4021-1120_0588'!B58,"")</f>
        <v>вул. Вокзальна</v>
      </c>
      <c r="B273" s="23" t="str">
        <f>IFERROR(IF('М2_АТ4021-1120_0588'!C58="","",TEXT('М2_АТ4021-1120_0588'!C58,"General")),"")</f>
        <v>центр зайнятості</v>
      </c>
      <c r="C273" s="24" t="str">
        <f>"Вівторок"</f>
        <v>Вівторок</v>
      </c>
      <c r="D273" s="24" t="str">
        <f>IFERROR(TEXT('М2_АТ4021-1120_0588'!D58,"h:mm"),"")</f>
        <v>15:30</v>
      </c>
      <c r="E273" s="24" t="str">
        <f t="shared" si="30"/>
        <v>№2</v>
      </c>
      <c r="F273" s="24" t="str">
        <f>"АТ 4021/1120"</f>
        <v>АТ 4021/1120</v>
      </c>
      <c r="G273" s="24" t="str">
        <f>"СВ 64-11 ЕТ"</f>
        <v>СВ 64-11 ЕТ</v>
      </c>
      <c r="H273" s="24">
        <f>IFERROR('М2_АТ4021-1120_0588'!G58,"")</f>
        <v>3</v>
      </c>
      <c r="J273" s="13" t="str">
        <f t="shared" si="28"/>
        <v>вул. Вокзальна|центр зайнятості</v>
      </c>
      <c r="K273" s="32">
        <f t="shared" si="29"/>
        <v>0.64583333333333337</v>
      </c>
      <c r="L273" s="13" t="str">
        <f>IF($A273="","",IF(COUNTIFS($J$4:$J273,$J273,$E$4:$E273,$E273)=1,$E273,""))</f>
        <v/>
      </c>
      <c r="M273" s="13" t="str">
        <f>IF($A273="","",IF(COUNTIFS($J$4:$J273,$J273,$F$4:$F273,$F273)=1,$F273,""))</f>
        <v/>
      </c>
    </row>
    <row r="274" spans="1:13" x14ac:dyDescent="0.35">
      <c r="A274" s="23" t="str">
        <f>IFERROR('М1-2_АТ4021-1120_0585'!B51,"")</f>
        <v>вул. Вокзальна</v>
      </c>
      <c r="B274" s="23" t="str">
        <f>IFERROR(IF('М1-2_АТ4021-1120_0585'!C51="","",TEXT('М1-2_АТ4021-1120_0585'!C51,"General")),"")</f>
        <v>центр зайнятості</v>
      </c>
      <c r="C274" s="24" t="str">
        <f>"Середа"</f>
        <v>Середа</v>
      </c>
      <c r="D274" s="24" t="str">
        <f>IFERROR(TEXT('М1-2_АТ4021-1120_0585'!D51,"h:mm"),"")</f>
        <v>8:20</v>
      </c>
      <c r="E274" s="24" t="str">
        <f t="shared" si="30"/>
        <v>№2</v>
      </c>
      <c r="F274" s="24" t="str">
        <f>"АТ-4021/1120"</f>
        <v>АТ-4021/1120</v>
      </c>
      <c r="G274" s="24" t="str">
        <f>"СВ 14-65 ЕО"</f>
        <v>СВ 14-65 ЕО</v>
      </c>
      <c r="H274" s="24">
        <f>IFERROR('М1-2_АТ4021-1120_0585'!G51,"")</f>
        <v>3</v>
      </c>
      <c r="J274" s="13" t="str">
        <f t="shared" si="28"/>
        <v>вул. Вокзальна|центр зайнятості</v>
      </c>
      <c r="K274" s="32">
        <f t="shared" si="29"/>
        <v>0.34722222222222221</v>
      </c>
      <c r="L274" s="13" t="str">
        <f>IF($A274="","",IF(COUNTIFS($J$4:$J274,$J274,$E$4:$E274,$E274)=1,$E274,""))</f>
        <v/>
      </c>
      <c r="M274" s="13" t="str">
        <f>IF($A274="","",IF(COUNTIFS($J$4:$J274,$J274,$F$4:$F274,$F274)=1,$F274,""))</f>
        <v>АТ-4021/1120</v>
      </c>
    </row>
    <row r="275" spans="1:13" x14ac:dyDescent="0.35">
      <c r="A275" s="23" t="str">
        <f>IFERROR('М1-2_АТ4021-1120_0585'!B68,"")</f>
        <v>вул. Вокзальна</v>
      </c>
      <c r="B275" s="23" t="str">
        <f>IFERROR(IF('М1-2_АТ4021-1120_0585'!C68="","",TEXT('М1-2_АТ4021-1120_0585'!C68,"General")),"")</f>
        <v>центр зайнятості</v>
      </c>
      <c r="C275" s="24" t="str">
        <f>"Середа"</f>
        <v>Середа</v>
      </c>
      <c r="D275" s="24" t="str">
        <f>IFERROR(TEXT('М1-2_АТ4021-1120_0585'!D68,"h:mm"),"")</f>
        <v>15:15</v>
      </c>
      <c r="E275" s="24" t="str">
        <f t="shared" si="30"/>
        <v>№2</v>
      </c>
      <c r="F275" s="24" t="str">
        <f>"АТ-4021/1120"</f>
        <v>АТ-4021/1120</v>
      </c>
      <c r="G275" s="24" t="str">
        <f>"СВ 14-65 ЕО"</f>
        <v>СВ 14-65 ЕО</v>
      </c>
      <c r="H275" s="24">
        <f>IFERROR('М1-2_АТ4021-1120_0585'!G68,"")</f>
        <v>3</v>
      </c>
      <c r="J275" s="13" t="str">
        <f t="shared" si="28"/>
        <v>вул. Вокзальна|центр зайнятості</v>
      </c>
      <c r="K275" s="32">
        <f t="shared" si="29"/>
        <v>0.63541666666666663</v>
      </c>
      <c r="L275" s="13" t="str">
        <f>IF($A275="","",IF(COUNTIFS($J$4:$J275,$J275,$E$4:$E275,$E275)=1,$E275,""))</f>
        <v/>
      </c>
      <c r="M275" s="13" t="str">
        <f>IF($A275="","",IF(COUNTIFS($J$4:$J275,$J275,$F$4:$F275,$F275)=1,$F275,""))</f>
        <v/>
      </c>
    </row>
    <row r="276" spans="1:13" x14ac:dyDescent="0.35">
      <c r="A276" s="23" t="str">
        <f>IFERROR('М2_АТ4021-1120_0588'!B72,"")</f>
        <v>вул. Вокзальна</v>
      </c>
      <c r="B276" s="23" t="str">
        <f>IFERROR(IF('М2_АТ4021-1120_0588'!C72="","",TEXT('М2_АТ4021-1120_0588'!C72,"General")),"")</f>
        <v>центр зайнятості</v>
      </c>
      <c r="C276" s="24" t="str">
        <f>"Четвер"</f>
        <v>Четвер</v>
      </c>
      <c r="D276" s="24" t="str">
        <f>IFERROR(TEXT('М2_АТ4021-1120_0588'!D72,"h:mm"),"")</f>
        <v>8:10</v>
      </c>
      <c r="E276" s="24" t="str">
        <f t="shared" si="30"/>
        <v>№2</v>
      </c>
      <c r="F276" s="24" t="str">
        <f>"АТ 4021/1120"</f>
        <v>АТ 4021/1120</v>
      </c>
      <c r="G276" s="24" t="str">
        <f>"СВ 64-11 ЕТ"</f>
        <v>СВ 64-11 ЕТ</v>
      </c>
      <c r="H276" s="24">
        <f>IFERROR('М2_АТ4021-1120_0588'!G72,"")</f>
        <v>3</v>
      </c>
      <c r="J276" s="13" t="str">
        <f t="shared" si="28"/>
        <v>вул. Вокзальна|центр зайнятості</v>
      </c>
      <c r="K276" s="32">
        <f t="shared" si="29"/>
        <v>0.34027777777777779</v>
      </c>
      <c r="L276" s="13" t="str">
        <f>IF($A276="","",IF(COUNTIFS($J$4:$J276,$J276,$E$4:$E276,$E276)=1,$E276,""))</f>
        <v/>
      </c>
      <c r="M276" s="13" t="str">
        <f>IF($A276="","",IF(COUNTIFS($J$4:$J276,$J276,$F$4:$F276,$F276)=1,$F276,""))</f>
        <v/>
      </c>
    </row>
    <row r="277" spans="1:13" x14ac:dyDescent="0.35">
      <c r="A277" s="23" t="str">
        <f>IFERROR('М2_АТ4021-1120_0588'!B102,"")</f>
        <v>вул. Вокзальна</v>
      </c>
      <c r="B277" s="23" t="str">
        <f>IFERROR(IF('М2_АТ4021-1120_0588'!C102="","",TEXT('М2_АТ4021-1120_0588'!C102,"General")),"")</f>
        <v>центр зайнятості</v>
      </c>
      <c r="C277" s="24" t="str">
        <f>"П'ятниця"</f>
        <v>П'ятниця</v>
      </c>
      <c r="D277" s="24" t="str">
        <f>IFERROR(TEXT('М2_АТ4021-1120_0588'!D102,"h:mm"),"")</f>
        <v>8:10</v>
      </c>
      <c r="E277" s="24" t="str">
        <f t="shared" si="30"/>
        <v>№2</v>
      </c>
      <c r="F277" s="24" t="str">
        <f>"АТ 4021/1120"</f>
        <v>АТ 4021/1120</v>
      </c>
      <c r="G277" s="24" t="str">
        <f>"СВ 64-11 ЕТ"</f>
        <v>СВ 64-11 ЕТ</v>
      </c>
      <c r="H277" s="24">
        <f>IFERROR('М2_АТ4021-1120_0588'!G102,"")</f>
        <v>3</v>
      </c>
      <c r="J277" s="13" t="str">
        <f t="shared" si="28"/>
        <v>вул. Вокзальна|центр зайнятості</v>
      </c>
      <c r="K277" s="32">
        <f t="shared" si="29"/>
        <v>0.34027777777777779</v>
      </c>
      <c r="L277" s="13" t="str">
        <f>IF($A277="","",IF(COUNTIFS($J$4:$J277,$J277,$E$4:$E277,$E277)=1,$E277,""))</f>
        <v/>
      </c>
      <c r="M277" s="13" t="str">
        <f>IF($A277="","",IF(COUNTIFS($J$4:$J277,$J277,$F$4:$F277,$F277)=1,$F277,""))</f>
        <v/>
      </c>
    </row>
    <row r="278" spans="1:13" x14ac:dyDescent="0.35">
      <c r="A278" s="23" t="str">
        <f>IFERROR('М1-2_АТ4021-1120_0585'!B80,"")</f>
        <v>вул. Вокзальна</v>
      </c>
      <c r="B278" s="23" t="str">
        <f>IFERROR(IF('М1-2_АТ4021-1120_0585'!C80="","",TEXT('М1-2_АТ4021-1120_0585'!C80,"General")),"")</f>
        <v>центр зайнятості</v>
      </c>
      <c r="C278" s="24" t="str">
        <f>"Субота"</f>
        <v>Субота</v>
      </c>
      <c r="D278" s="24" t="str">
        <f>IFERROR(TEXT('М1-2_АТ4021-1120_0585'!D80,"h:mm"),"")</f>
        <v>8:20</v>
      </c>
      <c r="E278" s="24" t="str">
        <f t="shared" si="30"/>
        <v>№2</v>
      </c>
      <c r="F278" s="24" t="str">
        <f>"АТ-4021/1120"</f>
        <v>АТ-4021/1120</v>
      </c>
      <c r="G278" s="24" t="str">
        <f>"СВ 14-65 ЕО"</f>
        <v>СВ 14-65 ЕО</v>
      </c>
      <c r="H278" s="24">
        <f>IFERROR('М1-2_АТ4021-1120_0585'!G80,"")</f>
        <v>3</v>
      </c>
      <c r="J278" s="13" t="str">
        <f t="shared" si="28"/>
        <v>вул. Вокзальна|центр зайнятості</v>
      </c>
      <c r="K278" s="32">
        <f t="shared" si="29"/>
        <v>0.34722222222222221</v>
      </c>
      <c r="L278" s="13" t="str">
        <f>IF($A278="","",IF(COUNTIFS($J$4:$J278,$J278,$E$4:$E278,$E278)=1,$E278,""))</f>
        <v/>
      </c>
      <c r="M278" s="13" t="str">
        <f>IF($A278="","",IF(COUNTIFS($J$4:$J278,$J278,$F$4:$F278,$F278)=1,$F278,""))</f>
        <v/>
      </c>
    </row>
    <row r="279" spans="1:13" x14ac:dyDescent="0.35">
      <c r="A279" s="23" t="str">
        <f>IFERROR('М1-2_АТ4021-1120_0585'!B97,"")</f>
        <v>вул. Вокзальна</v>
      </c>
      <c r="B279" s="23" t="str">
        <f>IFERROR(IF('М1-2_АТ4021-1120_0585'!C97="","",TEXT('М1-2_АТ4021-1120_0585'!C97,"General")),"")</f>
        <v>центр зайнятості</v>
      </c>
      <c r="C279" s="24" t="str">
        <f>"Субота"</f>
        <v>Субота</v>
      </c>
      <c r="D279" s="24" t="str">
        <f>IFERROR(TEXT('М1-2_АТ4021-1120_0585'!D97,"h:mm"),"")</f>
        <v>15:15</v>
      </c>
      <c r="E279" s="24" t="str">
        <f t="shared" si="30"/>
        <v>№2</v>
      </c>
      <c r="F279" s="24" t="str">
        <f>"АТ-4021/1120"</f>
        <v>АТ-4021/1120</v>
      </c>
      <c r="G279" s="24" t="str">
        <f>"СВ 14-65 ЕО"</f>
        <v>СВ 14-65 ЕО</v>
      </c>
      <c r="H279" s="24">
        <f>IFERROR('М1-2_АТ4021-1120_0585'!G97,"")</f>
        <v>3</v>
      </c>
      <c r="J279" s="13" t="str">
        <f t="shared" si="28"/>
        <v>вул. Вокзальна|центр зайнятості</v>
      </c>
      <c r="K279" s="32">
        <f t="shared" si="29"/>
        <v>0.63541666666666663</v>
      </c>
      <c r="L279" s="13" t="str">
        <f>IF($A279="","",IF(COUNTIFS($J$4:$J279,$J279,$E$4:$E279,$E279)=1,$E279,""))</f>
        <v/>
      </c>
      <c r="M279" s="13" t="str">
        <f>IF($A279="","",IF(COUNTIFS($J$4:$J279,$J279,$F$4:$F279,$F279)=1,$F279,""))</f>
        <v/>
      </c>
    </row>
    <row r="280" spans="1:13" x14ac:dyDescent="0.35">
      <c r="A280" s="23" t="str">
        <f>IFERROR('М2_АТ4021-1120_0588'!B132,"")</f>
        <v>вул. Вокзальна</v>
      </c>
      <c r="B280" s="23" t="str">
        <f>IFERROR(IF('М2_АТ4021-1120_0588'!C132="","",TEXT('М2_АТ4021-1120_0588'!C132,"General")),"")</f>
        <v>центр зайнятості</v>
      </c>
      <c r="C280" s="24" t="str">
        <f>"Неділя"</f>
        <v>Неділя</v>
      </c>
      <c r="D280" s="24" t="str">
        <f>IFERROR(TEXT('М2_АТ4021-1120_0588'!D132,"h:mm"),"")</f>
        <v>8:10</v>
      </c>
      <c r="E280" s="24" t="str">
        <f t="shared" si="30"/>
        <v>№2</v>
      </c>
      <c r="F280" s="24" t="str">
        <f>"АТ 4021/1120"</f>
        <v>АТ 4021/1120</v>
      </c>
      <c r="G280" s="24" t="str">
        <f>"СВ 64-11 ЕТ"</f>
        <v>СВ 64-11 ЕТ</v>
      </c>
      <c r="H280" s="24">
        <f>IFERROR('М2_АТ4021-1120_0588'!G132,"")</f>
        <v>3</v>
      </c>
      <c r="J280" s="13" t="str">
        <f t="shared" si="28"/>
        <v>вул. Вокзальна|центр зайнятості</v>
      </c>
      <c r="K280" s="32">
        <f t="shared" si="29"/>
        <v>0.34027777777777779</v>
      </c>
      <c r="L280" s="13" t="str">
        <f>IF($A280="","",IF(COUNTIFS($J$4:$J280,$J280,$E$4:$E280,$E280)=1,$E280,""))</f>
        <v/>
      </c>
      <c r="M280" s="13" t="str">
        <f>IF($A280="","",IF(COUNTIFS($J$4:$J280,$J280,$F$4:$F280,$F280)=1,$F280,""))</f>
        <v/>
      </c>
    </row>
    <row r="281" spans="1:13" x14ac:dyDescent="0.35">
      <c r="A281" s="23" t="str">
        <f>IFERROR('М2_АТ4021-1120_0588'!B148,"")</f>
        <v>вул. Вокзальна</v>
      </c>
      <c r="B281" s="23" t="str">
        <f>IFERROR(IF('М2_АТ4021-1120_0588'!C148="","",TEXT('М2_АТ4021-1120_0588'!C148,"General")),"")</f>
        <v>центр зайнятості</v>
      </c>
      <c r="C281" s="24" t="str">
        <f>"Неділя"</f>
        <v>Неділя</v>
      </c>
      <c r="D281" s="24" t="str">
        <f>IFERROR(TEXT('М2_АТ4021-1120_0588'!D148,"h:mm"),"")</f>
        <v>15:05</v>
      </c>
      <c r="E281" s="24" t="str">
        <f t="shared" si="30"/>
        <v>№2</v>
      </c>
      <c r="F281" s="24" t="str">
        <f>"АТ 4021/1120"</f>
        <v>АТ 4021/1120</v>
      </c>
      <c r="G281" s="24" t="str">
        <f>"СВ 64-11 ЕТ"</f>
        <v>СВ 64-11 ЕТ</v>
      </c>
      <c r="H281" s="24">
        <f>IFERROR('М2_АТ4021-1120_0588'!G148,"")</f>
        <v>3</v>
      </c>
      <c r="J281" s="13" t="str">
        <f t="shared" si="28"/>
        <v>вул. Вокзальна|центр зайнятості</v>
      </c>
      <c r="K281" s="32">
        <f t="shared" si="29"/>
        <v>0.62847222222222221</v>
      </c>
      <c r="L281" s="13" t="str">
        <f>IF($A281="","",IF(COUNTIFS($J$4:$J281,$J281,$E$4:$E281,$E281)=1,$E281,""))</f>
        <v/>
      </c>
      <c r="M281" s="13" t="str">
        <f>IF($A281="","",IF(COUNTIFS($J$4:$J281,$J281,$F$4:$F281,$F281)=1,$F281,""))</f>
        <v/>
      </c>
    </row>
    <row r="282" spans="1:13" x14ac:dyDescent="0.35">
      <c r="A282" s="23" t="str">
        <f>IFERROR(М6_АТ4021_0586!B67,"")</f>
        <v>вул. Волошинівська</v>
      </c>
      <c r="B282" s="23" t="str">
        <f>IFERROR(IF(М6_АТ4021_0586!C67="","",TEXT(М6_АТ4021_0586!C67,"General")),"")</f>
        <v>3,23  42,60</v>
      </c>
      <c r="C282" s="24" t="str">
        <f>"Вівторок"</f>
        <v>Вівторок</v>
      </c>
      <c r="D282" s="24" t="str">
        <f>IFERROR(TEXT(М6_АТ4021_0586!D67,"h:mm"),"")</f>
        <v>14:55</v>
      </c>
      <c r="E282" s="24" t="str">
        <f>"№6"</f>
        <v>№6</v>
      </c>
      <c r="F282" s="24" t="str">
        <f>"АТ 4021"</f>
        <v>АТ 4021</v>
      </c>
      <c r="G282" s="24" t="str">
        <f>"СВ 33-16 ЕО"</f>
        <v>СВ 33-16 ЕО</v>
      </c>
      <c r="H282" s="24"/>
      <c r="J282" s="13" t="str">
        <f t="shared" si="28"/>
        <v>вул. Волошинівська|3,23  42,60</v>
      </c>
      <c r="K282" s="32">
        <f t="shared" si="29"/>
        <v>0.62152777777777779</v>
      </c>
      <c r="L282" s="13" t="str">
        <f>IF($A282="","",IF(COUNTIFS($J$4:$J282,$J282,$E$4:$E282,$E282)=1,$E282,""))</f>
        <v>№6</v>
      </c>
      <c r="M282" s="13" t="str">
        <f>IF($A282="","",IF(COUNTIFS($J$4:$J282,$J282,$F$4:$F282,$F282)=1,$F282,""))</f>
        <v>АТ 4021</v>
      </c>
    </row>
    <row r="283" spans="1:13" x14ac:dyDescent="0.35">
      <c r="A283" s="23" t="str">
        <f>IFERROR(М5_МАЗ4381_0592!B75,"")</f>
        <v>вул. Військова</v>
      </c>
      <c r="B283" s="23" t="str">
        <f>IFERROR(IF(М5_МАЗ4381_0592!C75="","",TEXT(М5_МАЗ4381_0592!C75,"General")),"")</f>
        <v/>
      </c>
      <c r="C283" s="24" t="str">
        <f>"Вівторок"</f>
        <v>Вівторок</v>
      </c>
      <c r="D283" s="24" t="str">
        <f>IFERROR(TEXT(М5_МАЗ4381_0592!D75,"h:mm"),"")</f>
        <v>15:15</v>
      </c>
      <c r="E283" s="24" t="str">
        <f>"№5"</f>
        <v>№5</v>
      </c>
      <c r="F283" s="24" t="str">
        <f>"МАЗ 4381"</f>
        <v>МАЗ 4381</v>
      </c>
      <c r="G283" s="24" t="str">
        <f>"СВ 81-71 ВК"</f>
        <v>СВ 81-71 ВК</v>
      </c>
      <c r="H283" s="24"/>
      <c r="J283" s="13" t="str">
        <f t="shared" si="28"/>
        <v>вул. Військова|</v>
      </c>
      <c r="K283" s="32">
        <f t="shared" si="29"/>
        <v>0.63541666666666663</v>
      </c>
      <c r="L283" s="13" t="str">
        <f>IF($A283="","",IF(COUNTIFS($J$4:$J283,$J283,$E$4:$E283,$E283)=1,$E283,""))</f>
        <v>№5</v>
      </c>
      <c r="M283" s="13" t="str">
        <f>IF($A283="","",IF(COUNTIFS($J$4:$J283,$J283,$F$4:$F283,$F283)=1,$F283,""))</f>
        <v>МАЗ 4381</v>
      </c>
    </row>
    <row r="284" spans="1:13" x14ac:dyDescent="0.35">
      <c r="A284" s="23" t="str">
        <f>IFERROR(М5_МАЗ4381_0592!B129,"")</f>
        <v>вул. Військова</v>
      </c>
      <c r="B284" s="23" t="str">
        <f>IFERROR(IF(М5_МАЗ4381_0592!C129="","",TEXT(М5_МАЗ4381_0592!C129,"General")),"")</f>
        <v/>
      </c>
      <c r="C284" s="24" t="str">
        <f>"Четвер"</f>
        <v>Четвер</v>
      </c>
      <c r="D284" s="24" t="str">
        <f>IFERROR(TEXT(М5_МАЗ4381_0592!D129,"h:mm"),"")</f>
        <v>9:30</v>
      </c>
      <c r="E284" s="24" t="str">
        <f>"№5"</f>
        <v>№5</v>
      </c>
      <c r="F284" s="24" t="str">
        <f>"МАЗ 4381"</f>
        <v>МАЗ 4381</v>
      </c>
      <c r="G284" s="24" t="str">
        <f>"СВ 81-71 ВК"</f>
        <v>СВ 81-71 ВК</v>
      </c>
      <c r="H284" s="24"/>
      <c r="J284" s="13" t="str">
        <f t="shared" si="28"/>
        <v>вул. Військова|</v>
      </c>
      <c r="K284" s="32">
        <f t="shared" si="29"/>
        <v>0.39583333333333331</v>
      </c>
      <c r="L284" s="13" t="str">
        <f>IF($A284="","",IF(COUNTIFS($J$4:$J284,$J284,$E$4:$E284,$E284)=1,$E284,""))</f>
        <v/>
      </c>
      <c r="M284" s="13" t="str">
        <f>IF($A284="","",IF(COUNTIFS($J$4:$J284,$J284,$F$4:$F284,$F284)=1,$F284,""))</f>
        <v/>
      </c>
    </row>
    <row r="285" spans="1:13" x14ac:dyDescent="0.35">
      <c r="A285" s="23" t="str">
        <f>IFERROR(М5_МАЗ4381_0592!B11,"")</f>
        <v>вул. Г. Сагайдачного</v>
      </c>
      <c r="B285" s="23" t="str">
        <f>IFERROR(IF(М5_МАЗ4381_0592!C11="","",TEXT(М5_МАЗ4381_0592!C11,"General")),"")</f>
        <v/>
      </c>
      <c r="C285" s="24" t="str">
        <f>"Понеділок"</f>
        <v>Понеділок</v>
      </c>
      <c r="D285" s="24" t="str">
        <f>IFERROR(TEXT(М5_МАЗ4381_0592!D11,"h:mm"),"")</f>
        <v>7:50</v>
      </c>
      <c r="E285" s="24" t="str">
        <f>"№5"</f>
        <v>№5</v>
      </c>
      <c r="F285" s="24" t="str">
        <f>"МАЗ 4381"</f>
        <v>МАЗ 4381</v>
      </c>
      <c r="G285" s="24" t="str">
        <f>"СВ 81-71 ВК"</f>
        <v>СВ 81-71 ВК</v>
      </c>
      <c r="H285" s="24"/>
      <c r="J285" s="13" t="str">
        <f t="shared" si="28"/>
        <v>вул. Г. Сагайдачного|</v>
      </c>
      <c r="K285" s="32">
        <f t="shared" si="29"/>
        <v>0.3263888888888889</v>
      </c>
      <c r="L285" s="13" t="str">
        <f>IF($A285="","",IF(COUNTIFS($J$4:$J285,$J285,$E$4:$E285,$E285)=1,$E285,""))</f>
        <v>№5</v>
      </c>
      <c r="M285" s="13" t="str">
        <f>IF($A285="","",IF(COUNTIFS($J$4:$J285,$J285,$F$4:$F285,$F285)=1,$F285,""))</f>
        <v>МАЗ 4381</v>
      </c>
    </row>
    <row r="286" spans="1:13" x14ac:dyDescent="0.35">
      <c r="A286" s="23" t="str">
        <f>IFERROR(М3_МАЗ4371_0587!B28,"")</f>
        <v>вул. Галаганівська</v>
      </c>
      <c r="B286" s="23" t="str">
        <f>IFERROR(IF(М3_МАЗ4371_0587!C28="","",TEXT(М3_МАЗ4371_0587!C28,"General")),"")</f>
        <v>арка</v>
      </c>
      <c r="C286" s="24" t="str">
        <f>"Понеділок"</f>
        <v>Понеділок</v>
      </c>
      <c r="D286" s="24" t="str">
        <f>IFERROR(TEXT(М3_МАЗ4371_0587!D28,"h:mm"),"")</f>
        <v>13:10</v>
      </c>
      <c r="E286" s="24" t="str">
        <f t="shared" ref="E286:E292" si="31">"№3"</f>
        <v>№3</v>
      </c>
      <c r="F286" s="24" t="str">
        <f>"МАЗ-4371"</f>
        <v>МАЗ-4371</v>
      </c>
      <c r="G286" s="24" t="str">
        <f>"СВ 53-06 СА"</f>
        <v>СВ 53-06 СА</v>
      </c>
      <c r="H286" s="24">
        <f>IFERROR(М3_МАЗ4371_0587!G28,"")</f>
        <v>3</v>
      </c>
      <c r="J286" s="13" t="str">
        <f t="shared" si="28"/>
        <v>вул. Галаганівська|арка</v>
      </c>
      <c r="K286" s="32">
        <f t="shared" si="29"/>
        <v>0.54861111111111116</v>
      </c>
      <c r="L286" s="13" t="str">
        <f>IF($A286="","",IF(COUNTIFS($J$4:$J286,$J286,$E$4:$E286,$E286)=1,$E286,""))</f>
        <v>№3</v>
      </c>
      <c r="M286" s="13" t="str">
        <f>IF($A286="","",IF(COUNTIFS($J$4:$J286,$J286,$F$4:$F286,$F286)=1,$F286,""))</f>
        <v>МАЗ-4371</v>
      </c>
    </row>
    <row r="287" spans="1:13" x14ac:dyDescent="0.35">
      <c r="A287" s="23" t="str">
        <f>IFERROR(М3_МАЗ4371_0587!B66,"")</f>
        <v>вул. Галаганівська</v>
      </c>
      <c r="B287" s="23" t="str">
        <f>IFERROR(IF(М3_МАЗ4371_0587!C66="","",TEXT(М3_МАЗ4371_0587!C66,"General")),"")</f>
        <v>арка</v>
      </c>
      <c r="C287" s="24" t="str">
        <f>"Вівторок"</f>
        <v>Вівторок</v>
      </c>
      <c r="D287" s="24" t="str">
        <f>IFERROR(TEXT(М3_МАЗ4371_0587!D66,"h:mm"),"")</f>
        <v>14:40</v>
      </c>
      <c r="E287" s="24" t="str">
        <f t="shared" si="31"/>
        <v>№3</v>
      </c>
      <c r="F287" s="24" t="str">
        <f>"МАЗ-4371"</f>
        <v>МАЗ-4371</v>
      </c>
      <c r="G287" s="24" t="str">
        <f>"СВ 53-06 СА"</f>
        <v>СВ 53-06 СА</v>
      </c>
      <c r="H287" s="24">
        <f>IFERROR(М3_МАЗ4371_0587!G66,"")</f>
        <v>3</v>
      </c>
      <c r="J287" s="13" t="str">
        <f t="shared" si="28"/>
        <v>вул. Галаганівська|арка</v>
      </c>
      <c r="K287" s="32">
        <f t="shared" si="29"/>
        <v>0.61111111111111116</v>
      </c>
      <c r="L287" s="13" t="str">
        <f>IF($A287="","",IF(COUNTIFS($J$4:$J287,$J287,$E$4:$E287,$E287)=1,$E287,""))</f>
        <v/>
      </c>
      <c r="M287" s="13" t="str">
        <f>IF($A287="","",IF(COUNTIFS($J$4:$J287,$J287,$F$4:$F287,$F287)=1,$F287,""))</f>
        <v/>
      </c>
    </row>
    <row r="288" spans="1:13" x14ac:dyDescent="0.35">
      <c r="A288" s="23" t="str">
        <f>IFERROR(М3_МАЗ4371_0587!B94,"")</f>
        <v>вул. Галаганівська</v>
      </c>
      <c r="B288" s="23" t="str">
        <f>IFERROR(IF(М3_МАЗ4371_0587!C94="","",TEXT(М3_МАЗ4371_0587!C94,"General")),"")</f>
        <v>арка</v>
      </c>
      <c r="C288" s="24" t="str">
        <f>"Середа"</f>
        <v>Середа</v>
      </c>
      <c r="D288" s="24" t="str">
        <f>IFERROR(TEXT(М3_МАЗ4371_0587!D94,"h:mm"),"")</f>
        <v>12:55</v>
      </c>
      <c r="E288" s="24" t="str">
        <f t="shared" si="31"/>
        <v>№3</v>
      </c>
      <c r="F288" s="24" t="str">
        <f>"МАЗ-4371"</f>
        <v>МАЗ-4371</v>
      </c>
      <c r="G288" s="24" t="str">
        <f>"СВ 53-06 СА"</f>
        <v>СВ 53-06 СА</v>
      </c>
      <c r="H288" s="24">
        <f>IFERROR(М3_МАЗ4371_0587!G94,"")</f>
        <v>3</v>
      </c>
      <c r="J288" s="13" t="str">
        <f t="shared" si="28"/>
        <v>вул. Галаганівська|арка</v>
      </c>
      <c r="K288" s="32">
        <f t="shared" si="29"/>
        <v>0.53819444444444442</v>
      </c>
      <c r="L288" s="13" t="str">
        <f>IF($A288="","",IF(COUNTIFS($J$4:$J288,$J288,$E$4:$E288,$E288)=1,$E288,""))</f>
        <v/>
      </c>
      <c r="M288" s="13" t="str">
        <f>IF($A288="","",IF(COUNTIFS($J$4:$J288,$J288,$F$4:$F288,$F288)=1,$F288,""))</f>
        <v/>
      </c>
    </row>
    <row r="289" spans="1:13" x14ac:dyDescent="0.35">
      <c r="A289" s="23" t="str">
        <f>IFERROR('М3-4_ГАЗ3309_0590'!B25,"")</f>
        <v>вул. Галаганівська</v>
      </c>
      <c r="B289" s="23" t="str">
        <f>IFERROR(IF('М3-4_ГАЗ3309_0590'!C25="","",TEXT('М3-4_ГАЗ3309_0590'!C25,"General")),"")</f>
        <v>арка</v>
      </c>
      <c r="C289" s="24" t="str">
        <f>"Четвер"</f>
        <v>Четвер</v>
      </c>
      <c r="D289" s="24" t="str">
        <f>IFERROR(TEXT('М3-4_ГАЗ3309_0590'!D25,"h:mm"),"")</f>
        <v>14:10</v>
      </c>
      <c r="E289" s="24" t="str">
        <f t="shared" si="31"/>
        <v>№3</v>
      </c>
      <c r="F289" s="24" t="str">
        <f>"ГАЗ 3309"</f>
        <v>ГАЗ 3309</v>
      </c>
      <c r="G289" s="24" t="str">
        <f>"СВ 17-85 ВН"</f>
        <v>СВ 17-85 ВН</v>
      </c>
      <c r="H289" s="24">
        <f>IFERROR('М3-4_ГАЗ3309_0590'!G25,"")</f>
        <v>2</v>
      </c>
      <c r="J289" s="13" t="str">
        <f t="shared" si="28"/>
        <v>вул. Галаганівська|арка</v>
      </c>
      <c r="K289" s="32">
        <f t="shared" si="29"/>
        <v>0.59027777777777779</v>
      </c>
      <c r="L289" s="13" t="str">
        <f>IF($A289="","",IF(COUNTIFS($J$4:$J289,$J289,$E$4:$E289,$E289)=1,$E289,""))</f>
        <v/>
      </c>
      <c r="M289" s="13" t="str">
        <f>IF($A289="","",IF(COUNTIFS($J$4:$J289,$J289,$F$4:$F289,$F289)=1,$F289,""))</f>
        <v>ГАЗ 3309</v>
      </c>
    </row>
    <row r="290" spans="1:13" x14ac:dyDescent="0.35">
      <c r="A290" s="23" t="str">
        <f>IFERROR(М3_МАЗ4371_0587!B134,"")</f>
        <v>вул. Галаганівська</v>
      </c>
      <c r="B290" s="23" t="str">
        <f>IFERROR(IF(М3_МАЗ4371_0587!C134="","",TEXT(М3_МАЗ4371_0587!C134,"General")),"")</f>
        <v>арка</v>
      </c>
      <c r="C290" s="24" t="str">
        <f>"П'ятниця"</f>
        <v>П'ятниця</v>
      </c>
      <c r="D290" s="24" t="str">
        <f>IFERROR(TEXT(М3_МАЗ4371_0587!D134,"h:mm"),"")</f>
        <v>12:55</v>
      </c>
      <c r="E290" s="24" t="str">
        <f t="shared" si="31"/>
        <v>№3</v>
      </c>
      <c r="F290" s="24" t="str">
        <f>"МАЗ-4371"</f>
        <v>МАЗ-4371</v>
      </c>
      <c r="G290" s="24" t="str">
        <f>"СВ 53-06 СА"</f>
        <v>СВ 53-06 СА</v>
      </c>
      <c r="H290" s="24">
        <f>IFERROR(М3_МАЗ4371_0587!G134,"")</f>
        <v>3</v>
      </c>
      <c r="J290" s="13" t="str">
        <f t="shared" si="28"/>
        <v>вул. Галаганівська|арка</v>
      </c>
      <c r="K290" s="32">
        <f t="shared" si="29"/>
        <v>0.53819444444444442</v>
      </c>
      <c r="L290" s="13" t="str">
        <f>IF($A290="","",IF(COUNTIFS($J$4:$J290,$J290,$E$4:$E290,$E290)=1,$E290,""))</f>
        <v/>
      </c>
      <c r="M290" s="13" t="str">
        <f>IF($A290="","",IF(COUNTIFS($J$4:$J290,$J290,$F$4:$F290,$F290)=1,$F290,""))</f>
        <v/>
      </c>
    </row>
    <row r="291" spans="1:13" x14ac:dyDescent="0.35">
      <c r="A291" s="23" t="str">
        <f>IFERROR(М3_МАЗ4371_0587!B173,"")</f>
        <v>вул. Галаганівська</v>
      </c>
      <c r="B291" s="23" t="str">
        <f>IFERROR(IF(М3_МАЗ4371_0587!C173="","",TEXT(М3_МАЗ4371_0587!C173,"General")),"")</f>
        <v>арка</v>
      </c>
      <c r="C291" s="24" t="str">
        <f>"Субота"</f>
        <v>Субота</v>
      </c>
      <c r="D291" s="24" t="str">
        <f>IFERROR(TEXT(М3_МАЗ4371_0587!D173,"h:mm"),"")</f>
        <v>15:00</v>
      </c>
      <c r="E291" s="24" t="str">
        <f t="shared" si="31"/>
        <v>№3</v>
      </c>
      <c r="F291" s="24" t="str">
        <f>"МАЗ-4371"</f>
        <v>МАЗ-4371</v>
      </c>
      <c r="G291" s="24" t="str">
        <f>"СВ 53-06 СА"</f>
        <v>СВ 53-06 СА</v>
      </c>
      <c r="H291" s="24">
        <f>IFERROR(М3_МАЗ4371_0587!G173,"")</f>
        <v>3</v>
      </c>
      <c r="J291" s="13" t="str">
        <f t="shared" si="28"/>
        <v>вул. Галаганівська|арка</v>
      </c>
      <c r="K291" s="32">
        <f t="shared" si="29"/>
        <v>0.625</v>
      </c>
      <c r="L291" s="13" t="str">
        <f>IF($A291="","",IF(COUNTIFS($J$4:$J291,$J291,$E$4:$E291,$E291)=1,$E291,""))</f>
        <v/>
      </c>
      <c r="M291" s="13" t="str">
        <f>IF($A291="","",IF(COUNTIFS($J$4:$J291,$J291,$F$4:$F291,$F291)=1,$F291,""))</f>
        <v/>
      </c>
    </row>
    <row r="292" spans="1:13" x14ac:dyDescent="0.35">
      <c r="A292" s="23" t="str">
        <f>IFERROR('М3-4_ГАЗ3309_0590'!B57,"")</f>
        <v>вул. Галаганівська</v>
      </c>
      <c r="B292" s="23" t="str">
        <f>IFERROR(IF('М3-4_ГАЗ3309_0590'!C57="","",TEXT('М3-4_ГАЗ3309_0590'!C57,"General")),"")</f>
        <v>арка</v>
      </c>
      <c r="C292" s="24" t="str">
        <f>"Неділя"</f>
        <v>Неділя</v>
      </c>
      <c r="D292" s="24" t="str">
        <f>IFERROR(TEXT('М3-4_ГАЗ3309_0590'!D57,"h:mm"),"")</f>
        <v>14:10</v>
      </c>
      <c r="E292" s="24" t="str">
        <f t="shared" si="31"/>
        <v>№3</v>
      </c>
      <c r="F292" s="24" t="str">
        <f>"ГАЗ 3309"</f>
        <v>ГАЗ 3309</v>
      </c>
      <c r="G292" s="24" t="str">
        <f>"СВ 17-85 ВН"</f>
        <v>СВ 17-85 ВН</v>
      </c>
      <c r="H292" s="24">
        <f>IFERROR('М3-4_ГАЗ3309_0590'!G57,"")</f>
        <v>2</v>
      </c>
      <c r="J292" s="13" t="str">
        <f t="shared" si="28"/>
        <v>вул. Галаганівська|арка</v>
      </c>
      <c r="K292" s="32">
        <f t="shared" si="29"/>
        <v>0.59027777777777779</v>
      </c>
      <c r="L292" s="13" t="str">
        <f>IF($A292="","",IF(COUNTIFS($J$4:$J292,$J292,$E$4:$E292,$E292)=1,$E292,""))</f>
        <v/>
      </c>
      <c r="M292" s="13" t="str">
        <f>IF($A292="","",IF(COUNTIFS($J$4:$J292,$J292,$F$4:$F292,$F292)=1,$F292,""))</f>
        <v/>
      </c>
    </row>
    <row r="293" spans="1:13" x14ac:dyDescent="0.35">
      <c r="A293" s="23" t="str">
        <f>IFERROR(М5_МАЗ4381_0592!B6,"")</f>
        <v>вул. Гвардійська</v>
      </c>
      <c r="B293" s="23" t="str">
        <f>IFERROR(IF(М5_МАЗ4381_0592!C6="","",TEXT(М5_МАЗ4381_0592!C6,"General")),"")</f>
        <v/>
      </c>
      <c r="C293" s="24" t="str">
        <f>"Понеділок"</f>
        <v>Понеділок</v>
      </c>
      <c r="D293" s="24" t="str">
        <f>IFERROR(TEXT(М5_МАЗ4381_0592!D6,"h:mm"),"")</f>
        <v>7:00</v>
      </c>
      <c r="E293" s="24" t="str">
        <f>"№5"</f>
        <v>№5</v>
      </c>
      <c r="F293" s="24" t="str">
        <f>"МАЗ 4381"</f>
        <v>МАЗ 4381</v>
      </c>
      <c r="G293" s="24" t="str">
        <f>"СВ 81-71 ВК"</f>
        <v>СВ 81-71 ВК</v>
      </c>
      <c r="H293" s="24"/>
      <c r="J293" s="13" t="str">
        <f t="shared" si="28"/>
        <v>вул. Гвардійська|</v>
      </c>
      <c r="K293" s="32">
        <f t="shared" si="29"/>
        <v>0.29166666666666669</v>
      </c>
      <c r="L293" s="13" t="str">
        <f>IF($A293="","",IF(COUNTIFS($J$4:$J293,$J293,$E$4:$E293,$E293)=1,$E293,""))</f>
        <v>№5</v>
      </c>
      <c r="M293" s="13" t="str">
        <f>IF($A293="","",IF(COUNTIFS($J$4:$J293,$J293,$F$4:$F293,$F293)=1,$F293,""))</f>
        <v>МАЗ 4381</v>
      </c>
    </row>
    <row r="294" spans="1:13" x14ac:dyDescent="0.35">
      <c r="A294" s="23" t="str">
        <f>IFERROR(М5_МАЗ4381_0592!B118,"")</f>
        <v>вул. Гвардійська</v>
      </c>
      <c r="B294" s="23" t="str">
        <f>IFERROR(IF(М5_МАЗ4381_0592!C118="","",TEXT(М5_МАЗ4381_0592!C118,"General")),"")</f>
        <v/>
      </c>
      <c r="C294" s="24" t="str">
        <f>"Четвер"</f>
        <v>Четвер</v>
      </c>
      <c r="D294" s="24" t="str">
        <f>IFERROR(TEXT(М5_МАЗ4381_0592!D118,"h:mm"),"")</f>
        <v>7:00</v>
      </c>
      <c r="E294" s="24" t="str">
        <f>"№5"</f>
        <v>№5</v>
      </c>
      <c r="F294" s="24" t="str">
        <f>"МАЗ 4381"</f>
        <v>МАЗ 4381</v>
      </c>
      <c r="G294" s="24" t="str">
        <f>"СВ 81-71 ВК"</f>
        <v>СВ 81-71 ВК</v>
      </c>
      <c r="H294" s="24"/>
      <c r="J294" s="13" t="str">
        <f t="shared" si="28"/>
        <v>вул. Гвардійська|</v>
      </c>
      <c r="K294" s="32">
        <f t="shared" si="29"/>
        <v>0.29166666666666669</v>
      </c>
      <c r="L294" s="13" t="str">
        <f>IF($A294="","",IF(COUNTIFS($J$4:$J294,$J294,$E$4:$E294,$E294)=1,$E294,""))</f>
        <v/>
      </c>
      <c r="M294" s="13" t="str">
        <f>IF($A294="","",IF(COUNTIFS($J$4:$J294,$J294,$F$4:$F294,$F294)=1,$F294,""))</f>
        <v/>
      </c>
    </row>
    <row r="295" spans="1:13" x14ac:dyDescent="0.35">
      <c r="A295" s="23" t="str">
        <f>IFERROR(М6_АТ4021_0586!B142,"")</f>
        <v>вул. Гвардійська</v>
      </c>
      <c r="B295" s="23" t="str">
        <f>IFERROR(IF(М6_АТ4021_0586!C142="","",TEXT(М6_АТ4021_0586!C142,"General")),"")</f>
        <v/>
      </c>
      <c r="C295" s="24" t="str">
        <f>"Четвер"</f>
        <v>Четвер</v>
      </c>
      <c r="D295" s="24" t="str">
        <f>IFERROR(TEXT(М6_АТ4021_0586!D142,"h:mm"),"")</f>
        <v>14:25</v>
      </c>
      <c r="E295" s="24" t="str">
        <f>"№6"</f>
        <v>№6</v>
      </c>
      <c r="F295" s="24" t="str">
        <f>"АТ 4021"</f>
        <v>АТ 4021</v>
      </c>
      <c r="G295" s="24" t="str">
        <f>"СВ 33-16 ЕО"</f>
        <v>СВ 33-16 ЕО</v>
      </c>
      <c r="H295" s="24"/>
      <c r="J295" s="13" t="str">
        <f t="shared" si="28"/>
        <v>вул. Гвардійська|</v>
      </c>
      <c r="K295" s="32">
        <f t="shared" si="29"/>
        <v>0.60069444444444442</v>
      </c>
      <c r="L295" s="13" t="str">
        <f>IF($A295="","",IF(COUNTIFS($J$4:$J295,$J295,$E$4:$E295,$E295)=1,$E295,""))</f>
        <v>№6</v>
      </c>
      <c r="M295" s="13" t="str">
        <f>IF($A295="","",IF(COUNTIFS($J$4:$J295,$J295,$F$4:$F295,$F295)=1,$F295,""))</f>
        <v>АТ 4021</v>
      </c>
    </row>
    <row r="296" spans="1:13" x14ac:dyDescent="0.35">
      <c r="A296" s="23" t="str">
        <f>IFERROR('М3-4_ГАЗ3309_0590'!B88,"")</f>
        <v>вул. Гвардійська</v>
      </c>
      <c r="B296" s="23" t="str">
        <f>IFERROR(IF('М3-4_ГАЗ3309_0590'!C88="","",TEXT('М3-4_ГАЗ3309_0590'!C88,"General")),"")</f>
        <v>92</v>
      </c>
      <c r="C296" s="24" t="str">
        <f>"Середа"</f>
        <v>Середа</v>
      </c>
      <c r="D296" s="24" t="str">
        <f>IFERROR(TEXT('М3-4_ГАЗ3309_0590'!D88,"h:mm"),"")</f>
        <v>15:35</v>
      </c>
      <c r="E296" s="24" t="str">
        <f>"№4"</f>
        <v>№4</v>
      </c>
      <c r="F296" s="24" t="str">
        <f>"ГАЗ 3309"</f>
        <v>ГАЗ 3309</v>
      </c>
      <c r="G296" s="24" t="str">
        <f>"СВ 17-85 ВН"</f>
        <v>СВ 17-85 ВН</v>
      </c>
      <c r="H296" s="24">
        <f>IFERROR('М3-4_ГАЗ3309_0590'!G88,"")</f>
        <v>2</v>
      </c>
      <c r="J296" s="13" t="str">
        <f t="shared" si="28"/>
        <v>вул. Гвардійська|92</v>
      </c>
      <c r="K296" s="32">
        <f t="shared" si="29"/>
        <v>0.64930555555555558</v>
      </c>
      <c r="L296" s="13" t="str">
        <f>IF($A296="","",IF(COUNTIFS($J$4:$J296,$J296,$E$4:$E296,$E296)=1,$E296,""))</f>
        <v>№4</v>
      </c>
      <c r="M296" s="13" t="str">
        <f>IF($A296="","",IF(COUNTIFS($J$4:$J296,$J296,$F$4:$F296,$F296)=1,$F296,""))</f>
        <v>ГАЗ 3309</v>
      </c>
    </row>
    <row r="297" spans="1:13" x14ac:dyDescent="0.35">
      <c r="A297" s="23" t="str">
        <f>IFERROR(М2_ВГВ_РеноЛендер_0589!B7,"")</f>
        <v>вул. Гвардійська</v>
      </c>
      <c r="B297" s="23" t="str">
        <f>IFERROR(IF(М2_ВГВ_РеноЛендер_0589!C7="","",TEXT(М2_ВГВ_РеноЛендер_0589!C7,"General")),"")</f>
        <v>92</v>
      </c>
      <c r="C297" s="24" t="str">
        <f>IFERROR(М2_ВГВ_РеноЛендер_0589!D7,"")</f>
        <v>Четвер</v>
      </c>
      <c r="D297" s="24" t="str">
        <f>"×"</f>
        <v>×</v>
      </c>
      <c r="E297" s="24" t="str">
        <f>"№2 (ВГВ)"</f>
        <v>№2 (ВГВ)</v>
      </c>
      <c r="F297" s="24" t="str">
        <f>"Рено Лендер"</f>
        <v>Рено Лендер</v>
      </c>
      <c r="G297" s="24" t="str">
        <f>"СВ 52-62 СА"</f>
        <v>СВ 52-62 СА</v>
      </c>
      <c r="H297" s="24"/>
      <c r="J297" s="13" t="str">
        <f t="shared" si="28"/>
        <v>вул. Гвардійська|92</v>
      </c>
      <c r="K297" s="32">
        <f t="shared" si="29"/>
        <v>9.99</v>
      </c>
      <c r="L297" s="13" t="str">
        <f>IF($A297="","",IF(COUNTIFS($J$4:$J297,$J297,$E$4:$E297,$E297)=1,$E297,""))</f>
        <v>№2 (ВГВ)</v>
      </c>
      <c r="M297" s="13" t="str">
        <f>IF($A297="","",IF(COUNTIFS($J$4:$J297,$J297,$F$4:$F297,$F297)=1,$F297,""))</f>
        <v>Рено Лендер</v>
      </c>
    </row>
    <row r="298" spans="1:13" x14ac:dyDescent="0.35">
      <c r="A298" s="23" t="str">
        <f>IFERROR('М3-4_ГАЗ3309_0590'!B113,"")</f>
        <v>вул. Гвардійська</v>
      </c>
      <c r="B298" s="23" t="str">
        <f>IFERROR(IF('М3-4_ГАЗ3309_0590'!C113="","",TEXT('М3-4_ГАЗ3309_0590'!C113,"General")),"")</f>
        <v>92</v>
      </c>
      <c r="C298" s="24" t="str">
        <f>"Субота"</f>
        <v>Субота</v>
      </c>
      <c r="D298" s="24" t="str">
        <f>IFERROR(TEXT('М3-4_ГАЗ3309_0590'!D113,"h:mm"),"")</f>
        <v>15:35</v>
      </c>
      <c r="E298" s="24" t="str">
        <f>"№4"</f>
        <v>№4</v>
      </c>
      <c r="F298" s="24" t="str">
        <f>"ГАЗ 3309"</f>
        <v>ГАЗ 3309</v>
      </c>
      <c r="G298" s="24" t="str">
        <f>"СВ 17-85 ВН"</f>
        <v>СВ 17-85 ВН</v>
      </c>
      <c r="H298" s="24">
        <f>IFERROR('М3-4_ГАЗ3309_0590'!G113,"")</f>
        <v>3</v>
      </c>
      <c r="J298" s="13" t="str">
        <f t="shared" si="28"/>
        <v>вул. Гвардійська|92</v>
      </c>
      <c r="K298" s="32">
        <f t="shared" si="29"/>
        <v>0.64930555555555558</v>
      </c>
      <c r="L298" s="13" t="str">
        <f>IF($A298="","",IF(COUNTIFS($J$4:$J298,$J298,$E$4:$E298,$E298)=1,$E298,""))</f>
        <v/>
      </c>
      <c r="M298" s="13" t="str">
        <f>IF($A298="","",IF(COUNTIFS($J$4:$J298,$J298,$F$4:$F298,$F298)=1,$F298,""))</f>
        <v/>
      </c>
    </row>
    <row r="299" spans="1:13" x14ac:dyDescent="0.35">
      <c r="A299" s="23" t="str">
        <f>IFERROR(М5_МАЗ4381_0592!B57,"")</f>
        <v>вул. Гвардійська</v>
      </c>
      <c r="B299" s="23" t="str">
        <f>IFERROR(IF(М5_МАЗ4381_0592!C57="","",TEXT(М5_МАЗ4381_0592!C57,"General")),"")</f>
        <v>базар</v>
      </c>
      <c r="C299" s="24" t="str">
        <f>"Вівторок"</f>
        <v>Вівторок</v>
      </c>
      <c r="D299" s="24" t="str">
        <f>IFERROR(TEXT(М5_МАЗ4381_0592!D57,"h:mm"),"")</f>
        <v>10:05</v>
      </c>
      <c r="E299" s="24" t="str">
        <f>"№5"</f>
        <v>№5</v>
      </c>
      <c r="F299" s="24" t="str">
        <f>"МАЗ 4381"</f>
        <v>МАЗ 4381</v>
      </c>
      <c r="G299" s="24" t="str">
        <f>"СВ 81-71 ВК"</f>
        <v>СВ 81-71 ВК</v>
      </c>
      <c r="H299" s="24"/>
      <c r="J299" s="13" t="str">
        <f t="shared" si="28"/>
        <v>вул. Гвардійська|базар</v>
      </c>
      <c r="K299" s="32">
        <f t="shared" si="29"/>
        <v>0.4201388888888889</v>
      </c>
      <c r="L299" s="13" t="str">
        <f>IF($A299="","",IF(COUNTIFS($J$4:$J299,$J299,$E$4:$E299,$E299)=1,$E299,""))</f>
        <v>№5</v>
      </c>
      <c r="M299" s="13" t="str">
        <f>IF($A299="","",IF(COUNTIFS($J$4:$J299,$J299,$F$4:$F299,$F299)=1,$F299,""))</f>
        <v>МАЗ 4381</v>
      </c>
    </row>
    <row r="300" spans="1:13" x14ac:dyDescent="0.35">
      <c r="A300" s="23" t="str">
        <f>IFERROR(М5_МАЗ4381_0592!B86,"")</f>
        <v>вул. Героїв Крут</v>
      </c>
      <c r="B300" s="23" t="str">
        <f>IFERROR(IF(М5_МАЗ4381_0592!C86="","",TEXT(М5_МАЗ4381_0592!C86,"General")),"")</f>
        <v/>
      </c>
      <c r="C300" s="24" t="str">
        <f>"Середа"</f>
        <v>Середа</v>
      </c>
      <c r="D300" s="24" t="str">
        <f>IFERROR(TEXT(М5_МАЗ4381_0592!D86,"h:mm"),"")</f>
        <v>7:35</v>
      </c>
      <c r="E300" s="24" t="str">
        <f>"№5"</f>
        <v>№5</v>
      </c>
      <c r="F300" s="24" t="str">
        <f>"МАЗ 4381"</f>
        <v>МАЗ 4381</v>
      </c>
      <c r="G300" s="24" t="str">
        <f>"СВ 81-71 ВК"</f>
        <v>СВ 81-71 ВК</v>
      </c>
      <c r="H300" s="24"/>
      <c r="J300" s="13" t="str">
        <f t="shared" si="28"/>
        <v>вул. Героїв Крут|</v>
      </c>
      <c r="K300" s="32">
        <f t="shared" si="29"/>
        <v>0.31597222222222221</v>
      </c>
      <c r="L300" s="13" t="str">
        <f>IF($A300="","",IF(COUNTIFS($J$4:$J300,$J300,$E$4:$E300,$E300)=1,$E300,""))</f>
        <v>№5</v>
      </c>
      <c r="M300" s="13" t="str">
        <f>IF($A300="","",IF(COUNTIFS($J$4:$J300,$J300,$F$4:$F300,$F300)=1,$F300,""))</f>
        <v>МАЗ 4381</v>
      </c>
    </row>
    <row r="301" spans="1:13" x14ac:dyDescent="0.35">
      <c r="A301" s="23" t="str">
        <f>IFERROR(М6_АТ4021_0586!B48,"")</f>
        <v>вул. Героїв Прилук</v>
      </c>
      <c r="B301" s="23" t="str">
        <f>IFERROR(IF(М6_АТ4021_0586!C48="","",TEXT(М6_АТ4021_0586!C48,"General")),"")</f>
        <v>1,10  15</v>
      </c>
      <c r="C301" s="24" t="str">
        <f>"Вівторок"</f>
        <v>Вівторок</v>
      </c>
      <c r="D301" s="24" t="str">
        <f>IFERROR(TEXT(М6_АТ4021_0586!D48,"h:mm"),"")</f>
        <v>8:20</v>
      </c>
      <c r="E301" s="24" t="str">
        <f t="shared" ref="E301:E309" si="32">"№6"</f>
        <v>№6</v>
      </c>
      <c r="F301" s="24" t="str">
        <f t="shared" ref="F301:F309" si="33">"АТ 4021"</f>
        <v>АТ 4021</v>
      </c>
      <c r="G301" s="24" t="str">
        <f t="shared" ref="G301:G309" si="34">"СВ 33-16 ЕО"</f>
        <v>СВ 33-16 ЕО</v>
      </c>
      <c r="H301" s="24"/>
      <c r="J301" s="13" t="str">
        <f t="shared" si="28"/>
        <v>вул. Героїв Прилук|1,10  15</v>
      </c>
      <c r="K301" s="32">
        <f t="shared" si="29"/>
        <v>0.34722222222222221</v>
      </c>
      <c r="L301" s="13" t="str">
        <f>IF($A301="","",IF(COUNTIFS($J$4:$J301,$J301,$E$4:$E301,$E301)=1,$E301,""))</f>
        <v>№6</v>
      </c>
      <c r="M301" s="13" t="str">
        <f>IF($A301="","",IF(COUNTIFS($J$4:$J301,$J301,$F$4:$F301,$F301)=1,$F301,""))</f>
        <v>АТ 4021</v>
      </c>
    </row>
    <row r="302" spans="1:13" x14ac:dyDescent="0.35">
      <c r="A302" s="23" t="str">
        <f>IFERROR(М6_АТ4021_0586!B79,"")</f>
        <v>вул. Героїв Прилук</v>
      </c>
      <c r="B302" s="23" t="str">
        <f>IFERROR(IF(М6_АТ4021_0586!C79="","",TEXT(М6_АТ4021_0586!C79,"General")),"")</f>
        <v>75,62</v>
      </c>
      <c r="C302" s="24" t="str">
        <f>"Середа"</f>
        <v>Середа</v>
      </c>
      <c r="D302" s="24" t="str">
        <f>IFERROR(TEXT(М6_АТ4021_0586!D79,"h:mm"),"")</f>
        <v>7:15</v>
      </c>
      <c r="E302" s="24" t="str">
        <f t="shared" si="32"/>
        <v>№6</v>
      </c>
      <c r="F302" s="24" t="str">
        <f t="shared" si="33"/>
        <v>АТ 4021</v>
      </c>
      <c r="G302" s="24" t="str">
        <f t="shared" si="34"/>
        <v>СВ 33-16 ЕО</v>
      </c>
      <c r="H302" s="24"/>
      <c r="J302" s="13" t="str">
        <f t="shared" si="28"/>
        <v>вул. Героїв Прилук|75,62</v>
      </c>
      <c r="K302" s="32">
        <f t="shared" si="29"/>
        <v>0.30208333333333331</v>
      </c>
      <c r="L302" s="13" t="str">
        <f>IF($A302="","",IF(COUNTIFS($J$4:$J302,$J302,$E$4:$E302,$E302)=1,$E302,""))</f>
        <v>№6</v>
      </c>
      <c r="M302" s="13" t="str">
        <f>IF($A302="","",IF(COUNTIFS($J$4:$J302,$J302,$F$4:$F302,$F302)=1,$F302,""))</f>
        <v>АТ 4021</v>
      </c>
    </row>
    <row r="303" spans="1:13" x14ac:dyDescent="0.35">
      <c r="A303" s="23" t="str">
        <f>IFERROR(М6_АТ4021_0586!B11,"")</f>
        <v>вул. Героїв Прилук</v>
      </c>
      <c r="B303" s="23" t="str">
        <f>IFERROR(IF(М6_АТ4021_0586!C11="","",TEXT(М6_АТ4021_0586!C11,"General")),"")</f>
        <v>76</v>
      </c>
      <c r="C303" s="24" t="str">
        <f>"Понеділок"</f>
        <v>Понеділок</v>
      </c>
      <c r="D303" s="24" t="str">
        <f>IFERROR(TEXT(М6_АТ4021_0586!D11,"h:mm"),"")</f>
        <v>8:00</v>
      </c>
      <c r="E303" s="24" t="str">
        <f t="shared" si="32"/>
        <v>№6</v>
      </c>
      <c r="F303" s="24" t="str">
        <f t="shared" si="33"/>
        <v>АТ 4021</v>
      </c>
      <c r="G303" s="24" t="str">
        <f t="shared" si="34"/>
        <v>СВ 33-16 ЕО</v>
      </c>
      <c r="H303" s="24"/>
      <c r="J303" s="13" t="str">
        <f t="shared" si="28"/>
        <v>вул. Героїв Прилук|76</v>
      </c>
      <c r="K303" s="32">
        <f t="shared" si="29"/>
        <v>0.33333333333333331</v>
      </c>
      <c r="L303" s="13" t="str">
        <f>IF($A303="","",IF(COUNTIFS($J$4:$J303,$J303,$E$4:$E303,$E303)=1,$E303,""))</f>
        <v>№6</v>
      </c>
      <c r="M303" s="13" t="str">
        <f>IF($A303="","",IF(COUNTIFS($J$4:$J303,$J303,$F$4:$F303,$F303)=1,$F303,""))</f>
        <v>АТ 4021</v>
      </c>
    </row>
    <row r="304" spans="1:13" x14ac:dyDescent="0.35">
      <c r="A304" s="23" t="str">
        <f>IFERROR(М6_АТ4021_0586!B15,"")</f>
        <v>вул. Героїв Прилук</v>
      </c>
      <c r="B304" s="23" t="str">
        <f>IFERROR(IF(М6_АТ4021_0586!C15="","",TEXT(М6_АТ4021_0586!C15,"General")),"")</f>
        <v>76</v>
      </c>
      <c r="C304" s="24" t="str">
        <f>"Понеділок"</f>
        <v>Понеділок</v>
      </c>
      <c r="D304" s="24" t="str">
        <f>IFERROR(TEXT(М6_АТ4021_0586!D15,"h:mm"),"")</f>
        <v>8:00</v>
      </c>
      <c r="E304" s="24" t="str">
        <f t="shared" si="32"/>
        <v>№6</v>
      </c>
      <c r="F304" s="24" t="str">
        <f t="shared" si="33"/>
        <v>АТ 4021</v>
      </c>
      <c r="G304" s="24" t="str">
        <f t="shared" si="34"/>
        <v>СВ 33-16 ЕО</v>
      </c>
      <c r="H304" s="24"/>
      <c r="J304" s="13" t="str">
        <f t="shared" si="28"/>
        <v>вул. Героїв Прилук|76</v>
      </c>
      <c r="K304" s="32">
        <f t="shared" si="29"/>
        <v>0.33333333333333331</v>
      </c>
      <c r="L304" s="13" t="str">
        <f>IF($A304="","",IF(COUNTIFS($J$4:$J304,$J304,$E$4:$E304,$E304)=1,$E304,""))</f>
        <v/>
      </c>
      <c r="M304" s="13" t="str">
        <f>IF($A304="","",IF(COUNTIFS($J$4:$J304,$J304,$F$4:$F304,$F304)=1,$F304,""))</f>
        <v/>
      </c>
    </row>
    <row r="305" spans="1:13" x14ac:dyDescent="0.35">
      <c r="A305" s="23" t="str">
        <f>IFERROR(М6_АТ4021_0586!B156,"")</f>
        <v>вул. Героїв Прилук</v>
      </c>
      <c r="B305" s="23" t="str">
        <f>IFERROR(IF(М6_АТ4021_0586!C156="","",TEXT(М6_АТ4021_0586!C156,"General")),"")</f>
        <v>76</v>
      </c>
      <c r="C305" s="24" t="str">
        <f>"П'ятниця"</f>
        <v>П'ятниця</v>
      </c>
      <c r="D305" s="24" t="str">
        <f>IFERROR(TEXT(М6_АТ4021_0586!D156,"h:mm"),"")</f>
        <v>7:15</v>
      </c>
      <c r="E305" s="24" t="str">
        <f t="shared" si="32"/>
        <v>№6</v>
      </c>
      <c r="F305" s="24" t="str">
        <f t="shared" si="33"/>
        <v>АТ 4021</v>
      </c>
      <c r="G305" s="24" t="str">
        <f t="shared" si="34"/>
        <v>СВ 33-16 ЕО</v>
      </c>
      <c r="H305" s="24"/>
      <c r="J305" s="13" t="str">
        <f t="shared" si="28"/>
        <v>вул. Героїв Прилук|76</v>
      </c>
      <c r="K305" s="32">
        <f t="shared" si="29"/>
        <v>0.30208333333333331</v>
      </c>
      <c r="L305" s="13" t="str">
        <f>IF($A305="","",IF(COUNTIFS($J$4:$J305,$J305,$E$4:$E305,$E305)=1,$E305,""))</f>
        <v/>
      </c>
      <c r="M305" s="13" t="str">
        <f>IF($A305="","",IF(COUNTIFS($J$4:$J305,$J305,$F$4:$F305,$F305)=1,$F305,""))</f>
        <v/>
      </c>
    </row>
    <row r="306" spans="1:13" x14ac:dyDescent="0.35">
      <c r="A306" s="23" t="str">
        <f>IFERROR(М6_АТ4021_0586!B119,"")</f>
        <v>вул. Героїв Прилук</v>
      </c>
      <c r="B306" s="23" t="str">
        <f>IFERROR(IF(М6_АТ4021_0586!C119="","",TEXT(М6_АТ4021_0586!C119,"General")),"")</f>
        <v>85,82  76,96</v>
      </c>
      <c r="C306" s="24" t="str">
        <f>"Четвер"</f>
        <v>Четвер</v>
      </c>
      <c r="D306" s="24" t="str">
        <f>IFERROR(TEXT(М6_АТ4021_0586!D119,"h:mm"),"")</f>
        <v>7:45</v>
      </c>
      <c r="E306" s="24" t="str">
        <f t="shared" si="32"/>
        <v>№6</v>
      </c>
      <c r="F306" s="24" t="str">
        <f t="shared" si="33"/>
        <v>АТ 4021</v>
      </c>
      <c r="G306" s="24" t="str">
        <f t="shared" si="34"/>
        <v>СВ 33-16 ЕО</v>
      </c>
      <c r="H306" s="24"/>
      <c r="J306" s="13" t="str">
        <f t="shared" si="28"/>
        <v>вул. Героїв Прилук|85,82  76,96</v>
      </c>
      <c r="K306" s="32">
        <f t="shared" si="29"/>
        <v>0.32291666666666669</v>
      </c>
      <c r="L306" s="13" t="str">
        <f>IF($A306="","",IF(COUNTIFS($J$4:$J306,$J306,$E$4:$E306,$E306)=1,$E306,""))</f>
        <v>№6</v>
      </c>
      <c r="M306" s="13" t="str">
        <f>IF($A306="","",IF(COUNTIFS($J$4:$J306,$J306,$F$4:$F306,$F306)=1,$F306,""))</f>
        <v>АТ 4021</v>
      </c>
    </row>
    <row r="307" spans="1:13" x14ac:dyDescent="0.35">
      <c r="A307" s="23" t="str">
        <f>IFERROR(М6_АТ4021_0586!B131,"")</f>
        <v>вул. Героїв Прилук</v>
      </c>
      <c r="B307" s="23" t="str">
        <f>IFERROR(IF(М6_АТ4021_0586!C131="","",TEXT(М6_АТ4021_0586!C131,"General")),"")</f>
        <v>м-н "Еко"</v>
      </c>
      <c r="C307" s="24" t="str">
        <f>"Четвер"</f>
        <v>Четвер</v>
      </c>
      <c r="D307" s="24" t="str">
        <f>IFERROR(TEXT(М6_АТ4021_0586!D131,"h:mm"),"")</f>
        <v>10:30</v>
      </c>
      <c r="E307" s="24" t="str">
        <f t="shared" si="32"/>
        <v>№6</v>
      </c>
      <c r="F307" s="24" t="str">
        <f t="shared" si="33"/>
        <v>АТ 4021</v>
      </c>
      <c r="G307" s="24" t="str">
        <f t="shared" si="34"/>
        <v>СВ 33-16 ЕО</v>
      </c>
      <c r="H307" s="24"/>
      <c r="J307" s="13" t="str">
        <f t="shared" si="28"/>
        <v>вул. Героїв Прилук|м-н "Еко"</v>
      </c>
      <c r="K307" s="32">
        <f t="shared" si="29"/>
        <v>0.4375</v>
      </c>
      <c r="L307" s="13" t="str">
        <f>IF($A307="","",IF(COUNTIFS($J$4:$J307,$J307,$E$4:$E307,$E307)=1,$E307,""))</f>
        <v>№6</v>
      </c>
      <c r="M307" s="13" t="str">
        <f>IF($A307="","",IF(COUNTIFS($J$4:$J307,$J307,$F$4:$F307,$F307)=1,$F307,""))</f>
        <v>АТ 4021</v>
      </c>
    </row>
    <row r="308" spans="1:13" x14ac:dyDescent="0.35">
      <c r="A308" s="23" t="str">
        <f>IFERROR(М6_АТ4021_0586!B168,"")</f>
        <v>вул. Героїв Чорнобиля</v>
      </c>
      <c r="B308" s="23" t="str">
        <f>IFERROR(IF(М6_АТ4021_0586!C168="","",TEXT(М6_АТ4021_0586!C168,"General")),"")</f>
        <v>49,33  13,2</v>
      </c>
      <c r="C308" s="24" t="str">
        <f>"П'ятниця"</f>
        <v>П'ятниця</v>
      </c>
      <c r="D308" s="24" t="str">
        <f>IFERROR(TEXT(М6_АТ4021_0586!D168,"h:mm"),"")</f>
        <v>10:30</v>
      </c>
      <c r="E308" s="24" t="str">
        <f t="shared" si="32"/>
        <v>№6</v>
      </c>
      <c r="F308" s="24" t="str">
        <f t="shared" si="33"/>
        <v>АТ 4021</v>
      </c>
      <c r="G308" s="24" t="str">
        <f t="shared" si="34"/>
        <v>СВ 33-16 ЕО</v>
      </c>
      <c r="H308" s="24"/>
      <c r="J308" s="13" t="str">
        <f t="shared" si="28"/>
        <v>вул. Героїв Чорнобиля|49,33  13,2</v>
      </c>
      <c r="K308" s="32">
        <f t="shared" si="29"/>
        <v>0.4375</v>
      </c>
      <c r="L308" s="13" t="str">
        <f>IF($A308="","",IF(COUNTIFS($J$4:$J308,$J308,$E$4:$E308,$E308)=1,$E308,""))</f>
        <v>№6</v>
      </c>
      <c r="M308" s="13" t="str">
        <f>IF($A308="","",IF(COUNTIFS($J$4:$J308,$J308,$F$4:$F308,$F308)=1,$F308,""))</f>
        <v>АТ 4021</v>
      </c>
    </row>
    <row r="309" spans="1:13" x14ac:dyDescent="0.35">
      <c r="A309" s="23" t="str">
        <f>IFERROR(М6_АТ4021_0586!B96,"")</f>
        <v>вул. Героїв Чорнобиля</v>
      </c>
      <c r="B309" s="23" t="str">
        <f>IFERROR(IF(М6_АТ4021_0586!C96="","",TEXT(М6_АТ4021_0586!C96,"General")),"")</f>
        <v>69,71</v>
      </c>
      <c r="C309" s="24" t="str">
        <f>"Середа"</f>
        <v>Середа</v>
      </c>
      <c r="D309" s="24" t="str">
        <f>IFERROR(TEXT(М6_АТ4021_0586!D96,"h:mm"),"")</f>
        <v>11:55</v>
      </c>
      <c r="E309" s="24" t="str">
        <f t="shared" si="32"/>
        <v>№6</v>
      </c>
      <c r="F309" s="24" t="str">
        <f t="shared" si="33"/>
        <v>АТ 4021</v>
      </c>
      <c r="G309" s="24" t="str">
        <f t="shared" si="34"/>
        <v>СВ 33-16 ЕО</v>
      </c>
      <c r="H309" s="24"/>
      <c r="J309" s="13" t="str">
        <f t="shared" si="28"/>
        <v>вул. Героїв Чорнобиля|69,71</v>
      </c>
      <c r="K309" s="32">
        <f t="shared" si="29"/>
        <v>0.49652777777777779</v>
      </c>
      <c r="L309" s="13" t="str">
        <f>IF($A309="","",IF(COUNTIFS($J$4:$J309,$J309,$E$4:$E309,$E309)=1,$E309,""))</f>
        <v>№6</v>
      </c>
      <c r="M309" s="13" t="str">
        <f>IF($A309="","",IF(COUNTIFS($J$4:$J309,$J309,$F$4:$F309,$F309)=1,$F309,""))</f>
        <v>АТ 4021</v>
      </c>
    </row>
    <row r="310" spans="1:13" x14ac:dyDescent="0.35">
      <c r="A310" s="23" t="str">
        <f>IFERROR(М3_МАЗ4371_0587!B18,"")</f>
        <v>вул. Героїв Чорнобиля</v>
      </c>
      <c r="B310" s="23" t="str">
        <f>IFERROR(IF(М3_МАЗ4371_0587!C18="","",TEXT(М3_МАЗ4371_0587!C18,"General")),"")</f>
        <v>80</v>
      </c>
      <c r="C310" s="24" t="str">
        <f>"Понеділок"</f>
        <v>Понеділок</v>
      </c>
      <c r="D310" s="24" t="str">
        <f>IFERROR(TEXT(М3_МАЗ4371_0587!D18,"h:mm"),"")</f>
        <v>9:30</v>
      </c>
      <c r="E310" s="24" t="str">
        <f t="shared" ref="E310:E316" si="35">"№3"</f>
        <v>№3</v>
      </c>
      <c r="F310" s="24" t="str">
        <f>"МАЗ-4371"</f>
        <v>МАЗ-4371</v>
      </c>
      <c r="G310" s="24" t="str">
        <f>"СВ 53-06 СА"</f>
        <v>СВ 53-06 СА</v>
      </c>
      <c r="H310" s="24">
        <f>IFERROR(М3_МАЗ4371_0587!G18,"")</f>
        <v>4</v>
      </c>
      <c r="J310" s="13" t="str">
        <f t="shared" si="28"/>
        <v>вул. Героїв Чорнобиля|80</v>
      </c>
      <c r="K310" s="32">
        <f t="shared" si="29"/>
        <v>0.39583333333333331</v>
      </c>
      <c r="L310" s="13" t="str">
        <f>IF($A310="","",IF(COUNTIFS($J$4:$J310,$J310,$E$4:$E310,$E310)=1,$E310,""))</f>
        <v>№3</v>
      </c>
      <c r="M310" s="13" t="str">
        <f>IF($A310="","",IF(COUNTIFS($J$4:$J310,$J310,$F$4:$F310,$F310)=1,$F310,""))</f>
        <v>МАЗ-4371</v>
      </c>
    </row>
    <row r="311" spans="1:13" x14ac:dyDescent="0.35">
      <c r="A311" s="23" t="str">
        <f>IFERROR(М3_МАЗ4371_0587!B56,"")</f>
        <v>вул. Героїв Чорнобиля</v>
      </c>
      <c r="B311" s="23" t="str">
        <f>IFERROR(IF(М3_МАЗ4371_0587!C56="","",TEXT(М3_МАЗ4371_0587!C56,"General")),"")</f>
        <v>80</v>
      </c>
      <c r="C311" s="24" t="str">
        <f>"Вівторок"</f>
        <v>Вівторок</v>
      </c>
      <c r="D311" s="24" t="str">
        <f>IFERROR(TEXT(М3_МАЗ4371_0587!D56,"h:mm"),"")</f>
        <v>10:10</v>
      </c>
      <c r="E311" s="24" t="str">
        <f t="shared" si="35"/>
        <v>№3</v>
      </c>
      <c r="F311" s="24" t="str">
        <f>"МАЗ-4371"</f>
        <v>МАЗ-4371</v>
      </c>
      <c r="G311" s="24" t="str">
        <f>"СВ 53-06 СА"</f>
        <v>СВ 53-06 СА</v>
      </c>
      <c r="H311" s="24">
        <f>IFERROR(М3_МАЗ4371_0587!G56,"")</f>
        <v>4</v>
      </c>
      <c r="J311" s="13" t="str">
        <f t="shared" si="28"/>
        <v>вул. Героїв Чорнобиля|80</v>
      </c>
      <c r="K311" s="32">
        <f t="shared" si="29"/>
        <v>0.4236111111111111</v>
      </c>
      <c r="L311" s="13" t="str">
        <f>IF($A311="","",IF(COUNTIFS($J$4:$J311,$J311,$E$4:$E311,$E311)=1,$E311,""))</f>
        <v/>
      </c>
      <c r="M311" s="13" t="str">
        <f>IF($A311="","",IF(COUNTIFS($J$4:$J311,$J311,$F$4:$F311,$F311)=1,$F311,""))</f>
        <v/>
      </c>
    </row>
    <row r="312" spans="1:13" x14ac:dyDescent="0.35">
      <c r="A312" s="23" t="str">
        <f>IFERROR(М3_МАЗ4371_0587!B89,"")</f>
        <v>вул. Героїв Чорнобиля</v>
      </c>
      <c r="B312" s="23" t="str">
        <f>IFERROR(IF(М3_МАЗ4371_0587!C89="","",TEXT(М3_МАЗ4371_0587!C89,"General")),"")</f>
        <v>80</v>
      </c>
      <c r="C312" s="24" t="str">
        <f>"Середа"</f>
        <v>Середа</v>
      </c>
      <c r="D312" s="24" t="str">
        <f>IFERROR(TEXT(М3_МАЗ4371_0587!D89,"h:mm"),"")</f>
        <v>10:35</v>
      </c>
      <c r="E312" s="24" t="str">
        <f t="shared" si="35"/>
        <v>№3</v>
      </c>
      <c r="F312" s="24" t="str">
        <f>"МАЗ-4371"</f>
        <v>МАЗ-4371</v>
      </c>
      <c r="G312" s="24" t="str">
        <f>"СВ 53-06 СА"</f>
        <v>СВ 53-06 СА</v>
      </c>
      <c r="H312" s="24">
        <f>IFERROR(М3_МАЗ4371_0587!G89,"")</f>
        <v>4</v>
      </c>
      <c r="J312" s="13" t="str">
        <f t="shared" si="28"/>
        <v>вул. Героїв Чорнобиля|80</v>
      </c>
      <c r="K312" s="32">
        <f t="shared" si="29"/>
        <v>0.44097222222222221</v>
      </c>
      <c r="L312" s="13" t="str">
        <f>IF($A312="","",IF(COUNTIFS($J$4:$J312,$J312,$E$4:$E312,$E312)=1,$E312,""))</f>
        <v/>
      </c>
      <c r="M312" s="13" t="str">
        <f>IF($A312="","",IF(COUNTIFS($J$4:$J312,$J312,$F$4:$F312,$F312)=1,$F312,""))</f>
        <v/>
      </c>
    </row>
    <row r="313" spans="1:13" x14ac:dyDescent="0.35">
      <c r="A313" s="23" t="str">
        <f>IFERROR('М3-4_ГАЗ3309_0590'!B16,"")</f>
        <v>вул. Героїв Чорнобиля</v>
      </c>
      <c r="B313" s="23" t="str">
        <f>IFERROR(IF('М3-4_ГАЗ3309_0590'!C16="","",TEXT('М3-4_ГАЗ3309_0590'!C16,"General")),"")</f>
        <v>80</v>
      </c>
      <c r="C313" s="24" t="str">
        <f>"Четвер"</f>
        <v>Четвер</v>
      </c>
      <c r="D313" s="24" t="str">
        <f>IFERROR(TEXT('М3-4_ГАЗ3309_0590'!D16,"h:mm"),"")</f>
        <v>9:45</v>
      </c>
      <c r="E313" s="24" t="str">
        <f t="shared" si="35"/>
        <v>№3</v>
      </c>
      <c r="F313" s="24" t="str">
        <f>"ГАЗ 3309"</f>
        <v>ГАЗ 3309</v>
      </c>
      <c r="G313" s="24" t="str">
        <f>"СВ 17-85 ВН"</f>
        <v>СВ 17-85 ВН</v>
      </c>
      <c r="H313" s="24">
        <f>IFERROR('М3-4_ГАЗ3309_0590'!G16,"")</f>
        <v>3</v>
      </c>
      <c r="J313" s="13" t="str">
        <f t="shared" si="28"/>
        <v>вул. Героїв Чорнобиля|80</v>
      </c>
      <c r="K313" s="32">
        <f t="shared" si="29"/>
        <v>0.40625</v>
      </c>
      <c r="L313" s="13" t="str">
        <f>IF($A313="","",IF(COUNTIFS($J$4:$J313,$J313,$E$4:$E313,$E313)=1,$E313,""))</f>
        <v/>
      </c>
      <c r="M313" s="13" t="str">
        <f>IF($A313="","",IF(COUNTIFS($J$4:$J313,$J313,$F$4:$F313,$F313)=1,$F313,""))</f>
        <v>ГАЗ 3309</v>
      </c>
    </row>
    <row r="314" spans="1:13" x14ac:dyDescent="0.35">
      <c r="A314" s="23" t="str">
        <f>IFERROR(М3_МАЗ4371_0587!B124,"")</f>
        <v>вул. Героїв Чорнобиля</v>
      </c>
      <c r="B314" s="23" t="str">
        <f>IFERROR(IF(М3_МАЗ4371_0587!C124="","",TEXT(М3_МАЗ4371_0587!C124,"General")),"")</f>
        <v>80</v>
      </c>
      <c r="C314" s="24" t="str">
        <f>"П'ятниця"</f>
        <v>П'ятниця</v>
      </c>
      <c r="D314" s="24" t="str">
        <f>IFERROR(TEXT(М3_МАЗ4371_0587!D124,"h:mm"),"")</f>
        <v>9:30</v>
      </c>
      <c r="E314" s="24" t="str">
        <f t="shared" si="35"/>
        <v>№3</v>
      </c>
      <c r="F314" s="24" t="str">
        <f>"МАЗ-4371"</f>
        <v>МАЗ-4371</v>
      </c>
      <c r="G314" s="24" t="str">
        <f>"СВ 53-06 СА"</f>
        <v>СВ 53-06 СА</v>
      </c>
      <c r="H314" s="24">
        <f>IFERROR(М3_МАЗ4371_0587!G124,"")</f>
        <v>4</v>
      </c>
      <c r="J314" s="13" t="str">
        <f t="shared" si="28"/>
        <v>вул. Героїв Чорнобиля|80</v>
      </c>
      <c r="K314" s="32">
        <f t="shared" si="29"/>
        <v>0.39583333333333331</v>
      </c>
      <c r="L314" s="13" t="str">
        <f>IF($A314="","",IF(COUNTIFS($J$4:$J314,$J314,$E$4:$E314,$E314)=1,$E314,""))</f>
        <v/>
      </c>
      <c r="M314" s="13" t="str">
        <f>IF($A314="","",IF(COUNTIFS($J$4:$J314,$J314,$F$4:$F314,$F314)=1,$F314,""))</f>
        <v/>
      </c>
    </row>
    <row r="315" spans="1:13" x14ac:dyDescent="0.35">
      <c r="A315" s="23" t="str">
        <f>IFERROR(М3_МАЗ4371_0587!B163,"")</f>
        <v>вул. Героїв Чорнобиля</v>
      </c>
      <c r="B315" s="23" t="str">
        <f>IFERROR(IF(М3_МАЗ4371_0587!C163="","",TEXT(М3_МАЗ4371_0587!C163,"General")),"")</f>
        <v>80</v>
      </c>
      <c r="C315" s="24" t="str">
        <f>"Субота"</f>
        <v>Субота</v>
      </c>
      <c r="D315" s="24" t="str">
        <f>IFERROR(TEXT(М3_МАЗ4371_0587!D163,"h:mm"),"")</f>
        <v>10:10</v>
      </c>
      <c r="E315" s="24" t="str">
        <f t="shared" si="35"/>
        <v>№3</v>
      </c>
      <c r="F315" s="24" t="str">
        <f>"МАЗ-4371"</f>
        <v>МАЗ-4371</v>
      </c>
      <c r="G315" s="24" t="str">
        <f>"СВ 53-06 СА"</f>
        <v>СВ 53-06 СА</v>
      </c>
      <c r="H315" s="24">
        <f>IFERROR(М3_МАЗ4371_0587!G163,"")</f>
        <v>4</v>
      </c>
      <c r="J315" s="13" t="str">
        <f t="shared" si="28"/>
        <v>вул. Героїв Чорнобиля|80</v>
      </c>
      <c r="K315" s="32">
        <f t="shared" si="29"/>
        <v>0.4236111111111111</v>
      </c>
      <c r="L315" s="13" t="str">
        <f>IF($A315="","",IF(COUNTIFS($J$4:$J315,$J315,$E$4:$E315,$E315)=1,$E315,""))</f>
        <v/>
      </c>
      <c r="M315" s="13" t="str">
        <f>IF($A315="","",IF(COUNTIFS($J$4:$J315,$J315,$F$4:$F315,$F315)=1,$F315,""))</f>
        <v/>
      </c>
    </row>
    <row r="316" spans="1:13" x14ac:dyDescent="0.35">
      <c r="A316" s="23" t="str">
        <f>IFERROR('М3-4_ГАЗ3309_0590'!B48,"")</f>
        <v>вул. Героїв Чорнобиля</v>
      </c>
      <c r="B316" s="23" t="str">
        <f>IFERROR(IF('М3-4_ГАЗ3309_0590'!C48="","",TEXT('М3-4_ГАЗ3309_0590'!C48,"General")),"")</f>
        <v>80</v>
      </c>
      <c r="C316" s="24" t="str">
        <f>"Неділя"</f>
        <v>Неділя</v>
      </c>
      <c r="D316" s="24" t="str">
        <f>IFERROR(TEXT('М3-4_ГАЗ3309_0590'!D48,"h:mm"),"")</f>
        <v>9:45</v>
      </c>
      <c r="E316" s="24" t="str">
        <f t="shared" si="35"/>
        <v>№3</v>
      </c>
      <c r="F316" s="24" t="str">
        <f>"ГАЗ 3309"</f>
        <v>ГАЗ 3309</v>
      </c>
      <c r="G316" s="24" t="str">
        <f>"СВ 17-85 ВН"</f>
        <v>СВ 17-85 ВН</v>
      </c>
      <c r="H316" s="24">
        <f>IFERROR('М3-4_ГАЗ3309_0590'!G48,"")</f>
        <v>2</v>
      </c>
      <c r="J316" s="13" t="str">
        <f t="shared" si="28"/>
        <v>вул. Героїв Чорнобиля|80</v>
      </c>
      <c r="K316" s="32">
        <f t="shared" si="29"/>
        <v>0.40625</v>
      </c>
      <c r="L316" s="13" t="str">
        <f>IF($A316="","",IF(COUNTIFS($J$4:$J316,$J316,$E$4:$E316,$E316)=1,$E316,""))</f>
        <v/>
      </c>
      <c r="M316" s="13" t="str">
        <f>IF($A316="","",IF(COUNTIFS($J$4:$J316,$J316,$F$4:$F316,$F316)=1,$F316,""))</f>
        <v/>
      </c>
    </row>
    <row r="317" spans="1:13" x14ac:dyDescent="0.35">
      <c r="A317" s="23" t="str">
        <f>IFERROR(М6_АТ4021_0586!B179,"")</f>
        <v>вул. Герцена</v>
      </c>
      <c r="B317" s="23" t="str">
        <f>IFERROR(IF(М6_АТ4021_0586!C179="","",TEXT(М6_АТ4021_0586!C179,"General")),"")</f>
        <v/>
      </c>
      <c r="C317" s="24" t="str">
        <f>"П'ятниця"</f>
        <v>П'ятниця</v>
      </c>
      <c r="D317" s="24" t="str">
        <f>IFERROR(TEXT(М6_АТ4021_0586!D179,"h:mm"),"")</f>
        <v>13:20</v>
      </c>
      <c r="E317" s="24" t="str">
        <f t="shared" ref="E317:E323" si="36">"№6"</f>
        <v>№6</v>
      </c>
      <c r="F317" s="24" t="str">
        <f t="shared" ref="F317:F323" si="37">"АТ 4021"</f>
        <v>АТ 4021</v>
      </c>
      <c r="G317" s="24" t="str">
        <f t="shared" ref="G317:G323" si="38">"СВ 33-16 ЕО"</f>
        <v>СВ 33-16 ЕО</v>
      </c>
      <c r="H317" s="24"/>
      <c r="J317" s="13" t="str">
        <f t="shared" si="28"/>
        <v>вул. Герцена|</v>
      </c>
      <c r="K317" s="32">
        <f t="shared" si="29"/>
        <v>0.55555555555555558</v>
      </c>
      <c r="L317" s="13" t="str">
        <f>IF($A317="","",IF(COUNTIFS($J$4:$J317,$J317,$E$4:$E317,$E317)=1,$E317,""))</f>
        <v>№6</v>
      </c>
      <c r="M317" s="13" t="str">
        <f>IF($A317="","",IF(COUNTIFS($J$4:$J317,$J317,$F$4:$F317,$F317)=1,$F317,""))</f>
        <v>АТ 4021</v>
      </c>
    </row>
    <row r="318" spans="1:13" x14ac:dyDescent="0.35">
      <c r="A318" s="23" t="str">
        <f>IFERROR(М6_АТ4021_0586!B71,"")</f>
        <v>вул. Гоголя</v>
      </c>
      <c r="B318" s="23" t="str">
        <f>IFERROR(IF(М6_АТ4021_0586!C71="","",TEXT(М6_АТ4021_0586!C71,"General")),"")</f>
        <v>100  108</v>
      </c>
      <c r="C318" s="24" t="str">
        <f>"Вівторок"</f>
        <v>Вівторок</v>
      </c>
      <c r="D318" s="24" t="str">
        <f>IFERROR(TEXT(М6_АТ4021_0586!D71,"h:mm"),"")</f>
        <v>15:50</v>
      </c>
      <c r="E318" s="24" t="str">
        <f t="shared" si="36"/>
        <v>№6</v>
      </c>
      <c r="F318" s="24" t="str">
        <f t="shared" si="37"/>
        <v>АТ 4021</v>
      </c>
      <c r="G318" s="24" t="str">
        <f t="shared" si="38"/>
        <v>СВ 33-16 ЕО</v>
      </c>
      <c r="H318" s="24"/>
      <c r="J318" s="13" t="str">
        <f t="shared" si="28"/>
        <v>вул. Гоголя|100  108</v>
      </c>
      <c r="K318" s="32">
        <f t="shared" si="29"/>
        <v>0.65972222222222221</v>
      </c>
      <c r="L318" s="13" t="str">
        <f>IF($A318="","",IF(COUNTIFS($J$4:$J318,$J318,$E$4:$E318,$E318)=1,$E318,""))</f>
        <v>№6</v>
      </c>
      <c r="M318" s="13" t="str">
        <f>IF($A318="","",IF(COUNTIFS($J$4:$J318,$J318,$F$4:$F318,$F318)=1,$F318,""))</f>
        <v>АТ 4021</v>
      </c>
    </row>
    <row r="319" spans="1:13" x14ac:dyDescent="0.35">
      <c r="A319" s="23" t="str">
        <f>IFERROR(М6_АТ4021_0586!B173,"")</f>
        <v>вул. Гоголя</v>
      </c>
      <c r="B319" s="23" t="str">
        <f>IFERROR(IF(М6_АТ4021_0586!C173="","",TEXT(М6_АТ4021_0586!C173,"General")),"")</f>
        <v>145,150  152</v>
      </c>
      <c r="C319" s="24" t="str">
        <f>"П'ятниця"</f>
        <v>П'ятниця</v>
      </c>
      <c r="D319" s="24" t="str">
        <f>IFERROR(TEXT(М6_АТ4021_0586!D173,"h:mm"),"")</f>
        <v>11:40</v>
      </c>
      <c r="E319" s="24" t="str">
        <f t="shared" si="36"/>
        <v>№6</v>
      </c>
      <c r="F319" s="24" t="str">
        <f t="shared" si="37"/>
        <v>АТ 4021</v>
      </c>
      <c r="G319" s="24" t="str">
        <f t="shared" si="38"/>
        <v>СВ 33-16 ЕО</v>
      </c>
      <c r="H319" s="24"/>
      <c r="J319" s="13" t="str">
        <f t="shared" si="28"/>
        <v>вул. Гоголя|145,150  152</v>
      </c>
      <c r="K319" s="32">
        <f t="shared" si="29"/>
        <v>0.4861111111111111</v>
      </c>
      <c r="L319" s="13" t="str">
        <f>IF($A319="","",IF(COUNTIFS($J$4:$J319,$J319,$E$4:$E319,$E319)=1,$E319,""))</f>
        <v>№6</v>
      </c>
      <c r="M319" s="13" t="str">
        <f>IF($A319="","",IF(COUNTIFS($J$4:$J319,$J319,$F$4:$F319,$F319)=1,$F319,""))</f>
        <v>АТ 4021</v>
      </c>
    </row>
    <row r="320" spans="1:13" x14ac:dyDescent="0.35">
      <c r="A320" s="23" t="str">
        <f>IFERROR(М6_АТ4021_0586!B175,"")</f>
        <v>вул. Гоголя</v>
      </c>
      <c r="B320" s="23" t="str">
        <f>IFERROR(IF(М6_АТ4021_0586!C175="","",TEXT(М6_АТ4021_0586!C175,"General")),"")</f>
        <v>145,150  152</v>
      </c>
      <c r="C320" s="24" t="str">
        <f>"П'ятниця"</f>
        <v>П'ятниця</v>
      </c>
      <c r="D320" s="24" t="str">
        <f>IFERROR(TEXT(М6_АТ4021_0586!D175,"h:mm"),"")</f>
        <v>12:15</v>
      </c>
      <c r="E320" s="24" t="str">
        <f t="shared" si="36"/>
        <v>№6</v>
      </c>
      <c r="F320" s="24" t="str">
        <f t="shared" si="37"/>
        <v>АТ 4021</v>
      </c>
      <c r="G320" s="24" t="str">
        <f t="shared" si="38"/>
        <v>СВ 33-16 ЕО</v>
      </c>
      <c r="H320" s="24"/>
      <c r="J320" s="13" t="str">
        <f t="shared" si="28"/>
        <v>вул. Гоголя|145,150  152</v>
      </c>
      <c r="K320" s="32">
        <f t="shared" si="29"/>
        <v>0.51041666666666663</v>
      </c>
      <c r="L320" s="13" t="str">
        <f>IF($A320="","",IF(COUNTIFS($J$4:$J320,$J320,$E$4:$E320,$E320)=1,$E320,""))</f>
        <v/>
      </c>
      <c r="M320" s="13" t="str">
        <f>IF($A320="","",IF(COUNTIFS($J$4:$J320,$J320,$F$4:$F320,$F320)=1,$F320,""))</f>
        <v/>
      </c>
    </row>
    <row r="321" spans="1:13" x14ac:dyDescent="0.35">
      <c r="A321" s="23" t="str">
        <f>IFERROR(М6_АТ4021_0586!B137,"")</f>
        <v>вул. Гоголя</v>
      </c>
      <c r="B321" s="23" t="str">
        <f>IFERROR(IF(М6_АТ4021_0586!C137="","",TEXT(М6_АТ4021_0586!C137,"General")),"")</f>
        <v>7,18  23,29</v>
      </c>
      <c r="C321" s="24" t="str">
        <f>"Четвер"</f>
        <v>Четвер</v>
      </c>
      <c r="D321" s="24" t="str">
        <f>IFERROR(TEXT(М6_АТ4021_0586!D137,"h:mm"),"")</f>
        <v>12:55</v>
      </c>
      <c r="E321" s="24" t="str">
        <f t="shared" si="36"/>
        <v>№6</v>
      </c>
      <c r="F321" s="24" t="str">
        <f t="shared" si="37"/>
        <v>АТ 4021</v>
      </c>
      <c r="G321" s="24" t="str">
        <f t="shared" si="38"/>
        <v>СВ 33-16 ЕО</v>
      </c>
      <c r="H321" s="24"/>
      <c r="J321" s="13" t="str">
        <f t="shared" si="28"/>
        <v>вул. Гоголя|7,18  23,29</v>
      </c>
      <c r="K321" s="32">
        <f t="shared" si="29"/>
        <v>0.53819444444444442</v>
      </c>
      <c r="L321" s="13" t="str">
        <f>IF($A321="","",IF(COUNTIFS($J$4:$J321,$J321,$E$4:$E321,$E321)=1,$E321,""))</f>
        <v>№6</v>
      </c>
      <c r="M321" s="13" t="str">
        <f>IF($A321="","",IF(COUNTIFS($J$4:$J321,$J321,$F$4:$F321,$F321)=1,$F321,""))</f>
        <v>АТ 4021</v>
      </c>
    </row>
    <row r="322" spans="1:13" x14ac:dyDescent="0.35">
      <c r="A322" s="23" t="str">
        <f>IFERROR(М6_АТ4021_0586!B147,"")</f>
        <v>вул. Голубівська</v>
      </c>
      <c r="B322" s="23" t="str">
        <f>IFERROR(IF(М6_АТ4021_0586!C147="","",TEXT(М6_АТ4021_0586!C147,"General")),"")</f>
        <v>4,16</v>
      </c>
      <c r="C322" s="24" t="str">
        <f>"Четвер"</f>
        <v>Четвер</v>
      </c>
      <c r="D322" s="24" t="str">
        <f>IFERROR(TEXT(М6_АТ4021_0586!D147,"h:mm"),"")</f>
        <v>15:35</v>
      </c>
      <c r="E322" s="24" t="str">
        <f t="shared" si="36"/>
        <v>№6</v>
      </c>
      <c r="F322" s="24" t="str">
        <f t="shared" si="37"/>
        <v>АТ 4021</v>
      </c>
      <c r="G322" s="24" t="str">
        <f t="shared" si="38"/>
        <v>СВ 33-16 ЕО</v>
      </c>
      <c r="H322" s="24"/>
      <c r="J322" s="13" t="str">
        <f t="shared" si="28"/>
        <v>вул. Голубівська|4,16</v>
      </c>
      <c r="K322" s="32">
        <f t="shared" si="29"/>
        <v>0.64930555555555558</v>
      </c>
      <c r="L322" s="13" t="str">
        <f>IF($A322="","",IF(COUNTIFS($J$4:$J322,$J322,$E$4:$E322,$E322)=1,$E322,""))</f>
        <v>№6</v>
      </c>
      <c r="M322" s="13" t="str">
        <f>IF($A322="","",IF(COUNTIFS($J$4:$J322,$J322,$F$4:$F322,$F322)=1,$F322,""))</f>
        <v>АТ 4021</v>
      </c>
    </row>
    <row r="323" spans="1:13" x14ac:dyDescent="0.35">
      <c r="A323" s="23" t="str">
        <f>IFERROR(М6_АТ4021_0586!B141,"")</f>
        <v>вул. Гостинна</v>
      </c>
      <c r="B323" s="23" t="str">
        <f>IFERROR(IF(М6_АТ4021_0586!C141="","",TEXT(М6_АТ4021_0586!C141,"General")),"")</f>
        <v>2,6  12</v>
      </c>
      <c r="C323" s="24" t="str">
        <f>"Четвер"</f>
        <v>Четвер</v>
      </c>
      <c r="D323" s="24" t="str">
        <f>IFERROR(TEXT(М6_АТ4021_0586!D141,"h:mm"),"")</f>
        <v>14:15</v>
      </c>
      <c r="E323" s="24" t="str">
        <f t="shared" si="36"/>
        <v>№6</v>
      </c>
      <c r="F323" s="24" t="str">
        <f t="shared" si="37"/>
        <v>АТ 4021</v>
      </c>
      <c r="G323" s="24" t="str">
        <f t="shared" si="38"/>
        <v>СВ 33-16 ЕО</v>
      </c>
      <c r="H323" s="24"/>
      <c r="J323" s="13" t="str">
        <f t="shared" si="28"/>
        <v>вул. Гостинна|2,6  12</v>
      </c>
      <c r="K323" s="32">
        <f t="shared" si="29"/>
        <v>0.59375</v>
      </c>
      <c r="L323" s="13" t="str">
        <f>IF($A323="","",IF(COUNTIFS($J$4:$J323,$J323,$E$4:$E323,$E323)=1,$E323,""))</f>
        <v>№6</v>
      </c>
      <c r="M323" s="13" t="str">
        <f>IF($A323="","",IF(COUNTIFS($J$4:$J323,$J323,$F$4:$F323,$F323)=1,$F323,""))</f>
        <v>АТ 4021</v>
      </c>
    </row>
    <row r="324" spans="1:13" x14ac:dyDescent="0.35">
      <c r="A324" s="23" t="str">
        <f>IFERROR(М5_МАЗ4381_0592!B196,"")</f>
        <v>вул. Грушевського</v>
      </c>
      <c r="B324" s="23" t="str">
        <f>IFERROR(IF(М5_МАЗ4381_0592!C196="","",TEXT(М5_МАЗ4381_0592!C196,"General")),"")</f>
        <v/>
      </c>
      <c r="C324" s="24" t="str">
        <f>"П'ятниця"</f>
        <v>П'ятниця</v>
      </c>
      <c r="D324" s="24" t="str">
        <f>IFERROR(TEXT(М5_МАЗ4381_0592!D196,"h:mm"),"")</f>
        <v>15:00</v>
      </c>
      <c r="E324" s="24" t="str">
        <f>"№5"</f>
        <v>№5</v>
      </c>
      <c r="F324" s="24" t="str">
        <f>"МАЗ 4381"</f>
        <v>МАЗ 4381</v>
      </c>
      <c r="G324" s="24" t="str">
        <f>"СВ 81-71 ВК"</f>
        <v>СВ 81-71 ВК</v>
      </c>
      <c r="H324" s="24"/>
      <c r="J324" s="13" t="str">
        <f t="shared" ref="J324:J387" si="39">IF(A324="","",A324&amp;"|"&amp;B324)</f>
        <v>вул. Грушевського|</v>
      </c>
      <c r="K324" s="32">
        <f t="shared" ref="K324:K387" si="40">IFERROR(IF(D324="","",IF(D324="×",9.99,TIMEVALUE(D324))),9.99)</f>
        <v>0.625</v>
      </c>
      <c r="L324" s="13" t="str">
        <f>IF($A324="","",IF(COUNTIFS($J$4:$J324,$J324,$E$4:$E324,$E324)=1,$E324,""))</f>
        <v>№5</v>
      </c>
      <c r="M324" s="13" t="str">
        <f>IF($A324="","",IF(COUNTIFS($J$4:$J324,$J324,$F$4:$F324,$F324)=1,$F324,""))</f>
        <v>МАЗ 4381</v>
      </c>
    </row>
    <row r="325" spans="1:13" x14ac:dyDescent="0.35">
      <c r="A325" s="23" t="str">
        <f>IFERROR(М6_АТ4021_0586!B47,"")</f>
        <v>вул. Густинська</v>
      </c>
      <c r="B325" s="23" t="str">
        <f>IFERROR(IF(М6_АТ4021_0586!C47="","",TEXT(М6_АТ4021_0586!C47,"General")),"")</f>
        <v>14,21  50,121</v>
      </c>
      <c r="C325" s="24" t="str">
        <f>"Вівторок"</f>
        <v>Вівторок</v>
      </c>
      <c r="D325" s="24" t="str">
        <f>IFERROR(TEXT(М6_АТ4021_0586!D47,"h:mm"),"")</f>
        <v>7:55</v>
      </c>
      <c r="E325" s="24" t="str">
        <f>"№6"</f>
        <v>№6</v>
      </c>
      <c r="F325" s="24" t="str">
        <f>"АТ 4021"</f>
        <v>АТ 4021</v>
      </c>
      <c r="G325" s="24" t="str">
        <f>"СВ 33-16 ЕО"</f>
        <v>СВ 33-16 ЕО</v>
      </c>
      <c r="H325" s="24"/>
      <c r="J325" s="13" t="str">
        <f t="shared" si="39"/>
        <v>вул. Густинська|14,21  50,121</v>
      </c>
      <c r="K325" s="32">
        <f t="shared" si="40"/>
        <v>0.3298611111111111</v>
      </c>
      <c r="L325" s="13" t="str">
        <f>IF($A325="","",IF(COUNTIFS($J$4:$J325,$J325,$E$4:$E325,$E325)=1,$E325,""))</f>
        <v>№6</v>
      </c>
      <c r="M325" s="13" t="str">
        <f>IF($A325="","",IF(COUNTIFS($J$4:$J325,$J325,$F$4:$F325,$F325)=1,$F325,""))</f>
        <v>АТ 4021</v>
      </c>
    </row>
    <row r="326" spans="1:13" x14ac:dyDescent="0.35">
      <c r="A326" s="23" t="str">
        <f>IFERROR(М6_АТ4021_0586!B126,"")</f>
        <v>вул. Густинська</v>
      </c>
      <c r="B326" s="23" t="str">
        <f>IFERROR(IF(М6_АТ4021_0586!C126="","",TEXT(М6_АТ4021_0586!C126,"General")),"")</f>
        <v>140</v>
      </c>
      <c r="C326" s="24" t="str">
        <f>"Четвер"</f>
        <v>Четвер</v>
      </c>
      <c r="D326" s="24" t="str">
        <f>IFERROR(TEXT(М6_АТ4021_0586!D126,"h:mm"),"")</f>
        <v>9:25</v>
      </c>
      <c r="E326" s="24" t="str">
        <f>"№6"</f>
        <v>№6</v>
      </c>
      <c r="F326" s="24" t="str">
        <f>"АТ 4021"</f>
        <v>АТ 4021</v>
      </c>
      <c r="G326" s="24" t="str">
        <f>"СВ 33-16 ЕО"</f>
        <v>СВ 33-16 ЕО</v>
      </c>
      <c r="H326" s="24"/>
      <c r="J326" s="13" t="str">
        <f t="shared" si="39"/>
        <v>вул. Густинська|140</v>
      </c>
      <c r="K326" s="32">
        <f t="shared" si="40"/>
        <v>0.3923611111111111</v>
      </c>
      <c r="L326" s="13" t="str">
        <f>IF($A326="","",IF(COUNTIFS($J$4:$J326,$J326,$E$4:$E326,$E326)=1,$E326,""))</f>
        <v>№6</v>
      </c>
      <c r="M326" s="13" t="str">
        <f>IF($A326="","",IF(COUNTIFS($J$4:$J326,$J326,$F$4:$F326,$F326)=1,$F326,""))</f>
        <v>АТ 4021</v>
      </c>
    </row>
    <row r="327" spans="1:13" x14ac:dyDescent="0.35">
      <c r="A327" s="23" t="str">
        <f>IFERROR(М3_МАЗ4371_0587!B32,"")</f>
        <v>вул. Густинська</v>
      </c>
      <c r="B327" s="23" t="str">
        <f>IFERROR(IF(М3_МАЗ4371_0587!C32="","",TEXT(М3_МАЗ4371_0587!C32,"General")),"")</f>
        <v>22</v>
      </c>
      <c r="C327" s="24" t="str">
        <f>"Понеділок"</f>
        <v>Понеділок</v>
      </c>
      <c r="D327" s="24" t="str">
        <f>IFERROR(TEXT(М3_МАЗ4371_0587!D32,"h:mm"),"")</f>
        <v>14:15</v>
      </c>
      <c r="E327" s="24" t="str">
        <f>"№3"</f>
        <v>№3</v>
      </c>
      <c r="F327" s="24" t="str">
        <f>"МАЗ-4371"</f>
        <v>МАЗ-4371</v>
      </c>
      <c r="G327" s="24" t="str">
        <f>"СВ 53-06 СА"</f>
        <v>СВ 53-06 СА</v>
      </c>
      <c r="H327" s="24">
        <f>IFERROR(М3_МАЗ4371_0587!G32,"")</f>
        <v>3</v>
      </c>
      <c r="J327" s="13" t="str">
        <f t="shared" si="39"/>
        <v>вул. Густинська|22</v>
      </c>
      <c r="K327" s="32">
        <f t="shared" si="40"/>
        <v>0.59375</v>
      </c>
      <c r="L327" s="13" t="str">
        <f>IF($A327="","",IF(COUNTIFS($J$4:$J327,$J327,$E$4:$E327,$E327)=1,$E327,""))</f>
        <v>№3</v>
      </c>
      <c r="M327" s="13" t="str">
        <f>IF($A327="","",IF(COUNTIFS($J$4:$J327,$J327,$F$4:$F327,$F327)=1,$F327,""))</f>
        <v>МАЗ-4371</v>
      </c>
    </row>
    <row r="328" spans="1:13" x14ac:dyDescent="0.35">
      <c r="A328" s="23" t="str">
        <f>IFERROR(М3_МАЗ4371_0587!B98,"")</f>
        <v>вул. Густинська</v>
      </c>
      <c r="B328" s="23" t="str">
        <f>IFERROR(IF(М3_МАЗ4371_0587!C98="","",TEXT(М3_МАЗ4371_0587!C98,"General")),"")</f>
        <v>22</v>
      </c>
      <c r="C328" s="24" t="str">
        <f>"Середа"</f>
        <v>Середа</v>
      </c>
      <c r="D328" s="24" t="str">
        <f>IFERROR(TEXT(М3_МАЗ4371_0587!D98,"h:mm"),"")</f>
        <v>14:00</v>
      </c>
      <c r="E328" s="24" t="str">
        <f>"№3"</f>
        <v>№3</v>
      </c>
      <c r="F328" s="24" t="str">
        <f>"МАЗ-4371"</f>
        <v>МАЗ-4371</v>
      </c>
      <c r="G328" s="24" t="str">
        <f>"СВ 53-06 СА"</f>
        <v>СВ 53-06 СА</v>
      </c>
      <c r="H328" s="24">
        <f>IFERROR(М3_МАЗ4371_0587!G98,"")</f>
        <v>3</v>
      </c>
      <c r="J328" s="13" t="str">
        <f t="shared" si="39"/>
        <v>вул. Густинська|22</v>
      </c>
      <c r="K328" s="32">
        <f t="shared" si="40"/>
        <v>0.58333333333333337</v>
      </c>
      <c r="L328" s="13" t="str">
        <f>IF($A328="","",IF(COUNTIFS($J$4:$J328,$J328,$E$4:$E328,$E328)=1,$E328,""))</f>
        <v/>
      </c>
      <c r="M328" s="13" t="str">
        <f>IF($A328="","",IF(COUNTIFS($J$4:$J328,$J328,$F$4:$F328,$F328)=1,$F328,""))</f>
        <v/>
      </c>
    </row>
    <row r="329" spans="1:13" x14ac:dyDescent="0.35">
      <c r="A329" s="23" t="str">
        <f>IFERROR(М3_МАЗ4371_0587!B165,"")</f>
        <v>вул. Густинська</v>
      </c>
      <c r="B329" s="23" t="str">
        <f>IFERROR(IF(М3_МАЗ4371_0587!C165="","",TEXT(М3_МАЗ4371_0587!C165,"General")),"")</f>
        <v>22</v>
      </c>
      <c r="C329" s="24" t="str">
        <f>"Субота"</f>
        <v>Субота</v>
      </c>
      <c r="D329" s="24" t="str">
        <f>IFERROR(TEXT(М3_МАЗ4371_0587!D165,"h:mm"),"")</f>
        <v>10:55</v>
      </c>
      <c r="E329" s="24" t="str">
        <f>"№3"</f>
        <v>№3</v>
      </c>
      <c r="F329" s="24" t="str">
        <f>"МАЗ-4371"</f>
        <v>МАЗ-4371</v>
      </c>
      <c r="G329" s="24" t="str">
        <f>"СВ 53-06 СА"</f>
        <v>СВ 53-06 СА</v>
      </c>
      <c r="H329" s="24">
        <f>IFERROR(М3_МАЗ4371_0587!G165,"")</f>
        <v>3</v>
      </c>
      <c r="J329" s="13" t="str">
        <f t="shared" si="39"/>
        <v>вул. Густинська|22</v>
      </c>
      <c r="K329" s="32">
        <f t="shared" si="40"/>
        <v>0.4548611111111111</v>
      </c>
      <c r="L329" s="13" t="str">
        <f>IF($A329="","",IF(COUNTIFS($J$4:$J329,$J329,$E$4:$E329,$E329)=1,$E329,""))</f>
        <v/>
      </c>
      <c r="M329" s="13" t="str">
        <f>IF($A329="","",IF(COUNTIFS($J$4:$J329,$J329,$F$4:$F329,$F329)=1,$F329,""))</f>
        <v/>
      </c>
    </row>
    <row r="330" spans="1:13" x14ac:dyDescent="0.35">
      <c r="A330" s="23" t="str">
        <f>IFERROR('М3-4_ГАЗ3309_0590'!B122,"")</f>
        <v>вул. Густинська</v>
      </c>
      <c r="B330" s="23" t="str">
        <f>IFERROR(IF('М3-4_ГАЗ3309_0590'!C122="","",TEXT('М3-4_ГАЗ3309_0590'!C122,"General")),"")</f>
        <v>пластик-сервіс</v>
      </c>
      <c r="C330" s="24" t="str">
        <f>"Понеділок"</f>
        <v>Понеділок</v>
      </c>
      <c r="D330" s="24" t="str">
        <f>IFERROR(TEXT('М3-4_ГАЗ3309_0590'!D122,"h:mm"),"")</f>
        <v>7:45</v>
      </c>
      <c r="E330" s="24" t="str">
        <f>"№3"</f>
        <v>№3</v>
      </c>
      <c r="F330" s="24" t="str">
        <f>"ГАЗ 3309"</f>
        <v>ГАЗ 3309</v>
      </c>
      <c r="G330" s="24" t="str">
        <f>"СВ 17-85 ВН"</f>
        <v>СВ 17-85 ВН</v>
      </c>
      <c r="H330" s="24">
        <f>IFERROR('М3-4_ГАЗ3309_0590'!G122,"")</f>
        <v>1</v>
      </c>
      <c r="J330" s="13" t="str">
        <f t="shared" si="39"/>
        <v>вул. Густинська|пластик-сервіс</v>
      </c>
      <c r="K330" s="32">
        <f t="shared" si="40"/>
        <v>0.32291666666666669</v>
      </c>
      <c r="L330" s="13" t="str">
        <f>IF($A330="","",IF(COUNTIFS($J$4:$J330,$J330,$E$4:$E330,$E330)=1,$E330,""))</f>
        <v>№3</v>
      </c>
      <c r="M330" s="13" t="str">
        <f>IF($A330="","",IF(COUNTIFS($J$4:$J330,$J330,$F$4:$F330,$F330)=1,$F330,""))</f>
        <v>ГАЗ 3309</v>
      </c>
    </row>
    <row r="331" spans="1:13" x14ac:dyDescent="0.35">
      <c r="A331" s="23" t="str">
        <f>IFERROR('М2_АТ4021-1120_0588'!B20,"")</f>
        <v>вул. Гімназична</v>
      </c>
      <c r="B331" s="23" t="str">
        <f>IFERROR(IF('М2_АТ4021-1120_0588'!C20="","",TEXT('М2_АТ4021-1120_0588'!C20,"General")),"")</f>
        <v>(центр. Цвинтар)</v>
      </c>
      <c r="C331" s="24" t="str">
        <f>"Понеділок"</f>
        <v>Понеділок</v>
      </c>
      <c r="D331" s="24" t="str">
        <f>IFERROR(TEXT('М2_АТ4021-1120_0588'!D20,"h:mm"),"")</f>
        <v>13:15</v>
      </c>
      <c r="E331" s="24" t="str">
        <f t="shared" ref="E331:E337" si="41">"№2"</f>
        <v>№2</v>
      </c>
      <c r="F331" s="24" t="str">
        <f>"АТ 4021/1120"</f>
        <v>АТ 4021/1120</v>
      </c>
      <c r="G331" s="24" t="str">
        <f>"СВ 64-11 ЕТ"</f>
        <v>СВ 64-11 ЕТ</v>
      </c>
      <c r="H331" s="24">
        <f>IFERROR('М2_АТ4021-1120_0588'!G20,"")</f>
        <v>4</v>
      </c>
      <c r="J331" s="13" t="str">
        <f t="shared" si="39"/>
        <v>вул. Гімназична|(центр. Цвинтар)</v>
      </c>
      <c r="K331" s="32">
        <f t="shared" si="40"/>
        <v>0.55208333333333337</v>
      </c>
      <c r="L331" s="13" t="str">
        <f>IF($A331="","",IF(COUNTIFS($J$4:$J331,$J331,$E$4:$E331,$E331)=1,$E331,""))</f>
        <v>№2</v>
      </c>
      <c r="M331" s="13" t="str">
        <f>IF($A331="","",IF(COUNTIFS($J$4:$J331,$J331,$F$4:$F331,$F331)=1,$F331,""))</f>
        <v>АТ 4021/1120</v>
      </c>
    </row>
    <row r="332" spans="1:13" x14ac:dyDescent="0.35">
      <c r="A332" s="23" t="str">
        <f>IFERROR('М2_АТ4021-1120_0588'!B51,"")</f>
        <v>вул. Гімназична</v>
      </c>
      <c r="B332" s="23" t="str">
        <f>IFERROR(IF('М2_АТ4021-1120_0588'!C51="","",TEXT('М2_АТ4021-1120_0588'!C51,"General")),"")</f>
        <v>(центр. Цвинтар)</v>
      </c>
      <c r="C332" s="24" t="str">
        <f>"Вівторок"</f>
        <v>Вівторок</v>
      </c>
      <c r="D332" s="24" t="str">
        <f>IFERROR(TEXT('М2_АТ4021-1120_0588'!D51,"h:mm"),"")</f>
        <v>13:15</v>
      </c>
      <c r="E332" s="24" t="str">
        <f t="shared" si="41"/>
        <v>№2</v>
      </c>
      <c r="F332" s="24" t="str">
        <f>"АТ 4021/1120"</f>
        <v>АТ 4021/1120</v>
      </c>
      <c r="G332" s="24" t="str">
        <f>"СВ 64-11 ЕТ"</f>
        <v>СВ 64-11 ЕТ</v>
      </c>
      <c r="H332" s="24">
        <f>IFERROR('М2_АТ4021-1120_0588'!G51,"")</f>
        <v>5</v>
      </c>
      <c r="J332" s="13" t="str">
        <f t="shared" si="39"/>
        <v>вул. Гімназична|(центр. Цвинтар)</v>
      </c>
      <c r="K332" s="32">
        <f t="shared" si="40"/>
        <v>0.55208333333333337</v>
      </c>
      <c r="L332" s="13" t="str">
        <f>IF($A332="","",IF(COUNTIFS($J$4:$J332,$J332,$E$4:$E332,$E332)=1,$E332,""))</f>
        <v/>
      </c>
      <c r="M332" s="13" t="str">
        <f>IF($A332="","",IF(COUNTIFS($J$4:$J332,$J332,$F$4:$F332,$F332)=1,$F332,""))</f>
        <v/>
      </c>
    </row>
    <row r="333" spans="1:13" x14ac:dyDescent="0.35">
      <c r="A333" s="23" t="str">
        <f>IFERROR('М1-2_АТ4021-1120_0585'!B61,"")</f>
        <v>вул. Гімназична</v>
      </c>
      <c r="B333" s="23" t="str">
        <f>IFERROR(IF('М1-2_АТ4021-1120_0585'!C61="","",TEXT('М1-2_АТ4021-1120_0585'!C61,"General")),"")</f>
        <v>(центр. Цвинтар)</v>
      </c>
      <c r="C333" s="24" t="str">
        <f>"Середа"</f>
        <v>Середа</v>
      </c>
      <c r="D333" s="24" t="str">
        <f>IFERROR(TEXT('М1-2_АТ4021-1120_0585'!D61,"h:mm"),"")</f>
        <v>13:00</v>
      </c>
      <c r="E333" s="24" t="str">
        <f t="shared" si="41"/>
        <v>№2</v>
      </c>
      <c r="F333" s="24" t="str">
        <f>"АТ-4021/1120"</f>
        <v>АТ-4021/1120</v>
      </c>
      <c r="G333" s="24" t="str">
        <f>"СВ 14-65 ЕО"</f>
        <v>СВ 14-65 ЕО</v>
      </c>
      <c r="H333" s="24">
        <f>IFERROR('М1-2_АТ4021-1120_0585'!G61,"")</f>
        <v>4</v>
      </c>
      <c r="J333" s="13" t="str">
        <f t="shared" si="39"/>
        <v>вул. Гімназична|(центр. Цвинтар)</v>
      </c>
      <c r="K333" s="32">
        <f t="shared" si="40"/>
        <v>0.54166666666666663</v>
      </c>
      <c r="L333" s="13" t="str">
        <f>IF($A333="","",IF(COUNTIFS($J$4:$J333,$J333,$E$4:$E333,$E333)=1,$E333,""))</f>
        <v/>
      </c>
      <c r="M333" s="13" t="str">
        <f>IF($A333="","",IF(COUNTIFS($J$4:$J333,$J333,$F$4:$F333,$F333)=1,$F333,""))</f>
        <v>АТ-4021/1120</v>
      </c>
    </row>
    <row r="334" spans="1:13" x14ac:dyDescent="0.35">
      <c r="A334" s="23" t="str">
        <f>IFERROR('М2_АТ4021-1120_0588'!B82,"")</f>
        <v>вул. Гімназична</v>
      </c>
      <c r="B334" s="23" t="str">
        <f>IFERROR(IF('М2_АТ4021-1120_0588'!C82="","",TEXT('М2_АТ4021-1120_0588'!C82,"General")),"")</f>
        <v>(центр. Цвинтар)</v>
      </c>
      <c r="C334" s="24" t="str">
        <f>"Четвер"</f>
        <v>Четвер</v>
      </c>
      <c r="D334" s="24" t="str">
        <f>IFERROR(TEXT('М2_АТ4021-1120_0588'!D82,"h:mm"),"")</f>
        <v>13:15</v>
      </c>
      <c r="E334" s="24" t="str">
        <f t="shared" si="41"/>
        <v>№2</v>
      </c>
      <c r="F334" s="24" t="str">
        <f>"АТ 4021/1120"</f>
        <v>АТ 4021/1120</v>
      </c>
      <c r="G334" s="24" t="str">
        <f>"СВ 64-11 ЕТ"</f>
        <v>СВ 64-11 ЕТ</v>
      </c>
      <c r="H334" s="24">
        <f>IFERROR('М2_АТ4021-1120_0588'!G82,"")</f>
        <v>5</v>
      </c>
      <c r="J334" s="13" t="str">
        <f t="shared" si="39"/>
        <v>вул. Гімназична|(центр. Цвинтар)</v>
      </c>
      <c r="K334" s="32">
        <f t="shared" si="40"/>
        <v>0.55208333333333337</v>
      </c>
      <c r="L334" s="13" t="str">
        <f>IF($A334="","",IF(COUNTIFS($J$4:$J334,$J334,$E$4:$E334,$E334)=1,$E334,""))</f>
        <v/>
      </c>
      <c r="M334" s="13" t="str">
        <f>IF($A334="","",IF(COUNTIFS($J$4:$J334,$J334,$F$4:$F334,$F334)=1,$F334,""))</f>
        <v/>
      </c>
    </row>
    <row r="335" spans="1:13" x14ac:dyDescent="0.35">
      <c r="A335" s="23" t="str">
        <f>IFERROR('М2_АТ4021-1120_0588'!B112,"")</f>
        <v>вул. Гімназична</v>
      </c>
      <c r="B335" s="23" t="str">
        <f>IFERROR(IF('М2_АТ4021-1120_0588'!C112="","",TEXT('М2_АТ4021-1120_0588'!C112,"General")),"")</f>
        <v>(центр. Цвинтар)</v>
      </c>
      <c r="C335" s="24" t="str">
        <f>"П'ятниця"</f>
        <v>П'ятниця</v>
      </c>
      <c r="D335" s="24" t="str">
        <f>IFERROR(TEXT('М2_АТ4021-1120_0588'!D112,"h:mm"),"")</f>
        <v>13:15</v>
      </c>
      <c r="E335" s="24" t="str">
        <f t="shared" si="41"/>
        <v>№2</v>
      </c>
      <c r="F335" s="24" t="str">
        <f>"АТ 4021/1120"</f>
        <v>АТ 4021/1120</v>
      </c>
      <c r="G335" s="24" t="str">
        <f>"СВ 64-11 ЕТ"</f>
        <v>СВ 64-11 ЕТ</v>
      </c>
      <c r="H335" s="24">
        <f>IFERROR('М2_АТ4021-1120_0588'!G112,"")</f>
        <v>5</v>
      </c>
      <c r="J335" s="13" t="str">
        <f t="shared" si="39"/>
        <v>вул. Гімназична|(центр. Цвинтар)</v>
      </c>
      <c r="K335" s="32">
        <f t="shared" si="40"/>
        <v>0.55208333333333337</v>
      </c>
      <c r="L335" s="13" t="str">
        <f>IF($A335="","",IF(COUNTIFS($J$4:$J335,$J335,$E$4:$E335,$E335)=1,$E335,""))</f>
        <v/>
      </c>
      <c r="M335" s="13" t="str">
        <f>IF($A335="","",IF(COUNTIFS($J$4:$J335,$J335,$F$4:$F335,$F335)=1,$F335,""))</f>
        <v/>
      </c>
    </row>
    <row r="336" spans="1:13" x14ac:dyDescent="0.35">
      <c r="A336" s="23" t="str">
        <f>IFERROR('М1-2_АТ4021-1120_0585'!B90,"")</f>
        <v>вул. Гімназична</v>
      </c>
      <c r="B336" s="23" t="str">
        <f>IFERROR(IF('М1-2_АТ4021-1120_0585'!C90="","",TEXT('М1-2_АТ4021-1120_0585'!C90,"General")),"")</f>
        <v>(центр. Цвинтар)</v>
      </c>
      <c r="C336" s="24" t="str">
        <f>"Субота"</f>
        <v>Субота</v>
      </c>
      <c r="D336" s="24" t="str">
        <f>IFERROR(TEXT('М1-2_АТ4021-1120_0585'!D90,"h:mm"),"")</f>
        <v>13:00</v>
      </c>
      <c r="E336" s="24" t="str">
        <f t="shared" si="41"/>
        <v>№2</v>
      </c>
      <c r="F336" s="24" t="str">
        <f>"АТ-4021/1120"</f>
        <v>АТ-4021/1120</v>
      </c>
      <c r="G336" s="24" t="str">
        <f>"СВ 14-65 ЕО"</f>
        <v>СВ 14-65 ЕО</v>
      </c>
      <c r="H336" s="24">
        <f>IFERROR('М1-2_АТ4021-1120_0585'!G90,"")</f>
        <v>4</v>
      </c>
      <c r="J336" s="13" t="str">
        <f t="shared" si="39"/>
        <v>вул. Гімназична|(центр. Цвинтар)</v>
      </c>
      <c r="K336" s="32">
        <f t="shared" si="40"/>
        <v>0.54166666666666663</v>
      </c>
      <c r="L336" s="13" t="str">
        <f>IF($A336="","",IF(COUNTIFS($J$4:$J336,$J336,$E$4:$E336,$E336)=1,$E336,""))</f>
        <v/>
      </c>
      <c r="M336" s="13" t="str">
        <f>IF($A336="","",IF(COUNTIFS($J$4:$J336,$J336,$F$4:$F336,$F336)=1,$F336,""))</f>
        <v/>
      </c>
    </row>
    <row r="337" spans="1:13" x14ac:dyDescent="0.35">
      <c r="A337" s="23" t="str">
        <f>IFERROR('М2_АТ4021-1120_0588'!B142,"")</f>
        <v>вул. Гімназична</v>
      </c>
      <c r="B337" s="23" t="str">
        <f>IFERROR(IF('М2_АТ4021-1120_0588'!C142="","",TEXT('М2_АТ4021-1120_0588'!C142,"General")),"")</f>
        <v>(центр. Цвинтар)</v>
      </c>
      <c r="C337" s="24" t="str">
        <f>"Неділя"</f>
        <v>Неділя</v>
      </c>
      <c r="D337" s="24" t="str">
        <f>IFERROR(TEXT('М2_АТ4021-1120_0588'!D142,"h:mm"),"")</f>
        <v>13:15</v>
      </c>
      <c r="E337" s="24" t="str">
        <f t="shared" si="41"/>
        <v>№2</v>
      </c>
      <c r="F337" s="24" t="str">
        <f>"АТ 4021/1120"</f>
        <v>АТ 4021/1120</v>
      </c>
      <c r="G337" s="24" t="str">
        <f>"СВ 64-11 ЕТ"</f>
        <v>СВ 64-11 ЕТ</v>
      </c>
      <c r="H337" s="24">
        <f>IFERROR('М2_АТ4021-1120_0588'!G142,"")</f>
        <v>5</v>
      </c>
      <c r="J337" s="13" t="str">
        <f t="shared" si="39"/>
        <v>вул. Гімназична|(центр. Цвинтар)</v>
      </c>
      <c r="K337" s="32">
        <f t="shared" si="40"/>
        <v>0.55208333333333337</v>
      </c>
      <c r="L337" s="13" t="str">
        <f>IF($A337="","",IF(COUNTIFS($J$4:$J337,$J337,$E$4:$E337,$E337)=1,$E337,""))</f>
        <v/>
      </c>
      <c r="M337" s="13" t="str">
        <f>IF($A337="","",IF(COUNTIFS($J$4:$J337,$J337,$F$4:$F337,$F337)=1,$F337,""))</f>
        <v/>
      </c>
    </row>
    <row r="338" spans="1:13" x14ac:dyDescent="0.35">
      <c r="A338" s="23" t="str">
        <f>IFERROR(М6_АТ4021_0586!B94,"")</f>
        <v>вул. Гімназична</v>
      </c>
      <c r="B338" s="23" t="str">
        <f>IFERROR(IF(М6_АТ4021_0586!C94="","",TEXT(М6_АТ4021_0586!C94,"General")),"")</f>
        <v>5,22  32,50</v>
      </c>
      <c r="C338" s="24" t="str">
        <f>"Середа"</f>
        <v>Середа</v>
      </c>
      <c r="D338" s="24" t="str">
        <f>IFERROR(TEXT(М6_АТ4021_0586!D94,"h:mm"),"")</f>
        <v>11:20</v>
      </c>
      <c r="E338" s="24" t="str">
        <f>"№6"</f>
        <v>№6</v>
      </c>
      <c r="F338" s="24" t="str">
        <f>"АТ 4021"</f>
        <v>АТ 4021</v>
      </c>
      <c r="G338" s="24" t="str">
        <f>"СВ 33-16 ЕО"</f>
        <v>СВ 33-16 ЕО</v>
      </c>
      <c r="H338" s="24"/>
      <c r="J338" s="13" t="str">
        <f t="shared" si="39"/>
        <v>вул. Гімназична|5,22  32,50</v>
      </c>
      <c r="K338" s="32">
        <f t="shared" si="40"/>
        <v>0.47222222222222221</v>
      </c>
      <c r="L338" s="13" t="str">
        <f>IF($A338="","",IF(COUNTIFS($J$4:$J338,$J338,$E$4:$E338,$E338)=1,$E338,""))</f>
        <v>№6</v>
      </c>
      <c r="M338" s="13" t="str">
        <f>IF($A338="","",IF(COUNTIFS($J$4:$J338,$J338,$F$4:$F338,$F338)=1,$F338,""))</f>
        <v>АТ 4021</v>
      </c>
    </row>
    <row r="339" spans="1:13" x14ac:dyDescent="0.35">
      <c r="A339" s="23" t="str">
        <f>IFERROR('М2_АТ4021-1120_0588'!B21,"")</f>
        <v>вул. Гімназична</v>
      </c>
      <c r="B339" s="23" t="str">
        <f>IFERROR(IF('М2_АТ4021-1120_0588'!C21="","",TEXT('М2_АТ4021-1120_0588'!C21,"General")),"")</f>
        <v>карамелька</v>
      </c>
      <c r="C339" s="24" t="str">
        <f>"Понеділок"</f>
        <v>Понеділок</v>
      </c>
      <c r="D339" s="24" t="str">
        <f>IFERROR(TEXT('М2_АТ4021-1120_0588'!D21,"h:mm"),"")</f>
        <v>13:35</v>
      </c>
      <c r="E339" s="24" t="str">
        <f t="shared" ref="E339:E345" si="42">"№2"</f>
        <v>№2</v>
      </c>
      <c r="F339" s="24" t="str">
        <f>"АТ 4021/1120"</f>
        <v>АТ 4021/1120</v>
      </c>
      <c r="G339" s="24" t="str">
        <f>"СВ 64-11 ЕТ"</f>
        <v>СВ 64-11 ЕТ</v>
      </c>
      <c r="H339" s="24">
        <f>IFERROR('М2_АТ4021-1120_0588'!G21,"")</f>
        <v>4</v>
      </c>
      <c r="J339" s="13" t="str">
        <f t="shared" si="39"/>
        <v>вул. Гімназична|карамелька</v>
      </c>
      <c r="K339" s="32">
        <f t="shared" si="40"/>
        <v>0.56597222222222221</v>
      </c>
      <c r="L339" s="13" t="str">
        <f>IF($A339="","",IF(COUNTIFS($J$4:$J339,$J339,$E$4:$E339,$E339)=1,$E339,""))</f>
        <v>№2</v>
      </c>
      <c r="M339" s="13" t="str">
        <f>IF($A339="","",IF(COUNTIFS($J$4:$J339,$J339,$F$4:$F339,$F339)=1,$F339,""))</f>
        <v>АТ 4021/1120</v>
      </c>
    </row>
    <row r="340" spans="1:13" x14ac:dyDescent="0.35">
      <c r="A340" s="23" t="str">
        <f>IFERROR('М2_АТ4021-1120_0588'!B52,"")</f>
        <v>вул. Гімназична</v>
      </c>
      <c r="B340" s="23" t="str">
        <f>IFERROR(IF('М2_АТ4021-1120_0588'!C52="","",TEXT('М2_АТ4021-1120_0588'!C52,"General")),"")</f>
        <v>карамелька</v>
      </c>
      <c r="C340" s="24" t="str">
        <f>"Вівторок"</f>
        <v>Вівторок</v>
      </c>
      <c r="D340" s="24" t="str">
        <f>IFERROR(TEXT('М2_АТ4021-1120_0588'!D52,"h:mm"),"")</f>
        <v>13:35</v>
      </c>
      <c r="E340" s="24" t="str">
        <f t="shared" si="42"/>
        <v>№2</v>
      </c>
      <c r="F340" s="24" t="str">
        <f>"АТ 4021/1120"</f>
        <v>АТ 4021/1120</v>
      </c>
      <c r="G340" s="24" t="str">
        <f>"СВ 64-11 ЕТ"</f>
        <v>СВ 64-11 ЕТ</v>
      </c>
      <c r="H340" s="24">
        <f>IFERROR('М2_АТ4021-1120_0588'!G52,"")</f>
        <v>4</v>
      </c>
      <c r="J340" s="13" t="str">
        <f t="shared" si="39"/>
        <v>вул. Гімназична|карамелька</v>
      </c>
      <c r="K340" s="32">
        <f t="shared" si="40"/>
        <v>0.56597222222222221</v>
      </c>
      <c r="L340" s="13" t="str">
        <f>IF($A340="","",IF(COUNTIFS($J$4:$J340,$J340,$E$4:$E340,$E340)=1,$E340,""))</f>
        <v/>
      </c>
      <c r="M340" s="13" t="str">
        <f>IF($A340="","",IF(COUNTIFS($J$4:$J340,$J340,$F$4:$F340,$F340)=1,$F340,""))</f>
        <v/>
      </c>
    </row>
    <row r="341" spans="1:13" x14ac:dyDescent="0.35">
      <c r="A341" s="23" t="str">
        <f>IFERROR('М1-2_АТ4021-1120_0585'!B60,"")</f>
        <v>вул. Гімназична</v>
      </c>
      <c r="B341" s="23" t="str">
        <f>IFERROR(IF('М1-2_АТ4021-1120_0585'!C60="","",TEXT('М1-2_АТ4021-1120_0585'!C60,"General")),"")</f>
        <v>карамелька</v>
      </c>
      <c r="C341" s="24" t="str">
        <f>"Середа"</f>
        <v>Середа</v>
      </c>
      <c r="D341" s="24" t="str">
        <f>IFERROR(TEXT('М1-2_АТ4021-1120_0585'!D60,"h:mm"),"")</f>
        <v>12:35</v>
      </c>
      <c r="E341" s="24" t="str">
        <f t="shared" si="42"/>
        <v>№2</v>
      </c>
      <c r="F341" s="24" t="str">
        <f>"АТ-4021/1120"</f>
        <v>АТ-4021/1120</v>
      </c>
      <c r="G341" s="24" t="str">
        <f>"СВ 14-65 ЕО"</f>
        <v>СВ 14-65 ЕО</v>
      </c>
      <c r="H341" s="24">
        <f>IFERROR('М1-2_АТ4021-1120_0585'!G60,"")</f>
        <v>4</v>
      </c>
      <c r="J341" s="13" t="str">
        <f t="shared" si="39"/>
        <v>вул. Гімназична|карамелька</v>
      </c>
      <c r="K341" s="32">
        <f t="shared" si="40"/>
        <v>0.52430555555555558</v>
      </c>
      <c r="L341" s="13" t="str">
        <f>IF($A341="","",IF(COUNTIFS($J$4:$J341,$J341,$E$4:$E341,$E341)=1,$E341,""))</f>
        <v/>
      </c>
      <c r="M341" s="13" t="str">
        <f>IF($A341="","",IF(COUNTIFS($J$4:$J341,$J341,$F$4:$F341,$F341)=1,$F341,""))</f>
        <v>АТ-4021/1120</v>
      </c>
    </row>
    <row r="342" spans="1:13" x14ac:dyDescent="0.35">
      <c r="A342" s="23" t="str">
        <f>IFERROR('М2_АТ4021-1120_0588'!B83,"")</f>
        <v>вул. Гімназична</v>
      </c>
      <c r="B342" s="23" t="str">
        <f>IFERROR(IF('М2_АТ4021-1120_0588'!C83="","",TEXT('М2_АТ4021-1120_0588'!C83,"General")),"")</f>
        <v>карамелька</v>
      </c>
      <c r="C342" s="24" t="str">
        <f>"Четвер"</f>
        <v>Четвер</v>
      </c>
      <c r="D342" s="24" t="str">
        <f>IFERROR(TEXT('М2_АТ4021-1120_0588'!D83,"h:mm"),"")</f>
        <v>13:35</v>
      </c>
      <c r="E342" s="24" t="str">
        <f t="shared" si="42"/>
        <v>№2</v>
      </c>
      <c r="F342" s="24" t="str">
        <f>"АТ 4021/1120"</f>
        <v>АТ 4021/1120</v>
      </c>
      <c r="G342" s="24" t="str">
        <f>"СВ 64-11 ЕТ"</f>
        <v>СВ 64-11 ЕТ</v>
      </c>
      <c r="H342" s="24">
        <f>IFERROR('М2_АТ4021-1120_0588'!G83,"")</f>
        <v>4</v>
      </c>
      <c r="J342" s="13" t="str">
        <f t="shared" si="39"/>
        <v>вул. Гімназична|карамелька</v>
      </c>
      <c r="K342" s="32">
        <f t="shared" si="40"/>
        <v>0.56597222222222221</v>
      </c>
      <c r="L342" s="13" t="str">
        <f>IF($A342="","",IF(COUNTIFS($J$4:$J342,$J342,$E$4:$E342,$E342)=1,$E342,""))</f>
        <v/>
      </c>
      <c r="M342" s="13" t="str">
        <f>IF($A342="","",IF(COUNTIFS($J$4:$J342,$J342,$F$4:$F342,$F342)=1,$F342,""))</f>
        <v/>
      </c>
    </row>
    <row r="343" spans="1:13" x14ac:dyDescent="0.35">
      <c r="A343" s="23" t="str">
        <f>IFERROR('М2_АТ4021-1120_0588'!B113,"")</f>
        <v>вул. Гімназична</v>
      </c>
      <c r="B343" s="23" t="str">
        <f>IFERROR(IF('М2_АТ4021-1120_0588'!C113="","",TEXT('М2_АТ4021-1120_0588'!C113,"General")),"")</f>
        <v>карамелька</v>
      </c>
      <c r="C343" s="24" t="str">
        <f>"П'ятниця"</f>
        <v>П'ятниця</v>
      </c>
      <c r="D343" s="24" t="str">
        <f>IFERROR(TEXT('М2_АТ4021-1120_0588'!D113,"h:mm"),"")</f>
        <v>13:35</v>
      </c>
      <c r="E343" s="24" t="str">
        <f t="shared" si="42"/>
        <v>№2</v>
      </c>
      <c r="F343" s="24" t="str">
        <f>"АТ 4021/1120"</f>
        <v>АТ 4021/1120</v>
      </c>
      <c r="G343" s="24" t="str">
        <f>"СВ 64-11 ЕТ"</f>
        <v>СВ 64-11 ЕТ</v>
      </c>
      <c r="H343" s="24">
        <f>IFERROR('М2_АТ4021-1120_0588'!G113,"")</f>
        <v>4</v>
      </c>
      <c r="J343" s="13" t="str">
        <f t="shared" si="39"/>
        <v>вул. Гімназична|карамелька</v>
      </c>
      <c r="K343" s="32">
        <f t="shared" si="40"/>
        <v>0.56597222222222221</v>
      </c>
      <c r="L343" s="13" t="str">
        <f>IF($A343="","",IF(COUNTIFS($J$4:$J343,$J343,$E$4:$E343,$E343)=1,$E343,""))</f>
        <v/>
      </c>
      <c r="M343" s="13" t="str">
        <f>IF($A343="","",IF(COUNTIFS($J$4:$J343,$J343,$F$4:$F343,$F343)=1,$F343,""))</f>
        <v/>
      </c>
    </row>
    <row r="344" spans="1:13" x14ac:dyDescent="0.35">
      <c r="A344" s="23" t="str">
        <f>IFERROR('М1-2_АТ4021-1120_0585'!B89,"")</f>
        <v>вул. Гімназична</v>
      </c>
      <c r="B344" s="23" t="str">
        <f>IFERROR(IF('М1-2_АТ4021-1120_0585'!C89="","",TEXT('М1-2_АТ4021-1120_0585'!C89,"General")),"")</f>
        <v>карамелька</v>
      </c>
      <c r="C344" s="24" t="str">
        <f>"Субота"</f>
        <v>Субота</v>
      </c>
      <c r="D344" s="24" t="str">
        <f>IFERROR(TEXT('М1-2_АТ4021-1120_0585'!D89,"h:mm"),"")</f>
        <v>12:35</v>
      </c>
      <c r="E344" s="24" t="str">
        <f t="shared" si="42"/>
        <v>№2</v>
      </c>
      <c r="F344" s="24" t="str">
        <f>"АТ-4021/1120"</f>
        <v>АТ-4021/1120</v>
      </c>
      <c r="G344" s="24" t="str">
        <f>"СВ 14-65 ЕО"</f>
        <v>СВ 14-65 ЕО</v>
      </c>
      <c r="H344" s="24">
        <f>IFERROR('М1-2_АТ4021-1120_0585'!G89,"")</f>
        <v>4</v>
      </c>
      <c r="J344" s="13" t="str">
        <f t="shared" si="39"/>
        <v>вул. Гімназична|карамелька</v>
      </c>
      <c r="K344" s="32">
        <f t="shared" si="40"/>
        <v>0.52430555555555558</v>
      </c>
      <c r="L344" s="13" t="str">
        <f>IF($A344="","",IF(COUNTIFS($J$4:$J344,$J344,$E$4:$E344,$E344)=1,$E344,""))</f>
        <v/>
      </c>
      <c r="M344" s="13" t="str">
        <f>IF($A344="","",IF(COUNTIFS($J$4:$J344,$J344,$F$4:$F344,$F344)=1,$F344,""))</f>
        <v/>
      </c>
    </row>
    <row r="345" spans="1:13" x14ac:dyDescent="0.35">
      <c r="A345" s="23" t="str">
        <f>IFERROR('М2_АТ4021-1120_0588'!B143,"")</f>
        <v>вул. Гімназична</v>
      </c>
      <c r="B345" s="23" t="str">
        <f>IFERROR(IF('М2_АТ4021-1120_0588'!C143="","",TEXT('М2_АТ4021-1120_0588'!C143,"General")),"")</f>
        <v>карамелька</v>
      </c>
      <c r="C345" s="24" t="str">
        <f>"Неділя"</f>
        <v>Неділя</v>
      </c>
      <c r="D345" s="24" t="str">
        <f>IFERROR(TEXT('М2_АТ4021-1120_0588'!D143,"h:mm"),"")</f>
        <v>13:35</v>
      </c>
      <c r="E345" s="24" t="str">
        <f t="shared" si="42"/>
        <v>№2</v>
      </c>
      <c r="F345" s="24" t="str">
        <f>"АТ 4021/1120"</f>
        <v>АТ 4021/1120</v>
      </c>
      <c r="G345" s="24" t="str">
        <f>"СВ 64-11 ЕТ"</f>
        <v>СВ 64-11 ЕТ</v>
      </c>
      <c r="H345" s="24">
        <f>IFERROR('М2_АТ4021-1120_0588'!G143,"")</f>
        <v>4</v>
      </c>
      <c r="J345" s="13" t="str">
        <f t="shared" si="39"/>
        <v>вул. Гімназична|карамелька</v>
      </c>
      <c r="K345" s="32">
        <f t="shared" si="40"/>
        <v>0.56597222222222221</v>
      </c>
      <c r="L345" s="13" t="str">
        <f>IF($A345="","",IF(COUNTIFS($J$4:$J345,$J345,$E$4:$E345,$E345)=1,$E345,""))</f>
        <v/>
      </c>
      <c r="M345" s="13" t="str">
        <f>IF($A345="","",IF(COUNTIFS($J$4:$J345,$J345,$F$4:$F345,$F345)=1,$F345,""))</f>
        <v/>
      </c>
    </row>
    <row r="346" spans="1:13" x14ac:dyDescent="0.35">
      <c r="A346" s="23" t="str">
        <f>IFERROR(М4_АТ4042ROD_0584!B27,"")</f>
        <v>вул. Гімназична</v>
      </c>
      <c r="B346" s="23" t="str">
        <f>IFERROR(IF(М4_АТ4042ROD_0584!C27="","",TEXT(М4_АТ4042ROD_0584!C27,"General")),"")</f>
        <v>навпроти центр. Кладовища</v>
      </c>
      <c r="C346" s="24" t="str">
        <f>"Понеділок"</f>
        <v>Понеділок</v>
      </c>
      <c r="D346" s="24" t="str">
        <f>IFERROR(TEXT(М4_АТ4042ROD_0584!D27,"h:mm"),"")</f>
        <v>15:00</v>
      </c>
      <c r="E346" s="24" t="str">
        <f t="shared" ref="E346:E352" si="43">"№4"</f>
        <v>№4</v>
      </c>
      <c r="F346" s="24" t="str">
        <f>"АТ 40-42/ROD21003"</f>
        <v>АТ 40-42/ROD21003</v>
      </c>
      <c r="G346" s="24" t="str">
        <f>"СВ 33-15 ЕО"</f>
        <v>СВ 33-15 ЕО</v>
      </c>
      <c r="H346" s="24">
        <f>IFERROR(М4_АТ4042ROD_0584!G27,"")</f>
        <v>1</v>
      </c>
      <c r="J346" s="13" t="str">
        <f t="shared" si="39"/>
        <v>вул. Гімназична|навпроти центр. Кладовища</v>
      </c>
      <c r="K346" s="32">
        <f t="shared" si="40"/>
        <v>0.625</v>
      </c>
      <c r="L346" s="13" t="str">
        <f>IF($A346="","",IF(COUNTIFS($J$4:$J346,$J346,$E$4:$E346,$E346)=1,$E346,""))</f>
        <v>№4</v>
      </c>
      <c r="M346" s="13" t="str">
        <f>IF($A346="","",IF(COUNTIFS($J$4:$J346,$J346,$F$4:$F346,$F346)=1,$F346,""))</f>
        <v>АТ 40-42/ROD21003</v>
      </c>
    </row>
    <row r="347" spans="1:13" x14ac:dyDescent="0.35">
      <c r="A347" s="23" t="str">
        <f>IFERROR(М4_АТ4042ROD_0584!B62,"")</f>
        <v>вул. Гімназична</v>
      </c>
      <c r="B347" s="23" t="str">
        <f>IFERROR(IF(М4_АТ4042ROD_0584!C62="","",TEXT(М4_АТ4042ROD_0584!C62,"General")),"")</f>
        <v>навпроти центр. Кладовища</v>
      </c>
      <c r="C347" s="24" t="str">
        <f>"Вівторок"</f>
        <v>Вівторок</v>
      </c>
      <c r="D347" s="24" t="str">
        <f>IFERROR(TEXT(М4_АТ4042ROD_0584!D62,"h:mm"),"")</f>
        <v>15:30</v>
      </c>
      <c r="E347" s="24" t="str">
        <f t="shared" si="43"/>
        <v>№4</v>
      </c>
      <c r="F347" s="24" t="str">
        <f>"АТ 40-42/ROD21003"</f>
        <v>АТ 40-42/ROD21003</v>
      </c>
      <c r="G347" s="24" t="str">
        <f>"СВ 33-15 ЕО"</f>
        <v>СВ 33-15 ЕО</v>
      </c>
      <c r="H347" s="24">
        <f>IFERROR(М4_АТ4042ROD_0584!G62,"")</f>
        <v>1</v>
      </c>
      <c r="J347" s="13" t="str">
        <f t="shared" si="39"/>
        <v>вул. Гімназична|навпроти центр. Кладовища</v>
      </c>
      <c r="K347" s="32">
        <f t="shared" si="40"/>
        <v>0.64583333333333337</v>
      </c>
      <c r="L347" s="13" t="str">
        <f>IF($A347="","",IF(COUNTIFS($J$4:$J347,$J347,$E$4:$E347,$E347)=1,$E347,""))</f>
        <v/>
      </c>
      <c r="M347" s="13" t="str">
        <f>IF($A347="","",IF(COUNTIFS($J$4:$J347,$J347,$F$4:$F347,$F347)=1,$F347,""))</f>
        <v/>
      </c>
    </row>
    <row r="348" spans="1:13" x14ac:dyDescent="0.35">
      <c r="A348" s="23" t="str">
        <f>IFERROR('М3-4_ГАЗ3309_0590'!B74,"")</f>
        <v>вул. Гімназична</v>
      </c>
      <c r="B348" s="23" t="str">
        <f>IFERROR(IF('М3-4_ГАЗ3309_0590'!C74="","",TEXT('М3-4_ГАЗ3309_0590'!C74,"General")),"")</f>
        <v>навпроти центр. Кладовища</v>
      </c>
      <c r="C348" s="24" t="str">
        <f>"Середа"</f>
        <v>Середа</v>
      </c>
      <c r="D348" s="24" t="str">
        <f>IFERROR(TEXT('М3-4_ГАЗ3309_0590'!D74,"h:mm"),"")</f>
        <v>8:20</v>
      </c>
      <c r="E348" s="24" t="str">
        <f t="shared" si="43"/>
        <v>№4</v>
      </c>
      <c r="F348" s="24" t="str">
        <f>"ГАЗ 3309"</f>
        <v>ГАЗ 3309</v>
      </c>
      <c r="G348" s="24" t="str">
        <f>"СВ 17-85 ВН"</f>
        <v>СВ 17-85 ВН</v>
      </c>
      <c r="H348" s="24">
        <f>IFERROR('М3-4_ГАЗ3309_0590'!G74,"")</f>
        <v>1</v>
      </c>
      <c r="J348" s="13" t="str">
        <f t="shared" si="39"/>
        <v>вул. Гімназична|навпроти центр. Кладовища</v>
      </c>
      <c r="K348" s="32">
        <f t="shared" si="40"/>
        <v>0.34722222222222221</v>
      </c>
      <c r="L348" s="13" t="str">
        <f>IF($A348="","",IF(COUNTIFS($J$4:$J348,$J348,$E$4:$E348,$E348)=1,$E348,""))</f>
        <v/>
      </c>
      <c r="M348" s="13" t="str">
        <f>IF($A348="","",IF(COUNTIFS($J$4:$J348,$J348,$F$4:$F348,$F348)=1,$F348,""))</f>
        <v>ГАЗ 3309</v>
      </c>
    </row>
    <row r="349" spans="1:13" x14ac:dyDescent="0.35">
      <c r="A349" s="23" t="str">
        <f>IFERROR(М4_АТ4042ROD_0584!B93,"")</f>
        <v>вул. Гімназична</v>
      </c>
      <c r="B349" s="23" t="str">
        <f>IFERROR(IF(М4_АТ4042ROD_0584!C93="","",TEXT(М4_АТ4042ROD_0584!C93,"General")),"")</f>
        <v>навпроти центр. Кладовища</v>
      </c>
      <c r="C349" s="24" t="str">
        <f>"Четвер"</f>
        <v>Четвер</v>
      </c>
      <c r="D349" s="24" t="str">
        <f>IFERROR(TEXT(М4_АТ4042ROD_0584!D93,"h:mm"),"")</f>
        <v>15:00</v>
      </c>
      <c r="E349" s="24" t="str">
        <f t="shared" si="43"/>
        <v>№4</v>
      </c>
      <c r="F349" s="24" t="str">
        <f>"АТ 40-42/ROD21003"</f>
        <v>АТ 40-42/ROD21003</v>
      </c>
      <c r="G349" s="24" t="str">
        <f>"СВ 33-15 ЕО"</f>
        <v>СВ 33-15 ЕО</v>
      </c>
      <c r="H349" s="24">
        <f>IFERROR(М4_АТ4042ROD_0584!G93,"")</f>
        <v>1</v>
      </c>
      <c r="J349" s="13" t="str">
        <f t="shared" si="39"/>
        <v>вул. Гімназична|навпроти центр. Кладовища</v>
      </c>
      <c r="K349" s="32">
        <f t="shared" si="40"/>
        <v>0.625</v>
      </c>
      <c r="L349" s="13" t="str">
        <f>IF($A349="","",IF(COUNTIFS($J$4:$J349,$J349,$E$4:$E349,$E349)=1,$E349,""))</f>
        <v/>
      </c>
      <c r="M349" s="13" t="str">
        <f>IF($A349="","",IF(COUNTIFS($J$4:$J349,$J349,$F$4:$F349,$F349)=1,$F349,""))</f>
        <v/>
      </c>
    </row>
    <row r="350" spans="1:13" x14ac:dyDescent="0.35">
      <c r="A350" s="23" t="str">
        <f>IFERROR(М4_АТ4042ROD_0584!B128,"")</f>
        <v>вул. Гімназична</v>
      </c>
      <c r="B350" s="23" t="str">
        <f>IFERROR(IF(М4_АТ4042ROD_0584!C128="","",TEXT(М4_АТ4042ROD_0584!C128,"General")),"")</f>
        <v>навпроти центр. Кладовища</v>
      </c>
      <c r="C350" s="24" t="str">
        <f>"П'ятниця"</f>
        <v>П'ятниця</v>
      </c>
      <c r="D350" s="24" t="str">
        <f>IFERROR(TEXT(М4_АТ4042ROD_0584!D128,"h:mm"),"")</f>
        <v>15:20</v>
      </c>
      <c r="E350" s="24" t="str">
        <f t="shared" si="43"/>
        <v>№4</v>
      </c>
      <c r="F350" s="24" t="str">
        <f>"АТ 40-42/ROD21003"</f>
        <v>АТ 40-42/ROD21003</v>
      </c>
      <c r="G350" s="24" t="str">
        <f>"СВ 33-15 ЕО"</f>
        <v>СВ 33-15 ЕО</v>
      </c>
      <c r="H350" s="24">
        <f>IFERROR(М4_АТ4042ROD_0584!G128,"")</f>
        <v>1</v>
      </c>
      <c r="J350" s="13" t="str">
        <f t="shared" si="39"/>
        <v>вул. Гімназична|навпроти центр. Кладовища</v>
      </c>
      <c r="K350" s="32">
        <f t="shared" si="40"/>
        <v>0.63888888888888884</v>
      </c>
      <c r="L350" s="13" t="str">
        <f>IF($A350="","",IF(COUNTIFS($J$4:$J350,$J350,$E$4:$E350,$E350)=1,$E350,""))</f>
        <v/>
      </c>
      <c r="M350" s="13" t="str">
        <f>IF($A350="","",IF(COUNTIFS($J$4:$J350,$J350,$F$4:$F350,$F350)=1,$F350,""))</f>
        <v/>
      </c>
    </row>
    <row r="351" spans="1:13" x14ac:dyDescent="0.35">
      <c r="A351" s="23" t="str">
        <f>IFERROR('М3-4_ГАЗ3309_0590'!B99,"")</f>
        <v>вул. Гімназична</v>
      </c>
      <c r="B351" s="23" t="str">
        <f>IFERROR(IF('М3-4_ГАЗ3309_0590'!C99="","",TEXT('М3-4_ГАЗ3309_0590'!C99,"General")),"")</f>
        <v>навпроти центр. Кладовища</v>
      </c>
      <c r="C351" s="24" t="str">
        <f>"Субота"</f>
        <v>Субота</v>
      </c>
      <c r="D351" s="24" t="str">
        <f>IFERROR(TEXT('М3-4_ГАЗ3309_0590'!D99,"h:mm"),"")</f>
        <v>8:20</v>
      </c>
      <c r="E351" s="24" t="str">
        <f t="shared" si="43"/>
        <v>№4</v>
      </c>
      <c r="F351" s="24" t="str">
        <f>"ГАЗ 3309"</f>
        <v>ГАЗ 3309</v>
      </c>
      <c r="G351" s="24" t="str">
        <f>"СВ 17-85 ВН"</f>
        <v>СВ 17-85 ВН</v>
      </c>
      <c r="H351" s="24">
        <f>IFERROR('М3-4_ГАЗ3309_0590'!G99,"")</f>
        <v>1</v>
      </c>
      <c r="J351" s="13" t="str">
        <f t="shared" si="39"/>
        <v>вул. Гімназична|навпроти центр. Кладовища</v>
      </c>
      <c r="K351" s="32">
        <f t="shared" si="40"/>
        <v>0.34722222222222221</v>
      </c>
      <c r="L351" s="13" t="str">
        <f>IF($A351="","",IF(COUNTIFS($J$4:$J351,$J351,$E$4:$E351,$E351)=1,$E351,""))</f>
        <v/>
      </c>
      <c r="M351" s="13" t="str">
        <f>IF($A351="","",IF(COUNTIFS($J$4:$J351,$J351,$F$4:$F351,$F351)=1,$F351,""))</f>
        <v/>
      </c>
    </row>
    <row r="352" spans="1:13" x14ac:dyDescent="0.35">
      <c r="A352" s="23" t="str">
        <f>IFERROR(М4_АТ4042ROD_0584!B158,"")</f>
        <v>вул. Гімназична</v>
      </c>
      <c r="B352" s="23" t="str">
        <f>IFERROR(IF(М4_АТ4042ROD_0584!C158="","",TEXT(М4_АТ4042ROD_0584!C158,"General")),"")</f>
        <v>навпроти центр. Кладовища</v>
      </c>
      <c r="C352" s="24" t="str">
        <f>"Неділя"</f>
        <v>Неділя</v>
      </c>
      <c r="D352" s="24" t="str">
        <f>IFERROR(TEXT(М4_АТ4042ROD_0584!D158,"h:mm"),"")</f>
        <v>15:00</v>
      </c>
      <c r="E352" s="24" t="str">
        <f t="shared" si="43"/>
        <v>№4</v>
      </c>
      <c r="F352" s="24" t="str">
        <f>"АТ 40-42/ROD21003"</f>
        <v>АТ 40-42/ROD21003</v>
      </c>
      <c r="G352" s="24" t="str">
        <f>"СВ 33-15 ЕО"</f>
        <v>СВ 33-15 ЕО</v>
      </c>
      <c r="H352" s="24">
        <f>IFERROR(М4_АТ4042ROD_0584!G158,"")</f>
        <v>1</v>
      </c>
      <c r="J352" s="13" t="str">
        <f t="shared" si="39"/>
        <v>вул. Гімназична|навпроти центр. Кладовища</v>
      </c>
      <c r="K352" s="32">
        <f t="shared" si="40"/>
        <v>0.625</v>
      </c>
      <c r="L352" s="13" t="str">
        <f>IF($A352="","",IF(COUNTIFS($J$4:$J352,$J352,$E$4:$E352,$E352)=1,$E352,""))</f>
        <v/>
      </c>
      <c r="M352" s="13" t="str">
        <f>IF($A352="","",IF(COUNTIFS($J$4:$J352,$J352,$F$4:$F352,$F352)=1,$F352,""))</f>
        <v/>
      </c>
    </row>
    <row r="353" spans="1:13" x14ac:dyDescent="0.35">
      <c r="A353" s="23" t="str">
        <f>IFERROR(М5_МАЗ4381_0592!B31,"")</f>
        <v>вул. Д. Шкоропада</v>
      </c>
      <c r="B353" s="23" t="str">
        <f>IFERROR(IF(М5_МАЗ4381_0592!C31="","",TEXT(М5_МАЗ4381_0592!C31,"General")),"")</f>
        <v/>
      </c>
      <c r="C353" s="24" t="str">
        <f>"Понеділок"</f>
        <v>Понеділок</v>
      </c>
      <c r="D353" s="24" t="str">
        <f>IFERROR(TEXT(М5_МАЗ4381_0592!D31,"h:mm"),"")</f>
        <v>13:10</v>
      </c>
      <c r="E353" s="24" t="str">
        <f>"№5"</f>
        <v>№5</v>
      </c>
      <c r="F353" s="24" t="str">
        <f>"МАЗ 4381"</f>
        <v>МАЗ 4381</v>
      </c>
      <c r="G353" s="24" t="str">
        <f>"СВ 81-71 ВК"</f>
        <v>СВ 81-71 ВК</v>
      </c>
      <c r="H353" s="24"/>
      <c r="J353" s="13" t="str">
        <f t="shared" si="39"/>
        <v>вул. Д. Шкоропада|</v>
      </c>
      <c r="K353" s="32">
        <f t="shared" si="40"/>
        <v>0.54861111111111116</v>
      </c>
      <c r="L353" s="13" t="str">
        <f>IF($A353="","",IF(COUNTIFS($J$4:$J353,$J353,$E$4:$E353,$E353)=1,$E353,""))</f>
        <v>№5</v>
      </c>
      <c r="M353" s="13" t="str">
        <f>IF($A353="","",IF(COUNTIFS($J$4:$J353,$J353,$F$4:$F353,$F353)=1,$F353,""))</f>
        <v>МАЗ 4381</v>
      </c>
    </row>
    <row r="354" spans="1:13" x14ac:dyDescent="0.35">
      <c r="A354" s="23" t="str">
        <f>IFERROR(М5_МАЗ4381_0592!B163,"")</f>
        <v>вул. Д. Шкоропада</v>
      </c>
      <c r="B354" s="23" t="str">
        <f>IFERROR(IF(М5_МАЗ4381_0592!C163="","",TEXT(М5_МАЗ4381_0592!C163,"General")),"")</f>
        <v/>
      </c>
      <c r="C354" s="24" t="str">
        <f>"П'ятниця"</f>
        <v>П'ятниця</v>
      </c>
      <c r="D354" s="24" t="str">
        <f>IFERROR(TEXT(М5_МАЗ4381_0592!D163,"h:mm"),"")</f>
        <v>7:45</v>
      </c>
      <c r="E354" s="24" t="str">
        <f>"№5"</f>
        <v>№5</v>
      </c>
      <c r="F354" s="24" t="str">
        <f>"МАЗ 4381"</f>
        <v>МАЗ 4381</v>
      </c>
      <c r="G354" s="24" t="str">
        <f>"СВ 81-71 ВК"</f>
        <v>СВ 81-71 ВК</v>
      </c>
      <c r="H354" s="24"/>
      <c r="J354" s="13" t="str">
        <f t="shared" si="39"/>
        <v>вул. Д. Шкоропада|</v>
      </c>
      <c r="K354" s="32">
        <f t="shared" si="40"/>
        <v>0.32291666666666669</v>
      </c>
      <c r="L354" s="13" t="str">
        <f>IF($A354="","",IF(COUNTIFS($J$4:$J354,$J354,$E$4:$E354,$E354)=1,$E354,""))</f>
        <v/>
      </c>
      <c r="M354" s="13" t="str">
        <f>IF($A354="","",IF(COUNTIFS($J$4:$J354,$J354,$F$4:$F354,$F354)=1,$F354,""))</f>
        <v/>
      </c>
    </row>
    <row r="355" spans="1:13" x14ac:dyDescent="0.35">
      <c r="A355" s="23" t="str">
        <f>IFERROR(М5_МАЗ4381_0592!B138,"")</f>
        <v>вул. Дачна</v>
      </c>
      <c r="B355" s="23" t="str">
        <f>IFERROR(IF(М5_МАЗ4381_0592!C138="","",TEXT(М5_МАЗ4381_0592!C138,"General")),"")</f>
        <v/>
      </c>
      <c r="C355" s="24" t="str">
        <f>"Четвер"</f>
        <v>Четвер</v>
      </c>
      <c r="D355" s="24" t="str">
        <f>IFERROR(TEXT(М5_МАЗ4381_0592!D138,"h:mm"),"")</f>
        <v>12:15</v>
      </c>
      <c r="E355" s="24" t="str">
        <f>"№5"</f>
        <v>№5</v>
      </c>
      <c r="F355" s="24" t="str">
        <f>"МАЗ 4381"</f>
        <v>МАЗ 4381</v>
      </c>
      <c r="G355" s="24" t="str">
        <f>"СВ 81-71 ВК"</f>
        <v>СВ 81-71 ВК</v>
      </c>
      <c r="H355" s="24"/>
      <c r="J355" s="13" t="str">
        <f t="shared" si="39"/>
        <v>вул. Дачна|</v>
      </c>
      <c r="K355" s="32">
        <f t="shared" si="40"/>
        <v>0.51041666666666663</v>
      </c>
      <c r="L355" s="13" t="str">
        <f>IF($A355="","",IF(COUNTIFS($J$4:$J355,$J355,$E$4:$E355,$E355)=1,$E355,""))</f>
        <v>№5</v>
      </c>
      <c r="M355" s="13" t="str">
        <f>IF($A355="","",IF(COUNTIFS($J$4:$J355,$J355,$F$4:$F355,$F355)=1,$F355,""))</f>
        <v>МАЗ 4381</v>
      </c>
    </row>
    <row r="356" spans="1:13" x14ac:dyDescent="0.35">
      <c r="A356" s="23" t="str">
        <f>IFERROR(М3_МАЗ4371_0587!B112,"")</f>
        <v>вул. Дачна</v>
      </c>
      <c r="B356" s="23" t="str">
        <f>IFERROR(IF(М3_МАЗ4371_0587!C112="","",TEXT(М3_МАЗ4371_0587!C112,"General")),"")</f>
        <v>33</v>
      </c>
      <c r="C356" s="24" t="str">
        <f>"П'ятниця"</f>
        <v>П'ятниця</v>
      </c>
      <c r="D356" s="24" t="str">
        <f>IFERROR(TEXT(М3_МАЗ4371_0587!D112,"h:mm"),"")</f>
        <v>7:10</v>
      </c>
      <c r="E356" s="24" t="str">
        <f>"№3"</f>
        <v>№3</v>
      </c>
      <c r="F356" s="24" t="str">
        <f>"МАЗ-4371"</f>
        <v>МАЗ-4371</v>
      </c>
      <c r="G356" s="24" t="str">
        <f>"СВ 53-06 СА"</f>
        <v>СВ 53-06 СА</v>
      </c>
      <c r="H356" s="24">
        <f>IFERROR(М3_МАЗ4371_0587!G112,"")</f>
        <v>1</v>
      </c>
      <c r="J356" s="13" t="str">
        <f t="shared" si="39"/>
        <v>вул. Дачна|33</v>
      </c>
      <c r="K356" s="32">
        <f t="shared" si="40"/>
        <v>0.2986111111111111</v>
      </c>
      <c r="L356" s="13" t="str">
        <f>IF($A356="","",IF(COUNTIFS($J$4:$J356,$J356,$E$4:$E356,$E356)=1,$E356,""))</f>
        <v>№3</v>
      </c>
      <c r="M356" s="13" t="str">
        <f>IF($A356="","",IF(COUNTIFS($J$4:$J356,$J356,$F$4:$F356,$F356)=1,$F356,""))</f>
        <v>МАЗ-4371</v>
      </c>
    </row>
    <row r="357" spans="1:13" x14ac:dyDescent="0.35">
      <c r="A357" s="23" t="str">
        <f>IFERROR(М5_МАЗ4381_0592!B149,"")</f>
        <v>вул. Дубинського</v>
      </c>
      <c r="B357" s="23" t="str">
        <f>IFERROR(IF(М5_МАЗ4381_0592!C149="","",TEXT(М5_МАЗ4381_0592!C149,"General")),"")</f>
        <v/>
      </c>
      <c r="C357" s="24" t="str">
        <f>"Четвер"</f>
        <v>Четвер</v>
      </c>
      <c r="D357" s="24" t="str">
        <f>IFERROR(TEXT(М5_МАЗ4381_0592!D149,"h:mm"),"")</f>
        <v>14:45</v>
      </c>
      <c r="E357" s="24" t="str">
        <f>"№5"</f>
        <v>№5</v>
      </c>
      <c r="F357" s="24" t="str">
        <f>"МАЗ 4381"</f>
        <v>МАЗ 4381</v>
      </c>
      <c r="G357" s="24" t="str">
        <f>"СВ 81-71 ВК"</f>
        <v>СВ 81-71 ВК</v>
      </c>
      <c r="H357" s="24"/>
      <c r="J357" s="13" t="str">
        <f t="shared" si="39"/>
        <v>вул. Дубинського|</v>
      </c>
      <c r="K357" s="32">
        <f t="shared" si="40"/>
        <v>0.61458333333333337</v>
      </c>
      <c r="L357" s="13" t="str">
        <f>IF($A357="","",IF(COUNTIFS($J$4:$J357,$J357,$E$4:$E357,$E357)=1,$E357,""))</f>
        <v>№5</v>
      </c>
      <c r="M357" s="13" t="str">
        <f>IF($A357="","",IF(COUNTIFS($J$4:$J357,$J357,$F$4:$F357,$F357)=1,$F357,""))</f>
        <v>МАЗ 4381</v>
      </c>
    </row>
    <row r="358" spans="1:13" x14ac:dyDescent="0.35">
      <c r="A358" s="23" t="str">
        <f>IFERROR(М6_АТ4021_0586!B143,"")</f>
        <v>вул. Дідівська</v>
      </c>
      <c r="B358" s="23" t="str">
        <f>IFERROR(IF(М6_АТ4021_0586!C143="","",TEXT(М6_АТ4021_0586!C143,"General")),"")</f>
        <v>2,4  16</v>
      </c>
      <c r="C358" s="24" t="str">
        <f>"Четвер"</f>
        <v>Четвер</v>
      </c>
      <c r="D358" s="24" t="str">
        <f>IFERROR(TEXT(М6_АТ4021_0586!D143,"h:mm"),"")</f>
        <v>14:35</v>
      </c>
      <c r="E358" s="24" t="str">
        <f>"№6"</f>
        <v>№6</v>
      </c>
      <c r="F358" s="24" t="str">
        <f>"АТ 4021"</f>
        <v>АТ 4021</v>
      </c>
      <c r="G358" s="24" t="str">
        <f>"СВ 33-16 ЕО"</f>
        <v>СВ 33-16 ЕО</v>
      </c>
      <c r="H358" s="24"/>
      <c r="J358" s="13" t="str">
        <f t="shared" si="39"/>
        <v>вул. Дідівська|2,4  16</v>
      </c>
      <c r="K358" s="32">
        <f t="shared" si="40"/>
        <v>0.60763888888888884</v>
      </c>
      <c r="L358" s="13" t="str">
        <f>IF($A358="","",IF(COUNTIFS($J$4:$J358,$J358,$E$4:$E358,$E358)=1,$E358,""))</f>
        <v>№6</v>
      </c>
      <c r="M358" s="13" t="str">
        <f>IF($A358="","",IF(COUNTIFS($J$4:$J358,$J358,$F$4:$F358,$F358)=1,$F358,""))</f>
        <v>АТ 4021</v>
      </c>
    </row>
    <row r="359" spans="1:13" x14ac:dyDescent="0.35">
      <c r="A359" s="23" t="str">
        <f>IFERROR(М6_АТ4021_0586!B104,"")</f>
        <v>вул. Дідівська</v>
      </c>
      <c r="B359" s="23" t="str">
        <f>IFERROR(IF(М6_АТ4021_0586!C104="","",TEXT(М6_АТ4021_0586!C104,"General")),"")</f>
        <v>35,47  55,61</v>
      </c>
      <c r="C359" s="24" t="str">
        <f>"Середа"</f>
        <v>Середа</v>
      </c>
      <c r="D359" s="24" t="str">
        <f>IFERROR(TEXT(М6_АТ4021_0586!D104,"h:mm"),"")</f>
        <v>14:30</v>
      </c>
      <c r="E359" s="24" t="str">
        <f>"№6"</f>
        <v>№6</v>
      </c>
      <c r="F359" s="24" t="str">
        <f>"АТ 4021"</f>
        <v>АТ 4021</v>
      </c>
      <c r="G359" s="24" t="str">
        <f>"СВ 33-16 ЕО"</f>
        <v>СВ 33-16 ЕО</v>
      </c>
      <c r="H359" s="24"/>
      <c r="J359" s="13" t="str">
        <f t="shared" si="39"/>
        <v>вул. Дідівська|35,47  55,61</v>
      </c>
      <c r="K359" s="32">
        <f t="shared" si="40"/>
        <v>0.60416666666666663</v>
      </c>
      <c r="L359" s="13" t="str">
        <f>IF($A359="","",IF(COUNTIFS($J$4:$J359,$J359,$E$4:$E359,$E359)=1,$E359,""))</f>
        <v>№6</v>
      </c>
      <c r="M359" s="13" t="str">
        <f>IF($A359="","",IF(COUNTIFS($J$4:$J359,$J359,$F$4:$F359,$F359)=1,$F359,""))</f>
        <v>АТ 4021</v>
      </c>
    </row>
    <row r="360" spans="1:13" x14ac:dyDescent="0.35">
      <c r="A360" s="23" t="str">
        <f>IFERROR(М5_МАЗ4381_0592!B166,"")</f>
        <v>вул. Ждановича</v>
      </c>
      <c r="B360" s="23" t="str">
        <f>IFERROR(IF(М5_МАЗ4381_0592!C166="","",TEXT(М5_МАЗ4381_0592!C166,"General")),"")</f>
        <v/>
      </c>
      <c r="C360" s="24" t="str">
        <f>"П'ятниця"</f>
        <v>П'ятниця</v>
      </c>
      <c r="D360" s="24" t="str">
        <f>IFERROR(TEXT(М5_МАЗ4381_0592!D166,"h:mm"),"")</f>
        <v>8:10</v>
      </c>
      <c r="E360" s="24" t="str">
        <f>"№5"</f>
        <v>№5</v>
      </c>
      <c r="F360" s="24" t="str">
        <f>"МАЗ 4381"</f>
        <v>МАЗ 4381</v>
      </c>
      <c r="G360" s="24" t="str">
        <f>"СВ 81-71 ВК"</f>
        <v>СВ 81-71 ВК</v>
      </c>
      <c r="H360" s="24"/>
      <c r="J360" s="13" t="str">
        <f t="shared" si="39"/>
        <v>вул. Ждановича|</v>
      </c>
      <c r="K360" s="32">
        <f t="shared" si="40"/>
        <v>0.34027777777777779</v>
      </c>
      <c r="L360" s="13" t="str">
        <f>IF($A360="","",IF(COUNTIFS($J$4:$J360,$J360,$E$4:$E360,$E360)=1,$E360,""))</f>
        <v>№5</v>
      </c>
      <c r="M360" s="13" t="str">
        <f>IF($A360="","",IF(COUNTIFS($J$4:$J360,$J360,$F$4:$F360,$F360)=1,$F360,""))</f>
        <v>МАЗ 4381</v>
      </c>
    </row>
    <row r="361" spans="1:13" x14ac:dyDescent="0.35">
      <c r="A361" s="23" t="str">
        <f>IFERROR(М5_МАЗ4381_0592!B172,"")</f>
        <v>вул. Ждановича</v>
      </c>
      <c r="B361" s="23" t="str">
        <f>IFERROR(IF(М5_МАЗ4381_0592!C172="","",TEXT(М5_МАЗ4381_0592!C172,"General")),"")</f>
        <v/>
      </c>
      <c r="C361" s="24" t="str">
        <f>"П'ятниця"</f>
        <v>П'ятниця</v>
      </c>
      <c r="D361" s="24" t="str">
        <f>IFERROR(TEXT(М5_МАЗ4381_0592!D172,"h:mm"),"")</f>
        <v>9:30</v>
      </c>
      <c r="E361" s="24" t="str">
        <f>"№5"</f>
        <v>№5</v>
      </c>
      <c r="F361" s="24" t="str">
        <f>"МАЗ 4381"</f>
        <v>МАЗ 4381</v>
      </c>
      <c r="G361" s="24" t="str">
        <f>"СВ 81-71 ВК"</f>
        <v>СВ 81-71 ВК</v>
      </c>
      <c r="H361" s="24"/>
      <c r="J361" s="13" t="str">
        <f t="shared" si="39"/>
        <v>вул. Ждановича|</v>
      </c>
      <c r="K361" s="32">
        <f t="shared" si="40"/>
        <v>0.39583333333333331</v>
      </c>
      <c r="L361" s="13" t="str">
        <f>IF($A361="","",IF(COUNTIFS($J$4:$J361,$J361,$E$4:$E361,$E361)=1,$E361,""))</f>
        <v/>
      </c>
      <c r="M361" s="13" t="str">
        <f>IF($A361="","",IF(COUNTIFS($J$4:$J361,$J361,$F$4:$F361,$F361)=1,$F361,""))</f>
        <v/>
      </c>
    </row>
    <row r="362" spans="1:13" x14ac:dyDescent="0.35">
      <c r="A362" s="23" t="str">
        <f>IFERROR(М5_МАЗ4381_0592!B139,"")</f>
        <v>вул. Житня</v>
      </c>
      <c r="B362" s="23" t="str">
        <f>IFERROR(IF(М5_МАЗ4381_0592!C139="","",TEXT(М5_МАЗ4381_0592!C139,"General")),"")</f>
        <v/>
      </c>
      <c r="C362" s="24" t="str">
        <f>"Четвер"</f>
        <v>Четвер</v>
      </c>
      <c r="D362" s="24" t="str">
        <f>IFERROR(TEXT(М5_МАЗ4381_0592!D139,"h:mm"),"")</f>
        <v>12:25</v>
      </c>
      <c r="E362" s="24" t="str">
        <f>"№5"</f>
        <v>№5</v>
      </c>
      <c r="F362" s="24" t="str">
        <f>"МАЗ 4381"</f>
        <v>МАЗ 4381</v>
      </c>
      <c r="G362" s="24" t="str">
        <f>"СВ 81-71 ВК"</f>
        <v>СВ 81-71 ВК</v>
      </c>
      <c r="H362" s="24"/>
      <c r="J362" s="13" t="str">
        <f t="shared" si="39"/>
        <v>вул. Житня|</v>
      </c>
      <c r="K362" s="32">
        <f t="shared" si="40"/>
        <v>0.51736111111111116</v>
      </c>
      <c r="L362" s="13" t="str">
        <f>IF($A362="","",IF(COUNTIFS($J$4:$J362,$J362,$E$4:$E362,$E362)=1,$E362,""))</f>
        <v>№5</v>
      </c>
      <c r="M362" s="13" t="str">
        <f>IF($A362="","",IF(COUNTIFS($J$4:$J362,$J362,$F$4:$F362,$F362)=1,$F362,""))</f>
        <v>МАЗ 4381</v>
      </c>
    </row>
    <row r="363" spans="1:13" x14ac:dyDescent="0.35">
      <c r="A363" s="23" t="str">
        <f>IFERROR(М6_АТ4021_0586!B170,"")</f>
        <v>вул. Житня</v>
      </c>
      <c r="B363" s="23" t="str">
        <f>IFERROR(IF(М6_АТ4021_0586!C170="","",TEXT(М6_АТ4021_0586!C170,"General")),"")</f>
        <v>11,55</v>
      </c>
      <c r="C363" s="24" t="str">
        <f>"П'ятниця"</f>
        <v>П'ятниця</v>
      </c>
      <c r="D363" s="24" t="str">
        <f>IFERROR(TEXT(М6_АТ4021_0586!D170,"h:mm"),"")</f>
        <v>11:00</v>
      </c>
      <c r="E363" s="24" t="str">
        <f>"№6"</f>
        <v>№6</v>
      </c>
      <c r="F363" s="24" t="str">
        <f>"АТ 4021"</f>
        <v>АТ 4021</v>
      </c>
      <c r="G363" s="24" t="str">
        <f>"СВ 33-16 ЕО"</f>
        <v>СВ 33-16 ЕО</v>
      </c>
      <c r="H363" s="24"/>
      <c r="J363" s="13" t="str">
        <f t="shared" si="39"/>
        <v>вул. Житня|11,55</v>
      </c>
      <c r="K363" s="32">
        <f t="shared" si="40"/>
        <v>0.45833333333333331</v>
      </c>
      <c r="L363" s="13" t="str">
        <f>IF($A363="","",IF(COUNTIFS($J$4:$J363,$J363,$E$4:$E363,$E363)=1,$E363,""))</f>
        <v>№6</v>
      </c>
      <c r="M363" s="13" t="str">
        <f>IF($A363="","",IF(COUNTIFS($J$4:$J363,$J363,$F$4:$F363,$F363)=1,$F363,""))</f>
        <v>АТ 4021</v>
      </c>
    </row>
    <row r="364" spans="1:13" x14ac:dyDescent="0.35">
      <c r="A364" s="23" t="str">
        <f>IFERROR(М6_АТ4021_0586!B91,"")</f>
        <v>вул. Житня</v>
      </c>
      <c r="B364" s="23" t="str">
        <f>IFERROR(IF(М6_АТ4021_0586!C91="","",TEXT(М6_АТ4021_0586!C91,"General")),"")</f>
        <v>163,153,135,91</v>
      </c>
      <c r="C364" s="24" t="str">
        <f>"Середа"</f>
        <v>Середа</v>
      </c>
      <c r="D364" s="24" t="str">
        <f>IFERROR(TEXT(М6_АТ4021_0586!D91,"h:mm"),"")</f>
        <v>10:30</v>
      </c>
      <c r="E364" s="24" t="str">
        <f>"№6"</f>
        <v>№6</v>
      </c>
      <c r="F364" s="24" t="str">
        <f>"АТ 4021"</f>
        <v>АТ 4021</v>
      </c>
      <c r="G364" s="24" t="str">
        <f>"СВ 33-16 ЕО"</f>
        <v>СВ 33-16 ЕО</v>
      </c>
      <c r="H364" s="24"/>
      <c r="J364" s="13" t="str">
        <f t="shared" si="39"/>
        <v>вул. Житня|163,153,135,91</v>
      </c>
      <c r="K364" s="32">
        <f t="shared" si="40"/>
        <v>0.4375</v>
      </c>
      <c r="L364" s="13" t="str">
        <f>IF($A364="","",IF(COUNTIFS($J$4:$J364,$J364,$E$4:$E364,$E364)=1,$E364,""))</f>
        <v>№6</v>
      </c>
      <c r="M364" s="13" t="str">
        <f>IF($A364="","",IF(COUNTIFS($J$4:$J364,$J364,$F$4:$F364,$F364)=1,$F364,""))</f>
        <v>АТ 4021</v>
      </c>
    </row>
    <row r="365" spans="1:13" x14ac:dyDescent="0.35">
      <c r="A365" s="23" t="str">
        <f>IFERROR(М6_АТ4021_0586!B69,"")</f>
        <v>вул. Житня</v>
      </c>
      <c r="B365" s="23" t="str">
        <f>IFERROR(IF(М6_АТ4021_0586!C69="","",TEXT(М6_АТ4021_0586!C69,"General")),"")</f>
        <v>2,5  3,36</v>
      </c>
      <c r="C365" s="24" t="str">
        <f>"Вівторок"</f>
        <v>Вівторок</v>
      </c>
      <c r="D365" s="24" t="str">
        <f>IFERROR(TEXT(М6_АТ4021_0586!D69,"h:mm"),"")</f>
        <v>15:20</v>
      </c>
      <c r="E365" s="24" t="str">
        <f>"№6"</f>
        <v>№6</v>
      </c>
      <c r="F365" s="24" t="str">
        <f>"АТ 4021"</f>
        <v>АТ 4021</v>
      </c>
      <c r="G365" s="24" t="str">
        <f>"СВ 33-16 ЕО"</f>
        <v>СВ 33-16 ЕО</v>
      </c>
      <c r="H365" s="24"/>
      <c r="J365" s="13" t="str">
        <f t="shared" si="39"/>
        <v>вул. Житня|2,5  3,36</v>
      </c>
      <c r="K365" s="32">
        <f t="shared" si="40"/>
        <v>0.63888888888888884</v>
      </c>
      <c r="L365" s="13" t="str">
        <f>IF($A365="","",IF(COUNTIFS($J$4:$J365,$J365,$E$4:$E365,$E365)=1,$E365,""))</f>
        <v>№6</v>
      </c>
      <c r="M365" s="13" t="str">
        <f>IF($A365="","",IF(COUNTIFS($J$4:$J365,$J365,$F$4:$F365,$F365)=1,$F365,""))</f>
        <v>АТ 4021</v>
      </c>
    </row>
    <row r="366" spans="1:13" x14ac:dyDescent="0.35">
      <c r="A366" s="23" t="str">
        <f>IFERROR(М5_МАЗ4381_0592!B53,"")</f>
        <v>вул. Залізнична</v>
      </c>
      <c r="B366" s="23" t="str">
        <f>IFERROR(IF(М5_МАЗ4381_0592!C53="","",TEXT(М5_МАЗ4381_0592!C53,"General")),"")</f>
        <v/>
      </c>
      <c r="C366" s="24" t="str">
        <f>"Вівторок"</f>
        <v>Вівторок</v>
      </c>
      <c r="D366" s="24" t="str">
        <f>IFERROR(TEXT(М5_МАЗ4381_0592!D53,"h:mm"),"")</f>
        <v>8:50</v>
      </c>
      <c r="E366" s="24" t="str">
        <f>"№5"</f>
        <v>№5</v>
      </c>
      <c r="F366" s="24" t="str">
        <f>"МАЗ 4381"</f>
        <v>МАЗ 4381</v>
      </c>
      <c r="G366" s="24" t="str">
        <f>"СВ 81-71 ВК"</f>
        <v>СВ 81-71 ВК</v>
      </c>
      <c r="H366" s="24"/>
      <c r="J366" s="13" t="str">
        <f t="shared" si="39"/>
        <v>вул. Залізнична|</v>
      </c>
      <c r="K366" s="32">
        <f t="shared" si="40"/>
        <v>0.36805555555555558</v>
      </c>
      <c r="L366" s="13" t="str">
        <f>IF($A366="","",IF(COUNTIFS($J$4:$J366,$J366,$E$4:$E366,$E366)=1,$E366,""))</f>
        <v>№5</v>
      </c>
      <c r="M366" s="13" t="str">
        <f>IF($A366="","",IF(COUNTIFS($J$4:$J366,$J366,$F$4:$F366,$F366)=1,$F366,""))</f>
        <v>МАЗ 4381</v>
      </c>
    </row>
    <row r="367" spans="1:13" x14ac:dyDescent="0.35">
      <c r="A367" s="23" t="str">
        <f>IFERROR(М5_МАЗ4381_0592!B58,"")</f>
        <v>вул. Західна</v>
      </c>
      <c r="B367" s="23" t="str">
        <f>IFERROR(IF(М5_МАЗ4381_0592!C58="","",TEXT(М5_МАЗ4381_0592!C58,"General")),"")</f>
        <v/>
      </c>
      <c r="C367" s="24" t="str">
        <f>"Вівторок"</f>
        <v>Вівторок</v>
      </c>
      <c r="D367" s="24" t="str">
        <f>IFERROR(TEXT(М5_МАЗ4381_0592!D58,"h:mm"),"")</f>
        <v>10:25</v>
      </c>
      <c r="E367" s="24" t="str">
        <f>"№5"</f>
        <v>№5</v>
      </c>
      <c r="F367" s="24" t="str">
        <f>"МАЗ 4381"</f>
        <v>МАЗ 4381</v>
      </c>
      <c r="G367" s="24" t="str">
        <f>"СВ 81-71 ВК"</f>
        <v>СВ 81-71 ВК</v>
      </c>
      <c r="H367" s="24"/>
      <c r="J367" s="13" t="str">
        <f t="shared" si="39"/>
        <v>вул. Західна|</v>
      </c>
      <c r="K367" s="32">
        <f t="shared" si="40"/>
        <v>0.43402777777777779</v>
      </c>
      <c r="L367" s="13" t="str">
        <f>IF($A367="","",IF(COUNTIFS($J$4:$J367,$J367,$E$4:$E367,$E367)=1,$E367,""))</f>
        <v>№5</v>
      </c>
      <c r="M367" s="13" t="str">
        <f>IF($A367="","",IF(COUNTIFS($J$4:$J367,$J367,$F$4:$F367,$F367)=1,$F367,""))</f>
        <v>МАЗ 4381</v>
      </c>
    </row>
    <row r="368" spans="1:13" x14ac:dyDescent="0.35">
      <c r="A368" s="23" t="str">
        <f>IFERROR(М5_МАЗ4381_0592!B26,"")</f>
        <v>вул. Зелена</v>
      </c>
      <c r="B368" s="23" t="str">
        <f>IFERROR(IF(М5_МАЗ4381_0592!C26="","",TEXT(М5_МАЗ4381_0592!C26,"General")),"")</f>
        <v/>
      </c>
      <c r="C368" s="24" t="str">
        <f>"Понеділок"</f>
        <v>Понеділок</v>
      </c>
      <c r="D368" s="24" t="str">
        <f>IFERROR(TEXT(М5_МАЗ4381_0592!D26,"h:mm"),"")</f>
        <v>11:25</v>
      </c>
      <c r="E368" s="24" t="str">
        <f>"№5"</f>
        <v>№5</v>
      </c>
      <c r="F368" s="24" t="str">
        <f>"МАЗ 4381"</f>
        <v>МАЗ 4381</v>
      </c>
      <c r="G368" s="24" t="str">
        <f>"СВ 81-71 ВК"</f>
        <v>СВ 81-71 ВК</v>
      </c>
      <c r="H368" s="24"/>
      <c r="J368" s="13" t="str">
        <f t="shared" si="39"/>
        <v>вул. Зелена|</v>
      </c>
      <c r="K368" s="32">
        <f t="shared" si="40"/>
        <v>0.47569444444444442</v>
      </c>
      <c r="L368" s="13" t="str">
        <f>IF($A368="","",IF(COUNTIFS($J$4:$J368,$J368,$E$4:$E368,$E368)=1,$E368,""))</f>
        <v>№5</v>
      </c>
      <c r="M368" s="13" t="str">
        <f>IF($A368="","",IF(COUNTIFS($J$4:$J368,$J368,$F$4:$F368,$F368)=1,$F368,""))</f>
        <v>МАЗ 4381</v>
      </c>
    </row>
    <row r="369" spans="1:13" x14ac:dyDescent="0.35">
      <c r="A369" s="23" t="str">
        <f>IFERROR(М5_МАЗ4381_0592!B72,"")</f>
        <v>вул. Земська</v>
      </c>
      <c r="B369" s="23" t="str">
        <f>IFERROR(IF(М5_МАЗ4381_0592!C72="","",TEXT(М5_МАЗ4381_0592!C72,"General")),"")</f>
        <v/>
      </c>
      <c r="C369" s="24" t="str">
        <f>"Вівторок"</f>
        <v>Вівторок</v>
      </c>
      <c r="D369" s="24" t="str">
        <f>IFERROR(TEXT(М5_МАЗ4381_0592!D72,"h:mm"),"")</f>
        <v>14:25</v>
      </c>
      <c r="E369" s="24" t="str">
        <f>"№5"</f>
        <v>№5</v>
      </c>
      <c r="F369" s="24" t="str">
        <f>"МАЗ 4381"</f>
        <v>МАЗ 4381</v>
      </c>
      <c r="G369" s="24" t="str">
        <f>"СВ 81-71 ВК"</f>
        <v>СВ 81-71 ВК</v>
      </c>
      <c r="H369" s="24"/>
      <c r="J369" s="13" t="str">
        <f t="shared" si="39"/>
        <v>вул. Земська|</v>
      </c>
      <c r="K369" s="32">
        <f t="shared" si="40"/>
        <v>0.60069444444444442</v>
      </c>
      <c r="L369" s="13" t="str">
        <f>IF($A369="","",IF(COUNTIFS($J$4:$J369,$J369,$E$4:$E369,$E369)=1,$E369,""))</f>
        <v>№5</v>
      </c>
      <c r="M369" s="13" t="str">
        <f>IF($A369="","",IF(COUNTIFS($J$4:$J369,$J369,$F$4:$F369,$F369)=1,$F369,""))</f>
        <v>МАЗ 4381</v>
      </c>
    </row>
    <row r="370" spans="1:13" x14ac:dyDescent="0.35">
      <c r="A370" s="23" t="str">
        <f>IFERROR(М3_МАЗ4371_0587!B7,"")</f>
        <v>вул. Земська</v>
      </c>
      <c r="B370" s="23" t="str">
        <f>IFERROR(IF(М3_МАЗ4371_0587!C7="","",TEXT(М3_МАЗ4371_0587!C7,"General")),"")</f>
        <v>"Ідеал"</v>
      </c>
      <c r="C370" s="24" t="str">
        <f>"Понеділок"</f>
        <v>Понеділок</v>
      </c>
      <c r="D370" s="24" t="str">
        <f>IFERROR(TEXT(М3_МАЗ4371_0587!D7,"h:mm"),"")</f>
        <v>7:15</v>
      </c>
      <c r="E370" s="24" t="str">
        <f t="shared" ref="E370:E380" si="44">"№3"</f>
        <v>№3</v>
      </c>
      <c r="F370" s="24" t="str">
        <f>"МАЗ-4371"</f>
        <v>МАЗ-4371</v>
      </c>
      <c r="G370" s="24" t="str">
        <f>"СВ 53-06 СА"</f>
        <v>СВ 53-06 СА</v>
      </c>
      <c r="H370" s="24">
        <f>IFERROR(М3_МАЗ4371_0587!G7,"")</f>
        <v>3</v>
      </c>
      <c r="J370" s="13" t="str">
        <f t="shared" si="39"/>
        <v>вул. Земська|"Ідеал"</v>
      </c>
      <c r="K370" s="32">
        <f t="shared" si="40"/>
        <v>0.30208333333333331</v>
      </c>
      <c r="L370" s="13" t="str">
        <f>IF($A370="","",IF(COUNTIFS($J$4:$J370,$J370,$E$4:$E370,$E370)=1,$E370,""))</f>
        <v>№3</v>
      </c>
      <c r="M370" s="13" t="str">
        <f>IF($A370="","",IF(COUNTIFS($J$4:$J370,$J370,$F$4:$F370,$F370)=1,$F370,""))</f>
        <v>МАЗ-4371</v>
      </c>
    </row>
    <row r="371" spans="1:13" x14ac:dyDescent="0.35">
      <c r="A371" s="23" t="str">
        <f>IFERROR(М3_МАЗ4371_0587!B36,"")</f>
        <v>вул. Земська</v>
      </c>
      <c r="B371" s="23" t="str">
        <f>IFERROR(IF(М3_МАЗ4371_0587!C36="","",TEXT(М3_МАЗ4371_0587!C36,"General")),"")</f>
        <v>"Ідеал"</v>
      </c>
      <c r="C371" s="24" t="str">
        <f>"Понеділок"</f>
        <v>Понеділок</v>
      </c>
      <c r="D371" s="24" t="str">
        <f>IFERROR(TEXT(М3_МАЗ4371_0587!D36,"h:mm"),"")</f>
        <v>15:25</v>
      </c>
      <c r="E371" s="24" t="str">
        <f t="shared" si="44"/>
        <v>№3</v>
      </c>
      <c r="F371" s="24" t="str">
        <f>"МАЗ-4371"</f>
        <v>МАЗ-4371</v>
      </c>
      <c r="G371" s="24" t="str">
        <f>"СВ 53-06 СА"</f>
        <v>СВ 53-06 СА</v>
      </c>
      <c r="H371" s="24">
        <f>IFERROR(М3_МАЗ4371_0587!G36,"")</f>
        <v>3</v>
      </c>
      <c r="J371" s="13" t="str">
        <f t="shared" si="39"/>
        <v>вул. Земська|"Ідеал"</v>
      </c>
      <c r="K371" s="32">
        <f t="shared" si="40"/>
        <v>0.64236111111111116</v>
      </c>
      <c r="L371" s="13" t="str">
        <f>IF($A371="","",IF(COUNTIFS($J$4:$J371,$J371,$E$4:$E371,$E371)=1,$E371,""))</f>
        <v/>
      </c>
      <c r="M371" s="13" t="str">
        <f>IF($A371="","",IF(COUNTIFS($J$4:$J371,$J371,$F$4:$F371,$F371)=1,$F371,""))</f>
        <v/>
      </c>
    </row>
    <row r="372" spans="1:13" x14ac:dyDescent="0.35">
      <c r="A372" s="23" t="str">
        <f>IFERROR(М3_МАЗ4371_0587!B46,"")</f>
        <v>вул. Земська</v>
      </c>
      <c r="B372" s="23" t="str">
        <f>IFERROR(IF(М3_МАЗ4371_0587!C46="","",TEXT(М3_МАЗ4371_0587!C46,"General")),"")</f>
        <v>"Ідеал"</v>
      </c>
      <c r="C372" s="24" t="str">
        <f>"Вівторок"</f>
        <v>Вівторок</v>
      </c>
      <c r="D372" s="24" t="str">
        <f>IFERROR(TEXT(М3_МАЗ4371_0587!D46,"h:mm"),"")</f>
        <v>7:15</v>
      </c>
      <c r="E372" s="24" t="str">
        <f t="shared" si="44"/>
        <v>№3</v>
      </c>
      <c r="F372" s="24" t="str">
        <f>"МАЗ-4371"</f>
        <v>МАЗ-4371</v>
      </c>
      <c r="G372" s="24" t="str">
        <f>"СВ 53-06 СА"</f>
        <v>СВ 53-06 СА</v>
      </c>
      <c r="H372" s="24">
        <f>IFERROR(М3_МАЗ4371_0587!G46,"")</f>
        <v>3</v>
      </c>
      <c r="J372" s="13" t="str">
        <f t="shared" si="39"/>
        <v>вул. Земська|"Ідеал"</v>
      </c>
      <c r="K372" s="32">
        <f t="shared" si="40"/>
        <v>0.30208333333333331</v>
      </c>
      <c r="L372" s="13" t="str">
        <f>IF($A372="","",IF(COUNTIFS($J$4:$J372,$J372,$E$4:$E372,$E372)=1,$E372,""))</f>
        <v/>
      </c>
      <c r="M372" s="13" t="str">
        <f>IF($A372="","",IF(COUNTIFS($J$4:$J372,$J372,$F$4:$F372,$F372)=1,$F372,""))</f>
        <v/>
      </c>
    </row>
    <row r="373" spans="1:13" x14ac:dyDescent="0.35">
      <c r="A373" s="23" t="str">
        <f>IFERROR(М3_МАЗ4371_0587!B76,"")</f>
        <v>вул. Земська</v>
      </c>
      <c r="B373" s="23" t="str">
        <f>IFERROR(IF(М3_МАЗ4371_0587!C76="","",TEXT(М3_МАЗ4371_0587!C76,"General")),"")</f>
        <v>"Ідеал"</v>
      </c>
      <c r="C373" s="24" t="str">
        <f>"Середа"</f>
        <v>Середа</v>
      </c>
      <c r="D373" s="24" t="str">
        <f>IFERROR(TEXT(М3_МАЗ4371_0587!D76,"h:mm"),"")</f>
        <v>7:15</v>
      </c>
      <c r="E373" s="24" t="str">
        <f t="shared" si="44"/>
        <v>№3</v>
      </c>
      <c r="F373" s="24" t="str">
        <f>"МАЗ-4371"</f>
        <v>МАЗ-4371</v>
      </c>
      <c r="G373" s="24" t="str">
        <f>"СВ 53-06 СА"</f>
        <v>СВ 53-06 СА</v>
      </c>
      <c r="H373" s="24">
        <f>IFERROR(М3_МАЗ4371_0587!G76,"")</f>
        <v>3</v>
      </c>
      <c r="J373" s="13" t="str">
        <f t="shared" si="39"/>
        <v>вул. Земська|"Ідеал"</v>
      </c>
      <c r="K373" s="32">
        <f t="shared" si="40"/>
        <v>0.30208333333333331</v>
      </c>
      <c r="L373" s="13" t="str">
        <f>IF($A373="","",IF(COUNTIFS($J$4:$J373,$J373,$E$4:$E373,$E373)=1,$E373,""))</f>
        <v/>
      </c>
      <c r="M373" s="13" t="str">
        <f>IF($A373="","",IF(COUNTIFS($J$4:$J373,$J373,$F$4:$F373,$F373)=1,$F373,""))</f>
        <v/>
      </c>
    </row>
    <row r="374" spans="1:13" x14ac:dyDescent="0.35">
      <c r="A374" s="23" t="str">
        <f>IFERROR(М3_МАЗ4371_0587!B103,"")</f>
        <v>вул. Земська</v>
      </c>
      <c r="B374" s="23" t="str">
        <f>IFERROR(IF(М3_МАЗ4371_0587!C103="","",TEXT(М3_МАЗ4371_0587!C103,"General")),"")</f>
        <v>"Ідеал"</v>
      </c>
      <c r="C374" s="24" t="str">
        <f>"Середа"</f>
        <v>Середа</v>
      </c>
      <c r="D374" s="24" t="str">
        <f>IFERROR(TEXT(М3_МАЗ4371_0587!D103,"h:mm"),"")</f>
        <v>15:25</v>
      </c>
      <c r="E374" s="24" t="str">
        <f t="shared" si="44"/>
        <v>№3</v>
      </c>
      <c r="F374" s="24" t="str">
        <f>"МАЗ-4371"</f>
        <v>МАЗ-4371</v>
      </c>
      <c r="G374" s="24" t="str">
        <f>"СВ 53-06 СА"</f>
        <v>СВ 53-06 СА</v>
      </c>
      <c r="H374" s="24">
        <f>IFERROR(М3_МАЗ4371_0587!G103,"")</f>
        <v>3</v>
      </c>
      <c r="J374" s="13" t="str">
        <f t="shared" si="39"/>
        <v>вул. Земська|"Ідеал"</v>
      </c>
      <c r="K374" s="32">
        <f t="shared" si="40"/>
        <v>0.64236111111111116</v>
      </c>
      <c r="L374" s="13" t="str">
        <f>IF($A374="","",IF(COUNTIFS($J$4:$J374,$J374,$E$4:$E374,$E374)=1,$E374,""))</f>
        <v/>
      </c>
      <c r="M374" s="13" t="str">
        <f>IF($A374="","",IF(COUNTIFS($J$4:$J374,$J374,$F$4:$F374,$F374)=1,$F374,""))</f>
        <v/>
      </c>
    </row>
    <row r="375" spans="1:13" x14ac:dyDescent="0.35">
      <c r="A375" s="23" t="str">
        <f>IFERROR('М3-4_ГАЗ3309_0590'!B8,"")</f>
        <v>вул. Земська</v>
      </c>
      <c r="B375" s="23" t="str">
        <f>IFERROR(IF('М3-4_ГАЗ3309_0590'!C8="","",TEXT('М3-4_ГАЗ3309_0590'!C8,"General")),"")</f>
        <v>"Ідеал"</v>
      </c>
      <c r="C375" s="24" t="str">
        <f>"Четвер"</f>
        <v>Четвер</v>
      </c>
      <c r="D375" s="24" t="str">
        <f>IFERROR(TEXT('М3-4_ГАЗ3309_0590'!D8,"h:mm"),"")</f>
        <v>7:30</v>
      </c>
      <c r="E375" s="24" t="str">
        <f t="shared" si="44"/>
        <v>№3</v>
      </c>
      <c r="F375" s="24" t="str">
        <f>"ГАЗ 3309"</f>
        <v>ГАЗ 3309</v>
      </c>
      <c r="G375" s="24" t="str">
        <f>"СВ 17-85 ВН"</f>
        <v>СВ 17-85 ВН</v>
      </c>
      <c r="H375" s="24">
        <f>IFERROR('М3-4_ГАЗ3309_0590'!G8,"")</f>
        <v>2</v>
      </c>
      <c r="J375" s="13" t="str">
        <f t="shared" si="39"/>
        <v>вул. Земська|"Ідеал"</v>
      </c>
      <c r="K375" s="32">
        <f t="shared" si="40"/>
        <v>0.3125</v>
      </c>
      <c r="L375" s="13" t="str">
        <f>IF($A375="","",IF(COUNTIFS($J$4:$J375,$J375,$E$4:$E375,$E375)=1,$E375,""))</f>
        <v/>
      </c>
      <c r="M375" s="13" t="str">
        <f>IF($A375="","",IF(COUNTIFS($J$4:$J375,$J375,$F$4:$F375,$F375)=1,$F375,""))</f>
        <v>ГАЗ 3309</v>
      </c>
    </row>
    <row r="376" spans="1:13" x14ac:dyDescent="0.35">
      <c r="A376" s="23" t="str">
        <f>IFERROR(М3_МАЗ4371_0587!B115,"")</f>
        <v>вул. Земська</v>
      </c>
      <c r="B376" s="23" t="str">
        <f>IFERROR(IF(М3_МАЗ4371_0587!C115="","",TEXT(М3_МАЗ4371_0587!C115,"General")),"")</f>
        <v>"Ідеал"</v>
      </c>
      <c r="C376" s="24" t="str">
        <f>"П'ятниця"</f>
        <v>П'ятниця</v>
      </c>
      <c r="D376" s="24" t="str">
        <f>IFERROR(TEXT(М3_МАЗ4371_0587!D115,"h:mm"),"")</f>
        <v>7:35</v>
      </c>
      <c r="E376" s="24" t="str">
        <f t="shared" si="44"/>
        <v>№3</v>
      </c>
      <c r="F376" s="24" t="str">
        <f>"МАЗ-4371"</f>
        <v>МАЗ-4371</v>
      </c>
      <c r="G376" s="24" t="str">
        <f>"СВ 53-06 СА"</f>
        <v>СВ 53-06 СА</v>
      </c>
      <c r="H376" s="24">
        <f>IFERROR(М3_МАЗ4371_0587!G115,"")</f>
        <v>3</v>
      </c>
      <c r="J376" s="13" t="str">
        <f t="shared" si="39"/>
        <v>вул. Земська|"Ідеал"</v>
      </c>
      <c r="K376" s="32">
        <f t="shared" si="40"/>
        <v>0.31597222222222221</v>
      </c>
      <c r="L376" s="13" t="str">
        <f>IF($A376="","",IF(COUNTIFS($J$4:$J376,$J376,$E$4:$E376,$E376)=1,$E376,""))</f>
        <v/>
      </c>
      <c r="M376" s="13" t="str">
        <f>IF($A376="","",IF(COUNTIFS($J$4:$J376,$J376,$F$4:$F376,$F376)=1,$F376,""))</f>
        <v/>
      </c>
    </row>
    <row r="377" spans="1:13" x14ac:dyDescent="0.35">
      <c r="A377" s="23" t="str">
        <f>IFERROR(М3_МАЗ4371_0587!B143,"")</f>
        <v>вул. Земська</v>
      </c>
      <c r="B377" s="23" t="str">
        <f>IFERROR(IF(М3_МАЗ4371_0587!C143="","",TEXT(М3_МАЗ4371_0587!C143,"General")),"")</f>
        <v>"Ідеал"</v>
      </c>
      <c r="C377" s="24" t="str">
        <f>"П'ятниця"</f>
        <v>П'ятниця</v>
      </c>
      <c r="D377" s="24" t="str">
        <f>IFERROR(TEXT(М3_МАЗ4371_0587!D143,"h:mm"),"")</f>
        <v>15:25</v>
      </c>
      <c r="E377" s="24" t="str">
        <f t="shared" si="44"/>
        <v>№3</v>
      </c>
      <c r="F377" s="24" t="str">
        <f>"МАЗ-4371"</f>
        <v>МАЗ-4371</v>
      </c>
      <c r="G377" s="24" t="str">
        <f>"СВ 53-06 СА"</f>
        <v>СВ 53-06 СА</v>
      </c>
      <c r="H377" s="24">
        <f>IFERROR(М3_МАЗ4371_0587!G143,"")</f>
        <v>3</v>
      </c>
      <c r="J377" s="13" t="str">
        <f t="shared" si="39"/>
        <v>вул. Земська|"Ідеал"</v>
      </c>
      <c r="K377" s="32">
        <f t="shared" si="40"/>
        <v>0.64236111111111116</v>
      </c>
      <c r="L377" s="13" t="str">
        <f>IF($A377="","",IF(COUNTIFS($J$4:$J377,$J377,$E$4:$E377,$E377)=1,$E377,""))</f>
        <v/>
      </c>
      <c r="M377" s="13" t="str">
        <f>IF($A377="","",IF(COUNTIFS($J$4:$J377,$J377,$F$4:$F377,$F377)=1,$F377,""))</f>
        <v/>
      </c>
    </row>
    <row r="378" spans="1:13" x14ac:dyDescent="0.35">
      <c r="A378" s="23" t="str">
        <f>IFERROR(М3_МАЗ4371_0587!B153,"")</f>
        <v>вул. Земська</v>
      </c>
      <c r="B378" s="23" t="str">
        <f>IFERROR(IF(М3_МАЗ4371_0587!C153="","",TEXT(М3_МАЗ4371_0587!C153,"General")),"")</f>
        <v>"Ідеал"</v>
      </c>
      <c r="C378" s="24" t="str">
        <f>"Субота"</f>
        <v>Субота</v>
      </c>
      <c r="D378" s="24" t="str">
        <f>IFERROR(TEXT(М3_МАЗ4371_0587!D153,"h:mm"),"")</f>
        <v>7:15</v>
      </c>
      <c r="E378" s="24" t="str">
        <f t="shared" si="44"/>
        <v>№3</v>
      </c>
      <c r="F378" s="24" t="str">
        <f>"МАЗ-4371"</f>
        <v>МАЗ-4371</v>
      </c>
      <c r="G378" s="24" t="str">
        <f>"СВ 53-06 СА"</f>
        <v>СВ 53-06 СА</v>
      </c>
      <c r="H378" s="24">
        <f>IFERROR(М3_МАЗ4371_0587!G153,"")</f>
        <v>3</v>
      </c>
      <c r="J378" s="13" t="str">
        <f t="shared" si="39"/>
        <v>вул. Земська|"Ідеал"</v>
      </c>
      <c r="K378" s="32">
        <f t="shared" si="40"/>
        <v>0.30208333333333331</v>
      </c>
      <c r="L378" s="13" t="str">
        <f>IF($A378="","",IF(COUNTIFS($J$4:$J378,$J378,$E$4:$E378,$E378)=1,$E378,""))</f>
        <v/>
      </c>
      <c r="M378" s="13" t="str">
        <f>IF($A378="","",IF(COUNTIFS($J$4:$J378,$J378,$F$4:$F378,$F378)=1,$F378,""))</f>
        <v/>
      </c>
    </row>
    <row r="379" spans="1:13" x14ac:dyDescent="0.35">
      <c r="A379" s="23" t="str">
        <f>IFERROR('М3-4_ГАЗ3309_0590'!B40,"")</f>
        <v>вул. Земська</v>
      </c>
      <c r="B379" s="23" t="str">
        <f>IFERROR(IF('М3-4_ГАЗ3309_0590'!C40="","",TEXT('М3-4_ГАЗ3309_0590'!C40,"General")),"")</f>
        <v>"Ідеал"</v>
      </c>
      <c r="C379" s="24" t="str">
        <f>"Неділя"</f>
        <v>Неділя</v>
      </c>
      <c r="D379" s="24" t="str">
        <f>IFERROR(TEXT('М3-4_ГАЗ3309_0590'!D40,"h:mm"),"")</f>
        <v>7:30</v>
      </c>
      <c r="E379" s="24" t="str">
        <f t="shared" si="44"/>
        <v>№3</v>
      </c>
      <c r="F379" s="24" t="str">
        <f>"ГАЗ 3309"</f>
        <v>ГАЗ 3309</v>
      </c>
      <c r="G379" s="24" t="str">
        <f>"СВ 17-85 ВН"</f>
        <v>СВ 17-85 ВН</v>
      </c>
      <c r="H379" s="24">
        <f>IFERROR('М3-4_ГАЗ3309_0590'!G40,"")</f>
        <v>2</v>
      </c>
      <c r="J379" s="13" t="str">
        <f t="shared" si="39"/>
        <v>вул. Земська|"Ідеал"</v>
      </c>
      <c r="K379" s="32">
        <f t="shared" si="40"/>
        <v>0.3125</v>
      </c>
      <c r="L379" s="13" t="str">
        <f>IF($A379="","",IF(COUNTIFS($J$4:$J379,$J379,$E$4:$E379,$E379)=1,$E379,""))</f>
        <v/>
      </c>
      <c r="M379" s="13" t="str">
        <f>IF($A379="","",IF(COUNTIFS($J$4:$J379,$J379,$F$4:$F379,$F379)=1,$F379,""))</f>
        <v/>
      </c>
    </row>
    <row r="380" spans="1:13" x14ac:dyDescent="0.35">
      <c r="A380" s="23" t="str">
        <f>IFERROR('М3-4_ГАЗ3309_0590'!B129,"")</f>
        <v>вул. Земська</v>
      </c>
      <c r="B380" s="23" t="str">
        <f>IFERROR(IF('М3-4_ГАЗ3309_0590'!C129="","",TEXT('М3-4_ГАЗ3309_0590'!C129,"General")),"")</f>
        <v>гуртожиток</v>
      </c>
      <c r="C380" s="24" t="str">
        <f>"Понеділок"</f>
        <v>Понеділок</v>
      </c>
      <c r="D380" s="24" t="str">
        <f>IFERROR(TEXT('М3-4_ГАЗ3309_0590'!D129,"h:mm"),"")</f>
        <v>10:30</v>
      </c>
      <c r="E380" s="24" t="str">
        <f t="shared" si="44"/>
        <v>№3</v>
      </c>
      <c r="F380" s="24" t="str">
        <f>"ГАЗ 3309"</f>
        <v>ГАЗ 3309</v>
      </c>
      <c r="G380" s="24" t="str">
        <f>"СВ 17-85 ВН"</f>
        <v>СВ 17-85 ВН</v>
      </c>
      <c r="H380" s="24">
        <f>IFERROR('М3-4_ГАЗ3309_0590'!G129,"")</f>
        <v>1</v>
      </c>
      <c r="J380" s="13" t="str">
        <f t="shared" si="39"/>
        <v>вул. Земська|гуртожиток</v>
      </c>
      <c r="K380" s="32">
        <f t="shared" si="40"/>
        <v>0.4375</v>
      </c>
      <c r="L380" s="13" t="str">
        <f>IF($A380="","",IF(COUNTIFS($J$4:$J380,$J380,$E$4:$E380,$E380)=1,$E380,""))</f>
        <v>№3</v>
      </c>
      <c r="M380" s="13" t="str">
        <f>IF($A380="","",IF(COUNTIFS($J$4:$J380,$J380,$F$4:$F380,$F380)=1,$F380,""))</f>
        <v>ГАЗ 3309</v>
      </c>
    </row>
    <row r="381" spans="1:13" x14ac:dyDescent="0.35">
      <c r="A381" s="23" t="str">
        <f>IFERROR('М2_АТ4021-1120_0588'!B11,"")</f>
        <v>вул. Земська</v>
      </c>
      <c r="B381" s="23" t="str">
        <f>IFERROR(IF('М2_АТ4021-1120_0588'!C11="","",TEXT('М2_АТ4021-1120_0588'!C11,"General")),"")</f>
        <v>жіноча конс-ція</v>
      </c>
      <c r="C381" s="24" t="str">
        <f>"Понеділок"</f>
        <v>Понеділок</v>
      </c>
      <c r="D381" s="24" t="str">
        <f>IFERROR(TEXT('М2_АТ4021-1120_0588'!D11,"h:mm"),"")</f>
        <v>8:30</v>
      </c>
      <c r="E381" s="24" t="str">
        <f t="shared" ref="E381:E392" si="45">"№2"</f>
        <v>№2</v>
      </c>
      <c r="F381" s="24" t="str">
        <f>"АТ 4021/1120"</f>
        <v>АТ 4021/1120</v>
      </c>
      <c r="G381" s="24" t="str">
        <f>"СВ 64-11 ЕТ"</f>
        <v>СВ 64-11 ЕТ</v>
      </c>
      <c r="H381" s="24">
        <f>IFERROR('М2_АТ4021-1120_0588'!G11,"")</f>
        <v>1</v>
      </c>
      <c r="J381" s="13" t="str">
        <f t="shared" si="39"/>
        <v>вул. Земська|жіноча конс-ція</v>
      </c>
      <c r="K381" s="32">
        <f t="shared" si="40"/>
        <v>0.35416666666666669</v>
      </c>
      <c r="L381" s="13" t="str">
        <f>IF($A381="","",IF(COUNTIFS($J$4:$J381,$J381,$E$4:$E381,$E381)=1,$E381,""))</f>
        <v>№2</v>
      </c>
      <c r="M381" s="13" t="str">
        <f>IF($A381="","",IF(COUNTIFS($J$4:$J381,$J381,$F$4:$F381,$F381)=1,$F381,""))</f>
        <v>АТ 4021/1120</v>
      </c>
    </row>
    <row r="382" spans="1:13" x14ac:dyDescent="0.35">
      <c r="A382" s="23" t="str">
        <f>IFERROR('М2_АТ4021-1120_0588'!B26,"")</f>
        <v>вул. Земська</v>
      </c>
      <c r="B382" s="23" t="str">
        <f>IFERROR(IF('М2_АТ4021-1120_0588'!C26="","",TEXT('М2_АТ4021-1120_0588'!C26,"General")),"")</f>
        <v>жіноча конс-ція</v>
      </c>
      <c r="C382" s="24" t="str">
        <f>"Понеділок"</f>
        <v>Понеділок</v>
      </c>
      <c r="D382" s="24" t="str">
        <f>IFERROR(TEXT('М2_АТ4021-1120_0588'!D26,"h:mm"),"")</f>
        <v>15:20</v>
      </c>
      <c r="E382" s="24" t="str">
        <f t="shared" si="45"/>
        <v>№2</v>
      </c>
      <c r="F382" s="24" t="str">
        <f>"АТ 4021/1120"</f>
        <v>АТ 4021/1120</v>
      </c>
      <c r="G382" s="24" t="str">
        <f>"СВ 64-11 ЕТ"</f>
        <v>СВ 64-11 ЕТ</v>
      </c>
      <c r="H382" s="24">
        <f>IFERROR('М2_АТ4021-1120_0588'!G26,"")</f>
        <v>1</v>
      </c>
      <c r="J382" s="13" t="str">
        <f t="shared" si="39"/>
        <v>вул. Земська|жіноча конс-ція</v>
      </c>
      <c r="K382" s="32">
        <f t="shared" si="40"/>
        <v>0.63888888888888884</v>
      </c>
      <c r="L382" s="13" t="str">
        <f>IF($A382="","",IF(COUNTIFS($J$4:$J382,$J382,$E$4:$E382,$E382)=1,$E382,""))</f>
        <v/>
      </c>
      <c r="M382" s="13" t="str">
        <f>IF($A382="","",IF(COUNTIFS($J$4:$J382,$J382,$F$4:$F382,$F382)=1,$F382,""))</f>
        <v/>
      </c>
    </row>
    <row r="383" spans="1:13" x14ac:dyDescent="0.35">
      <c r="A383" s="23" t="str">
        <f>IFERROR('М2_АТ4021-1120_0588'!B42,"")</f>
        <v>вул. Земська</v>
      </c>
      <c r="B383" s="23" t="str">
        <f>IFERROR(IF('М2_АТ4021-1120_0588'!C42="","",TEXT('М2_АТ4021-1120_0588'!C42,"General")),"")</f>
        <v>жіноча конс-ція</v>
      </c>
      <c r="C383" s="24" t="str">
        <f>"Вівторок"</f>
        <v>Вівторок</v>
      </c>
      <c r="D383" s="24" t="str">
        <f>IFERROR(TEXT('М2_АТ4021-1120_0588'!D42,"h:mm"),"")</f>
        <v>8:30</v>
      </c>
      <c r="E383" s="24" t="str">
        <f t="shared" si="45"/>
        <v>№2</v>
      </c>
      <c r="F383" s="24" t="str">
        <f>"АТ 4021/1120"</f>
        <v>АТ 4021/1120</v>
      </c>
      <c r="G383" s="24" t="str">
        <f>"СВ 64-11 ЕТ"</f>
        <v>СВ 64-11 ЕТ</v>
      </c>
      <c r="H383" s="24">
        <f>IFERROR('М2_АТ4021-1120_0588'!G42,"")</f>
        <v>1</v>
      </c>
      <c r="J383" s="13" t="str">
        <f t="shared" si="39"/>
        <v>вул. Земська|жіноча конс-ція</v>
      </c>
      <c r="K383" s="32">
        <f t="shared" si="40"/>
        <v>0.35416666666666669</v>
      </c>
      <c r="L383" s="13" t="str">
        <f>IF($A383="","",IF(COUNTIFS($J$4:$J383,$J383,$E$4:$E383,$E383)=1,$E383,""))</f>
        <v/>
      </c>
      <c r="M383" s="13" t="str">
        <f>IF($A383="","",IF(COUNTIFS($J$4:$J383,$J383,$F$4:$F383,$F383)=1,$F383,""))</f>
        <v/>
      </c>
    </row>
    <row r="384" spans="1:13" x14ac:dyDescent="0.35">
      <c r="A384" s="23" t="str">
        <f>IFERROR('М2_АТ4021-1120_0588'!B55,"")</f>
        <v>вул. Земська</v>
      </c>
      <c r="B384" s="23" t="str">
        <f>IFERROR(IF('М2_АТ4021-1120_0588'!C55="","",TEXT('М2_АТ4021-1120_0588'!C55,"General")),"")</f>
        <v>жіноча конс-ція</v>
      </c>
      <c r="C384" s="24" t="str">
        <f>"Вівторок"</f>
        <v>Вівторок</v>
      </c>
      <c r="D384" s="24" t="str">
        <f>IFERROR(TEXT('М2_АТ4021-1120_0588'!D55,"h:mm"),"")</f>
        <v>14:40</v>
      </c>
      <c r="E384" s="24" t="str">
        <f t="shared" si="45"/>
        <v>№2</v>
      </c>
      <c r="F384" s="24" t="str">
        <f>"АТ 4021/1120"</f>
        <v>АТ 4021/1120</v>
      </c>
      <c r="G384" s="24" t="str">
        <f>"СВ 64-11 ЕТ"</f>
        <v>СВ 64-11 ЕТ</v>
      </c>
      <c r="H384" s="24">
        <f>IFERROR('М2_АТ4021-1120_0588'!G55,"")</f>
        <v>1</v>
      </c>
      <c r="J384" s="13" t="str">
        <f t="shared" si="39"/>
        <v>вул. Земська|жіноча конс-ція</v>
      </c>
      <c r="K384" s="32">
        <f t="shared" si="40"/>
        <v>0.61111111111111116</v>
      </c>
      <c r="L384" s="13" t="str">
        <f>IF($A384="","",IF(COUNTIFS($J$4:$J384,$J384,$E$4:$E384,$E384)=1,$E384,""))</f>
        <v/>
      </c>
      <c r="M384" s="13" t="str">
        <f>IF($A384="","",IF(COUNTIFS($J$4:$J384,$J384,$F$4:$F384,$F384)=1,$F384,""))</f>
        <v/>
      </c>
    </row>
    <row r="385" spans="1:13" x14ac:dyDescent="0.35">
      <c r="A385" s="23" t="str">
        <f>IFERROR('М1-2_АТ4021-1120_0585'!B64,"")</f>
        <v>вул. Земська</v>
      </c>
      <c r="B385" s="23" t="str">
        <f>IFERROR(IF('М1-2_АТ4021-1120_0585'!C64="","",TEXT('М1-2_АТ4021-1120_0585'!C64,"General")),"")</f>
        <v>жіноча конс-ція</v>
      </c>
      <c r="C385" s="24" t="str">
        <f>"Середа"</f>
        <v>Середа</v>
      </c>
      <c r="D385" s="24" t="str">
        <f>IFERROR(TEXT('М1-2_АТ4021-1120_0585'!D64,"h:mm"),"")</f>
        <v>14:00</v>
      </c>
      <c r="E385" s="24" t="str">
        <f t="shared" si="45"/>
        <v>№2</v>
      </c>
      <c r="F385" s="24" t="str">
        <f>"АТ-4021/1120"</f>
        <v>АТ-4021/1120</v>
      </c>
      <c r="G385" s="24" t="str">
        <f>"СВ 14-65 ЕО"</f>
        <v>СВ 14-65 ЕО</v>
      </c>
      <c r="H385" s="24">
        <f>IFERROR('М1-2_АТ4021-1120_0585'!G64,"")</f>
        <v>1</v>
      </c>
      <c r="J385" s="13" t="str">
        <f t="shared" si="39"/>
        <v>вул. Земська|жіноча конс-ція</v>
      </c>
      <c r="K385" s="32">
        <f t="shared" si="40"/>
        <v>0.58333333333333337</v>
      </c>
      <c r="L385" s="13" t="str">
        <f>IF($A385="","",IF(COUNTIFS($J$4:$J385,$J385,$E$4:$E385,$E385)=1,$E385,""))</f>
        <v/>
      </c>
      <c r="M385" s="13" t="str">
        <f>IF($A385="","",IF(COUNTIFS($J$4:$J385,$J385,$F$4:$F385,$F385)=1,$F385,""))</f>
        <v>АТ-4021/1120</v>
      </c>
    </row>
    <row r="386" spans="1:13" x14ac:dyDescent="0.35">
      <c r="A386" s="23" t="str">
        <f>IFERROR('М2_АТ4021-1120_0588'!B73,"")</f>
        <v>вул. Земська</v>
      </c>
      <c r="B386" s="23" t="str">
        <f>IFERROR(IF('М2_АТ4021-1120_0588'!C73="","",TEXT('М2_АТ4021-1120_0588'!C73,"General")),"")</f>
        <v>жіноча конс-ція</v>
      </c>
      <c r="C386" s="24" t="str">
        <f>"Четвер"</f>
        <v>Четвер</v>
      </c>
      <c r="D386" s="24" t="str">
        <f>IFERROR(TEXT('М2_АТ4021-1120_0588'!D73,"h:mm"),"")</f>
        <v>8:30</v>
      </c>
      <c r="E386" s="24" t="str">
        <f t="shared" si="45"/>
        <v>№2</v>
      </c>
      <c r="F386" s="24" t="str">
        <f>"АТ 4021/1120"</f>
        <v>АТ 4021/1120</v>
      </c>
      <c r="G386" s="24" t="str">
        <f>"СВ 64-11 ЕТ"</f>
        <v>СВ 64-11 ЕТ</v>
      </c>
      <c r="H386" s="24">
        <f>IFERROR('М2_АТ4021-1120_0588'!G73,"")</f>
        <v>1</v>
      </c>
      <c r="J386" s="13" t="str">
        <f t="shared" si="39"/>
        <v>вул. Земська|жіноча конс-ція</v>
      </c>
      <c r="K386" s="32">
        <f t="shared" si="40"/>
        <v>0.35416666666666669</v>
      </c>
      <c r="L386" s="13" t="str">
        <f>IF($A386="","",IF(COUNTIFS($J$4:$J386,$J386,$E$4:$E386,$E386)=1,$E386,""))</f>
        <v/>
      </c>
      <c r="M386" s="13" t="str">
        <f>IF($A386="","",IF(COUNTIFS($J$4:$J386,$J386,$F$4:$F386,$F386)=1,$F386,""))</f>
        <v/>
      </c>
    </row>
    <row r="387" spans="1:13" x14ac:dyDescent="0.35">
      <c r="A387" s="23" t="str">
        <f>IFERROR('М2_АТ4021-1120_0588'!B90,"")</f>
        <v>вул. Земська</v>
      </c>
      <c r="B387" s="23" t="str">
        <f>IFERROR(IF('М2_АТ4021-1120_0588'!C90="","",TEXT('М2_АТ4021-1120_0588'!C90,"General")),"")</f>
        <v>жіноча конс-ція</v>
      </c>
      <c r="C387" s="24" t="str">
        <f>"Четвер"</f>
        <v>Четвер</v>
      </c>
      <c r="D387" s="24" t="str">
        <f>IFERROR(TEXT('М2_АТ4021-1120_0588'!D90,"h:mm"),"")</f>
        <v>15:35</v>
      </c>
      <c r="E387" s="24" t="str">
        <f t="shared" si="45"/>
        <v>№2</v>
      </c>
      <c r="F387" s="24" t="str">
        <f>"АТ 4021/1120"</f>
        <v>АТ 4021/1120</v>
      </c>
      <c r="G387" s="24" t="str">
        <f>"СВ 64-11 ЕТ"</f>
        <v>СВ 64-11 ЕТ</v>
      </c>
      <c r="H387" s="24">
        <f>IFERROR('М2_АТ4021-1120_0588'!G90,"")</f>
        <v>1</v>
      </c>
      <c r="J387" s="13" t="str">
        <f t="shared" si="39"/>
        <v>вул. Земська|жіноча конс-ція</v>
      </c>
      <c r="K387" s="32">
        <f t="shared" si="40"/>
        <v>0.64930555555555558</v>
      </c>
      <c r="L387" s="13" t="str">
        <f>IF($A387="","",IF(COUNTIFS($J$4:$J387,$J387,$E$4:$E387,$E387)=1,$E387,""))</f>
        <v/>
      </c>
      <c r="M387" s="13" t="str">
        <f>IF($A387="","",IF(COUNTIFS($J$4:$J387,$J387,$F$4:$F387,$F387)=1,$F387,""))</f>
        <v/>
      </c>
    </row>
    <row r="388" spans="1:13" x14ac:dyDescent="0.35">
      <c r="A388" s="23" t="str">
        <f>IFERROR('М2_АТ4021-1120_0588'!B103,"")</f>
        <v>вул. Земська</v>
      </c>
      <c r="B388" s="23" t="str">
        <f>IFERROR(IF('М2_АТ4021-1120_0588'!C103="","",TEXT('М2_АТ4021-1120_0588'!C103,"General")),"")</f>
        <v>жіноча конс-ція</v>
      </c>
      <c r="C388" s="24" t="str">
        <f>"П'ятниця"</f>
        <v>П'ятниця</v>
      </c>
      <c r="D388" s="24" t="str">
        <f>IFERROR(TEXT('М2_АТ4021-1120_0588'!D103,"h:mm"),"")</f>
        <v>8:30</v>
      </c>
      <c r="E388" s="24" t="str">
        <f t="shared" si="45"/>
        <v>№2</v>
      </c>
      <c r="F388" s="24" t="str">
        <f>"АТ 4021/1120"</f>
        <v>АТ 4021/1120</v>
      </c>
      <c r="G388" s="24" t="str">
        <f>"СВ 64-11 ЕТ"</f>
        <v>СВ 64-11 ЕТ</v>
      </c>
      <c r="H388" s="24">
        <f>IFERROR('М2_АТ4021-1120_0588'!G103,"")</f>
        <v>1</v>
      </c>
      <c r="J388" s="13" t="str">
        <f t="shared" ref="J388:J451" si="46">IF(A388="","",A388&amp;"|"&amp;B388)</f>
        <v>вул. Земська|жіноча конс-ція</v>
      </c>
      <c r="K388" s="32">
        <f t="shared" ref="K388:K451" si="47">IFERROR(IF(D388="","",IF(D388="×",9.99,TIMEVALUE(D388))),9.99)</f>
        <v>0.35416666666666669</v>
      </c>
      <c r="L388" s="13" t="str">
        <f>IF($A388="","",IF(COUNTIFS($J$4:$J388,$J388,$E$4:$E388,$E388)=1,$E388,""))</f>
        <v/>
      </c>
      <c r="M388" s="13" t="str">
        <f>IF($A388="","",IF(COUNTIFS($J$4:$J388,$J388,$F$4:$F388,$F388)=1,$F388,""))</f>
        <v/>
      </c>
    </row>
    <row r="389" spans="1:13" x14ac:dyDescent="0.35">
      <c r="A389" s="23" t="str">
        <f>IFERROR('М2_АТ4021-1120_0588'!B117,"")</f>
        <v>вул. Земська</v>
      </c>
      <c r="B389" s="23" t="str">
        <f>IFERROR(IF('М2_АТ4021-1120_0588'!C117="","",TEXT('М2_АТ4021-1120_0588'!C117,"General")),"")</f>
        <v>жіноча конс-ція</v>
      </c>
      <c r="C389" s="24" t="str">
        <f>"П'ятниця"</f>
        <v>П'ятниця</v>
      </c>
      <c r="D389" s="24" t="str">
        <f>IFERROR(TEXT('М2_АТ4021-1120_0588'!D117,"h:mm"),"")</f>
        <v>15:05</v>
      </c>
      <c r="E389" s="24" t="str">
        <f t="shared" si="45"/>
        <v>№2</v>
      </c>
      <c r="F389" s="24" t="str">
        <f>"АТ 4021/1120"</f>
        <v>АТ 4021/1120</v>
      </c>
      <c r="G389" s="24" t="str">
        <f>"СВ 64-11 ЕТ"</f>
        <v>СВ 64-11 ЕТ</v>
      </c>
      <c r="H389" s="24">
        <f>IFERROR('М2_АТ4021-1120_0588'!G117,"")</f>
        <v>1</v>
      </c>
      <c r="J389" s="13" t="str">
        <f t="shared" si="46"/>
        <v>вул. Земська|жіноча конс-ція</v>
      </c>
      <c r="K389" s="32">
        <f t="shared" si="47"/>
        <v>0.62847222222222221</v>
      </c>
      <c r="L389" s="13" t="str">
        <f>IF($A389="","",IF(COUNTIFS($J$4:$J389,$J389,$E$4:$E389,$E389)=1,$E389,""))</f>
        <v/>
      </c>
      <c r="M389" s="13" t="str">
        <f>IF($A389="","",IF(COUNTIFS($J$4:$J389,$J389,$F$4:$F389,$F389)=1,$F389,""))</f>
        <v/>
      </c>
    </row>
    <row r="390" spans="1:13" x14ac:dyDescent="0.35">
      <c r="A390" s="23" t="str">
        <f>IFERROR('М1-2_АТ4021-1120_0585'!B93,"")</f>
        <v>вул. Земська</v>
      </c>
      <c r="B390" s="23" t="str">
        <f>IFERROR(IF('М1-2_АТ4021-1120_0585'!C93="","",TEXT('М1-2_АТ4021-1120_0585'!C93,"General")),"")</f>
        <v>жіноча конс-ція</v>
      </c>
      <c r="C390" s="24" t="str">
        <f>"Субота"</f>
        <v>Субота</v>
      </c>
      <c r="D390" s="24" t="str">
        <f>IFERROR(TEXT('М1-2_АТ4021-1120_0585'!D93,"h:mm"),"")</f>
        <v>14:00</v>
      </c>
      <c r="E390" s="24" t="str">
        <f t="shared" si="45"/>
        <v>№2</v>
      </c>
      <c r="F390" s="24" t="str">
        <f>"АТ-4021/1120"</f>
        <v>АТ-4021/1120</v>
      </c>
      <c r="G390" s="24" t="str">
        <f>"СВ 14-65 ЕО"</f>
        <v>СВ 14-65 ЕО</v>
      </c>
      <c r="H390" s="24">
        <f>IFERROR('М1-2_АТ4021-1120_0585'!G93,"")</f>
        <v>1</v>
      </c>
      <c r="J390" s="13" t="str">
        <f t="shared" si="46"/>
        <v>вул. Земська|жіноча конс-ція</v>
      </c>
      <c r="K390" s="32">
        <f t="shared" si="47"/>
        <v>0.58333333333333337</v>
      </c>
      <c r="L390" s="13" t="str">
        <f>IF($A390="","",IF(COUNTIFS($J$4:$J390,$J390,$E$4:$E390,$E390)=1,$E390,""))</f>
        <v/>
      </c>
      <c r="M390" s="13" t="str">
        <f>IF($A390="","",IF(COUNTIFS($J$4:$J390,$J390,$F$4:$F390,$F390)=1,$F390,""))</f>
        <v/>
      </c>
    </row>
    <row r="391" spans="1:13" x14ac:dyDescent="0.35">
      <c r="A391" s="23" t="str">
        <f>IFERROR('М2_АТ4021-1120_0588'!B133,"")</f>
        <v>вул. Земська</v>
      </c>
      <c r="B391" s="23" t="str">
        <f>IFERROR(IF('М2_АТ4021-1120_0588'!C133="","",TEXT('М2_АТ4021-1120_0588'!C133,"General")),"")</f>
        <v>жіноча конс-ція</v>
      </c>
      <c r="C391" s="24" t="str">
        <f>"Неділя"</f>
        <v>Неділя</v>
      </c>
      <c r="D391" s="24" t="str">
        <f>IFERROR(TEXT('М2_АТ4021-1120_0588'!D133,"h:mm"),"")</f>
        <v>8:30</v>
      </c>
      <c r="E391" s="24" t="str">
        <f t="shared" si="45"/>
        <v>№2</v>
      </c>
      <c r="F391" s="24" t="str">
        <f>"АТ 4021/1120"</f>
        <v>АТ 4021/1120</v>
      </c>
      <c r="G391" s="24" t="str">
        <f>"СВ 64-11 ЕТ"</f>
        <v>СВ 64-11 ЕТ</v>
      </c>
      <c r="H391" s="24">
        <f>IFERROR('М2_АТ4021-1120_0588'!G133,"")</f>
        <v>1</v>
      </c>
      <c r="J391" s="13" t="str">
        <f t="shared" si="46"/>
        <v>вул. Земська|жіноча конс-ція</v>
      </c>
      <c r="K391" s="32">
        <f t="shared" si="47"/>
        <v>0.35416666666666669</v>
      </c>
      <c r="L391" s="13" t="str">
        <f>IF($A391="","",IF(COUNTIFS($J$4:$J391,$J391,$E$4:$E391,$E391)=1,$E391,""))</f>
        <v/>
      </c>
      <c r="M391" s="13" t="str">
        <f>IF($A391="","",IF(COUNTIFS($J$4:$J391,$J391,$F$4:$F391,$F391)=1,$F391,""))</f>
        <v/>
      </c>
    </row>
    <row r="392" spans="1:13" x14ac:dyDescent="0.35">
      <c r="A392" s="23" t="str">
        <f>IFERROR('М2_АТ4021-1120_0588'!B146,"")</f>
        <v>вул. Земська</v>
      </c>
      <c r="B392" s="23" t="str">
        <f>IFERROR(IF('М2_АТ4021-1120_0588'!C146="","",TEXT('М2_АТ4021-1120_0588'!C146,"General")),"")</f>
        <v>жіноча конс-ція</v>
      </c>
      <c r="C392" s="24" t="str">
        <f>"Неділя"</f>
        <v>Неділя</v>
      </c>
      <c r="D392" s="24" t="str">
        <f>IFERROR(TEXT('М2_АТ4021-1120_0588'!D146,"h:mm"),"")</f>
        <v>14:35</v>
      </c>
      <c r="E392" s="24" t="str">
        <f t="shared" si="45"/>
        <v>№2</v>
      </c>
      <c r="F392" s="24" t="str">
        <f>"АТ 4021/1120"</f>
        <v>АТ 4021/1120</v>
      </c>
      <c r="G392" s="24" t="str">
        <f>"СВ 64-11 ЕТ"</f>
        <v>СВ 64-11 ЕТ</v>
      </c>
      <c r="H392" s="24">
        <f>IFERROR('М2_АТ4021-1120_0588'!G146,"")</f>
        <v>1</v>
      </c>
      <c r="J392" s="13" t="str">
        <f t="shared" si="46"/>
        <v>вул. Земська|жіноча конс-ція</v>
      </c>
      <c r="K392" s="32">
        <f t="shared" si="47"/>
        <v>0.60763888888888884</v>
      </c>
      <c r="L392" s="13" t="str">
        <f>IF($A392="","",IF(COUNTIFS($J$4:$J392,$J392,$E$4:$E392,$E392)=1,$E392,""))</f>
        <v/>
      </c>
      <c r="M392" s="13" t="str">
        <f>IF($A392="","",IF(COUNTIFS($J$4:$J392,$J392,$F$4:$F392,$F392)=1,$F392,""))</f>
        <v/>
      </c>
    </row>
    <row r="393" spans="1:13" x14ac:dyDescent="0.35">
      <c r="A393" s="23" t="str">
        <f>IFERROR(М3_МАЗ4371_0587!B6,"")</f>
        <v>вул. Земська</v>
      </c>
      <c r="B393" s="23" t="str">
        <f>IFERROR(IF(М3_МАЗ4371_0587!C6="","",TEXT(М3_МАЗ4371_0587!C6,"General")),"")</f>
        <v>шк. 7</v>
      </c>
      <c r="C393" s="24" t="str">
        <f>"Понеділок"</f>
        <v>Понеділок</v>
      </c>
      <c r="D393" s="24" t="str">
        <f>IFERROR(TEXT(М3_МАЗ4371_0587!D6,"h:mm"),"")</f>
        <v>7:10</v>
      </c>
      <c r="E393" s="24" t="str">
        <f t="shared" ref="E393:E404" si="48">"№3"</f>
        <v>№3</v>
      </c>
      <c r="F393" s="24" t="str">
        <f>"МАЗ-4371"</f>
        <v>МАЗ-4371</v>
      </c>
      <c r="G393" s="24" t="str">
        <f>"СВ 53-06 СА"</f>
        <v>СВ 53-06 СА</v>
      </c>
      <c r="H393" s="24">
        <f>IFERROR(М3_МАЗ4371_0587!G6,"")</f>
        <v>1</v>
      </c>
      <c r="J393" s="13" t="str">
        <f t="shared" si="46"/>
        <v>вул. Земська|шк. 7</v>
      </c>
      <c r="K393" s="32">
        <f t="shared" si="47"/>
        <v>0.2986111111111111</v>
      </c>
      <c r="L393" s="13" t="str">
        <f>IF($A393="","",IF(COUNTIFS($J$4:$J393,$J393,$E$4:$E393,$E393)=1,$E393,""))</f>
        <v>№3</v>
      </c>
      <c r="M393" s="13" t="str">
        <f>IF($A393="","",IF(COUNTIFS($J$4:$J393,$J393,$F$4:$F393,$F393)=1,$F393,""))</f>
        <v>МАЗ-4371</v>
      </c>
    </row>
    <row r="394" spans="1:13" x14ac:dyDescent="0.35">
      <c r="A394" s="23" t="str">
        <f>IFERROR(М3_МАЗ4371_0587!B34,"")</f>
        <v>вул. Земська</v>
      </c>
      <c r="B394" s="23" t="str">
        <f>IFERROR(IF(М3_МАЗ4371_0587!C34="","",TEXT(М3_МАЗ4371_0587!C34,"General")),"")</f>
        <v>шк. 7</v>
      </c>
      <c r="C394" s="24" t="str">
        <f>"Понеділок"</f>
        <v>Понеділок</v>
      </c>
      <c r="D394" s="24" t="str">
        <f>IFERROR(TEXT(М3_МАЗ4371_0587!D34,"h:mm"),"")</f>
        <v>14:50</v>
      </c>
      <c r="E394" s="24" t="str">
        <f t="shared" si="48"/>
        <v>№3</v>
      </c>
      <c r="F394" s="24" t="str">
        <f>"МАЗ-4371"</f>
        <v>МАЗ-4371</v>
      </c>
      <c r="G394" s="24" t="str">
        <f>"СВ 53-06 СА"</f>
        <v>СВ 53-06 СА</v>
      </c>
      <c r="H394" s="24">
        <f>IFERROR(М3_МАЗ4371_0587!G34,"")</f>
        <v>1</v>
      </c>
      <c r="J394" s="13" t="str">
        <f t="shared" si="46"/>
        <v>вул. Земська|шк. 7</v>
      </c>
      <c r="K394" s="32">
        <f t="shared" si="47"/>
        <v>0.61805555555555558</v>
      </c>
      <c r="L394" s="13" t="str">
        <f>IF($A394="","",IF(COUNTIFS($J$4:$J394,$J394,$E$4:$E394,$E394)=1,$E394,""))</f>
        <v/>
      </c>
      <c r="M394" s="13" t="str">
        <f>IF($A394="","",IF(COUNTIFS($J$4:$J394,$J394,$F$4:$F394,$F394)=1,$F394,""))</f>
        <v/>
      </c>
    </row>
    <row r="395" spans="1:13" x14ac:dyDescent="0.35">
      <c r="A395" s="23" t="str">
        <f>IFERROR(М3_МАЗ4371_0587!B45,"")</f>
        <v>вул. Земська</v>
      </c>
      <c r="B395" s="23" t="str">
        <f>IFERROR(IF(М3_МАЗ4371_0587!C45="","",TEXT(М3_МАЗ4371_0587!C45,"General")),"")</f>
        <v>шк. 7</v>
      </c>
      <c r="C395" s="24" t="str">
        <f>"Вівторок"</f>
        <v>Вівторок</v>
      </c>
      <c r="D395" s="24" t="str">
        <f>IFERROR(TEXT(М3_МАЗ4371_0587!D45,"h:mm"),"")</f>
        <v>7:10</v>
      </c>
      <c r="E395" s="24" t="str">
        <f t="shared" si="48"/>
        <v>№3</v>
      </c>
      <c r="F395" s="24" t="str">
        <f>"МАЗ-4371"</f>
        <v>МАЗ-4371</v>
      </c>
      <c r="G395" s="24" t="str">
        <f>"СВ 53-06 СА"</f>
        <v>СВ 53-06 СА</v>
      </c>
      <c r="H395" s="24">
        <f>IFERROR(М3_МАЗ4371_0587!G45,"")</f>
        <v>1</v>
      </c>
      <c r="J395" s="13" t="str">
        <f t="shared" si="46"/>
        <v>вул. Земська|шк. 7</v>
      </c>
      <c r="K395" s="32">
        <f t="shared" si="47"/>
        <v>0.2986111111111111</v>
      </c>
      <c r="L395" s="13" t="str">
        <f>IF($A395="","",IF(COUNTIFS($J$4:$J395,$J395,$E$4:$E395,$E395)=1,$E395,""))</f>
        <v/>
      </c>
      <c r="M395" s="13" t="str">
        <f>IF($A395="","",IF(COUNTIFS($J$4:$J395,$J395,$F$4:$F395,$F395)=1,$F395,""))</f>
        <v/>
      </c>
    </row>
    <row r="396" spans="1:13" x14ac:dyDescent="0.35">
      <c r="A396" s="23" t="str">
        <f>IFERROR(М3_МАЗ4371_0587!B75,"")</f>
        <v>вул. Земська</v>
      </c>
      <c r="B396" s="23" t="str">
        <f>IFERROR(IF(М3_МАЗ4371_0587!C75="","",TEXT(М3_МАЗ4371_0587!C75,"General")),"")</f>
        <v>шк. 7</v>
      </c>
      <c r="C396" s="24" t="str">
        <f>"Середа"</f>
        <v>Середа</v>
      </c>
      <c r="D396" s="24" t="str">
        <f>IFERROR(TEXT(М3_МАЗ4371_0587!D75,"h:mm"),"")</f>
        <v>7:10</v>
      </c>
      <c r="E396" s="24" t="str">
        <f t="shared" si="48"/>
        <v>№3</v>
      </c>
      <c r="F396" s="24" t="str">
        <f>"МАЗ-4371"</f>
        <v>МАЗ-4371</v>
      </c>
      <c r="G396" s="24" t="str">
        <f>"СВ 53-06 СА"</f>
        <v>СВ 53-06 СА</v>
      </c>
      <c r="H396" s="24">
        <f>IFERROR(М3_МАЗ4371_0587!G75,"")</f>
        <v>1</v>
      </c>
      <c r="J396" s="13" t="str">
        <f t="shared" si="46"/>
        <v>вул. Земська|шк. 7</v>
      </c>
      <c r="K396" s="32">
        <f t="shared" si="47"/>
        <v>0.2986111111111111</v>
      </c>
      <c r="L396" s="13" t="str">
        <f>IF($A396="","",IF(COUNTIFS($J$4:$J396,$J396,$E$4:$E396,$E396)=1,$E396,""))</f>
        <v/>
      </c>
      <c r="M396" s="13" t="str">
        <f>IF($A396="","",IF(COUNTIFS($J$4:$J396,$J396,$F$4:$F396,$F396)=1,$F396,""))</f>
        <v/>
      </c>
    </row>
    <row r="397" spans="1:13" x14ac:dyDescent="0.35">
      <c r="A397" s="23" t="str">
        <f>IFERROR(М3_МАЗ4371_0587!B101,"")</f>
        <v>вул. Земська</v>
      </c>
      <c r="B397" s="23" t="str">
        <f>IFERROR(IF(М3_МАЗ4371_0587!C101="","",TEXT(М3_МАЗ4371_0587!C101,"General")),"")</f>
        <v>шк. 7</v>
      </c>
      <c r="C397" s="24" t="str">
        <f>"Середа"</f>
        <v>Середа</v>
      </c>
      <c r="D397" s="24" t="str">
        <f>IFERROR(TEXT(М3_МАЗ4371_0587!D101,"h:mm"),"")</f>
        <v>14:50</v>
      </c>
      <c r="E397" s="24" t="str">
        <f t="shared" si="48"/>
        <v>№3</v>
      </c>
      <c r="F397" s="24" t="str">
        <f>"МАЗ-4371"</f>
        <v>МАЗ-4371</v>
      </c>
      <c r="G397" s="24" t="str">
        <f>"СВ 53-06 СА"</f>
        <v>СВ 53-06 СА</v>
      </c>
      <c r="H397" s="24">
        <f>IFERROR(М3_МАЗ4371_0587!G101,"")</f>
        <v>1</v>
      </c>
      <c r="J397" s="13" t="str">
        <f t="shared" si="46"/>
        <v>вул. Земська|шк. 7</v>
      </c>
      <c r="K397" s="32">
        <f t="shared" si="47"/>
        <v>0.61805555555555558</v>
      </c>
      <c r="L397" s="13" t="str">
        <f>IF($A397="","",IF(COUNTIFS($J$4:$J397,$J397,$E$4:$E397,$E397)=1,$E397,""))</f>
        <v/>
      </c>
      <c r="M397" s="13" t="str">
        <f>IF($A397="","",IF(COUNTIFS($J$4:$J397,$J397,$F$4:$F397,$F397)=1,$F397,""))</f>
        <v/>
      </c>
    </row>
    <row r="398" spans="1:13" x14ac:dyDescent="0.35">
      <c r="A398" s="23" t="str">
        <f>IFERROR('М3-4_ГАЗ3309_0590'!B7,"")</f>
        <v>вул. Земська</v>
      </c>
      <c r="B398" s="23" t="str">
        <f>IFERROR(IF('М3-4_ГАЗ3309_0590'!C7="","",TEXT('М3-4_ГАЗ3309_0590'!C7,"General")),"")</f>
        <v>шк. 7</v>
      </c>
      <c r="C398" s="24" t="str">
        <f>"Четвер"</f>
        <v>Четвер</v>
      </c>
      <c r="D398" s="24" t="str">
        <f>IFERROR(TEXT('М3-4_ГАЗ3309_0590'!D7,"h:mm"),"")</f>
        <v>7:20</v>
      </c>
      <c r="E398" s="24" t="str">
        <f t="shared" si="48"/>
        <v>№3</v>
      </c>
      <c r="F398" s="24" t="str">
        <f>"ГАЗ 3309"</f>
        <v>ГАЗ 3309</v>
      </c>
      <c r="G398" s="24" t="str">
        <f>"СВ 17-85 ВН"</f>
        <v>СВ 17-85 ВН</v>
      </c>
      <c r="H398" s="24">
        <f>IFERROR('М3-4_ГАЗ3309_0590'!G7,"")</f>
        <v>1</v>
      </c>
      <c r="J398" s="13" t="str">
        <f t="shared" si="46"/>
        <v>вул. Земська|шк. 7</v>
      </c>
      <c r="K398" s="32">
        <f t="shared" si="47"/>
        <v>0.30555555555555558</v>
      </c>
      <c r="L398" s="13" t="str">
        <f>IF($A398="","",IF(COUNTIFS($J$4:$J398,$J398,$E$4:$E398,$E398)=1,$E398,""))</f>
        <v/>
      </c>
      <c r="M398" s="13" t="str">
        <f>IF($A398="","",IF(COUNTIFS($J$4:$J398,$J398,$F$4:$F398,$F398)=1,$F398,""))</f>
        <v>ГАЗ 3309</v>
      </c>
    </row>
    <row r="399" spans="1:13" x14ac:dyDescent="0.35">
      <c r="A399" s="23" t="str">
        <f>IFERROR('М3-4_ГАЗ3309_0590'!B28,"")</f>
        <v>вул. Земська</v>
      </c>
      <c r="B399" s="23" t="str">
        <f>IFERROR(IF('М3-4_ГАЗ3309_0590'!C28="","",TEXT('М3-4_ГАЗ3309_0590'!C28,"General")),"")</f>
        <v>шк. 7</v>
      </c>
      <c r="C399" s="24" t="str">
        <f>"Четвер"</f>
        <v>Четвер</v>
      </c>
      <c r="D399" s="24" t="str">
        <f>IFERROR(TEXT('М3-4_ГАЗ3309_0590'!D28,"h:mm"),"")</f>
        <v>15:10</v>
      </c>
      <c r="E399" s="24" t="str">
        <f t="shared" si="48"/>
        <v>№3</v>
      </c>
      <c r="F399" s="24" t="str">
        <f>"ГАЗ 3309"</f>
        <v>ГАЗ 3309</v>
      </c>
      <c r="G399" s="24" t="str">
        <f>"СВ 17-85 ВН"</f>
        <v>СВ 17-85 ВН</v>
      </c>
      <c r="H399" s="24">
        <f>IFERROR('М3-4_ГАЗ3309_0590'!G28,"")</f>
        <v>1</v>
      </c>
      <c r="J399" s="13" t="str">
        <f t="shared" si="46"/>
        <v>вул. Земська|шк. 7</v>
      </c>
      <c r="K399" s="32">
        <f t="shared" si="47"/>
        <v>0.63194444444444442</v>
      </c>
      <c r="L399" s="13" t="str">
        <f>IF($A399="","",IF(COUNTIFS($J$4:$J399,$J399,$E$4:$E399,$E399)=1,$E399,""))</f>
        <v/>
      </c>
      <c r="M399" s="13" t="str">
        <f>IF($A399="","",IF(COUNTIFS($J$4:$J399,$J399,$F$4:$F399,$F399)=1,$F399,""))</f>
        <v/>
      </c>
    </row>
    <row r="400" spans="1:13" x14ac:dyDescent="0.35">
      <c r="A400" s="23" t="str">
        <f>IFERROR(М3_МАЗ4371_0587!B114,"")</f>
        <v>вул. Земська</v>
      </c>
      <c r="B400" s="23" t="str">
        <f>IFERROR(IF(М3_МАЗ4371_0587!C114="","",TEXT(М3_МАЗ4371_0587!C114,"General")),"")</f>
        <v>шк. 7</v>
      </c>
      <c r="C400" s="24" t="str">
        <f>"П'ятниця"</f>
        <v>П'ятниця</v>
      </c>
      <c r="D400" s="24" t="str">
        <f>IFERROR(TEXT(М3_МАЗ4371_0587!D114,"h:mm"),"")</f>
        <v>7:25</v>
      </c>
      <c r="E400" s="24" t="str">
        <f t="shared" si="48"/>
        <v>№3</v>
      </c>
      <c r="F400" s="24" t="str">
        <f>"МАЗ-4371"</f>
        <v>МАЗ-4371</v>
      </c>
      <c r="G400" s="24" t="str">
        <f>"СВ 53-06 СА"</f>
        <v>СВ 53-06 СА</v>
      </c>
      <c r="H400" s="24">
        <f>IFERROR(М3_МАЗ4371_0587!G114,"")</f>
        <v>1</v>
      </c>
      <c r="J400" s="13" t="str">
        <f t="shared" si="46"/>
        <v>вул. Земська|шк. 7</v>
      </c>
      <c r="K400" s="32">
        <f t="shared" si="47"/>
        <v>0.30902777777777779</v>
      </c>
      <c r="L400" s="13" t="str">
        <f>IF($A400="","",IF(COUNTIFS($J$4:$J400,$J400,$E$4:$E400,$E400)=1,$E400,""))</f>
        <v/>
      </c>
      <c r="M400" s="13" t="str">
        <f>IF($A400="","",IF(COUNTIFS($J$4:$J400,$J400,$F$4:$F400,$F400)=1,$F400,""))</f>
        <v/>
      </c>
    </row>
    <row r="401" spans="1:13" x14ac:dyDescent="0.35">
      <c r="A401" s="23" t="str">
        <f>IFERROR(М3_МАЗ4371_0587!B141,"")</f>
        <v>вул. Земська</v>
      </c>
      <c r="B401" s="23" t="str">
        <f>IFERROR(IF(М3_МАЗ4371_0587!C141="","",TEXT(М3_МАЗ4371_0587!C141,"General")),"")</f>
        <v>шк. 7</v>
      </c>
      <c r="C401" s="24" t="str">
        <f>"П'ятниця"</f>
        <v>П'ятниця</v>
      </c>
      <c r="D401" s="24" t="str">
        <f>IFERROR(TEXT(М3_МАЗ4371_0587!D141,"h:mm"),"")</f>
        <v>14:50</v>
      </c>
      <c r="E401" s="24" t="str">
        <f t="shared" si="48"/>
        <v>№3</v>
      </c>
      <c r="F401" s="24" t="str">
        <f>"МАЗ-4371"</f>
        <v>МАЗ-4371</v>
      </c>
      <c r="G401" s="24" t="str">
        <f>"СВ 53-06 СА"</f>
        <v>СВ 53-06 СА</v>
      </c>
      <c r="H401" s="24">
        <f>IFERROR(М3_МАЗ4371_0587!G141,"")</f>
        <v>1</v>
      </c>
      <c r="J401" s="13" t="str">
        <f t="shared" si="46"/>
        <v>вул. Земська|шк. 7</v>
      </c>
      <c r="K401" s="32">
        <f t="shared" si="47"/>
        <v>0.61805555555555558</v>
      </c>
      <c r="L401" s="13" t="str">
        <f>IF($A401="","",IF(COUNTIFS($J$4:$J401,$J401,$E$4:$E401,$E401)=1,$E401,""))</f>
        <v/>
      </c>
      <c r="M401" s="13" t="str">
        <f>IF($A401="","",IF(COUNTIFS($J$4:$J401,$J401,$F$4:$F401,$F401)=1,$F401,""))</f>
        <v/>
      </c>
    </row>
    <row r="402" spans="1:13" x14ac:dyDescent="0.35">
      <c r="A402" s="23" t="str">
        <f>IFERROR(М3_МАЗ4371_0587!B152,"")</f>
        <v>вул. Земська</v>
      </c>
      <c r="B402" s="23" t="str">
        <f>IFERROR(IF(М3_МАЗ4371_0587!C152="","",TEXT(М3_МАЗ4371_0587!C152,"General")),"")</f>
        <v>шк. 7</v>
      </c>
      <c r="C402" s="24" t="str">
        <f>"Субота"</f>
        <v>Субота</v>
      </c>
      <c r="D402" s="24" t="str">
        <f>IFERROR(TEXT(М3_МАЗ4371_0587!D152,"h:mm"),"")</f>
        <v>7:10</v>
      </c>
      <c r="E402" s="24" t="str">
        <f t="shared" si="48"/>
        <v>№3</v>
      </c>
      <c r="F402" s="24" t="str">
        <f>"МАЗ-4371"</f>
        <v>МАЗ-4371</v>
      </c>
      <c r="G402" s="24" t="str">
        <f>"СВ 53-06 СА"</f>
        <v>СВ 53-06 СА</v>
      </c>
      <c r="H402" s="24">
        <f>IFERROR(М3_МАЗ4371_0587!G152,"")</f>
        <v>1</v>
      </c>
      <c r="J402" s="13" t="str">
        <f t="shared" si="46"/>
        <v>вул. Земська|шк. 7</v>
      </c>
      <c r="K402" s="32">
        <f t="shared" si="47"/>
        <v>0.2986111111111111</v>
      </c>
      <c r="L402" s="13" t="str">
        <f>IF($A402="","",IF(COUNTIFS($J$4:$J402,$J402,$E$4:$E402,$E402)=1,$E402,""))</f>
        <v/>
      </c>
      <c r="M402" s="13" t="str">
        <f>IF($A402="","",IF(COUNTIFS($J$4:$J402,$J402,$F$4:$F402,$F402)=1,$F402,""))</f>
        <v/>
      </c>
    </row>
    <row r="403" spans="1:13" x14ac:dyDescent="0.35">
      <c r="A403" s="23" t="str">
        <f>IFERROR('М3-4_ГАЗ3309_0590'!B39,"")</f>
        <v>вул. Земська</v>
      </c>
      <c r="B403" s="23" t="str">
        <f>IFERROR(IF('М3-4_ГАЗ3309_0590'!C39="","",TEXT('М3-4_ГАЗ3309_0590'!C39,"General")),"")</f>
        <v>шк. 7</v>
      </c>
      <c r="C403" s="24" t="str">
        <f>"Неділя"</f>
        <v>Неділя</v>
      </c>
      <c r="D403" s="24" t="str">
        <f>IFERROR(TEXT('М3-4_ГАЗ3309_0590'!D39,"h:mm"),"")</f>
        <v>7:20</v>
      </c>
      <c r="E403" s="24" t="str">
        <f t="shared" si="48"/>
        <v>№3</v>
      </c>
      <c r="F403" s="24" t="str">
        <f>"ГАЗ 3309"</f>
        <v>ГАЗ 3309</v>
      </c>
      <c r="G403" s="24" t="str">
        <f>"СВ 17-85 ВН"</f>
        <v>СВ 17-85 ВН</v>
      </c>
      <c r="H403" s="24">
        <f>IFERROR('М3-4_ГАЗ3309_0590'!G39,"")</f>
        <v>1</v>
      </c>
      <c r="J403" s="13" t="str">
        <f t="shared" si="46"/>
        <v>вул. Земська|шк. 7</v>
      </c>
      <c r="K403" s="32">
        <f t="shared" si="47"/>
        <v>0.30555555555555558</v>
      </c>
      <c r="L403" s="13" t="str">
        <f>IF($A403="","",IF(COUNTIFS($J$4:$J403,$J403,$E$4:$E403,$E403)=1,$E403,""))</f>
        <v/>
      </c>
      <c r="M403" s="13" t="str">
        <f>IF($A403="","",IF(COUNTIFS($J$4:$J403,$J403,$F$4:$F403,$F403)=1,$F403,""))</f>
        <v/>
      </c>
    </row>
    <row r="404" spans="1:13" x14ac:dyDescent="0.35">
      <c r="A404" s="23" t="str">
        <f>IFERROR('М3-4_ГАЗ3309_0590'!B60,"")</f>
        <v>вул. Земська</v>
      </c>
      <c r="B404" s="23" t="str">
        <f>IFERROR(IF('М3-4_ГАЗ3309_0590'!C60="","",TEXT('М3-4_ГАЗ3309_0590'!C60,"General")),"")</f>
        <v>шк. 7</v>
      </c>
      <c r="C404" s="24" t="str">
        <f>"Неділя"</f>
        <v>Неділя</v>
      </c>
      <c r="D404" s="24" t="str">
        <f>IFERROR(TEXT('М3-4_ГАЗ3309_0590'!D60,"h:mm"),"")</f>
        <v>15:10</v>
      </c>
      <c r="E404" s="24" t="str">
        <f t="shared" si="48"/>
        <v>№3</v>
      </c>
      <c r="F404" s="24" t="str">
        <f>"ГАЗ 3309"</f>
        <v>ГАЗ 3309</v>
      </c>
      <c r="G404" s="24" t="str">
        <f>"СВ 17-85 ВН"</f>
        <v>СВ 17-85 ВН</v>
      </c>
      <c r="H404" s="24">
        <f>IFERROR('М3-4_ГАЗ3309_0590'!G60,"")</f>
        <v>1</v>
      </c>
      <c r="J404" s="13" t="str">
        <f t="shared" si="46"/>
        <v>вул. Земська|шк. 7</v>
      </c>
      <c r="K404" s="32">
        <f t="shared" si="47"/>
        <v>0.63194444444444442</v>
      </c>
      <c r="L404" s="13" t="str">
        <f>IF($A404="","",IF(COUNTIFS($J$4:$J404,$J404,$E$4:$E404,$E404)=1,$E404,""))</f>
        <v/>
      </c>
      <c r="M404" s="13" t="str">
        <f>IF($A404="","",IF(COUNTIFS($J$4:$J404,$J404,$F$4:$F404,$F404)=1,$F404,""))</f>
        <v/>
      </c>
    </row>
    <row r="405" spans="1:13" x14ac:dyDescent="0.35">
      <c r="A405" s="23" t="str">
        <f>IFERROR(М6_АТ4021_0586!B26,"")</f>
        <v>вул. Кар'єрна</v>
      </c>
      <c r="B405" s="23" t="str">
        <f>IFERROR(IF(М6_АТ4021_0586!C26="","",TEXT(М6_АТ4021_0586!C26,"General")),"")</f>
        <v>11,2</v>
      </c>
      <c r="C405" s="24" t="str">
        <f>"Понеділок"</f>
        <v>Понеділок</v>
      </c>
      <c r="D405" s="24" t="str">
        <f>IFERROR(TEXT(М6_АТ4021_0586!D26,"h:mm"),"")</f>
        <v>11:35</v>
      </c>
      <c r="E405" s="24" t="str">
        <f>"№6"</f>
        <v>№6</v>
      </c>
      <c r="F405" s="24" t="str">
        <f>"АТ 4021"</f>
        <v>АТ 4021</v>
      </c>
      <c r="G405" s="24" t="str">
        <f>"СВ 33-16 ЕО"</f>
        <v>СВ 33-16 ЕО</v>
      </c>
      <c r="H405" s="24"/>
      <c r="J405" s="13" t="str">
        <f t="shared" si="46"/>
        <v>вул. Кар'єрна|11,2</v>
      </c>
      <c r="K405" s="32">
        <f t="shared" si="47"/>
        <v>0.4826388888888889</v>
      </c>
      <c r="L405" s="13" t="str">
        <f>IF($A405="","",IF(COUNTIFS($J$4:$J405,$J405,$E$4:$E405,$E405)=1,$E405,""))</f>
        <v>№6</v>
      </c>
      <c r="M405" s="13" t="str">
        <f>IF($A405="","",IF(COUNTIFS($J$4:$J405,$J405,$F$4:$F405,$F405)=1,$F405,""))</f>
        <v>АТ 4021</v>
      </c>
    </row>
    <row r="406" spans="1:13" x14ac:dyDescent="0.35">
      <c r="A406" s="23" t="str">
        <f>IFERROR(М5_МАЗ4381_0592!B100,"")</f>
        <v>вул. Квашинська</v>
      </c>
      <c r="B406" s="23" t="str">
        <f>IFERROR(IF(М5_МАЗ4381_0592!C100="","",TEXT(М5_МАЗ4381_0592!C100,"General")),"")</f>
        <v/>
      </c>
      <c r="C406" s="24" t="str">
        <f>"Середа"</f>
        <v>Середа</v>
      </c>
      <c r="D406" s="24" t="str">
        <f>IFERROR(TEXT(М5_МАЗ4381_0592!D100,"h:mm"),"")</f>
        <v>12:45</v>
      </c>
      <c r="E406" s="24" t="str">
        <f>"№5"</f>
        <v>№5</v>
      </c>
      <c r="F406" s="24" t="str">
        <f>"МАЗ 4381"</f>
        <v>МАЗ 4381</v>
      </c>
      <c r="G406" s="24" t="str">
        <f>"СВ 81-71 ВК"</f>
        <v>СВ 81-71 ВК</v>
      </c>
      <c r="H406" s="24"/>
      <c r="J406" s="13" t="str">
        <f t="shared" si="46"/>
        <v>вул. Квашинська|</v>
      </c>
      <c r="K406" s="32">
        <f t="shared" si="47"/>
        <v>0.53125</v>
      </c>
      <c r="L406" s="13" t="str">
        <f>IF($A406="","",IF(COUNTIFS($J$4:$J406,$J406,$E$4:$E406,$E406)=1,$E406,""))</f>
        <v>№5</v>
      </c>
      <c r="M406" s="13" t="str">
        <f>IF($A406="","",IF(COUNTIFS($J$4:$J406,$J406,$F$4:$F406,$F406)=1,$F406,""))</f>
        <v>МАЗ 4381</v>
      </c>
    </row>
    <row r="407" spans="1:13" x14ac:dyDescent="0.35">
      <c r="A407" s="23" t="str">
        <f>IFERROR(М5_МАЗ4381_0592!B147,"")</f>
        <v>вул. Квашинська</v>
      </c>
      <c r="B407" s="23" t="str">
        <f>IFERROR(IF(М5_МАЗ4381_0592!C147="","",TEXT(М5_МАЗ4381_0592!C147,"General")),"")</f>
        <v/>
      </c>
      <c r="C407" s="24" t="str">
        <f>"Четвер"</f>
        <v>Четвер</v>
      </c>
      <c r="D407" s="24" t="str">
        <f>IFERROR(TEXT(М5_МАЗ4381_0592!D147,"h:mm"),"")</f>
        <v>14:15</v>
      </c>
      <c r="E407" s="24" t="str">
        <f>"№5"</f>
        <v>№5</v>
      </c>
      <c r="F407" s="24" t="str">
        <f>"МАЗ 4381"</f>
        <v>МАЗ 4381</v>
      </c>
      <c r="G407" s="24" t="str">
        <f>"СВ 81-71 ВК"</f>
        <v>СВ 81-71 ВК</v>
      </c>
      <c r="H407" s="24"/>
      <c r="J407" s="13" t="str">
        <f t="shared" si="46"/>
        <v>вул. Квашинська|</v>
      </c>
      <c r="K407" s="32">
        <f t="shared" si="47"/>
        <v>0.59375</v>
      </c>
      <c r="L407" s="13" t="str">
        <f>IF($A407="","",IF(COUNTIFS($J$4:$J407,$J407,$E$4:$E407,$E407)=1,$E407,""))</f>
        <v/>
      </c>
      <c r="M407" s="13" t="str">
        <f>IF($A407="","",IF(COUNTIFS($J$4:$J407,$J407,$F$4:$F407,$F407)=1,$F407,""))</f>
        <v/>
      </c>
    </row>
    <row r="408" spans="1:13" x14ac:dyDescent="0.35">
      <c r="A408" s="23" t="str">
        <f>IFERROR(М1_КАМАЗ55111_0591!B17,"")</f>
        <v>вул. Київська-І. Сірка</v>
      </c>
      <c r="B408" s="23" t="str">
        <f>IFERROR(IF(М1_КАМАЗ55111_0591!C17="","",TEXT(М1_КАМАЗ55111_0591!C17,"General")),"")</f>
        <v>перехрестя</v>
      </c>
      <c r="C408" s="24" t="str">
        <f>"Понеділок"</f>
        <v>Понеділок</v>
      </c>
      <c r="D408" s="24" t="str">
        <f>IFERROR(TEXT(М1_КАМАЗ55111_0591!D17,"h:mm"),"")</f>
        <v>8:40</v>
      </c>
      <c r="E408" s="24" t="str">
        <f t="shared" ref="E408:E421" si="49">"№1"</f>
        <v>№1</v>
      </c>
      <c r="F408" s="24" t="str">
        <f>"КАМАЗ 55111"</f>
        <v>КАМАЗ 55111</v>
      </c>
      <c r="G408" s="24" t="str">
        <f>"СВ 50-33 АР"</f>
        <v>СВ 50-33 АР</v>
      </c>
      <c r="H408" s="24">
        <f>IFERROR(М1_КАМАЗ55111_0591!G17,"")</f>
        <v>2</v>
      </c>
      <c r="J408" s="13" t="str">
        <f t="shared" si="46"/>
        <v>вул. Київська-І. Сірка|перехрестя</v>
      </c>
      <c r="K408" s="32">
        <f t="shared" si="47"/>
        <v>0.3611111111111111</v>
      </c>
      <c r="L408" s="13" t="str">
        <f>IF($A408="","",IF(COUNTIFS($J$4:$J408,$J408,$E$4:$E408,$E408)=1,$E408,""))</f>
        <v>№1</v>
      </c>
      <c r="M408" s="13" t="str">
        <f>IF($A408="","",IF(COUNTIFS($J$4:$J408,$J408,$F$4:$F408,$F408)=1,$F408,""))</f>
        <v>КАМАЗ 55111</v>
      </c>
    </row>
    <row r="409" spans="1:13" x14ac:dyDescent="0.35">
      <c r="A409" s="23" t="str">
        <f>IFERROR(М1_КАМАЗ55111_0591!B52,"")</f>
        <v>вул. Київська-І. Сірка</v>
      </c>
      <c r="B409" s="23" t="str">
        <f>IFERROR(IF(М1_КАМАЗ55111_0591!C52="","",TEXT(М1_КАМАЗ55111_0591!C52,"General")),"")</f>
        <v>перехрестя</v>
      </c>
      <c r="C409" s="24" t="str">
        <f>"Вівторок"</f>
        <v>Вівторок</v>
      </c>
      <c r="D409" s="24" t="str">
        <f>IFERROR(TEXT(М1_КАМАЗ55111_0591!D52,"h:mm"),"")</f>
        <v>8:40</v>
      </c>
      <c r="E409" s="24" t="str">
        <f t="shared" si="49"/>
        <v>№1</v>
      </c>
      <c r="F409" s="24" t="str">
        <f>"КАМАЗ 55111"</f>
        <v>КАМАЗ 55111</v>
      </c>
      <c r="G409" s="24" t="str">
        <f>"СВ 50-33 АР"</f>
        <v>СВ 50-33 АР</v>
      </c>
      <c r="H409" s="24">
        <f>IFERROR(М1_КАМАЗ55111_0591!G52,"")</f>
        <v>2</v>
      </c>
      <c r="J409" s="13" t="str">
        <f t="shared" si="46"/>
        <v>вул. Київська-І. Сірка|перехрестя</v>
      </c>
      <c r="K409" s="32">
        <f t="shared" si="47"/>
        <v>0.3611111111111111</v>
      </c>
      <c r="L409" s="13" t="str">
        <f>IF($A409="","",IF(COUNTIFS($J$4:$J409,$J409,$E$4:$E409,$E409)=1,$E409,""))</f>
        <v/>
      </c>
      <c r="M409" s="13" t="str">
        <f>IF($A409="","",IF(COUNTIFS($J$4:$J409,$J409,$F$4:$F409,$F409)=1,$F409,""))</f>
        <v/>
      </c>
    </row>
    <row r="410" spans="1:13" x14ac:dyDescent="0.35">
      <c r="A410" s="23" t="str">
        <f>IFERROR(М1_КАМАЗ55111_0591!B84,"")</f>
        <v>вул. Київська-І. Сірка</v>
      </c>
      <c r="B410" s="23" t="str">
        <f>IFERROR(IF(М1_КАМАЗ55111_0591!C84="","",TEXT(М1_КАМАЗ55111_0591!C84,"General")),"")</f>
        <v>перехрестя</v>
      </c>
      <c r="C410" s="24" t="str">
        <f>"Середа"</f>
        <v>Середа</v>
      </c>
      <c r="D410" s="24" t="str">
        <f>IFERROR(TEXT(М1_КАМАЗ55111_0591!D84,"h:mm"),"")</f>
        <v>8:40</v>
      </c>
      <c r="E410" s="24" t="str">
        <f t="shared" si="49"/>
        <v>№1</v>
      </c>
      <c r="F410" s="24" t="str">
        <f>"КАМАЗ 55111"</f>
        <v>КАМАЗ 55111</v>
      </c>
      <c r="G410" s="24" t="str">
        <f>"СВ 50-33 АР"</f>
        <v>СВ 50-33 АР</v>
      </c>
      <c r="H410" s="24">
        <f>IFERROR(М1_КАМАЗ55111_0591!G84,"")</f>
        <v>2</v>
      </c>
      <c r="J410" s="13" t="str">
        <f t="shared" si="46"/>
        <v>вул. Київська-І. Сірка|перехрестя</v>
      </c>
      <c r="K410" s="32">
        <f t="shared" si="47"/>
        <v>0.3611111111111111</v>
      </c>
      <c r="L410" s="13" t="str">
        <f>IF($A410="","",IF(COUNTIFS($J$4:$J410,$J410,$E$4:$E410,$E410)=1,$E410,""))</f>
        <v/>
      </c>
      <c r="M410" s="13" t="str">
        <f>IF($A410="","",IF(COUNTIFS($J$4:$J410,$J410,$F$4:$F410,$F410)=1,$F410,""))</f>
        <v/>
      </c>
    </row>
    <row r="411" spans="1:13" x14ac:dyDescent="0.35">
      <c r="A411" s="23" t="str">
        <f>IFERROR('М1-2_АТ4021-1120_0585'!B127,"")</f>
        <v>вул. Київська-І. Сірка</v>
      </c>
      <c r="B411" s="23" t="str">
        <f>IFERROR(IF('М1-2_АТ4021-1120_0585'!C127="","",TEXT('М1-2_АТ4021-1120_0585'!C127,"General")),"")</f>
        <v>перехрестя</v>
      </c>
      <c r="C411" s="24" t="str">
        <f>"Четвер"</f>
        <v>Четвер</v>
      </c>
      <c r="D411" s="24" t="str">
        <f>IFERROR(TEXT('М1-2_АТ4021-1120_0585'!D127,"h:mm"),"")</f>
        <v>14:00</v>
      </c>
      <c r="E411" s="24" t="str">
        <f t="shared" si="49"/>
        <v>№1</v>
      </c>
      <c r="F411" s="24" t="str">
        <f>"АТ-4021/1120"</f>
        <v>АТ-4021/1120</v>
      </c>
      <c r="G411" s="24" t="str">
        <f>"СВ 14-65 ЕО"</f>
        <v>СВ 14-65 ЕО</v>
      </c>
      <c r="H411" s="24">
        <f>IFERROR('М1-2_АТ4021-1120_0585'!G127,"")</f>
        <v>2</v>
      </c>
      <c r="J411" s="13" t="str">
        <f t="shared" si="46"/>
        <v>вул. Київська-І. Сірка|перехрестя</v>
      </c>
      <c r="K411" s="32">
        <f t="shared" si="47"/>
        <v>0.58333333333333337</v>
      </c>
      <c r="L411" s="13" t="str">
        <f>IF($A411="","",IF(COUNTIFS($J$4:$J411,$J411,$E$4:$E411,$E411)=1,$E411,""))</f>
        <v/>
      </c>
      <c r="M411" s="13" t="str">
        <f>IF($A411="","",IF(COUNTIFS($J$4:$J411,$J411,$F$4:$F411,$F411)=1,$F411,""))</f>
        <v>АТ-4021/1120</v>
      </c>
    </row>
    <row r="412" spans="1:13" x14ac:dyDescent="0.35">
      <c r="A412" s="23" t="str">
        <f>IFERROR(М1_КАМАЗ55111_0591!B116,"")</f>
        <v>вул. Київська-І. Сірка</v>
      </c>
      <c r="B412" s="23" t="str">
        <f>IFERROR(IF(М1_КАМАЗ55111_0591!C116="","",TEXT(М1_КАМАЗ55111_0591!C116,"General")),"")</f>
        <v>перехрестя</v>
      </c>
      <c r="C412" s="24" t="str">
        <f>"П'ятниця"</f>
        <v>П'ятниця</v>
      </c>
      <c r="D412" s="24" t="str">
        <f>IFERROR(TEXT(М1_КАМАЗ55111_0591!D116,"h:mm"),"")</f>
        <v>8:40</v>
      </c>
      <c r="E412" s="24" t="str">
        <f t="shared" si="49"/>
        <v>№1</v>
      </c>
      <c r="F412" s="24" t="str">
        <f>"КАМАЗ 55111"</f>
        <v>КАМАЗ 55111</v>
      </c>
      <c r="G412" s="24" t="str">
        <f>"СВ 50-33 АР"</f>
        <v>СВ 50-33 АР</v>
      </c>
      <c r="H412" s="24">
        <f>IFERROR(М1_КАМАЗ55111_0591!G116,"")</f>
        <v>2</v>
      </c>
      <c r="J412" s="13" t="str">
        <f t="shared" si="46"/>
        <v>вул. Київська-І. Сірка|перехрестя</v>
      </c>
      <c r="K412" s="32">
        <f t="shared" si="47"/>
        <v>0.3611111111111111</v>
      </c>
      <c r="L412" s="13" t="str">
        <f>IF($A412="","",IF(COUNTIFS($J$4:$J412,$J412,$E$4:$E412,$E412)=1,$E412,""))</f>
        <v/>
      </c>
      <c r="M412" s="13" t="str">
        <f>IF($A412="","",IF(COUNTIFS($J$4:$J412,$J412,$F$4:$F412,$F412)=1,$F412,""))</f>
        <v/>
      </c>
    </row>
    <row r="413" spans="1:13" x14ac:dyDescent="0.35">
      <c r="A413" s="23" t="str">
        <f>IFERROR(М1_КАМАЗ55111_0591!B151,"")</f>
        <v>вул. Київська-І. Сірка</v>
      </c>
      <c r="B413" s="23" t="str">
        <f>IFERROR(IF(М1_КАМАЗ55111_0591!C151="","",TEXT(М1_КАМАЗ55111_0591!C151,"General")),"")</f>
        <v>перехрестя</v>
      </c>
      <c r="C413" s="24" t="str">
        <f>"Субота"</f>
        <v>Субота</v>
      </c>
      <c r="D413" s="24" t="str">
        <f>IFERROR(TEXT(М1_КАМАЗ55111_0591!D151,"h:mm"),"")</f>
        <v>8:40</v>
      </c>
      <c r="E413" s="24" t="str">
        <f t="shared" si="49"/>
        <v>№1</v>
      </c>
      <c r="F413" s="24" t="str">
        <f>"КАМАЗ 55111"</f>
        <v>КАМАЗ 55111</v>
      </c>
      <c r="G413" s="24" t="str">
        <f>"СВ 50-33 АР"</f>
        <v>СВ 50-33 АР</v>
      </c>
      <c r="H413" s="24">
        <f>IFERROR(М1_КАМАЗ55111_0591!G151,"")</f>
        <v>2</v>
      </c>
      <c r="J413" s="13" t="str">
        <f t="shared" si="46"/>
        <v>вул. Київська-І. Сірка|перехрестя</v>
      </c>
      <c r="K413" s="32">
        <f t="shared" si="47"/>
        <v>0.3611111111111111</v>
      </c>
      <c r="L413" s="13" t="str">
        <f>IF($A413="","",IF(COUNTIFS($J$4:$J413,$J413,$E$4:$E413,$E413)=1,$E413,""))</f>
        <v/>
      </c>
      <c r="M413" s="13" t="str">
        <f>IF($A413="","",IF(COUNTIFS($J$4:$J413,$J413,$F$4:$F413,$F413)=1,$F413,""))</f>
        <v/>
      </c>
    </row>
    <row r="414" spans="1:13" x14ac:dyDescent="0.35">
      <c r="A414" s="23" t="str">
        <f>IFERROR('М1-2_АТ4021-1120_0585'!B162,"")</f>
        <v>вул. Київська-І. Сірка</v>
      </c>
      <c r="B414" s="23" t="str">
        <f>IFERROR(IF('М1-2_АТ4021-1120_0585'!C162="","",TEXT('М1-2_АТ4021-1120_0585'!C162,"General")),"")</f>
        <v>перехрестя</v>
      </c>
      <c r="C414" s="24" t="str">
        <f>"Неділя"</f>
        <v>Неділя</v>
      </c>
      <c r="D414" s="24" t="str">
        <f>IFERROR(TEXT('М1-2_АТ4021-1120_0585'!D162,"h:mm"),"")</f>
        <v>14:00</v>
      </c>
      <c r="E414" s="24" t="str">
        <f t="shared" si="49"/>
        <v>№1</v>
      </c>
      <c r="F414" s="24" t="str">
        <f>"АТ-4021/1120"</f>
        <v>АТ-4021/1120</v>
      </c>
      <c r="G414" s="24" t="str">
        <f>"СВ 14-65 ЕО"</f>
        <v>СВ 14-65 ЕО</v>
      </c>
      <c r="H414" s="24">
        <f>IFERROR('М1-2_АТ4021-1120_0585'!G162,"")</f>
        <v>2</v>
      </c>
      <c r="J414" s="13" t="str">
        <f t="shared" si="46"/>
        <v>вул. Київська-І. Сірка|перехрестя</v>
      </c>
      <c r="K414" s="32">
        <f t="shared" si="47"/>
        <v>0.58333333333333337</v>
      </c>
      <c r="L414" s="13" t="str">
        <f>IF($A414="","",IF(COUNTIFS($J$4:$J414,$J414,$E$4:$E414,$E414)=1,$E414,""))</f>
        <v/>
      </c>
      <c r="M414" s="13" t="str">
        <f>IF($A414="","",IF(COUNTIFS($J$4:$J414,$J414,$F$4:$F414,$F414)=1,$F414,""))</f>
        <v/>
      </c>
    </row>
    <row r="415" spans="1:13" x14ac:dyDescent="0.35">
      <c r="A415" s="23" t="str">
        <f>IFERROR(М1_КАМАЗ55111_0591!B11,"")</f>
        <v>вул. Київська-Козача</v>
      </c>
      <c r="B415" s="23" t="str">
        <f>IFERROR(IF(М1_КАМАЗ55111_0591!C11="","",TEXT(М1_КАМАЗ55111_0591!C11,"General")),"")</f>
        <v>зупинка</v>
      </c>
      <c r="C415" s="24" t="str">
        <f>"Понеділок"</f>
        <v>Понеділок</v>
      </c>
      <c r="D415" s="24" t="str">
        <f>IFERROR(TEXT(М1_КАМАЗ55111_0591!D11,"h:mm"),"")</f>
        <v>7:50</v>
      </c>
      <c r="E415" s="24" t="str">
        <f t="shared" si="49"/>
        <v>№1</v>
      </c>
      <c r="F415" s="24" t="str">
        <f>"КАМАЗ 55111"</f>
        <v>КАМАЗ 55111</v>
      </c>
      <c r="G415" s="24" t="str">
        <f>"СВ 50-33 АР"</f>
        <v>СВ 50-33 АР</v>
      </c>
      <c r="H415" s="24">
        <f>IFERROR(М1_КАМАЗ55111_0591!G11,"")</f>
        <v>2</v>
      </c>
      <c r="J415" s="13" t="str">
        <f t="shared" si="46"/>
        <v>вул. Київська-Козача|зупинка</v>
      </c>
      <c r="K415" s="32">
        <f t="shared" si="47"/>
        <v>0.3263888888888889</v>
      </c>
      <c r="L415" s="13" t="str">
        <f>IF($A415="","",IF(COUNTIFS($J$4:$J415,$J415,$E$4:$E415,$E415)=1,$E415,""))</f>
        <v>№1</v>
      </c>
      <c r="M415" s="13" t="str">
        <f>IF($A415="","",IF(COUNTIFS($J$4:$J415,$J415,$F$4:$F415,$F415)=1,$F415,""))</f>
        <v>КАМАЗ 55111</v>
      </c>
    </row>
    <row r="416" spans="1:13" x14ac:dyDescent="0.35">
      <c r="A416" s="23" t="str">
        <f>IFERROR(М1_КАМАЗ55111_0591!B46,"")</f>
        <v>вул. Київська-Козача</v>
      </c>
      <c r="B416" s="23" t="str">
        <f>IFERROR(IF(М1_КАМАЗ55111_0591!C46="","",TEXT(М1_КАМАЗ55111_0591!C46,"General")),"")</f>
        <v>зупинка</v>
      </c>
      <c r="C416" s="24" t="str">
        <f>"Вівторок"</f>
        <v>Вівторок</v>
      </c>
      <c r="D416" s="24" t="str">
        <f>IFERROR(TEXT(М1_КАМАЗ55111_0591!D46,"h:mm"),"")</f>
        <v>7:50</v>
      </c>
      <c r="E416" s="24" t="str">
        <f t="shared" si="49"/>
        <v>№1</v>
      </c>
      <c r="F416" s="24" t="str">
        <f>"КАМАЗ 55111"</f>
        <v>КАМАЗ 55111</v>
      </c>
      <c r="G416" s="24" t="str">
        <f>"СВ 50-33 АР"</f>
        <v>СВ 50-33 АР</v>
      </c>
      <c r="H416" s="24">
        <f>IFERROR(М1_КАМАЗ55111_0591!G46,"")</f>
        <v>2</v>
      </c>
      <c r="J416" s="13" t="str">
        <f t="shared" si="46"/>
        <v>вул. Київська-Козача|зупинка</v>
      </c>
      <c r="K416" s="32">
        <f t="shared" si="47"/>
        <v>0.3263888888888889</v>
      </c>
      <c r="L416" s="13" t="str">
        <f>IF($A416="","",IF(COUNTIFS($J$4:$J416,$J416,$E$4:$E416,$E416)=1,$E416,""))</f>
        <v/>
      </c>
      <c r="M416" s="13" t="str">
        <f>IF($A416="","",IF(COUNTIFS($J$4:$J416,$J416,$F$4:$F416,$F416)=1,$F416,""))</f>
        <v/>
      </c>
    </row>
    <row r="417" spans="1:13" x14ac:dyDescent="0.35">
      <c r="A417" s="23" t="str">
        <f>IFERROR(М1_КАМАЗ55111_0591!B78,"")</f>
        <v>вул. Київська-Козача</v>
      </c>
      <c r="B417" s="23" t="str">
        <f>IFERROR(IF(М1_КАМАЗ55111_0591!C78="","",TEXT(М1_КАМАЗ55111_0591!C78,"General")),"")</f>
        <v>зупинка</v>
      </c>
      <c r="C417" s="24" t="str">
        <f>"Середа"</f>
        <v>Середа</v>
      </c>
      <c r="D417" s="24" t="str">
        <f>IFERROR(TEXT(М1_КАМАЗ55111_0591!D78,"h:mm"),"")</f>
        <v>7:50</v>
      </c>
      <c r="E417" s="24" t="str">
        <f t="shared" si="49"/>
        <v>№1</v>
      </c>
      <c r="F417" s="24" t="str">
        <f>"КАМАЗ 55111"</f>
        <v>КАМАЗ 55111</v>
      </c>
      <c r="G417" s="24" t="str">
        <f>"СВ 50-33 АР"</f>
        <v>СВ 50-33 АР</v>
      </c>
      <c r="H417" s="24">
        <f>IFERROR(М1_КАМАЗ55111_0591!G78,"")</f>
        <v>2</v>
      </c>
      <c r="J417" s="13" t="str">
        <f t="shared" si="46"/>
        <v>вул. Київська-Козача|зупинка</v>
      </c>
      <c r="K417" s="32">
        <f t="shared" si="47"/>
        <v>0.3263888888888889</v>
      </c>
      <c r="L417" s="13" t="str">
        <f>IF($A417="","",IF(COUNTIFS($J$4:$J417,$J417,$E$4:$E417,$E417)=1,$E417,""))</f>
        <v/>
      </c>
      <c r="M417" s="13" t="str">
        <f>IF($A417="","",IF(COUNTIFS($J$4:$J417,$J417,$F$4:$F417,$F417)=1,$F417,""))</f>
        <v/>
      </c>
    </row>
    <row r="418" spans="1:13" x14ac:dyDescent="0.35">
      <c r="A418" s="23" t="str">
        <f>IFERROR('М1-2_АТ4021-1120_0585'!B113,"")</f>
        <v>вул. Київська-Козача</v>
      </c>
      <c r="B418" s="23" t="str">
        <f>IFERROR(IF('М1-2_АТ4021-1120_0585'!C113="","",TEXT('М1-2_АТ4021-1120_0585'!C113,"General")),"")</f>
        <v>зупинка</v>
      </c>
      <c r="C418" s="24" t="str">
        <f>"Четвер"</f>
        <v>Четвер</v>
      </c>
      <c r="D418" s="24" t="str">
        <f>IFERROR(TEXT('М1-2_АТ4021-1120_0585'!D113,"h:mm"),"")</f>
        <v>9:10</v>
      </c>
      <c r="E418" s="24" t="str">
        <f t="shared" si="49"/>
        <v>№1</v>
      </c>
      <c r="F418" s="24" t="str">
        <f>"АТ-4021/1120"</f>
        <v>АТ-4021/1120</v>
      </c>
      <c r="G418" s="24" t="str">
        <f>"СВ 14-65 ЕО"</f>
        <v>СВ 14-65 ЕО</v>
      </c>
      <c r="H418" s="24">
        <f>IFERROR('М1-2_АТ4021-1120_0585'!G113,"")</f>
        <v>2</v>
      </c>
      <c r="J418" s="13" t="str">
        <f t="shared" si="46"/>
        <v>вул. Київська-Козача|зупинка</v>
      </c>
      <c r="K418" s="32">
        <f t="shared" si="47"/>
        <v>0.38194444444444442</v>
      </c>
      <c r="L418" s="13" t="str">
        <f>IF($A418="","",IF(COUNTIFS($J$4:$J418,$J418,$E$4:$E418,$E418)=1,$E418,""))</f>
        <v/>
      </c>
      <c r="M418" s="13" t="str">
        <f>IF($A418="","",IF(COUNTIFS($J$4:$J418,$J418,$F$4:$F418,$F418)=1,$F418,""))</f>
        <v>АТ-4021/1120</v>
      </c>
    </row>
    <row r="419" spans="1:13" x14ac:dyDescent="0.35">
      <c r="A419" s="23" t="str">
        <f>IFERROR(М1_КАМАЗ55111_0591!B110,"")</f>
        <v>вул. Київська-Козача</v>
      </c>
      <c r="B419" s="23" t="str">
        <f>IFERROR(IF(М1_КАМАЗ55111_0591!C110="","",TEXT(М1_КАМАЗ55111_0591!C110,"General")),"")</f>
        <v>зупинка</v>
      </c>
      <c r="C419" s="24" t="str">
        <f>"П'ятниця"</f>
        <v>П'ятниця</v>
      </c>
      <c r="D419" s="24" t="str">
        <f>IFERROR(TEXT(М1_КАМАЗ55111_0591!D110,"h:mm"),"")</f>
        <v>7:50</v>
      </c>
      <c r="E419" s="24" t="str">
        <f t="shared" si="49"/>
        <v>№1</v>
      </c>
      <c r="F419" s="24" t="str">
        <f>"КАМАЗ 55111"</f>
        <v>КАМАЗ 55111</v>
      </c>
      <c r="G419" s="24" t="str">
        <f>"СВ 50-33 АР"</f>
        <v>СВ 50-33 АР</v>
      </c>
      <c r="H419" s="24">
        <f>IFERROR(М1_КАМАЗ55111_0591!G110,"")</f>
        <v>2</v>
      </c>
      <c r="J419" s="13" t="str">
        <f t="shared" si="46"/>
        <v>вул. Київська-Козача|зупинка</v>
      </c>
      <c r="K419" s="32">
        <f t="shared" si="47"/>
        <v>0.3263888888888889</v>
      </c>
      <c r="L419" s="13" t="str">
        <f>IF($A419="","",IF(COUNTIFS($J$4:$J419,$J419,$E$4:$E419,$E419)=1,$E419,""))</f>
        <v/>
      </c>
      <c r="M419" s="13" t="str">
        <f>IF($A419="","",IF(COUNTIFS($J$4:$J419,$J419,$F$4:$F419,$F419)=1,$F419,""))</f>
        <v/>
      </c>
    </row>
    <row r="420" spans="1:13" x14ac:dyDescent="0.35">
      <c r="A420" s="23" t="str">
        <f>IFERROR(М1_КАМАЗ55111_0591!B145,"")</f>
        <v>вул. Київська-Козача</v>
      </c>
      <c r="B420" s="23" t="str">
        <f>IFERROR(IF(М1_КАМАЗ55111_0591!C145="","",TEXT(М1_КАМАЗ55111_0591!C145,"General")),"")</f>
        <v>зупинка</v>
      </c>
      <c r="C420" s="24" t="str">
        <f>"Субота"</f>
        <v>Субота</v>
      </c>
      <c r="D420" s="24" t="str">
        <f>IFERROR(TEXT(М1_КАМАЗ55111_0591!D145,"h:mm"),"")</f>
        <v>7:50</v>
      </c>
      <c r="E420" s="24" t="str">
        <f t="shared" si="49"/>
        <v>№1</v>
      </c>
      <c r="F420" s="24" t="str">
        <f>"КАМАЗ 55111"</f>
        <v>КАМАЗ 55111</v>
      </c>
      <c r="G420" s="24" t="str">
        <f>"СВ 50-33 АР"</f>
        <v>СВ 50-33 АР</v>
      </c>
      <c r="H420" s="24">
        <f>IFERROR(М1_КАМАЗ55111_0591!G145,"")</f>
        <v>2</v>
      </c>
      <c r="J420" s="13" t="str">
        <f t="shared" si="46"/>
        <v>вул. Київська-Козача|зупинка</v>
      </c>
      <c r="K420" s="32">
        <f t="shared" si="47"/>
        <v>0.3263888888888889</v>
      </c>
      <c r="L420" s="13" t="str">
        <f>IF($A420="","",IF(COUNTIFS($J$4:$J420,$J420,$E$4:$E420,$E420)=1,$E420,""))</f>
        <v/>
      </c>
      <c r="M420" s="13" t="str">
        <f>IF($A420="","",IF(COUNTIFS($J$4:$J420,$J420,$F$4:$F420,$F420)=1,$F420,""))</f>
        <v/>
      </c>
    </row>
    <row r="421" spans="1:13" x14ac:dyDescent="0.35">
      <c r="A421" s="23" t="str">
        <f>IFERROR('М1-2_АТ4021-1120_0585'!B148,"")</f>
        <v>вул. Київська-Козача</v>
      </c>
      <c r="B421" s="23" t="str">
        <f>IFERROR(IF('М1-2_АТ4021-1120_0585'!C148="","",TEXT('М1-2_АТ4021-1120_0585'!C148,"General")),"")</f>
        <v>зупинка</v>
      </c>
      <c r="C421" s="24" t="str">
        <f>"Неділя"</f>
        <v>Неділя</v>
      </c>
      <c r="D421" s="24" t="str">
        <f>IFERROR(TEXT('М1-2_АТ4021-1120_0585'!D148,"h:mm"),"")</f>
        <v>9:10</v>
      </c>
      <c r="E421" s="24" t="str">
        <f t="shared" si="49"/>
        <v>№1</v>
      </c>
      <c r="F421" s="24" t="str">
        <f>"АТ-4021/1120"</f>
        <v>АТ-4021/1120</v>
      </c>
      <c r="G421" s="24" t="str">
        <f>"СВ 14-65 ЕО"</f>
        <v>СВ 14-65 ЕО</v>
      </c>
      <c r="H421" s="24">
        <f>IFERROR('М1-2_АТ4021-1120_0585'!G148,"")</f>
        <v>2</v>
      </c>
      <c r="J421" s="13" t="str">
        <f t="shared" si="46"/>
        <v>вул. Київська-Козача|зупинка</v>
      </c>
      <c r="K421" s="32">
        <f t="shared" si="47"/>
        <v>0.38194444444444442</v>
      </c>
      <c r="L421" s="13" t="str">
        <f>IF($A421="","",IF(COUNTIFS($J$4:$J421,$J421,$E$4:$E421,$E421)=1,$E421,""))</f>
        <v/>
      </c>
      <c r="M421" s="13" t="str">
        <f>IF($A421="","",IF(COUNTIFS($J$4:$J421,$J421,$F$4:$F421,$F421)=1,$F421,""))</f>
        <v/>
      </c>
    </row>
    <row r="422" spans="1:13" x14ac:dyDescent="0.35">
      <c r="A422" s="23" t="str">
        <f>IFERROR(М5_МАЗ4381_0592!B136,"")</f>
        <v>вул. Київська</v>
      </c>
      <c r="B422" s="23" t="str">
        <f>IFERROR(IF(М5_МАЗ4381_0592!C136="","",TEXT(М5_МАЗ4381_0592!C136,"General")),"")</f>
        <v/>
      </c>
      <c r="C422" s="24" t="str">
        <f>"Четвер"</f>
        <v>Четвер</v>
      </c>
      <c r="D422" s="24" t="str">
        <f>IFERROR(TEXT(М5_МАЗ4381_0592!D136,"h:mm"),"")</f>
        <v>12:00</v>
      </c>
      <c r="E422" s="24" t="str">
        <f>"№5"</f>
        <v>№5</v>
      </c>
      <c r="F422" s="24" t="str">
        <f>"МАЗ 4381"</f>
        <v>МАЗ 4381</v>
      </c>
      <c r="G422" s="24" t="str">
        <f>"СВ 81-71 ВК"</f>
        <v>СВ 81-71 ВК</v>
      </c>
      <c r="H422" s="24"/>
      <c r="J422" s="13" t="str">
        <f t="shared" si="46"/>
        <v>вул. Київська|</v>
      </c>
      <c r="K422" s="32">
        <f t="shared" si="47"/>
        <v>0.5</v>
      </c>
      <c r="L422" s="13" t="str">
        <f>IF($A422="","",IF(COUNTIFS($J$4:$J422,$J422,$E$4:$E422,$E422)=1,$E422,""))</f>
        <v>№5</v>
      </c>
      <c r="M422" s="13" t="str">
        <f>IF($A422="","",IF(COUNTIFS($J$4:$J422,$J422,$F$4:$F422,$F422)=1,$F422,""))</f>
        <v>МАЗ 4381</v>
      </c>
    </row>
    <row r="423" spans="1:13" x14ac:dyDescent="0.35">
      <c r="A423" s="23" t="str">
        <f>IFERROR('М2_АТ4021-1120_0588'!B85,"")</f>
        <v>вул. Київська</v>
      </c>
      <c r="B423" s="23" t="str">
        <f>IFERROR(IF('М2_АТ4021-1120_0588'!C85="","",TEXT('М2_АТ4021-1120_0588'!C85,"General")),"")</f>
        <v>"Андріївський"</v>
      </c>
      <c r="C423" s="24" t="str">
        <f>"Четвер"</f>
        <v>Четвер</v>
      </c>
      <c r="D423" s="24" t="str">
        <f>IFERROR(TEXT('М2_АТ4021-1120_0588'!D85,"h:mm"),"")</f>
        <v>14:25</v>
      </c>
      <c r="E423" s="24" t="str">
        <f>"№2"</f>
        <v>№2</v>
      </c>
      <c r="F423" s="24" t="str">
        <f>"АТ 4021/1120"</f>
        <v>АТ 4021/1120</v>
      </c>
      <c r="G423" s="24" t="str">
        <f>"СВ 64-11 ЕТ"</f>
        <v>СВ 64-11 ЕТ</v>
      </c>
      <c r="H423" s="24">
        <f>IFERROR('М2_АТ4021-1120_0588'!G85,"")</f>
        <v>2</v>
      </c>
      <c r="J423" s="13" t="str">
        <f t="shared" si="46"/>
        <v>вул. Київська|"Андріївський"</v>
      </c>
      <c r="K423" s="32">
        <f t="shared" si="47"/>
        <v>0.60069444444444442</v>
      </c>
      <c r="L423" s="13" t="str">
        <f>IF($A423="","",IF(COUNTIFS($J$4:$J423,$J423,$E$4:$E423,$E423)=1,$E423,""))</f>
        <v>№2</v>
      </c>
      <c r="M423" s="13" t="str">
        <f>IF($A423="","",IF(COUNTIFS($J$4:$J423,$J423,$F$4:$F423,$F423)=1,$F423,""))</f>
        <v>АТ 4021/1120</v>
      </c>
    </row>
    <row r="424" spans="1:13" x14ac:dyDescent="0.35">
      <c r="A424" s="23" t="str">
        <f>IFERROR('М3-4_ГАЗ3309_0590'!B128,"")</f>
        <v>вул. Київська</v>
      </c>
      <c r="B424" s="23" t="str">
        <f>IFERROR(IF('М3-4_ГАЗ3309_0590'!C128="","",TEXT('М3-4_ГАЗ3309_0590'!C128,"General")),"")</f>
        <v>"Дивоцін"</v>
      </c>
      <c r="C424" s="24" t="str">
        <f>"Понеділок"</f>
        <v>Понеділок</v>
      </c>
      <c r="D424" s="24" t="str">
        <f>IFERROR(TEXT('М3-4_ГАЗ3309_0590'!D128,"h:mm"),"")</f>
        <v>10:10</v>
      </c>
      <c r="E424" s="24" t="str">
        <f>"№3"</f>
        <v>№3</v>
      </c>
      <c r="F424" s="24" t="str">
        <f>"ГАЗ 3309"</f>
        <v>ГАЗ 3309</v>
      </c>
      <c r="G424" s="24" t="str">
        <f>"СВ 17-85 ВН"</f>
        <v>СВ 17-85 ВН</v>
      </c>
      <c r="H424" s="24">
        <f>IFERROR('М3-4_ГАЗ3309_0590'!G128,"")</f>
        <v>3</v>
      </c>
      <c r="J424" s="13" t="str">
        <f t="shared" si="46"/>
        <v>вул. Київська|"Дивоцін"</v>
      </c>
      <c r="K424" s="32">
        <f t="shared" si="47"/>
        <v>0.4236111111111111</v>
      </c>
      <c r="L424" s="13" t="str">
        <f>IF($A424="","",IF(COUNTIFS($J$4:$J424,$J424,$E$4:$E424,$E424)=1,$E424,""))</f>
        <v>№3</v>
      </c>
      <c r="M424" s="13" t="str">
        <f>IF($A424="","",IF(COUNTIFS($J$4:$J424,$J424,$F$4:$F424,$F424)=1,$F424,""))</f>
        <v>ГАЗ 3309</v>
      </c>
    </row>
    <row r="425" spans="1:13" x14ac:dyDescent="0.35">
      <c r="A425" s="23" t="str">
        <f>IFERROR('М3-4_ГАЗ3309_0590'!B133,"")</f>
        <v>вул. Київська</v>
      </c>
      <c r="B425" s="23" t="str">
        <f>IFERROR(IF('М3-4_ГАЗ3309_0590'!C133="","",TEXT('М3-4_ГАЗ3309_0590'!C133,"General")),"")</f>
        <v>"Сова"</v>
      </c>
      <c r="C425" s="24" t="str">
        <f>"Понеділок"</f>
        <v>Понеділок</v>
      </c>
      <c r="D425" s="24" t="str">
        <f>IFERROR(TEXT('М3-4_ГАЗ3309_0590'!D133,"h:mm"),"")</f>
        <v>11:55</v>
      </c>
      <c r="E425" s="24" t="str">
        <f>"№3"</f>
        <v>№3</v>
      </c>
      <c r="F425" s="24" t="str">
        <f>"ГАЗ 3309"</f>
        <v>ГАЗ 3309</v>
      </c>
      <c r="G425" s="24" t="str">
        <f>"СВ 17-85 ВН"</f>
        <v>СВ 17-85 ВН</v>
      </c>
      <c r="H425" s="24">
        <f>IFERROR('М3-4_ГАЗ3309_0590'!G133,"")</f>
        <v>1</v>
      </c>
      <c r="J425" s="13" t="str">
        <f t="shared" si="46"/>
        <v>вул. Київська|"Сова"</v>
      </c>
      <c r="K425" s="32">
        <f t="shared" si="47"/>
        <v>0.49652777777777779</v>
      </c>
      <c r="L425" s="13" t="str">
        <f>IF($A425="","",IF(COUNTIFS($J$4:$J425,$J425,$E$4:$E425,$E425)=1,$E425,""))</f>
        <v>№3</v>
      </c>
      <c r="M425" s="13" t="str">
        <f>IF($A425="","",IF(COUNTIFS($J$4:$J425,$J425,$F$4:$F425,$F425)=1,$F425,""))</f>
        <v>ГАЗ 3309</v>
      </c>
    </row>
    <row r="426" spans="1:13" x14ac:dyDescent="0.35">
      <c r="A426" s="23" t="str">
        <f>IFERROR(М4_АТ4042ROD_0584!B45,"")</f>
        <v>вул. Київська</v>
      </c>
      <c r="B426" s="23" t="str">
        <f>IFERROR(IF(М4_АТ4042ROD_0584!C45="","",TEXT(М4_АТ4042ROD_0584!C45,"General")),"")</f>
        <v>140</v>
      </c>
      <c r="C426" s="24" t="str">
        <f>"Вівторок"</f>
        <v>Вівторок</v>
      </c>
      <c r="D426" s="24" t="str">
        <f>IFERROR(TEXT(М4_АТ4042ROD_0584!D45,"h:mm"),"")</f>
        <v>9:10</v>
      </c>
      <c r="E426" s="24" t="str">
        <f t="shared" ref="E426:E431" si="50">"№4"</f>
        <v>№4</v>
      </c>
      <c r="F426" s="24" t="str">
        <f t="shared" ref="F426:F431" si="51">"АТ 40-42/ROD21003"</f>
        <v>АТ 40-42/ROD21003</v>
      </c>
      <c r="G426" s="24" t="str">
        <f t="shared" ref="G426:G431" si="52">"СВ 33-15 ЕО"</f>
        <v>СВ 33-15 ЕО</v>
      </c>
      <c r="H426" s="24">
        <f>IFERROR(М4_АТ4042ROD_0584!G45,"")</f>
        <v>3</v>
      </c>
      <c r="J426" s="13" t="str">
        <f t="shared" si="46"/>
        <v>вул. Київська|140</v>
      </c>
      <c r="K426" s="32">
        <f t="shared" si="47"/>
        <v>0.38194444444444442</v>
      </c>
      <c r="L426" s="13" t="str">
        <f>IF($A426="","",IF(COUNTIFS($J$4:$J426,$J426,$E$4:$E426,$E426)=1,$E426,""))</f>
        <v>№4</v>
      </c>
      <c r="M426" s="13" t="str">
        <f>IF($A426="","",IF(COUNTIFS($J$4:$J426,$J426,$F$4:$F426,$F426)=1,$F426,""))</f>
        <v>АТ 40-42/ROD21003</v>
      </c>
    </row>
    <row r="427" spans="1:13" x14ac:dyDescent="0.35">
      <c r="A427" s="23" t="str">
        <f>IFERROR(М4_АТ4042ROD_0584!B14,"")</f>
        <v>вул. Київська</v>
      </c>
      <c r="B427" s="23" t="str">
        <f>IFERROR(IF(М4_АТ4042ROD_0584!C14="","",TEXT(М4_АТ4042ROD_0584!C14,"General")),"")</f>
        <v>265</v>
      </c>
      <c r="C427" s="24" t="str">
        <f>"Понеділок"</f>
        <v>Понеділок</v>
      </c>
      <c r="D427" s="24" t="str">
        <f>IFERROR(TEXT(М4_АТ4042ROD_0584!D14,"h:mm"),"")</f>
        <v>9:35</v>
      </c>
      <c r="E427" s="24" t="str">
        <f t="shared" si="50"/>
        <v>№4</v>
      </c>
      <c r="F427" s="24" t="str">
        <f t="shared" si="51"/>
        <v>АТ 40-42/ROD21003</v>
      </c>
      <c r="G427" s="24" t="str">
        <f t="shared" si="52"/>
        <v>СВ 33-15 ЕО</v>
      </c>
      <c r="H427" s="24">
        <f>IFERROR(М4_АТ4042ROD_0584!G14,"")</f>
        <v>3</v>
      </c>
      <c r="J427" s="13" t="str">
        <f t="shared" si="46"/>
        <v>вул. Київська|265</v>
      </c>
      <c r="K427" s="32">
        <f t="shared" si="47"/>
        <v>0.39930555555555558</v>
      </c>
      <c r="L427" s="13" t="str">
        <f>IF($A427="","",IF(COUNTIFS($J$4:$J427,$J427,$E$4:$E427,$E427)=1,$E427,""))</f>
        <v>№4</v>
      </c>
      <c r="M427" s="13" t="str">
        <f>IF($A427="","",IF(COUNTIFS($J$4:$J427,$J427,$F$4:$F427,$F427)=1,$F427,""))</f>
        <v>АТ 40-42/ROD21003</v>
      </c>
    </row>
    <row r="428" spans="1:13" x14ac:dyDescent="0.35">
      <c r="A428" s="23" t="str">
        <f>IFERROR(М4_АТ4042ROD_0584!B44,"")</f>
        <v>вул. Київська</v>
      </c>
      <c r="B428" s="23" t="str">
        <f>IFERROR(IF(М4_АТ4042ROD_0584!C44="","",TEXT(М4_АТ4042ROD_0584!C44,"General")),"")</f>
        <v>265</v>
      </c>
      <c r="C428" s="24" t="str">
        <f>"Вівторок"</f>
        <v>Вівторок</v>
      </c>
      <c r="D428" s="24" t="str">
        <f>IFERROR(TEXT(М4_АТ4042ROD_0584!D44,"h:mm"),"")</f>
        <v>8:40</v>
      </c>
      <c r="E428" s="24" t="str">
        <f t="shared" si="50"/>
        <v>№4</v>
      </c>
      <c r="F428" s="24" t="str">
        <f t="shared" si="51"/>
        <v>АТ 40-42/ROD21003</v>
      </c>
      <c r="G428" s="24" t="str">
        <f t="shared" si="52"/>
        <v>СВ 33-15 ЕО</v>
      </c>
      <c r="H428" s="24">
        <f>IFERROR(М4_АТ4042ROD_0584!G44,"")</f>
        <v>3</v>
      </c>
      <c r="J428" s="13" t="str">
        <f t="shared" si="46"/>
        <v>вул. Київська|265</v>
      </c>
      <c r="K428" s="32">
        <f t="shared" si="47"/>
        <v>0.3611111111111111</v>
      </c>
      <c r="L428" s="13" t="str">
        <f>IF($A428="","",IF(COUNTIFS($J$4:$J428,$J428,$E$4:$E428,$E428)=1,$E428,""))</f>
        <v/>
      </c>
      <c r="M428" s="13" t="str">
        <f>IF($A428="","",IF(COUNTIFS($J$4:$J428,$J428,$F$4:$F428,$F428)=1,$F428,""))</f>
        <v/>
      </c>
    </row>
    <row r="429" spans="1:13" x14ac:dyDescent="0.35">
      <c r="A429" s="23" t="str">
        <f>IFERROR(М4_АТ4042ROD_0584!B78,"")</f>
        <v>вул. Київська</v>
      </c>
      <c r="B429" s="23" t="str">
        <f>IFERROR(IF(М4_АТ4042ROD_0584!C78="","",TEXT(М4_АТ4042ROD_0584!C78,"General")),"")</f>
        <v>265</v>
      </c>
      <c r="C429" s="24" t="str">
        <f>"Четвер"</f>
        <v>Четвер</v>
      </c>
      <c r="D429" s="24" t="str">
        <f>IFERROR(TEXT(М4_АТ4042ROD_0584!D78,"h:mm"),"")</f>
        <v>9:25</v>
      </c>
      <c r="E429" s="24" t="str">
        <f t="shared" si="50"/>
        <v>№4</v>
      </c>
      <c r="F429" s="24" t="str">
        <f t="shared" si="51"/>
        <v>АТ 40-42/ROD21003</v>
      </c>
      <c r="G429" s="24" t="str">
        <f t="shared" si="52"/>
        <v>СВ 33-15 ЕО</v>
      </c>
      <c r="H429" s="24">
        <f>IFERROR(М4_АТ4042ROD_0584!G78,"")</f>
        <v>3</v>
      </c>
      <c r="J429" s="13" t="str">
        <f t="shared" si="46"/>
        <v>вул. Київська|265</v>
      </c>
      <c r="K429" s="32">
        <f t="shared" si="47"/>
        <v>0.3923611111111111</v>
      </c>
      <c r="L429" s="13" t="str">
        <f>IF($A429="","",IF(COUNTIFS($J$4:$J429,$J429,$E$4:$E429,$E429)=1,$E429,""))</f>
        <v/>
      </c>
      <c r="M429" s="13" t="str">
        <f>IF($A429="","",IF(COUNTIFS($J$4:$J429,$J429,$F$4:$F429,$F429)=1,$F429,""))</f>
        <v/>
      </c>
    </row>
    <row r="430" spans="1:13" x14ac:dyDescent="0.35">
      <c r="A430" s="23" t="str">
        <f>IFERROR(М4_АТ4042ROD_0584!B113,"")</f>
        <v>вул. Київська</v>
      </c>
      <c r="B430" s="23" t="str">
        <f>IFERROR(IF(М4_АТ4042ROD_0584!C113="","",TEXT(М4_АТ4042ROD_0584!C113,"General")),"")</f>
        <v>265</v>
      </c>
      <c r="C430" s="24" t="str">
        <f>"П'ятниця"</f>
        <v>П'ятниця</v>
      </c>
      <c r="D430" s="24" t="str">
        <f>IFERROR(TEXT(М4_АТ4042ROD_0584!D113,"h:mm"),"")</f>
        <v>9:35</v>
      </c>
      <c r="E430" s="24" t="str">
        <f t="shared" si="50"/>
        <v>№4</v>
      </c>
      <c r="F430" s="24" t="str">
        <f t="shared" si="51"/>
        <v>АТ 40-42/ROD21003</v>
      </c>
      <c r="G430" s="24" t="str">
        <f t="shared" si="52"/>
        <v>СВ 33-15 ЕО</v>
      </c>
      <c r="H430" s="24">
        <f>IFERROR(М4_АТ4042ROD_0584!G113,"")</f>
        <v>2</v>
      </c>
      <c r="J430" s="13" t="str">
        <f t="shared" si="46"/>
        <v>вул. Київська|265</v>
      </c>
      <c r="K430" s="32">
        <f t="shared" si="47"/>
        <v>0.39930555555555558</v>
      </c>
      <c r="L430" s="13" t="str">
        <f>IF($A430="","",IF(COUNTIFS($J$4:$J430,$J430,$E$4:$E430,$E430)=1,$E430,""))</f>
        <v/>
      </c>
      <c r="M430" s="13" t="str">
        <f>IF($A430="","",IF(COUNTIFS($J$4:$J430,$J430,$F$4:$F430,$F430)=1,$F430,""))</f>
        <v/>
      </c>
    </row>
    <row r="431" spans="1:13" x14ac:dyDescent="0.35">
      <c r="A431" s="23" t="str">
        <f>IFERROR(М4_АТ4042ROD_0584!B147,"")</f>
        <v>вул. Київська</v>
      </c>
      <c r="B431" s="23" t="str">
        <f>IFERROR(IF(М4_АТ4042ROD_0584!C147="","",TEXT(М4_АТ4042ROD_0584!C147,"General")),"")</f>
        <v>265</v>
      </c>
      <c r="C431" s="24" t="str">
        <f>"Неділя"</f>
        <v>Неділя</v>
      </c>
      <c r="D431" s="24" t="str">
        <f>IFERROR(TEXT(М4_АТ4042ROD_0584!D147,"h:mm"),"")</f>
        <v>9:35</v>
      </c>
      <c r="E431" s="24" t="str">
        <f t="shared" si="50"/>
        <v>№4</v>
      </c>
      <c r="F431" s="24" t="str">
        <f t="shared" si="51"/>
        <v>АТ 40-42/ROD21003</v>
      </c>
      <c r="G431" s="24" t="str">
        <f t="shared" si="52"/>
        <v>СВ 33-15 ЕО</v>
      </c>
      <c r="H431" s="24">
        <f>IFERROR(М4_АТ4042ROD_0584!G147,"")</f>
        <v>3</v>
      </c>
      <c r="J431" s="13" t="str">
        <f t="shared" si="46"/>
        <v>вул. Київська|265</v>
      </c>
      <c r="K431" s="32">
        <f t="shared" si="47"/>
        <v>0.39930555555555558</v>
      </c>
      <c r="L431" s="13" t="str">
        <f>IF($A431="","",IF(COUNTIFS($J$4:$J431,$J431,$E$4:$E431,$E431)=1,$E431,""))</f>
        <v/>
      </c>
      <c r="M431" s="13" t="str">
        <f>IF($A431="","",IF(COUNTIFS($J$4:$J431,$J431,$F$4:$F431,$F431)=1,$F431,""))</f>
        <v/>
      </c>
    </row>
    <row r="432" spans="1:13" x14ac:dyDescent="0.35">
      <c r="A432" s="23" t="str">
        <f>IFERROR(М1_КАМАЗ55111_0591!B6,"")</f>
        <v>вул. Київська</v>
      </c>
      <c r="B432" s="23" t="str">
        <f>IFERROR(IF(М1_КАМАЗ55111_0591!C6="","",TEXT(М1_КАМАЗ55111_0591!C6,"General")),"")</f>
        <v>3 магазин</v>
      </c>
      <c r="C432" s="24" t="str">
        <f>"Понеділок"</f>
        <v>Понеділок</v>
      </c>
      <c r="D432" s="24" t="str">
        <f>IFERROR(TEXT(М1_КАМАЗ55111_0591!D6,"h:mm"),"")</f>
        <v>7:05</v>
      </c>
      <c r="E432" s="24" t="str">
        <f t="shared" ref="E432:E441" si="53">"№1"</f>
        <v>№1</v>
      </c>
      <c r="F432" s="24" t="str">
        <f>"КАМАЗ 55111"</f>
        <v>КАМАЗ 55111</v>
      </c>
      <c r="G432" s="24" t="str">
        <f>"СВ 50-33 АР"</f>
        <v>СВ 50-33 АР</v>
      </c>
      <c r="H432" s="24">
        <f>IFERROR(М1_КАМАЗ55111_0591!G6,"")</f>
        <v>4</v>
      </c>
      <c r="J432" s="13" t="str">
        <f t="shared" si="46"/>
        <v>вул. Київська|3 магазин</v>
      </c>
      <c r="K432" s="32">
        <f t="shared" si="47"/>
        <v>0.2951388888888889</v>
      </c>
      <c r="L432" s="13" t="str">
        <f>IF($A432="","",IF(COUNTIFS($J$4:$J432,$J432,$E$4:$E432,$E432)=1,$E432,""))</f>
        <v>№1</v>
      </c>
      <c r="M432" s="13" t="str">
        <f>IF($A432="","",IF(COUNTIFS($J$4:$J432,$J432,$F$4:$F432,$F432)=1,$F432,""))</f>
        <v>КАМАЗ 55111</v>
      </c>
    </row>
    <row r="433" spans="1:13" x14ac:dyDescent="0.35">
      <c r="A433" s="23" t="str">
        <f>IFERROR(М1_КАМАЗ55111_0591!B41,"")</f>
        <v>вул. Київська</v>
      </c>
      <c r="B433" s="23" t="str">
        <f>IFERROR(IF(М1_КАМАЗ55111_0591!C41="","",TEXT(М1_КАМАЗ55111_0591!C41,"General")),"")</f>
        <v>3 магазин</v>
      </c>
      <c r="C433" s="24" t="str">
        <f>"Вівторок"</f>
        <v>Вівторок</v>
      </c>
      <c r="D433" s="24" t="str">
        <f>IFERROR(TEXT(М1_КАМАЗ55111_0591!D41,"h:mm"),"")</f>
        <v>7:05</v>
      </c>
      <c r="E433" s="24" t="str">
        <f t="shared" si="53"/>
        <v>№1</v>
      </c>
      <c r="F433" s="24" t="str">
        <f>"КАМАЗ 55111"</f>
        <v>КАМАЗ 55111</v>
      </c>
      <c r="G433" s="24" t="str">
        <f>"СВ 50-33 АР"</f>
        <v>СВ 50-33 АР</v>
      </c>
      <c r="H433" s="24">
        <f>IFERROR(М1_КАМАЗ55111_0591!G41,"")</f>
        <v>4</v>
      </c>
      <c r="J433" s="13" t="str">
        <f t="shared" si="46"/>
        <v>вул. Київська|3 магазин</v>
      </c>
      <c r="K433" s="32">
        <f t="shared" si="47"/>
        <v>0.2951388888888889</v>
      </c>
      <c r="L433" s="13" t="str">
        <f>IF($A433="","",IF(COUNTIFS($J$4:$J433,$J433,$E$4:$E433,$E433)=1,$E433,""))</f>
        <v/>
      </c>
      <c r="M433" s="13" t="str">
        <f>IF($A433="","",IF(COUNTIFS($J$4:$J433,$J433,$F$4:$F433,$F433)=1,$F433,""))</f>
        <v/>
      </c>
    </row>
    <row r="434" spans="1:13" x14ac:dyDescent="0.35">
      <c r="A434" s="23" t="str">
        <f>IFERROR(М1_КАМАЗ55111_0591!B63,"")</f>
        <v>вул. Київська</v>
      </c>
      <c r="B434" s="23" t="str">
        <f>IFERROR(IF(М1_КАМАЗ55111_0591!C63="","",TEXT(М1_КАМАЗ55111_0591!C63,"General")),"")</f>
        <v>3 магазин</v>
      </c>
      <c r="C434" s="24" t="str">
        <f>"Вівторок"</f>
        <v>Вівторок</v>
      </c>
      <c r="D434" s="24" t="str">
        <f>IFERROR(TEXT(М1_КАМАЗ55111_0591!D63,"h:mm"),"")</f>
        <v>11:10</v>
      </c>
      <c r="E434" s="24" t="str">
        <f t="shared" si="53"/>
        <v>№1</v>
      </c>
      <c r="F434" s="24" t="str">
        <f>"КАМАЗ 55111"</f>
        <v>КАМАЗ 55111</v>
      </c>
      <c r="G434" s="24" t="str">
        <f>"СВ 50-33 АР"</f>
        <v>СВ 50-33 АР</v>
      </c>
      <c r="H434" s="24">
        <f>IFERROR(М1_КАМАЗ55111_0591!G63,"")</f>
        <v>4</v>
      </c>
      <c r="J434" s="13" t="str">
        <f t="shared" si="46"/>
        <v>вул. Київська|3 магазин</v>
      </c>
      <c r="K434" s="32">
        <f t="shared" si="47"/>
        <v>0.46527777777777779</v>
      </c>
      <c r="L434" s="13" t="str">
        <f>IF($A434="","",IF(COUNTIFS($J$4:$J434,$J434,$E$4:$E434,$E434)=1,$E434,""))</f>
        <v/>
      </c>
      <c r="M434" s="13" t="str">
        <f>IF($A434="","",IF(COUNTIFS($J$4:$J434,$J434,$F$4:$F434,$F434)=1,$F434,""))</f>
        <v/>
      </c>
    </row>
    <row r="435" spans="1:13" x14ac:dyDescent="0.35">
      <c r="A435" s="23" t="str">
        <f>IFERROR(М1_КАМАЗ55111_0591!B73,"")</f>
        <v>вул. Київська</v>
      </c>
      <c r="B435" s="23" t="str">
        <f>IFERROR(IF(М1_КАМАЗ55111_0591!C73="","",TEXT(М1_КАМАЗ55111_0591!C73,"General")),"")</f>
        <v>3 магазин</v>
      </c>
      <c r="C435" s="24" t="str">
        <f>"Середа"</f>
        <v>Середа</v>
      </c>
      <c r="D435" s="24" t="str">
        <f>IFERROR(TEXT(М1_КАМАЗ55111_0591!D73,"h:mm"),"")</f>
        <v>7:05</v>
      </c>
      <c r="E435" s="24" t="str">
        <f t="shared" si="53"/>
        <v>№1</v>
      </c>
      <c r="F435" s="24" t="str">
        <f>"КАМАЗ 55111"</f>
        <v>КАМАЗ 55111</v>
      </c>
      <c r="G435" s="24" t="str">
        <f>"СВ 50-33 АР"</f>
        <v>СВ 50-33 АР</v>
      </c>
      <c r="H435" s="24">
        <f>IFERROR(М1_КАМАЗ55111_0591!G73,"")</f>
        <v>4</v>
      </c>
      <c r="J435" s="13" t="str">
        <f t="shared" si="46"/>
        <v>вул. Київська|3 магазин</v>
      </c>
      <c r="K435" s="32">
        <f t="shared" si="47"/>
        <v>0.2951388888888889</v>
      </c>
      <c r="L435" s="13" t="str">
        <f>IF($A435="","",IF(COUNTIFS($J$4:$J435,$J435,$E$4:$E435,$E435)=1,$E435,""))</f>
        <v/>
      </c>
      <c r="M435" s="13" t="str">
        <f>IF($A435="","",IF(COUNTIFS($J$4:$J435,$J435,$F$4:$F435,$F435)=1,$F435,""))</f>
        <v/>
      </c>
    </row>
    <row r="436" spans="1:13" x14ac:dyDescent="0.35">
      <c r="A436" s="23" t="str">
        <f>IFERROR(М1_КАМАЗ55111_0591!B96,"")</f>
        <v>вул. Київська</v>
      </c>
      <c r="B436" s="23" t="str">
        <f>IFERROR(IF(М1_КАМАЗ55111_0591!C96="","",TEXT(М1_КАМАЗ55111_0591!C96,"General")),"")</f>
        <v>3 магазин</v>
      </c>
      <c r="C436" s="24" t="str">
        <f>"Середа"</f>
        <v>Середа</v>
      </c>
      <c r="D436" s="24" t="str">
        <f>IFERROR(TEXT(М1_КАМАЗ55111_0591!D96,"h:mm"),"")</f>
        <v>11:35</v>
      </c>
      <c r="E436" s="24" t="str">
        <f t="shared" si="53"/>
        <v>№1</v>
      </c>
      <c r="F436" s="24" t="str">
        <f>"КАМАЗ 55111"</f>
        <v>КАМАЗ 55111</v>
      </c>
      <c r="G436" s="24" t="str">
        <f>"СВ 50-33 АР"</f>
        <v>СВ 50-33 АР</v>
      </c>
      <c r="H436" s="24">
        <f>IFERROR(М1_КАМАЗ55111_0591!G96,"")</f>
        <v>4</v>
      </c>
      <c r="J436" s="13" t="str">
        <f t="shared" si="46"/>
        <v>вул. Київська|3 магазин</v>
      </c>
      <c r="K436" s="32">
        <f t="shared" si="47"/>
        <v>0.4826388888888889</v>
      </c>
      <c r="L436" s="13" t="str">
        <f>IF($A436="","",IF(COUNTIFS($J$4:$J436,$J436,$E$4:$E436,$E436)=1,$E436,""))</f>
        <v/>
      </c>
      <c r="M436" s="13" t="str">
        <f>IF($A436="","",IF(COUNTIFS($J$4:$J436,$J436,$F$4:$F436,$F436)=1,$F436,""))</f>
        <v/>
      </c>
    </row>
    <row r="437" spans="1:13" x14ac:dyDescent="0.35">
      <c r="A437" s="23" t="str">
        <f>IFERROR('М1-2_АТ4021-1120_0585'!B106,"")</f>
        <v>вул. Київська</v>
      </c>
      <c r="B437" s="23" t="str">
        <f>IFERROR(IF('М1-2_АТ4021-1120_0585'!C106="","",TEXT('М1-2_АТ4021-1120_0585'!C106,"General")),"")</f>
        <v>3 магазин</v>
      </c>
      <c r="C437" s="24" t="str">
        <f>"Четвер"</f>
        <v>Четвер</v>
      </c>
      <c r="D437" s="24" t="str">
        <f>IFERROR(TEXT('М1-2_АТ4021-1120_0585'!D106,"h:mm"),"")</f>
        <v>7:10</v>
      </c>
      <c r="E437" s="24" t="str">
        <f t="shared" si="53"/>
        <v>№1</v>
      </c>
      <c r="F437" s="24" t="str">
        <f>"АТ-4021/1120"</f>
        <v>АТ-4021/1120</v>
      </c>
      <c r="G437" s="24" t="str">
        <f>"СВ 14-65 ЕО"</f>
        <v>СВ 14-65 ЕО</v>
      </c>
      <c r="H437" s="24">
        <f>IFERROR('М1-2_АТ4021-1120_0585'!G106,"")</f>
        <v>5</v>
      </c>
      <c r="J437" s="13" t="str">
        <f t="shared" si="46"/>
        <v>вул. Київська|3 магазин</v>
      </c>
      <c r="K437" s="32">
        <f t="shared" si="47"/>
        <v>0.2986111111111111</v>
      </c>
      <c r="L437" s="13" t="str">
        <f>IF($A437="","",IF(COUNTIFS($J$4:$J437,$J437,$E$4:$E437,$E437)=1,$E437,""))</f>
        <v/>
      </c>
      <c r="M437" s="13" t="str">
        <f>IF($A437="","",IF(COUNTIFS($J$4:$J437,$J437,$F$4:$F437,$F437)=1,$F437,""))</f>
        <v>АТ-4021/1120</v>
      </c>
    </row>
    <row r="438" spans="1:13" x14ac:dyDescent="0.35">
      <c r="A438" s="23" t="str">
        <f>IFERROR(М1_КАМАЗ55111_0591!B105,"")</f>
        <v>вул. Київська</v>
      </c>
      <c r="B438" s="23" t="str">
        <f>IFERROR(IF(М1_КАМАЗ55111_0591!C105="","",TEXT(М1_КАМАЗ55111_0591!C105,"General")),"")</f>
        <v>3 магазин</v>
      </c>
      <c r="C438" s="24" t="str">
        <f>"П'ятниця"</f>
        <v>П'ятниця</v>
      </c>
      <c r="D438" s="24" t="str">
        <f>IFERROR(TEXT(М1_КАМАЗ55111_0591!D105,"h:mm"),"")</f>
        <v>7:05</v>
      </c>
      <c r="E438" s="24" t="str">
        <f t="shared" si="53"/>
        <v>№1</v>
      </c>
      <c r="F438" s="24" t="str">
        <f>"КАМАЗ 55111"</f>
        <v>КАМАЗ 55111</v>
      </c>
      <c r="G438" s="24" t="str">
        <f>"СВ 50-33 АР"</f>
        <v>СВ 50-33 АР</v>
      </c>
      <c r="H438" s="24">
        <f>IFERROR(М1_КАМАЗ55111_0591!G105,"")</f>
        <v>4</v>
      </c>
      <c r="J438" s="13" t="str">
        <f t="shared" si="46"/>
        <v>вул. Київська|3 магазин</v>
      </c>
      <c r="K438" s="32">
        <f t="shared" si="47"/>
        <v>0.2951388888888889</v>
      </c>
      <c r="L438" s="13" t="str">
        <f>IF($A438="","",IF(COUNTIFS($J$4:$J438,$J438,$E$4:$E438,$E438)=1,$E438,""))</f>
        <v/>
      </c>
      <c r="M438" s="13" t="str">
        <f>IF($A438="","",IF(COUNTIFS($J$4:$J438,$J438,$F$4:$F438,$F438)=1,$F438,""))</f>
        <v/>
      </c>
    </row>
    <row r="439" spans="1:13" x14ac:dyDescent="0.35">
      <c r="A439" s="23" t="str">
        <f>IFERROR(М1_КАМАЗ55111_0591!B140,"")</f>
        <v>вул. Київська</v>
      </c>
      <c r="B439" s="23" t="str">
        <f>IFERROR(IF(М1_КАМАЗ55111_0591!C140="","",TEXT(М1_КАМАЗ55111_0591!C140,"General")),"")</f>
        <v>3 магазин</v>
      </c>
      <c r="C439" s="24" t="str">
        <f>"Субота"</f>
        <v>Субота</v>
      </c>
      <c r="D439" s="24" t="str">
        <f>IFERROR(TEXT(М1_КАМАЗ55111_0591!D140,"h:mm"),"")</f>
        <v>7:05</v>
      </c>
      <c r="E439" s="24" t="str">
        <f t="shared" si="53"/>
        <v>№1</v>
      </c>
      <c r="F439" s="24" t="str">
        <f>"КАМАЗ 55111"</f>
        <v>КАМАЗ 55111</v>
      </c>
      <c r="G439" s="24" t="str">
        <f>"СВ 50-33 АР"</f>
        <v>СВ 50-33 АР</v>
      </c>
      <c r="H439" s="24">
        <f>IFERROR(М1_КАМАЗ55111_0591!G140,"")</f>
        <v>4</v>
      </c>
      <c r="J439" s="13" t="str">
        <f t="shared" si="46"/>
        <v>вул. Київська|3 магазин</v>
      </c>
      <c r="K439" s="32">
        <f t="shared" si="47"/>
        <v>0.2951388888888889</v>
      </c>
      <c r="L439" s="13" t="str">
        <f>IF($A439="","",IF(COUNTIFS($J$4:$J439,$J439,$E$4:$E439,$E439)=1,$E439,""))</f>
        <v/>
      </c>
      <c r="M439" s="13" t="str">
        <f>IF($A439="","",IF(COUNTIFS($J$4:$J439,$J439,$F$4:$F439,$F439)=1,$F439,""))</f>
        <v/>
      </c>
    </row>
    <row r="440" spans="1:13" x14ac:dyDescent="0.35">
      <c r="A440" s="23" t="str">
        <f>IFERROR(М1_КАМАЗ55111_0591!B162,"")</f>
        <v>вул. Київська</v>
      </c>
      <c r="B440" s="23" t="str">
        <f>IFERROR(IF(М1_КАМАЗ55111_0591!C162="","",TEXT(М1_КАМАЗ55111_0591!C162,"General")),"")</f>
        <v>3 магазин</v>
      </c>
      <c r="C440" s="24" t="str">
        <f>"Субота"</f>
        <v>Субота</v>
      </c>
      <c r="D440" s="24" t="str">
        <f>IFERROR(TEXT(М1_КАМАЗ55111_0591!D162,"h:mm"),"")</f>
        <v>11:10</v>
      </c>
      <c r="E440" s="24" t="str">
        <f t="shared" si="53"/>
        <v>№1</v>
      </c>
      <c r="F440" s="24" t="str">
        <f>"КАМАЗ 55111"</f>
        <v>КАМАЗ 55111</v>
      </c>
      <c r="G440" s="24" t="str">
        <f>"СВ 50-33 АР"</f>
        <v>СВ 50-33 АР</v>
      </c>
      <c r="H440" s="24">
        <f>IFERROR(М1_КАМАЗ55111_0591!G162,"")</f>
        <v>3</v>
      </c>
      <c r="J440" s="13" t="str">
        <f t="shared" si="46"/>
        <v>вул. Київська|3 магазин</v>
      </c>
      <c r="K440" s="32">
        <f t="shared" si="47"/>
        <v>0.46527777777777779</v>
      </c>
      <c r="L440" s="13" t="str">
        <f>IF($A440="","",IF(COUNTIFS($J$4:$J440,$J440,$E$4:$E440,$E440)=1,$E440,""))</f>
        <v/>
      </c>
      <c r="M440" s="13" t="str">
        <f>IF($A440="","",IF(COUNTIFS($J$4:$J440,$J440,$F$4:$F440,$F440)=1,$F440,""))</f>
        <v/>
      </c>
    </row>
    <row r="441" spans="1:13" x14ac:dyDescent="0.35">
      <c r="A441" s="23" t="str">
        <f>IFERROR('М1-2_АТ4021-1120_0585'!B141,"")</f>
        <v>вул. Київська</v>
      </c>
      <c r="B441" s="23" t="str">
        <f>IFERROR(IF('М1-2_АТ4021-1120_0585'!C141="","",TEXT('М1-2_АТ4021-1120_0585'!C141,"General")),"")</f>
        <v>3 магазин</v>
      </c>
      <c r="C441" s="24" t="str">
        <f>"Неділя"</f>
        <v>Неділя</v>
      </c>
      <c r="D441" s="24" t="str">
        <f>IFERROR(TEXT('М1-2_АТ4021-1120_0585'!D141,"h:mm"),"")</f>
        <v>7:10</v>
      </c>
      <c r="E441" s="24" t="str">
        <f t="shared" si="53"/>
        <v>№1</v>
      </c>
      <c r="F441" s="24" t="str">
        <f>"АТ-4021/1120"</f>
        <v>АТ-4021/1120</v>
      </c>
      <c r="G441" s="24" t="str">
        <f>"СВ 14-65 ЕО"</f>
        <v>СВ 14-65 ЕО</v>
      </c>
      <c r="H441" s="24">
        <f>IFERROR('М1-2_АТ4021-1120_0585'!G141,"")</f>
        <v>5</v>
      </c>
      <c r="J441" s="13" t="str">
        <f t="shared" si="46"/>
        <v>вул. Київська|3 магазин</v>
      </c>
      <c r="K441" s="32">
        <f t="shared" si="47"/>
        <v>0.2986111111111111</v>
      </c>
      <c r="L441" s="13" t="str">
        <f>IF($A441="","",IF(COUNTIFS($J$4:$J441,$J441,$E$4:$E441,$E441)=1,$E441,""))</f>
        <v/>
      </c>
      <c r="M441" s="13" t="str">
        <f>IF($A441="","",IF(COUNTIFS($J$4:$J441,$J441,$F$4:$F441,$F441)=1,$F441,""))</f>
        <v/>
      </c>
    </row>
    <row r="442" spans="1:13" x14ac:dyDescent="0.35">
      <c r="A442" s="23" t="str">
        <f>IFERROR(М6_АТ4021_0586!B182,"")</f>
        <v>вул. Київська</v>
      </c>
      <c r="B442" s="23" t="str">
        <f>IFERROR(IF(М6_АТ4021_0586!C182="","",TEXT(М6_АТ4021_0586!C182,"General")),"")</f>
        <v>469,479,519</v>
      </c>
      <c r="C442" s="24" t="str">
        <f>"П'ятниця"</f>
        <v>П'ятниця</v>
      </c>
      <c r="D442" s="24" t="str">
        <f>IFERROR(TEXT(М6_АТ4021_0586!D182,"h:mm"),"")</f>
        <v>14:30</v>
      </c>
      <c r="E442" s="24" t="str">
        <f>"№6"</f>
        <v>№6</v>
      </c>
      <c r="F442" s="24" t="str">
        <f>"АТ 4021"</f>
        <v>АТ 4021</v>
      </c>
      <c r="G442" s="24" t="str">
        <f>"СВ 33-16 ЕО"</f>
        <v>СВ 33-16 ЕО</v>
      </c>
      <c r="H442" s="24"/>
      <c r="J442" s="13" t="str">
        <f t="shared" si="46"/>
        <v>вул. Київська|469,479,519</v>
      </c>
      <c r="K442" s="32">
        <f t="shared" si="47"/>
        <v>0.60416666666666663</v>
      </c>
      <c r="L442" s="13" t="str">
        <f>IF($A442="","",IF(COUNTIFS($J$4:$J442,$J442,$E$4:$E442,$E442)=1,$E442,""))</f>
        <v>№6</v>
      </c>
      <c r="M442" s="13" t="str">
        <f>IF($A442="","",IF(COUNTIFS($J$4:$J442,$J442,$F$4:$F442,$F442)=1,$F442,""))</f>
        <v>АТ 4021</v>
      </c>
    </row>
    <row r="443" spans="1:13" x14ac:dyDescent="0.35">
      <c r="A443" s="23" t="str">
        <f>IFERROR(М1_КАМАЗ55111_0591!B13,"")</f>
        <v>вул. Київська</v>
      </c>
      <c r="B443" s="23" t="str">
        <f>IFERROR(IF(М1_КАМАЗ55111_0591!C13="","",TEXT(М1_КАМАЗ55111_0591!C13,"General")),"")</f>
        <v>5 магазин</v>
      </c>
      <c r="C443" s="24" t="str">
        <f>"Понеділок"</f>
        <v>Понеділок</v>
      </c>
      <c r="D443" s="24" t="str">
        <f>IFERROR(TEXT(М1_КАМАЗ55111_0591!D13,"h:mm"),"")</f>
        <v>8:10</v>
      </c>
      <c r="E443" s="24" t="str">
        <f t="shared" ref="E443:E449" si="54">"№1"</f>
        <v>№1</v>
      </c>
      <c r="F443" s="24" t="str">
        <f>"КАМАЗ 55111"</f>
        <v>КАМАЗ 55111</v>
      </c>
      <c r="G443" s="24" t="str">
        <f>"СВ 50-33 АР"</f>
        <v>СВ 50-33 АР</v>
      </c>
      <c r="H443" s="24">
        <f>IFERROR(М1_КАМАЗ55111_0591!G13,"")</f>
        <v>3</v>
      </c>
      <c r="J443" s="13" t="str">
        <f t="shared" si="46"/>
        <v>вул. Київська|5 магазин</v>
      </c>
      <c r="K443" s="32">
        <f t="shared" si="47"/>
        <v>0.34027777777777779</v>
      </c>
      <c r="L443" s="13" t="str">
        <f>IF($A443="","",IF(COUNTIFS($J$4:$J443,$J443,$E$4:$E443,$E443)=1,$E443,""))</f>
        <v>№1</v>
      </c>
      <c r="M443" s="13" t="str">
        <f>IF($A443="","",IF(COUNTIFS($J$4:$J443,$J443,$F$4:$F443,$F443)=1,$F443,""))</f>
        <v>КАМАЗ 55111</v>
      </c>
    </row>
    <row r="444" spans="1:13" x14ac:dyDescent="0.35">
      <c r="A444" s="23" t="str">
        <f>IFERROR(М1_КАМАЗ55111_0591!B48,"")</f>
        <v>вул. Київська</v>
      </c>
      <c r="B444" s="23" t="str">
        <f>IFERROR(IF(М1_КАМАЗ55111_0591!C48="","",TEXT(М1_КАМАЗ55111_0591!C48,"General")),"")</f>
        <v>5 магазин</v>
      </c>
      <c r="C444" s="24" t="str">
        <f>"Вівторок"</f>
        <v>Вівторок</v>
      </c>
      <c r="D444" s="24" t="str">
        <f>IFERROR(TEXT(М1_КАМАЗ55111_0591!D48,"h:mm"),"")</f>
        <v>8:10</v>
      </c>
      <c r="E444" s="24" t="str">
        <f t="shared" si="54"/>
        <v>№1</v>
      </c>
      <c r="F444" s="24" t="str">
        <f>"КАМАЗ 55111"</f>
        <v>КАМАЗ 55111</v>
      </c>
      <c r="G444" s="24" t="str">
        <f>"СВ 50-33 АР"</f>
        <v>СВ 50-33 АР</v>
      </c>
      <c r="H444" s="24">
        <f>IFERROR(М1_КАМАЗ55111_0591!G48,"")</f>
        <v>3</v>
      </c>
      <c r="J444" s="13" t="str">
        <f t="shared" si="46"/>
        <v>вул. Київська|5 магазин</v>
      </c>
      <c r="K444" s="32">
        <f t="shared" si="47"/>
        <v>0.34027777777777779</v>
      </c>
      <c r="L444" s="13" t="str">
        <f>IF($A444="","",IF(COUNTIFS($J$4:$J444,$J444,$E$4:$E444,$E444)=1,$E444,""))</f>
        <v/>
      </c>
      <c r="M444" s="13" t="str">
        <f>IF($A444="","",IF(COUNTIFS($J$4:$J444,$J444,$F$4:$F444,$F444)=1,$F444,""))</f>
        <v/>
      </c>
    </row>
    <row r="445" spans="1:13" x14ac:dyDescent="0.35">
      <c r="A445" s="23" t="str">
        <f>IFERROR(М1_КАМАЗ55111_0591!B80,"")</f>
        <v>вул. Київська</v>
      </c>
      <c r="B445" s="23" t="str">
        <f>IFERROR(IF(М1_КАМАЗ55111_0591!C80="","",TEXT(М1_КАМАЗ55111_0591!C80,"General")),"")</f>
        <v>5 магазин</v>
      </c>
      <c r="C445" s="24" t="str">
        <f>"Середа"</f>
        <v>Середа</v>
      </c>
      <c r="D445" s="24" t="str">
        <f>IFERROR(TEXT(М1_КАМАЗ55111_0591!D80,"h:mm"),"")</f>
        <v>8:10</v>
      </c>
      <c r="E445" s="24" t="str">
        <f t="shared" si="54"/>
        <v>№1</v>
      </c>
      <c r="F445" s="24" t="str">
        <f>"КАМАЗ 55111"</f>
        <v>КАМАЗ 55111</v>
      </c>
      <c r="G445" s="24" t="str">
        <f>"СВ 50-33 АР"</f>
        <v>СВ 50-33 АР</v>
      </c>
      <c r="H445" s="24">
        <f>IFERROR(М1_КАМАЗ55111_0591!G80,"")</f>
        <v>3</v>
      </c>
      <c r="J445" s="13" t="str">
        <f t="shared" si="46"/>
        <v>вул. Київська|5 магазин</v>
      </c>
      <c r="K445" s="32">
        <f t="shared" si="47"/>
        <v>0.34027777777777779</v>
      </c>
      <c r="L445" s="13" t="str">
        <f>IF($A445="","",IF(COUNTIFS($J$4:$J445,$J445,$E$4:$E445,$E445)=1,$E445,""))</f>
        <v/>
      </c>
      <c r="M445" s="13" t="str">
        <f>IF($A445="","",IF(COUNTIFS($J$4:$J445,$J445,$F$4:$F445,$F445)=1,$F445,""))</f>
        <v/>
      </c>
    </row>
    <row r="446" spans="1:13" x14ac:dyDescent="0.35">
      <c r="A446" s="23" t="str">
        <f>IFERROR('М1-2_АТ4021-1120_0585'!B118,"")</f>
        <v>вул. Київська</v>
      </c>
      <c r="B446" s="23" t="str">
        <f>IFERROR(IF('М1-2_АТ4021-1120_0585'!C118="","",TEXT('М1-2_АТ4021-1120_0585'!C118,"General")),"")</f>
        <v>5 магазин</v>
      </c>
      <c r="C446" s="24" t="str">
        <f>"Четвер"</f>
        <v>Четвер</v>
      </c>
      <c r="D446" s="24" t="str">
        <f>IFERROR(TEXT('М1-2_АТ4021-1120_0585'!D118,"h:mm"),"")</f>
        <v>10:35</v>
      </c>
      <c r="E446" s="24" t="str">
        <f t="shared" si="54"/>
        <v>№1</v>
      </c>
      <c r="F446" s="24" t="str">
        <f>"АТ-4021/1120"</f>
        <v>АТ-4021/1120</v>
      </c>
      <c r="G446" s="24" t="str">
        <f>"СВ 14-65 ЕО"</f>
        <v>СВ 14-65 ЕО</v>
      </c>
      <c r="H446" s="24">
        <f>IFERROR('М1-2_АТ4021-1120_0585'!G118,"")</f>
        <v>3</v>
      </c>
      <c r="J446" s="13" t="str">
        <f t="shared" si="46"/>
        <v>вул. Київська|5 магазин</v>
      </c>
      <c r="K446" s="32">
        <f t="shared" si="47"/>
        <v>0.44097222222222221</v>
      </c>
      <c r="L446" s="13" t="str">
        <f>IF($A446="","",IF(COUNTIFS($J$4:$J446,$J446,$E$4:$E446,$E446)=1,$E446,""))</f>
        <v/>
      </c>
      <c r="M446" s="13" t="str">
        <f>IF($A446="","",IF(COUNTIFS($J$4:$J446,$J446,$F$4:$F446,$F446)=1,$F446,""))</f>
        <v>АТ-4021/1120</v>
      </c>
    </row>
    <row r="447" spans="1:13" x14ac:dyDescent="0.35">
      <c r="A447" s="23" t="str">
        <f>IFERROR(М1_КАМАЗ55111_0591!B112,"")</f>
        <v>вул. Київська</v>
      </c>
      <c r="B447" s="23" t="str">
        <f>IFERROR(IF(М1_КАМАЗ55111_0591!C112="","",TEXT(М1_КАМАЗ55111_0591!C112,"General")),"")</f>
        <v>5 магазин</v>
      </c>
      <c r="C447" s="24" t="str">
        <f>"П'ятниця"</f>
        <v>П'ятниця</v>
      </c>
      <c r="D447" s="24" t="str">
        <f>IFERROR(TEXT(М1_КАМАЗ55111_0591!D112,"h:mm"),"")</f>
        <v>8:10</v>
      </c>
      <c r="E447" s="24" t="str">
        <f t="shared" si="54"/>
        <v>№1</v>
      </c>
      <c r="F447" s="24" t="str">
        <f>"КАМАЗ 55111"</f>
        <v>КАМАЗ 55111</v>
      </c>
      <c r="G447" s="24" t="str">
        <f>"СВ 50-33 АР"</f>
        <v>СВ 50-33 АР</v>
      </c>
      <c r="H447" s="24">
        <f>IFERROR(М1_КАМАЗ55111_0591!G112,"")</f>
        <v>3</v>
      </c>
      <c r="J447" s="13" t="str">
        <f t="shared" si="46"/>
        <v>вул. Київська|5 магазин</v>
      </c>
      <c r="K447" s="32">
        <f t="shared" si="47"/>
        <v>0.34027777777777779</v>
      </c>
      <c r="L447" s="13" t="str">
        <f>IF($A447="","",IF(COUNTIFS($J$4:$J447,$J447,$E$4:$E447,$E447)=1,$E447,""))</f>
        <v/>
      </c>
      <c r="M447" s="13" t="str">
        <f>IF($A447="","",IF(COUNTIFS($J$4:$J447,$J447,$F$4:$F447,$F447)=1,$F447,""))</f>
        <v/>
      </c>
    </row>
    <row r="448" spans="1:13" x14ac:dyDescent="0.35">
      <c r="A448" s="23" t="str">
        <f>IFERROR(М1_КАМАЗ55111_0591!B147,"")</f>
        <v>вул. Київська</v>
      </c>
      <c r="B448" s="23" t="str">
        <f>IFERROR(IF(М1_КАМАЗ55111_0591!C147="","",TEXT(М1_КАМАЗ55111_0591!C147,"General")),"")</f>
        <v>5 магазин</v>
      </c>
      <c r="C448" s="24" t="str">
        <f>"Субота"</f>
        <v>Субота</v>
      </c>
      <c r="D448" s="24" t="str">
        <f>IFERROR(TEXT(М1_КАМАЗ55111_0591!D147,"h:mm"),"")</f>
        <v>8:10</v>
      </c>
      <c r="E448" s="24" t="str">
        <f t="shared" si="54"/>
        <v>№1</v>
      </c>
      <c r="F448" s="24" t="str">
        <f>"КАМАЗ 55111"</f>
        <v>КАМАЗ 55111</v>
      </c>
      <c r="G448" s="24" t="str">
        <f>"СВ 50-33 АР"</f>
        <v>СВ 50-33 АР</v>
      </c>
      <c r="H448" s="24">
        <f>IFERROR(М1_КАМАЗ55111_0591!G147,"")</f>
        <v>3</v>
      </c>
      <c r="J448" s="13" t="str">
        <f t="shared" si="46"/>
        <v>вул. Київська|5 магазин</v>
      </c>
      <c r="K448" s="32">
        <f t="shared" si="47"/>
        <v>0.34027777777777779</v>
      </c>
      <c r="L448" s="13" t="str">
        <f>IF($A448="","",IF(COUNTIFS($J$4:$J448,$J448,$E$4:$E448,$E448)=1,$E448,""))</f>
        <v/>
      </c>
      <c r="M448" s="13" t="str">
        <f>IF($A448="","",IF(COUNTIFS($J$4:$J448,$J448,$F$4:$F448,$F448)=1,$F448,""))</f>
        <v/>
      </c>
    </row>
    <row r="449" spans="1:13" x14ac:dyDescent="0.35">
      <c r="A449" s="23" t="str">
        <f>IFERROR('М1-2_АТ4021-1120_0585'!B154,"")</f>
        <v>вул. Київська</v>
      </c>
      <c r="B449" s="23" t="str">
        <f>IFERROR(IF('М1-2_АТ4021-1120_0585'!C154="","",TEXT('М1-2_АТ4021-1120_0585'!C154,"General")),"")</f>
        <v>5 магазин</v>
      </c>
      <c r="C449" s="24" t="str">
        <f>"Неділя"</f>
        <v>Неділя</v>
      </c>
      <c r="D449" s="24" t="str">
        <f>IFERROR(TEXT('М1-2_АТ4021-1120_0585'!D154,"h:mm"),"")</f>
        <v>10:50</v>
      </c>
      <c r="E449" s="24" t="str">
        <f t="shared" si="54"/>
        <v>№1</v>
      </c>
      <c r="F449" s="24" t="str">
        <f>"АТ-4021/1120"</f>
        <v>АТ-4021/1120</v>
      </c>
      <c r="G449" s="24" t="str">
        <f>"СВ 14-65 ЕО"</f>
        <v>СВ 14-65 ЕО</v>
      </c>
      <c r="H449" s="24">
        <f>IFERROR('М1-2_АТ4021-1120_0585'!G154,"")</f>
        <v>3</v>
      </c>
      <c r="J449" s="13" t="str">
        <f t="shared" si="46"/>
        <v>вул. Київська|5 магазин</v>
      </c>
      <c r="K449" s="32">
        <f t="shared" si="47"/>
        <v>0.4513888888888889</v>
      </c>
      <c r="L449" s="13" t="str">
        <f>IF($A449="","",IF(COUNTIFS($J$4:$J449,$J449,$E$4:$E449,$E449)=1,$E449,""))</f>
        <v/>
      </c>
      <c r="M449" s="13" t="str">
        <f>IF($A449="","",IF(COUNTIFS($J$4:$J449,$J449,$F$4:$F449,$F449)=1,$F449,""))</f>
        <v/>
      </c>
    </row>
    <row r="450" spans="1:13" x14ac:dyDescent="0.35">
      <c r="A450" s="23" t="str">
        <f>IFERROR('М2_АТ4021-1120_0588'!B28,"")</f>
        <v>вул. Київська</v>
      </c>
      <c r="B450" s="23" t="str">
        <f>IFERROR(IF('М2_АТ4021-1120_0588'!C28="","",TEXT('М2_АТ4021-1120_0588'!C28,"General")),"")</f>
        <v>АТБ</v>
      </c>
      <c r="C450" s="24" t="str">
        <f>"Понеділок"</f>
        <v>Понеділок</v>
      </c>
      <c r="D450" s="24" t="str">
        <f>IFERROR(TEXT('М2_АТ4021-1120_0588'!D28,"h:mm"),"")</f>
        <v>15:35</v>
      </c>
      <c r="E450" s="24" t="str">
        <f>"№2"</f>
        <v>№2</v>
      </c>
      <c r="F450" s="24" t="str">
        <f>"АТ 4021/1120"</f>
        <v>АТ 4021/1120</v>
      </c>
      <c r="G450" s="24" t="str">
        <f>"СВ 64-11 ЕТ"</f>
        <v>СВ 64-11 ЕТ</v>
      </c>
      <c r="H450" s="24">
        <f>IFERROR('М2_АТ4021-1120_0588'!G28,"")</f>
        <v>1</v>
      </c>
      <c r="J450" s="13" t="str">
        <f t="shared" si="46"/>
        <v>вул. Київська|АТБ</v>
      </c>
      <c r="K450" s="32">
        <f t="shared" si="47"/>
        <v>0.64930555555555558</v>
      </c>
      <c r="L450" s="13" t="str">
        <f>IF($A450="","",IF(COUNTIFS($J$4:$J450,$J450,$E$4:$E450,$E450)=1,$E450,""))</f>
        <v>№2</v>
      </c>
      <c r="M450" s="13" t="str">
        <f>IF($A450="","",IF(COUNTIFS($J$4:$J450,$J450,$F$4:$F450,$F450)=1,$F450,""))</f>
        <v>АТ 4021/1120</v>
      </c>
    </row>
    <row r="451" spans="1:13" x14ac:dyDescent="0.35">
      <c r="A451" s="23" t="str">
        <f>IFERROR(М1_КАМАЗ55111_0591!B32,"")</f>
        <v>вул. Київська</v>
      </c>
      <c r="B451" s="23" t="str">
        <f>IFERROR(IF(М1_КАМАЗ55111_0591!C32="","",TEXT(М1_КАМАЗ55111_0591!C32,"General")),"")</f>
        <v>Аврора</v>
      </c>
      <c r="C451" s="24" t="str">
        <f>"Понеділок"</f>
        <v>Понеділок</v>
      </c>
      <c r="D451" s="24" t="str">
        <f>IFERROR(TEXT(М1_КАМАЗ55111_0591!D32,"h:mm"),"")</f>
        <v>11:35</v>
      </c>
      <c r="E451" s="24" t="str">
        <f>"№1"</f>
        <v>№1</v>
      </c>
      <c r="F451" s="24" t="str">
        <f>"КАМАЗ 55111"</f>
        <v>КАМАЗ 55111</v>
      </c>
      <c r="G451" s="24" t="str">
        <f>"СВ 50-33 АР"</f>
        <v>СВ 50-33 АР</v>
      </c>
      <c r="H451" s="24">
        <f>IFERROR(М1_КАМАЗ55111_0591!G32,"")</f>
        <v>2</v>
      </c>
      <c r="J451" s="13" t="str">
        <f t="shared" si="46"/>
        <v>вул. Київська|Аврора</v>
      </c>
      <c r="K451" s="32">
        <f t="shared" si="47"/>
        <v>0.4826388888888889</v>
      </c>
      <c r="L451" s="13" t="str">
        <f>IF($A451="","",IF(COUNTIFS($J$4:$J451,$J451,$E$4:$E451,$E451)=1,$E451,""))</f>
        <v>№1</v>
      </c>
      <c r="M451" s="13" t="str">
        <f>IF($A451="","",IF(COUNTIFS($J$4:$J451,$J451,$F$4:$F451,$F451)=1,$F451,""))</f>
        <v>КАМАЗ 55111</v>
      </c>
    </row>
    <row r="452" spans="1:13" x14ac:dyDescent="0.35">
      <c r="A452" s="23" t="str">
        <f>IFERROR('М1-2_АТ4021-1120_0585'!B26,"")</f>
        <v>вул. Київська</v>
      </c>
      <c r="B452" s="23" t="str">
        <f>IFERROR(IF('М1-2_АТ4021-1120_0585'!C26="","",TEXT('М1-2_АТ4021-1120_0585'!C26,"General")),"")</f>
        <v>Аврора</v>
      </c>
      <c r="C452" s="24" t="str">
        <f>"Понеділок"</f>
        <v>Понеділок</v>
      </c>
      <c r="D452" s="24" t="str">
        <f>IFERROR(TEXT('М1-2_АТ4021-1120_0585'!D26,"h:mm"),"")</f>
        <v>13:35</v>
      </c>
      <c r="E452" s="24" t="str">
        <f>"№1"</f>
        <v>№1</v>
      </c>
      <c r="F452" s="24" t="str">
        <f>"АТ-4021/1120"</f>
        <v>АТ-4021/1120</v>
      </c>
      <c r="G452" s="24" t="str">
        <f>"СВ 14-65 ЕО"</f>
        <v>СВ 14-65 ЕО</v>
      </c>
      <c r="H452" s="24">
        <f>IFERROR('М1-2_АТ4021-1120_0585'!G26,"")</f>
        <v>1</v>
      </c>
      <c r="J452" s="13" t="str">
        <f t="shared" ref="J452:J515" si="55">IF(A452="","",A452&amp;"|"&amp;B452)</f>
        <v>вул. Київська|Аврора</v>
      </c>
      <c r="K452" s="32">
        <f t="shared" ref="K452:K515" si="56">IFERROR(IF(D452="","",IF(D452="×",9.99,TIMEVALUE(D452))),9.99)</f>
        <v>0.56597222222222221</v>
      </c>
      <c r="L452" s="13" t="str">
        <f>IF($A452="","",IF(COUNTIFS($J$4:$J452,$J452,$E$4:$E452,$E452)=1,$E452,""))</f>
        <v/>
      </c>
      <c r="M452" s="13" t="str">
        <f>IF($A452="","",IF(COUNTIFS($J$4:$J452,$J452,$F$4:$F452,$F452)=1,$F452,""))</f>
        <v>АТ-4021/1120</v>
      </c>
    </row>
    <row r="453" spans="1:13" x14ac:dyDescent="0.35">
      <c r="A453" s="23" t="str">
        <f>IFERROR('М1-2_АТ4021-1120_0585'!B16,"")</f>
        <v>вул. Київська</v>
      </c>
      <c r="B453" s="23" t="str">
        <f>IFERROR(IF('М1-2_АТ4021-1120_0585'!C16="","",TEXT('М1-2_АТ4021-1120_0585'!C16,"General")),"")</f>
        <v>Актив</v>
      </c>
      <c r="C453" s="24" t="str">
        <f>"Понеділок"</f>
        <v>Понеділок</v>
      </c>
      <c r="D453" s="24" t="str">
        <f>IFERROR(TEXT('М1-2_АТ4021-1120_0585'!D16,"h:mm"),"")</f>
        <v>10:35</v>
      </c>
      <c r="E453" s="24" t="str">
        <f>"№1"</f>
        <v>№1</v>
      </c>
      <c r="F453" s="24" t="str">
        <f>"АТ-4021/1120"</f>
        <v>АТ-4021/1120</v>
      </c>
      <c r="G453" s="24" t="str">
        <f>"СВ 14-65 ЕО"</f>
        <v>СВ 14-65 ЕО</v>
      </c>
      <c r="H453" s="24">
        <f>IFERROR('М1-2_АТ4021-1120_0585'!G16,"")</f>
        <v>3</v>
      </c>
      <c r="J453" s="13" t="str">
        <f t="shared" si="55"/>
        <v>вул. Київська|Актив</v>
      </c>
      <c r="K453" s="32">
        <f t="shared" si="56"/>
        <v>0.44097222222222221</v>
      </c>
      <c r="L453" s="13" t="str">
        <f>IF($A453="","",IF(COUNTIFS($J$4:$J453,$J453,$E$4:$E453,$E453)=1,$E453,""))</f>
        <v>№1</v>
      </c>
      <c r="M453" s="13" t="str">
        <f>IF($A453="","",IF(COUNTIFS($J$4:$J453,$J453,$F$4:$F453,$F453)=1,$F453,""))</f>
        <v>АТ-4021/1120</v>
      </c>
    </row>
    <row r="454" spans="1:13" x14ac:dyDescent="0.35">
      <c r="A454" s="23" t="str">
        <f>IFERROR(М6_АТ4021_0586!B116,"")</f>
        <v>вул. Київська</v>
      </c>
      <c r="B454" s="23" t="str">
        <f>IFERROR(IF(М6_АТ4021_0586!C116="","",TEXT(М6_АТ4021_0586!C116,"General")),"")</f>
        <v>Д/с 8</v>
      </c>
      <c r="C454" s="24" t="str">
        <f>"Четвер"</f>
        <v>Четвер</v>
      </c>
      <c r="D454" s="24" t="str">
        <f>IFERROR(TEXT(М6_АТ4021_0586!D116,"h:mm"),"")</f>
        <v>7:00</v>
      </c>
      <c r="E454" s="24" t="str">
        <f>"№6"</f>
        <v>№6</v>
      </c>
      <c r="F454" s="24" t="str">
        <f>"АТ 4021"</f>
        <v>АТ 4021</v>
      </c>
      <c r="G454" s="24" t="str">
        <f>"СВ 33-16 ЕО"</f>
        <v>СВ 33-16 ЕО</v>
      </c>
      <c r="H454" s="24"/>
      <c r="J454" s="13" t="str">
        <f t="shared" si="55"/>
        <v>вул. Київська|Д/с 8</v>
      </c>
      <c r="K454" s="32">
        <f t="shared" si="56"/>
        <v>0.29166666666666669</v>
      </c>
      <c r="L454" s="13" t="str">
        <f>IF($A454="","",IF(COUNTIFS($J$4:$J454,$J454,$E$4:$E454,$E454)=1,$E454,""))</f>
        <v>№6</v>
      </c>
      <c r="M454" s="13" t="str">
        <f>IF($A454="","",IF(COUNTIFS($J$4:$J454,$J454,$F$4:$F454,$F454)=1,$F454,""))</f>
        <v>АТ 4021</v>
      </c>
    </row>
    <row r="455" spans="1:13" x14ac:dyDescent="0.35">
      <c r="A455" s="23" t="str">
        <f>IFERROR('М3-4_ГАЗ3309_0590'!B18,"")</f>
        <v>вул. Київська</v>
      </c>
      <c r="B455" s="23" t="str">
        <f>IFERROR(IF('М3-4_ГАЗ3309_0590'!C18="","",TEXT('М3-4_ГАЗ3309_0590'!C18,"General")),"")</f>
        <v>Д/с 9</v>
      </c>
      <c r="C455" s="24" t="str">
        <f>"Четвер"</f>
        <v>Четвер</v>
      </c>
      <c r="D455" s="24" t="str">
        <f>IFERROR(TEXT('М3-4_ГАЗ3309_0590'!D18,"h:mm"),"")</f>
        <v>10:35</v>
      </c>
      <c r="E455" s="24" t="str">
        <f>"№3"</f>
        <v>№3</v>
      </c>
      <c r="F455" s="24" t="str">
        <f>"ГАЗ 3309"</f>
        <v>ГАЗ 3309</v>
      </c>
      <c r="G455" s="24" t="str">
        <f>"СВ 17-85 ВН"</f>
        <v>СВ 17-85 ВН</v>
      </c>
      <c r="H455" s="24">
        <f>IFERROR('М3-4_ГАЗ3309_0590'!G18,"")</f>
        <v>1</v>
      </c>
      <c r="J455" s="13" t="str">
        <f t="shared" si="55"/>
        <v>вул. Київська|Д/с 9</v>
      </c>
      <c r="K455" s="32">
        <f t="shared" si="56"/>
        <v>0.44097222222222221</v>
      </c>
      <c r="L455" s="13" t="str">
        <f>IF($A455="","",IF(COUNTIFS($J$4:$J455,$J455,$E$4:$E455,$E455)=1,$E455,""))</f>
        <v>№3</v>
      </c>
      <c r="M455" s="13" t="str">
        <f>IF($A455="","",IF(COUNTIFS($J$4:$J455,$J455,$F$4:$F455,$F455)=1,$F455,""))</f>
        <v>ГАЗ 3309</v>
      </c>
    </row>
    <row r="456" spans="1:13" x14ac:dyDescent="0.35">
      <c r="A456" s="23" t="str">
        <f>IFERROR(М1_КАМАЗ55111_0591!B25,"")</f>
        <v>вул. Київська</v>
      </c>
      <c r="B456" s="23" t="str">
        <f>IFERROR(IF(М1_КАМАЗ55111_0591!C25="","",TEXT(М1_КАМАЗ55111_0591!C25,"General")),"")</f>
        <v>М-н Маркетопт</v>
      </c>
      <c r="C456" s="24" t="str">
        <f>"Понеділок"</f>
        <v>Понеділок</v>
      </c>
      <c r="D456" s="24" t="str">
        <f>IFERROR(TEXT(М1_КАМАЗ55111_0591!D25,"h:mm"),"")</f>
        <v>10:10</v>
      </c>
      <c r="E456" s="24" t="str">
        <f t="shared" ref="E456:E468" si="57">"№1"</f>
        <v>№1</v>
      </c>
      <c r="F456" s="24" t="str">
        <f>"КАМАЗ 55111"</f>
        <v>КАМАЗ 55111</v>
      </c>
      <c r="G456" s="24" t="str">
        <f>"СВ 50-33 АР"</f>
        <v>СВ 50-33 АР</v>
      </c>
      <c r="H456" s="24">
        <f>IFERROR(М1_КАМАЗ55111_0591!G25,"")</f>
        <v>2</v>
      </c>
      <c r="J456" s="13" t="str">
        <f t="shared" si="55"/>
        <v>вул. Київська|М-н Маркетопт</v>
      </c>
      <c r="K456" s="32">
        <f t="shared" si="56"/>
        <v>0.4236111111111111</v>
      </c>
      <c r="L456" s="13" t="str">
        <f>IF($A456="","",IF(COUNTIFS($J$4:$J456,$J456,$E$4:$E456,$E456)=1,$E456,""))</f>
        <v>№1</v>
      </c>
      <c r="M456" s="13" t="str">
        <f>IF($A456="","",IF(COUNTIFS($J$4:$J456,$J456,$F$4:$F456,$F456)=1,$F456,""))</f>
        <v>КАМАЗ 55111</v>
      </c>
    </row>
    <row r="457" spans="1:13" x14ac:dyDescent="0.35">
      <c r="A457" s="23" t="str">
        <f>IFERROR(М1_КАМАЗ55111_0591!B93,"")</f>
        <v>вул. Київська</v>
      </c>
      <c r="B457" s="23" t="str">
        <f>IFERROR(IF(М1_КАМАЗ55111_0591!C93="","",TEXT(М1_КАМАЗ55111_0591!C93,"General")),"")</f>
        <v>М-н Маркетопт</v>
      </c>
      <c r="C457" s="24" t="str">
        <f>"Середа"</f>
        <v>Середа</v>
      </c>
      <c r="D457" s="24" t="str">
        <f>IFERROR(TEXT(М1_КАМАЗ55111_0591!D93,"h:mm"),"")</f>
        <v>11:00</v>
      </c>
      <c r="E457" s="24" t="str">
        <f t="shared" si="57"/>
        <v>№1</v>
      </c>
      <c r="F457" s="24" t="str">
        <f>"КАМАЗ 55111"</f>
        <v>КАМАЗ 55111</v>
      </c>
      <c r="G457" s="24" t="str">
        <f>"СВ 50-33 АР"</f>
        <v>СВ 50-33 АР</v>
      </c>
      <c r="H457" s="24">
        <f>IFERROR(М1_КАМАЗ55111_0591!G93,"")</f>
        <v>2</v>
      </c>
      <c r="J457" s="13" t="str">
        <f t="shared" si="55"/>
        <v>вул. Київська|М-н Маркетопт</v>
      </c>
      <c r="K457" s="32">
        <f t="shared" si="56"/>
        <v>0.45833333333333331</v>
      </c>
      <c r="L457" s="13" t="str">
        <f>IF($A457="","",IF(COUNTIFS($J$4:$J457,$J457,$E$4:$E457,$E457)=1,$E457,""))</f>
        <v/>
      </c>
      <c r="M457" s="13" t="str">
        <f>IF($A457="","",IF(COUNTIFS($J$4:$J457,$J457,$F$4:$F457,$F457)=1,$F457,""))</f>
        <v/>
      </c>
    </row>
    <row r="458" spans="1:13" x14ac:dyDescent="0.35">
      <c r="A458" s="23" t="str">
        <f>IFERROR('М1-2_АТ4021-1120_0585'!B125,"")</f>
        <v>вул. Київська</v>
      </c>
      <c r="B458" s="23" t="str">
        <f>IFERROR(IF('М1-2_АТ4021-1120_0585'!C125="","",TEXT('М1-2_АТ4021-1120_0585'!C125,"General")),"")</f>
        <v>М-н Маркетопт</v>
      </c>
      <c r="C458" s="24" t="str">
        <f>"Четвер"</f>
        <v>Четвер</v>
      </c>
      <c r="D458" s="24" t="str">
        <f>IFERROR(TEXT('М1-2_АТ4021-1120_0585'!D125,"h:mm"),"")</f>
        <v>13:20</v>
      </c>
      <c r="E458" s="24" t="str">
        <f t="shared" si="57"/>
        <v>№1</v>
      </c>
      <c r="F458" s="24" t="str">
        <f>"АТ-4021/1120"</f>
        <v>АТ-4021/1120</v>
      </c>
      <c r="G458" s="24" t="str">
        <f>"СВ 14-65 ЕО"</f>
        <v>СВ 14-65 ЕО</v>
      </c>
      <c r="H458" s="24">
        <f>IFERROR('М1-2_АТ4021-1120_0585'!G125,"")</f>
        <v>2</v>
      </c>
      <c r="J458" s="13" t="str">
        <f t="shared" si="55"/>
        <v>вул. Київська|М-н Маркетопт</v>
      </c>
      <c r="K458" s="32">
        <f t="shared" si="56"/>
        <v>0.55555555555555558</v>
      </c>
      <c r="L458" s="13" t="str">
        <f>IF($A458="","",IF(COUNTIFS($J$4:$J458,$J458,$E$4:$E458,$E458)=1,$E458,""))</f>
        <v/>
      </c>
      <c r="M458" s="13" t="str">
        <f>IF($A458="","",IF(COUNTIFS($J$4:$J458,$J458,$F$4:$F458,$F458)=1,$F458,""))</f>
        <v>АТ-4021/1120</v>
      </c>
    </row>
    <row r="459" spans="1:13" x14ac:dyDescent="0.35">
      <c r="A459" s="23" t="str">
        <f>IFERROR(М1_КАМАЗ55111_0591!B130,"")</f>
        <v>вул. Київська</v>
      </c>
      <c r="B459" s="23" t="str">
        <f>IFERROR(IF(М1_КАМАЗ55111_0591!C130="","",TEXT(М1_КАМАЗ55111_0591!C130,"General")),"")</f>
        <v>М-н Маркетопт</v>
      </c>
      <c r="C459" s="24" t="str">
        <f>"П'ятниця"</f>
        <v>П'ятниця</v>
      </c>
      <c r="D459" s="24" t="str">
        <f>IFERROR(TEXT(М1_КАМАЗ55111_0591!D130,"h:mm"),"")</f>
        <v>11:45</v>
      </c>
      <c r="E459" s="24" t="str">
        <f t="shared" si="57"/>
        <v>№1</v>
      </c>
      <c r="F459" s="24" t="str">
        <f>"КАМАЗ 55111"</f>
        <v>КАМАЗ 55111</v>
      </c>
      <c r="G459" s="24" t="str">
        <f>"СВ 50-33 АР"</f>
        <v>СВ 50-33 АР</v>
      </c>
      <c r="H459" s="24">
        <f>IFERROR(М1_КАМАЗ55111_0591!G130,"")</f>
        <v>2</v>
      </c>
      <c r="J459" s="13" t="str">
        <f t="shared" si="55"/>
        <v>вул. Київська|М-н Маркетопт</v>
      </c>
      <c r="K459" s="32">
        <f t="shared" si="56"/>
        <v>0.48958333333333331</v>
      </c>
      <c r="L459" s="13" t="str">
        <f>IF($A459="","",IF(COUNTIFS($J$4:$J459,$J459,$E$4:$E459,$E459)=1,$E459,""))</f>
        <v/>
      </c>
      <c r="M459" s="13" t="str">
        <f>IF($A459="","",IF(COUNTIFS($J$4:$J459,$J459,$F$4:$F459,$F459)=1,$F459,""))</f>
        <v/>
      </c>
    </row>
    <row r="460" spans="1:13" x14ac:dyDescent="0.35">
      <c r="A460" s="23" t="str">
        <f>IFERROR('М1-2_АТ4021-1120_0585'!B160,"")</f>
        <v>вул. Київська</v>
      </c>
      <c r="B460" s="23" t="str">
        <f>IFERROR(IF('М1-2_АТ4021-1120_0585'!C160="","",TEXT('М1-2_АТ4021-1120_0585'!C160,"General")),"")</f>
        <v>М-н Маркетопт</v>
      </c>
      <c r="C460" s="24" t="str">
        <f>"Неділя"</f>
        <v>Неділя</v>
      </c>
      <c r="D460" s="24" t="str">
        <f>IFERROR(TEXT('М1-2_АТ4021-1120_0585'!D160,"h:mm"),"")</f>
        <v>13:20</v>
      </c>
      <c r="E460" s="24" t="str">
        <f t="shared" si="57"/>
        <v>№1</v>
      </c>
      <c r="F460" s="24" t="str">
        <f>"АТ-4021/1120"</f>
        <v>АТ-4021/1120</v>
      </c>
      <c r="G460" s="24" t="str">
        <f>"СВ 14-65 ЕО"</f>
        <v>СВ 14-65 ЕО</v>
      </c>
      <c r="H460" s="24">
        <f>IFERROR('М1-2_АТ4021-1120_0585'!G160,"")</f>
        <v>2</v>
      </c>
      <c r="J460" s="13" t="str">
        <f t="shared" si="55"/>
        <v>вул. Київська|М-н Маркетопт</v>
      </c>
      <c r="K460" s="32">
        <f t="shared" si="56"/>
        <v>0.55555555555555558</v>
      </c>
      <c r="L460" s="13" t="str">
        <f>IF($A460="","",IF(COUNTIFS($J$4:$J460,$J460,$E$4:$E460,$E460)=1,$E460,""))</f>
        <v/>
      </c>
      <c r="M460" s="13" t="str">
        <f>IF($A460="","",IF(COUNTIFS($J$4:$J460,$J460,$F$4:$F460,$F460)=1,$F460,""))</f>
        <v/>
      </c>
    </row>
    <row r="461" spans="1:13" x14ac:dyDescent="0.35">
      <c r="A461" s="23" t="str">
        <f>IFERROR(М1_КАМАЗ55111_0591!B26,"")</f>
        <v>вул. Київська</v>
      </c>
      <c r="B461" s="23" t="str">
        <f>IFERROR(IF(М1_КАМАЗ55111_0591!C26="","",TEXT(М1_КАМАЗ55111_0591!C26,"General")),"")</f>
        <v>М-н Практика</v>
      </c>
      <c r="C461" s="24" t="str">
        <f>"Понеділок"</f>
        <v>Понеділок</v>
      </c>
      <c r="D461" s="24" t="str">
        <f>IFERROR(TEXT(М1_КАМАЗ55111_0591!D26,"h:mm"),"")</f>
        <v>10:20</v>
      </c>
      <c r="E461" s="24" t="str">
        <f t="shared" si="57"/>
        <v>№1</v>
      </c>
      <c r="F461" s="24" t="str">
        <f>"КАМАЗ 55111"</f>
        <v>КАМАЗ 55111</v>
      </c>
      <c r="G461" s="24" t="str">
        <f>"СВ 50-33 АР"</f>
        <v>СВ 50-33 АР</v>
      </c>
      <c r="H461" s="24">
        <f>IFERROR(М1_КАМАЗ55111_0591!G26,"")</f>
        <v>3</v>
      </c>
      <c r="J461" s="13" t="str">
        <f t="shared" si="55"/>
        <v>вул. Київська|М-н Практика</v>
      </c>
      <c r="K461" s="32">
        <f t="shared" si="56"/>
        <v>0.43055555555555558</v>
      </c>
      <c r="L461" s="13" t="str">
        <f>IF($A461="","",IF(COUNTIFS($J$4:$J461,$J461,$E$4:$E461,$E461)=1,$E461,""))</f>
        <v>№1</v>
      </c>
      <c r="M461" s="13" t="str">
        <f>IF($A461="","",IF(COUNTIFS($J$4:$J461,$J461,$F$4:$F461,$F461)=1,$F461,""))</f>
        <v>КАМАЗ 55111</v>
      </c>
    </row>
    <row r="462" spans="1:13" x14ac:dyDescent="0.35">
      <c r="A462" s="23" t="str">
        <f>IFERROR('М1-2_АТ4021-1120_0585'!B124,"")</f>
        <v>вул. Київська</v>
      </c>
      <c r="B462" s="23" t="str">
        <f>IFERROR(IF('М1-2_АТ4021-1120_0585'!C124="","",TEXT('М1-2_АТ4021-1120_0585'!C124,"General")),"")</f>
        <v>М-н Практика</v>
      </c>
      <c r="C462" s="24" t="str">
        <f>"Четвер"</f>
        <v>Четвер</v>
      </c>
      <c r="D462" s="24" t="str">
        <f>IFERROR(TEXT('М1-2_АТ4021-1120_0585'!D124,"h:mm"),"")</f>
        <v>13:10</v>
      </c>
      <c r="E462" s="24" t="str">
        <f t="shared" si="57"/>
        <v>№1</v>
      </c>
      <c r="F462" s="24" t="str">
        <f>"АТ-4021/1120"</f>
        <v>АТ-4021/1120</v>
      </c>
      <c r="G462" s="24" t="str">
        <f>"СВ 14-65 ЕО"</f>
        <v>СВ 14-65 ЕО</v>
      </c>
      <c r="H462" s="24">
        <f>IFERROR('М1-2_АТ4021-1120_0585'!G124,"")</f>
        <v>3</v>
      </c>
      <c r="J462" s="13" t="str">
        <f t="shared" si="55"/>
        <v>вул. Київська|М-н Практика</v>
      </c>
      <c r="K462" s="32">
        <f t="shared" si="56"/>
        <v>0.54861111111111116</v>
      </c>
      <c r="L462" s="13" t="str">
        <f>IF($A462="","",IF(COUNTIFS($J$4:$J462,$J462,$E$4:$E462,$E462)=1,$E462,""))</f>
        <v/>
      </c>
      <c r="M462" s="13" t="str">
        <f>IF($A462="","",IF(COUNTIFS($J$4:$J462,$J462,$F$4:$F462,$F462)=1,$F462,""))</f>
        <v>АТ-4021/1120</v>
      </c>
    </row>
    <row r="463" spans="1:13" x14ac:dyDescent="0.35">
      <c r="A463" s="23" t="str">
        <f>IFERROR(М1_КАМАЗ55111_0591!B129,"")</f>
        <v>вул. Київська</v>
      </c>
      <c r="B463" s="23" t="str">
        <f>IFERROR(IF(М1_КАМАЗ55111_0591!C129="","",TEXT(М1_КАМАЗ55111_0591!C129,"General")),"")</f>
        <v>М-н Практика</v>
      </c>
      <c r="C463" s="24" t="str">
        <f>"П'ятниця"</f>
        <v>П'ятниця</v>
      </c>
      <c r="D463" s="24" t="str">
        <f>IFERROR(TEXT(М1_КАМАЗ55111_0591!D129,"h:mm"),"")</f>
        <v>11:40</v>
      </c>
      <c r="E463" s="24" t="str">
        <f t="shared" si="57"/>
        <v>№1</v>
      </c>
      <c r="F463" s="24" t="str">
        <f>"КАМАЗ 55111"</f>
        <v>КАМАЗ 55111</v>
      </c>
      <c r="G463" s="24" t="str">
        <f>"СВ 50-33 АР"</f>
        <v>СВ 50-33 АР</v>
      </c>
      <c r="H463" s="24">
        <f>IFERROR(М1_КАМАЗ55111_0591!G129,"")</f>
        <v>3</v>
      </c>
      <c r="J463" s="13" t="str">
        <f t="shared" si="55"/>
        <v>вул. Київська|М-н Практика</v>
      </c>
      <c r="K463" s="32">
        <f t="shared" si="56"/>
        <v>0.4861111111111111</v>
      </c>
      <c r="L463" s="13" t="str">
        <f>IF($A463="","",IF(COUNTIFS($J$4:$J463,$J463,$E$4:$E463,$E463)=1,$E463,""))</f>
        <v/>
      </c>
      <c r="M463" s="13" t="str">
        <f>IF($A463="","",IF(COUNTIFS($J$4:$J463,$J463,$F$4:$F463,$F463)=1,$F463,""))</f>
        <v/>
      </c>
    </row>
    <row r="464" spans="1:13" x14ac:dyDescent="0.35">
      <c r="A464" s="23" t="str">
        <f>IFERROR('М1-2_АТ4021-1120_0585'!B159,"")</f>
        <v>вул. Київська</v>
      </c>
      <c r="B464" s="23" t="str">
        <f>IFERROR(IF('М1-2_АТ4021-1120_0585'!C159="","",TEXT('М1-2_АТ4021-1120_0585'!C159,"General")),"")</f>
        <v>М-н Практика</v>
      </c>
      <c r="C464" s="24" t="str">
        <f>"Неділя"</f>
        <v>Неділя</v>
      </c>
      <c r="D464" s="24" t="str">
        <f>IFERROR(TEXT('М1-2_АТ4021-1120_0585'!D159,"h:mm"),"")</f>
        <v>13:10</v>
      </c>
      <c r="E464" s="24" t="str">
        <f t="shared" si="57"/>
        <v>№1</v>
      </c>
      <c r="F464" s="24" t="str">
        <f>"АТ-4021/1120"</f>
        <v>АТ-4021/1120</v>
      </c>
      <c r="G464" s="24" t="str">
        <f>"СВ 14-65 ЕО"</f>
        <v>СВ 14-65 ЕО</v>
      </c>
      <c r="H464" s="24">
        <f>IFERROR('М1-2_АТ4021-1120_0585'!G159,"")</f>
        <v>3</v>
      </c>
      <c r="J464" s="13" t="str">
        <f t="shared" si="55"/>
        <v>вул. Київська|М-н Практика</v>
      </c>
      <c r="K464" s="32">
        <f t="shared" si="56"/>
        <v>0.54861111111111116</v>
      </c>
      <c r="L464" s="13" t="str">
        <f>IF($A464="","",IF(COUNTIFS($J$4:$J464,$J464,$E$4:$E464,$E464)=1,$E464,""))</f>
        <v/>
      </c>
      <c r="M464" s="13" t="str">
        <f>IF($A464="","",IF(COUNTIFS($J$4:$J464,$J464,$F$4:$F464,$F464)=1,$F464,""))</f>
        <v/>
      </c>
    </row>
    <row r="465" spans="1:13" x14ac:dyDescent="0.35">
      <c r="A465" s="23" t="str">
        <f>IFERROR(М1_КАМАЗ55111_0591!B27,"")</f>
        <v>вул. Київська</v>
      </c>
      <c r="B465" s="23" t="str">
        <f>IFERROR(IF(М1_КАМАЗ55111_0591!C27="","",TEXT(М1_КАМАЗ55111_0591!C27,"General")),"")</f>
        <v>Мийка</v>
      </c>
      <c r="C465" s="24" t="str">
        <f>"Понеділок"</f>
        <v>Понеділок</v>
      </c>
      <c r="D465" s="24" t="str">
        <f>IFERROR(TEXT(М1_КАМАЗ55111_0591!D27,"h:mm"),"")</f>
        <v>10:35</v>
      </c>
      <c r="E465" s="24" t="str">
        <f t="shared" si="57"/>
        <v>№1</v>
      </c>
      <c r="F465" s="24" t="str">
        <f>"КАМАЗ 55111"</f>
        <v>КАМАЗ 55111</v>
      </c>
      <c r="G465" s="24" t="str">
        <f>"СВ 50-33 АР"</f>
        <v>СВ 50-33 АР</v>
      </c>
      <c r="H465" s="24">
        <f>IFERROR(М1_КАМАЗ55111_0591!G27,"")</f>
        <v>1</v>
      </c>
      <c r="J465" s="13" t="str">
        <f t="shared" si="55"/>
        <v>вул. Київська|Мийка</v>
      </c>
      <c r="K465" s="32">
        <f t="shared" si="56"/>
        <v>0.44097222222222221</v>
      </c>
      <c r="L465" s="13" t="str">
        <f>IF($A465="","",IF(COUNTIFS($J$4:$J465,$J465,$E$4:$E465,$E465)=1,$E465,""))</f>
        <v>№1</v>
      </c>
      <c r="M465" s="13" t="str">
        <f>IF($A465="","",IF(COUNTIFS($J$4:$J465,$J465,$F$4:$F465,$F465)=1,$F465,""))</f>
        <v>КАМАЗ 55111</v>
      </c>
    </row>
    <row r="466" spans="1:13" x14ac:dyDescent="0.35">
      <c r="A466" s="23" t="str">
        <f>IFERROR('М1-2_АТ4021-1120_0585'!B123,"")</f>
        <v>вул. Київська</v>
      </c>
      <c r="B466" s="23" t="str">
        <f>IFERROR(IF('М1-2_АТ4021-1120_0585'!C123="","",TEXT('М1-2_АТ4021-1120_0585'!C123,"General")),"")</f>
        <v>Мийка</v>
      </c>
      <c r="C466" s="24" t="str">
        <f>"Четвер"</f>
        <v>Четвер</v>
      </c>
      <c r="D466" s="24" t="str">
        <f>IFERROR(TEXT('М1-2_АТ4021-1120_0585'!D123,"h:mm"),"")</f>
        <v>13:05</v>
      </c>
      <c r="E466" s="24" t="str">
        <f t="shared" si="57"/>
        <v>№1</v>
      </c>
      <c r="F466" s="24" t="str">
        <f>"АТ-4021/1120"</f>
        <v>АТ-4021/1120</v>
      </c>
      <c r="G466" s="24" t="str">
        <f>"СВ 14-65 ЕО"</f>
        <v>СВ 14-65 ЕО</v>
      </c>
      <c r="H466" s="24">
        <f>IFERROR('М1-2_АТ4021-1120_0585'!G123,"")</f>
        <v>1</v>
      </c>
      <c r="J466" s="13" t="str">
        <f t="shared" si="55"/>
        <v>вул. Київська|Мийка</v>
      </c>
      <c r="K466" s="32">
        <f t="shared" si="56"/>
        <v>0.54513888888888884</v>
      </c>
      <c r="L466" s="13" t="str">
        <f>IF($A466="","",IF(COUNTIFS($J$4:$J466,$J466,$E$4:$E466,$E466)=1,$E466,""))</f>
        <v/>
      </c>
      <c r="M466" s="13" t="str">
        <f>IF($A466="","",IF(COUNTIFS($J$4:$J466,$J466,$F$4:$F466,$F466)=1,$F466,""))</f>
        <v>АТ-4021/1120</v>
      </c>
    </row>
    <row r="467" spans="1:13" x14ac:dyDescent="0.35">
      <c r="A467" s="23" t="str">
        <f>IFERROR(М1_КАМАЗ55111_0591!B128,"")</f>
        <v>вул. Київська</v>
      </c>
      <c r="B467" s="23" t="str">
        <f>IFERROR(IF(М1_КАМАЗ55111_0591!C128="","",TEXT(М1_КАМАЗ55111_0591!C128,"General")),"")</f>
        <v>Мийка</v>
      </c>
      <c r="C467" s="24" t="str">
        <f>"П'ятниця"</f>
        <v>П'ятниця</v>
      </c>
      <c r="D467" s="24" t="str">
        <f>IFERROR(TEXT(М1_КАМАЗ55111_0591!D128,"h:mm"),"")</f>
        <v>11:35</v>
      </c>
      <c r="E467" s="24" t="str">
        <f t="shared" si="57"/>
        <v>№1</v>
      </c>
      <c r="F467" s="24" t="str">
        <f>"КАМАЗ 55111"</f>
        <v>КАМАЗ 55111</v>
      </c>
      <c r="G467" s="24" t="str">
        <f>"СВ 50-33 АР"</f>
        <v>СВ 50-33 АР</v>
      </c>
      <c r="H467" s="24">
        <f>IFERROR(М1_КАМАЗ55111_0591!G128,"")</f>
        <v>1</v>
      </c>
      <c r="J467" s="13" t="str">
        <f t="shared" si="55"/>
        <v>вул. Київська|Мийка</v>
      </c>
      <c r="K467" s="32">
        <f t="shared" si="56"/>
        <v>0.4826388888888889</v>
      </c>
      <c r="L467" s="13" t="str">
        <f>IF($A467="","",IF(COUNTIFS($J$4:$J467,$J467,$E$4:$E467,$E467)=1,$E467,""))</f>
        <v/>
      </c>
      <c r="M467" s="13" t="str">
        <f>IF($A467="","",IF(COUNTIFS($J$4:$J467,$J467,$F$4:$F467,$F467)=1,$F467,""))</f>
        <v/>
      </c>
    </row>
    <row r="468" spans="1:13" x14ac:dyDescent="0.35">
      <c r="A468" s="23" t="str">
        <f>IFERROR('М1-2_АТ4021-1120_0585'!B158,"")</f>
        <v>вул. Київська</v>
      </c>
      <c r="B468" s="23" t="str">
        <f>IFERROR(IF('М1-2_АТ4021-1120_0585'!C158="","",TEXT('М1-2_АТ4021-1120_0585'!C158,"General")),"")</f>
        <v>Мийка</v>
      </c>
      <c r="C468" s="24" t="str">
        <f>"Неділя"</f>
        <v>Неділя</v>
      </c>
      <c r="D468" s="24" t="str">
        <f>IFERROR(TEXT('М1-2_АТ4021-1120_0585'!D158,"h:mm"),"")</f>
        <v>13:05</v>
      </c>
      <c r="E468" s="24" t="str">
        <f t="shared" si="57"/>
        <v>№1</v>
      </c>
      <c r="F468" s="24" t="str">
        <f>"АТ-4021/1120"</f>
        <v>АТ-4021/1120</v>
      </c>
      <c r="G468" s="24" t="str">
        <f>"СВ 14-65 ЕО"</f>
        <v>СВ 14-65 ЕО</v>
      </c>
      <c r="H468" s="24">
        <f>IFERROR('М1-2_АТ4021-1120_0585'!G158,"")</f>
        <v>1</v>
      </c>
      <c r="J468" s="13" t="str">
        <f t="shared" si="55"/>
        <v>вул. Київська|Мийка</v>
      </c>
      <c r="K468" s="32">
        <f t="shared" si="56"/>
        <v>0.54513888888888884</v>
      </c>
      <c r="L468" s="13" t="str">
        <f>IF($A468="","",IF(COUNTIFS($J$4:$J468,$J468,$E$4:$E468,$E468)=1,$E468,""))</f>
        <v/>
      </c>
      <c r="M468" s="13" t="str">
        <f>IF($A468="","",IF(COUNTIFS($J$4:$J468,$J468,$F$4:$F468,$F468)=1,$F468,""))</f>
        <v/>
      </c>
    </row>
    <row r="469" spans="1:13" x14ac:dyDescent="0.35">
      <c r="A469" s="23" t="str">
        <f>IFERROR('М2_АТ4021-1120_0588'!B118,"")</f>
        <v>вул. Київська</v>
      </c>
      <c r="B469" s="23" t="str">
        <f>IFERROR(IF('М2_АТ4021-1120_0588'!C118="","",TEXT('М2_АТ4021-1120_0588'!C118,"General")),"")</f>
        <v>Нова пошта 3 біля АТБ</v>
      </c>
      <c r="C469" s="24" t="str">
        <f>"П'ятниця"</f>
        <v>П'ятниця</v>
      </c>
      <c r="D469" s="24" t="str">
        <f>IFERROR(TEXT('М2_АТ4021-1120_0588'!D118,"h:mm"),"")</f>
        <v>15:20</v>
      </c>
      <c r="E469" s="24" t="str">
        <f>"№2"</f>
        <v>№2</v>
      </c>
      <c r="F469" s="24" t="str">
        <f>"АТ 4021/1120"</f>
        <v>АТ 4021/1120</v>
      </c>
      <c r="G469" s="24" t="str">
        <f>"СВ 64-11 ЕТ"</f>
        <v>СВ 64-11 ЕТ</v>
      </c>
      <c r="H469" s="24">
        <f>IFERROR('М2_АТ4021-1120_0588'!G118,"")</f>
        <v>2</v>
      </c>
      <c r="J469" s="13" t="str">
        <f t="shared" si="55"/>
        <v>вул. Київська|Нова пошта 3 біля АТБ</v>
      </c>
      <c r="K469" s="32">
        <f t="shared" si="56"/>
        <v>0.63888888888888884</v>
      </c>
      <c r="L469" s="13" t="str">
        <f>IF($A469="","",IF(COUNTIFS($J$4:$J469,$J469,$E$4:$E469,$E469)=1,$E469,""))</f>
        <v>№2</v>
      </c>
      <c r="M469" s="13" t="str">
        <f>IF($A469="","",IF(COUNTIFS($J$4:$J469,$J469,$F$4:$F469,$F469)=1,$F469,""))</f>
        <v>АТ 4021/1120</v>
      </c>
    </row>
    <row r="470" spans="1:13" x14ac:dyDescent="0.35">
      <c r="A470" s="23" t="str">
        <f>IFERROR(М1_КАМАЗ55111_0591!B7,"")</f>
        <v>вул. Київська</v>
      </c>
      <c r="B470" s="23" t="str">
        <f>IFERROR(IF(М1_КАМАЗ55111_0591!C7="","",TEXT(М1_КАМАЗ55111_0591!C7,"General")),"")</f>
        <v>Ощадбанк</v>
      </c>
      <c r="C470" s="24" t="str">
        <f>"Понеділок"</f>
        <v>Понеділок</v>
      </c>
      <c r="D470" s="24" t="str">
        <f>IFERROR(TEXT(М1_КАМАЗ55111_0591!D7,"h:mm"),"")</f>
        <v>7:15</v>
      </c>
      <c r="E470" s="24" t="str">
        <f t="shared" ref="E470:E491" si="58">"№1"</f>
        <v>№1</v>
      </c>
      <c r="F470" s="24" t="str">
        <f>"КАМАЗ 55111"</f>
        <v>КАМАЗ 55111</v>
      </c>
      <c r="G470" s="24" t="str">
        <f>"СВ 50-33 АР"</f>
        <v>СВ 50-33 АР</v>
      </c>
      <c r="H470" s="24">
        <f>IFERROR(М1_КАМАЗ55111_0591!G7,"")</f>
        <v>3</v>
      </c>
      <c r="J470" s="13" t="str">
        <f t="shared" si="55"/>
        <v>вул. Київська|Ощадбанк</v>
      </c>
      <c r="K470" s="32">
        <f t="shared" si="56"/>
        <v>0.30208333333333331</v>
      </c>
      <c r="L470" s="13" t="str">
        <f>IF($A470="","",IF(COUNTIFS($J$4:$J470,$J470,$E$4:$E470,$E470)=1,$E470,""))</f>
        <v>№1</v>
      </c>
      <c r="M470" s="13" t="str">
        <f>IF($A470="","",IF(COUNTIFS($J$4:$J470,$J470,$F$4:$F470,$F470)=1,$F470,""))</f>
        <v>КАМАЗ 55111</v>
      </c>
    </row>
    <row r="471" spans="1:13" x14ac:dyDescent="0.35">
      <c r="A471" s="23" t="str">
        <f>IFERROR(М1_КАМАЗ55111_0591!B42,"")</f>
        <v>вул. Київська</v>
      </c>
      <c r="B471" s="23" t="str">
        <f>IFERROR(IF(М1_КАМАЗ55111_0591!C42="","",TEXT(М1_КАМАЗ55111_0591!C42,"General")),"")</f>
        <v>Ощадбанк</v>
      </c>
      <c r="C471" s="24" t="str">
        <f>"Вівторок"</f>
        <v>Вівторок</v>
      </c>
      <c r="D471" s="24" t="str">
        <f>IFERROR(TEXT(М1_КАМАЗ55111_0591!D42,"h:mm"),"")</f>
        <v>7:15</v>
      </c>
      <c r="E471" s="24" t="str">
        <f t="shared" si="58"/>
        <v>№1</v>
      </c>
      <c r="F471" s="24" t="str">
        <f>"КАМАЗ 55111"</f>
        <v>КАМАЗ 55111</v>
      </c>
      <c r="G471" s="24" t="str">
        <f>"СВ 50-33 АР"</f>
        <v>СВ 50-33 АР</v>
      </c>
      <c r="H471" s="24">
        <f>IFERROR(М1_КАМАЗ55111_0591!G42,"")</f>
        <v>3</v>
      </c>
      <c r="J471" s="13" t="str">
        <f t="shared" si="55"/>
        <v>вул. Київська|Ощадбанк</v>
      </c>
      <c r="K471" s="32">
        <f t="shared" si="56"/>
        <v>0.30208333333333331</v>
      </c>
      <c r="L471" s="13" t="str">
        <f>IF($A471="","",IF(COUNTIFS($J$4:$J471,$J471,$E$4:$E471,$E471)=1,$E471,""))</f>
        <v/>
      </c>
      <c r="M471" s="13" t="str">
        <f>IF($A471="","",IF(COUNTIFS($J$4:$J471,$J471,$F$4:$F471,$F471)=1,$F471,""))</f>
        <v/>
      </c>
    </row>
    <row r="472" spans="1:13" x14ac:dyDescent="0.35">
      <c r="A472" s="23" t="str">
        <f>IFERROR(М1_КАМАЗ55111_0591!B62,"")</f>
        <v>вул. Київська</v>
      </c>
      <c r="B472" s="23" t="str">
        <f>IFERROR(IF(М1_КАМАЗ55111_0591!C62="","",TEXT(М1_КАМАЗ55111_0591!C62,"General")),"")</f>
        <v>Ощадбанк</v>
      </c>
      <c r="C472" s="24" t="str">
        <f>"Вівторок"</f>
        <v>Вівторок</v>
      </c>
      <c r="D472" s="24" t="str">
        <f>IFERROR(TEXT(М1_КАМАЗ55111_0591!D62,"h:mm"),"")</f>
        <v>10:55</v>
      </c>
      <c r="E472" s="24" t="str">
        <f t="shared" si="58"/>
        <v>№1</v>
      </c>
      <c r="F472" s="24" t="str">
        <f>"КАМАЗ 55111"</f>
        <v>КАМАЗ 55111</v>
      </c>
      <c r="G472" s="24" t="str">
        <f>"СВ 50-33 АР"</f>
        <v>СВ 50-33 АР</v>
      </c>
      <c r="H472" s="24">
        <f>IFERROR(М1_КАМАЗ55111_0591!G62,"")</f>
        <v>3</v>
      </c>
      <c r="J472" s="13" t="str">
        <f t="shared" si="55"/>
        <v>вул. Київська|Ощадбанк</v>
      </c>
      <c r="K472" s="32">
        <f t="shared" si="56"/>
        <v>0.4548611111111111</v>
      </c>
      <c r="L472" s="13" t="str">
        <f>IF($A472="","",IF(COUNTIFS($J$4:$J472,$J472,$E$4:$E472,$E472)=1,$E472,""))</f>
        <v/>
      </c>
      <c r="M472" s="13" t="str">
        <f>IF($A472="","",IF(COUNTIFS($J$4:$J472,$J472,$F$4:$F472,$F472)=1,$F472,""))</f>
        <v/>
      </c>
    </row>
    <row r="473" spans="1:13" x14ac:dyDescent="0.35">
      <c r="A473" s="23" t="str">
        <f>IFERROR(М1_КАМАЗ55111_0591!B74,"")</f>
        <v>вул. Київська</v>
      </c>
      <c r="B473" s="23" t="str">
        <f>IFERROR(IF(М1_КАМАЗ55111_0591!C74="","",TEXT(М1_КАМАЗ55111_0591!C74,"General")),"")</f>
        <v>Ощадбанк</v>
      </c>
      <c r="C473" s="24" t="str">
        <f>"Середа"</f>
        <v>Середа</v>
      </c>
      <c r="D473" s="24" t="str">
        <f>IFERROR(TEXT(М1_КАМАЗ55111_0591!D74,"h:mm"),"")</f>
        <v>7:15</v>
      </c>
      <c r="E473" s="24" t="str">
        <f t="shared" si="58"/>
        <v>№1</v>
      </c>
      <c r="F473" s="24" t="str">
        <f>"КАМАЗ 55111"</f>
        <v>КАМАЗ 55111</v>
      </c>
      <c r="G473" s="24" t="str">
        <f>"СВ 50-33 АР"</f>
        <v>СВ 50-33 АР</v>
      </c>
      <c r="H473" s="24">
        <f>IFERROR(М1_КАМАЗ55111_0591!G74,"")</f>
        <v>3</v>
      </c>
      <c r="J473" s="13" t="str">
        <f t="shared" si="55"/>
        <v>вул. Київська|Ощадбанк</v>
      </c>
      <c r="K473" s="32">
        <f t="shared" si="56"/>
        <v>0.30208333333333331</v>
      </c>
      <c r="L473" s="13" t="str">
        <f>IF($A473="","",IF(COUNTIFS($J$4:$J473,$J473,$E$4:$E473,$E473)=1,$E473,""))</f>
        <v/>
      </c>
      <c r="M473" s="13" t="str">
        <f>IF($A473="","",IF(COUNTIFS($J$4:$J473,$J473,$F$4:$F473,$F473)=1,$F473,""))</f>
        <v/>
      </c>
    </row>
    <row r="474" spans="1:13" x14ac:dyDescent="0.35">
      <c r="A474" s="23" t="str">
        <f>IFERROR(М1_КАМАЗ55111_0591!B95,"")</f>
        <v>вул. Київська</v>
      </c>
      <c r="B474" s="23" t="str">
        <f>IFERROR(IF(М1_КАМАЗ55111_0591!C95="","",TEXT(М1_КАМАЗ55111_0591!C95,"General")),"")</f>
        <v>Ощадбанк</v>
      </c>
      <c r="C474" s="24" t="str">
        <f>"Середа"</f>
        <v>Середа</v>
      </c>
      <c r="D474" s="24" t="str">
        <f>IFERROR(TEXT(М1_КАМАЗ55111_0591!D95,"h:mm"),"")</f>
        <v>11:20</v>
      </c>
      <c r="E474" s="24" t="str">
        <f t="shared" si="58"/>
        <v>№1</v>
      </c>
      <c r="F474" s="24" t="str">
        <f>"КАМАЗ 55111"</f>
        <v>КАМАЗ 55111</v>
      </c>
      <c r="G474" s="24" t="str">
        <f>"СВ 50-33 АР"</f>
        <v>СВ 50-33 АР</v>
      </c>
      <c r="H474" s="24">
        <f>IFERROR(М1_КАМАЗ55111_0591!G95,"")</f>
        <v>3</v>
      </c>
      <c r="J474" s="13" t="str">
        <f t="shared" si="55"/>
        <v>вул. Київська|Ощадбанк</v>
      </c>
      <c r="K474" s="32">
        <f t="shared" si="56"/>
        <v>0.47222222222222221</v>
      </c>
      <c r="L474" s="13" t="str">
        <f>IF($A474="","",IF(COUNTIFS($J$4:$J474,$J474,$E$4:$E474,$E474)=1,$E474,""))</f>
        <v/>
      </c>
      <c r="M474" s="13" t="str">
        <f>IF($A474="","",IF(COUNTIFS($J$4:$J474,$J474,$F$4:$F474,$F474)=1,$F474,""))</f>
        <v/>
      </c>
    </row>
    <row r="475" spans="1:13" x14ac:dyDescent="0.35">
      <c r="A475" s="23" t="str">
        <f>IFERROR('М1-2_АТ4021-1120_0585'!B107,"")</f>
        <v>вул. Київська</v>
      </c>
      <c r="B475" s="23" t="str">
        <f>IFERROR(IF('М1-2_АТ4021-1120_0585'!C107="","",TEXT('М1-2_АТ4021-1120_0585'!C107,"General")),"")</f>
        <v>Ощадбанк</v>
      </c>
      <c r="C475" s="24" t="str">
        <f>"Четвер"</f>
        <v>Четвер</v>
      </c>
      <c r="D475" s="24" t="str">
        <f>IFERROR(TEXT('М1-2_АТ4021-1120_0585'!D107,"h:mm"),"")</f>
        <v>7:25</v>
      </c>
      <c r="E475" s="24" t="str">
        <f t="shared" si="58"/>
        <v>№1</v>
      </c>
      <c r="F475" s="24" t="str">
        <f>"АТ-4021/1120"</f>
        <v>АТ-4021/1120</v>
      </c>
      <c r="G475" s="24" t="str">
        <f>"СВ 14-65 ЕО"</f>
        <v>СВ 14-65 ЕО</v>
      </c>
      <c r="H475" s="24">
        <f>IFERROR('М1-2_АТ4021-1120_0585'!G107,"")</f>
        <v>3</v>
      </c>
      <c r="J475" s="13" t="str">
        <f t="shared" si="55"/>
        <v>вул. Київська|Ощадбанк</v>
      </c>
      <c r="K475" s="32">
        <f t="shared" si="56"/>
        <v>0.30902777777777779</v>
      </c>
      <c r="L475" s="13" t="str">
        <f>IF($A475="","",IF(COUNTIFS($J$4:$J475,$J475,$E$4:$E475,$E475)=1,$E475,""))</f>
        <v/>
      </c>
      <c r="M475" s="13" t="str">
        <f>IF($A475="","",IF(COUNTIFS($J$4:$J475,$J475,$F$4:$F475,$F475)=1,$F475,""))</f>
        <v>АТ-4021/1120</v>
      </c>
    </row>
    <row r="476" spans="1:13" x14ac:dyDescent="0.35">
      <c r="A476" s="23" t="str">
        <f>IFERROR(М1_КАМАЗ55111_0591!B106,"")</f>
        <v>вул. Київська</v>
      </c>
      <c r="B476" s="23" t="str">
        <f>IFERROR(IF(М1_КАМАЗ55111_0591!C106="","",TEXT(М1_КАМАЗ55111_0591!C106,"General")),"")</f>
        <v>Ощадбанк</v>
      </c>
      <c r="C476" s="24" t="str">
        <f>"П'ятниця"</f>
        <v>П'ятниця</v>
      </c>
      <c r="D476" s="24" t="str">
        <f>IFERROR(TEXT(М1_КАМАЗ55111_0591!D106,"h:mm"),"")</f>
        <v>7:15</v>
      </c>
      <c r="E476" s="24" t="str">
        <f t="shared" si="58"/>
        <v>№1</v>
      </c>
      <c r="F476" s="24" t="str">
        <f>"КАМАЗ 55111"</f>
        <v>КАМАЗ 55111</v>
      </c>
      <c r="G476" s="24" t="str">
        <f>"СВ 50-33 АР"</f>
        <v>СВ 50-33 АР</v>
      </c>
      <c r="H476" s="24">
        <f>IFERROR(М1_КАМАЗ55111_0591!G106,"")</f>
        <v>3</v>
      </c>
      <c r="J476" s="13" t="str">
        <f t="shared" si="55"/>
        <v>вул. Київська|Ощадбанк</v>
      </c>
      <c r="K476" s="32">
        <f t="shared" si="56"/>
        <v>0.30208333333333331</v>
      </c>
      <c r="L476" s="13" t="str">
        <f>IF($A476="","",IF(COUNTIFS($J$4:$J476,$J476,$E$4:$E476,$E476)=1,$E476,""))</f>
        <v/>
      </c>
      <c r="M476" s="13" t="str">
        <f>IF($A476="","",IF(COUNTIFS($J$4:$J476,$J476,$F$4:$F476,$F476)=1,$F476,""))</f>
        <v/>
      </c>
    </row>
    <row r="477" spans="1:13" x14ac:dyDescent="0.35">
      <c r="A477" s="23" t="str">
        <f>IFERROR(М1_КАМАЗ55111_0591!B141,"")</f>
        <v>вул. Київська</v>
      </c>
      <c r="B477" s="23" t="str">
        <f>IFERROR(IF(М1_КАМАЗ55111_0591!C141="","",TEXT(М1_КАМАЗ55111_0591!C141,"General")),"")</f>
        <v>Ощадбанк</v>
      </c>
      <c r="C477" s="24" t="str">
        <f>"Субота"</f>
        <v>Субота</v>
      </c>
      <c r="D477" s="24" t="str">
        <f>IFERROR(TEXT(М1_КАМАЗ55111_0591!D141,"h:mm"),"")</f>
        <v>7:15</v>
      </c>
      <c r="E477" s="24" t="str">
        <f t="shared" si="58"/>
        <v>№1</v>
      </c>
      <c r="F477" s="24" t="str">
        <f>"КАМАЗ 55111"</f>
        <v>КАМАЗ 55111</v>
      </c>
      <c r="G477" s="24" t="str">
        <f>"СВ 50-33 АР"</f>
        <v>СВ 50-33 АР</v>
      </c>
      <c r="H477" s="24">
        <f>IFERROR(М1_КАМАЗ55111_0591!G141,"")</f>
        <v>3</v>
      </c>
      <c r="J477" s="13" t="str">
        <f t="shared" si="55"/>
        <v>вул. Київська|Ощадбанк</v>
      </c>
      <c r="K477" s="32">
        <f t="shared" si="56"/>
        <v>0.30208333333333331</v>
      </c>
      <c r="L477" s="13" t="str">
        <f>IF($A477="","",IF(COUNTIFS($J$4:$J477,$J477,$E$4:$E477,$E477)=1,$E477,""))</f>
        <v/>
      </c>
      <c r="M477" s="13" t="str">
        <f>IF($A477="","",IF(COUNTIFS($J$4:$J477,$J477,$F$4:$F477,$F477)=1,$F477,""))</f>
        <v/>
      </c>
    </row>
    <row r="478" spans="1:13" x14ac:dyDescent="0.35">
      <c r="A478" s="23" t="str">
        <f>IFERROR(М1_КАМАЗ55111_0591!B161,"")</f>
        <v>вул. Київська</v>
      </c>
      <c r="B478" s="23" t="str">
        <f>IFERROR(IF(М1_КАМАЗ55111_0591!C161="","",TEXT(М1_КАМАЗ55111_0591!C161,"General")),"")</f>
        <v>Ощадбанк</v>
      </c>
      <c r="C478" s="24" t="str">
        <f>"Субота"</f>
        <v>Субота</v>
      </c>
      <c r="D478" s="24" t="str">
        <f>IFERROR(TEXT(М1_КАМАЗ55111_0591!D161,"h:mm"),"")</f>
        <v>10:55</v>
      </c>
      <c r="E478" s="24" t="str">
        <f t="shared" si="58"/>
        <v>№1</v>
      </c>
      <c r="F478" s="24" t="str">
        <f>"КАМАЗ 55111"</f>
        <v>КАМАЗ 55111</v>
      </c>
      <c r="G478" s="24" t="str">
        <f>"СВ 50-33 АР"</f>
        <v>СВ 50-33 АР</v>
      </c>
      <c r="H478" s="24">
        <f>IFERROR(М1_КАМАЗ55111_0591!G161,"")</f>
        <v>3</v>
      </c>
      <c r="J478" s="13" t="str">
        <f t="shared" si="55"/>
        <v>вул. Київська|Ощадбанк</v>
      </c>
      <c r="K478" s="32">
        <f t="shared" si="56"/>
        <v>0.4548611111111111</v>
      </c>
      <c r="L478" s="13" t="str">
        <f>IF($A478="","",IF(COUNTIFS($J$4:$J478,$J478,$E$4:$E478,$E478)=1,$E478,""))</f>
        <v/>
      </c>
      <c r="M478" s="13" t="str">
        <f>IF($A478="","",IF(COUNTIFS($J$4:$J478,$J478,$F$4:$F478,$F478)=1,$F478,""))</f>
        <v/>
      </c>
    </row>
    <row r="479" spans="1:13" x14ac:dyDescent="0.35">
      <c r="A479" s="23" t="str">
        <f>IFERROR('М1-2_АТ4021-1120_0585'!B142,"")</f>
        <v>вул. Київська</v>
      </c>
      <c r="B479" s="23" t="str">
        <f>IFERROR(IF('М1-2_АТ4021-1120_0585'!C142="","",TEXT('М1-2_АТ4021-1120_0585'!C142,"General")),"")</f>
        <v>Ощадбанк</v>
      </c>
      <c r="C479" s="24" t="str">
        <f>"Неділя"</f>
        <v>Неділя</v>
      </c>
      <c r="D479" s="24" t="str">
        <f>IFERROR(TEXT('М1-2_АТ4021-1120_0585'!D142,"h:mm"),"")</f>
        <v>7:25</v>
      </c>
      <c r="E479" s="24" t="str">
        <f t="shared" si="58"/>
        <v>№1</v>
      </c>
      <c r="F479" s="24" t="str">
        <f>"АТ-4021/1120"</f>
        <v>АТ-4021/1120</v>
      </c>
      <c r="G479" s="24" t="str">
        <f>"СВ 14-65 ЕО"</f>
        <v>СВ 14-65 ЕО</v>
      </c>
      <c r="H479" s="24">
        <f>IFERROR('М1-2_АТ4021-1120_0585'!G142,"")</f>
        <v>3</v>
      </c>
      <c r="J479" s="13" t="str">
        <f t="shared" si="55"/>
        <v>вул. Київська|Ощадбанк</v>
      </c>
      <c r="K479" s="32">
        <f t="shared" si="56"/>
        <v>0.30902777777777779</v>
      </c>
      <c r="L479" s="13" t="str">
        <f>IF($A479="","",IF(COUNTIFS($J$4:$J479,$J479,$E$4:$E479,$E479)=1,$E479,""))</f>
        <v/>
      </c>
      <c r="M479" s="13" t="str">
        <f>IF($A479="","",IF(COUNTIFS($J$4:$J479,$J479,$F$4:$F479,$F479)=1,$F479,""))</f>
        <v/>
      </c>
    </row>
    <row r="480" spans="1:13" x14ac:dyDescent="0.35">
      <c r="A480" s="23" t="str">
        <f>IFERROR(М1_КАМАЗ55111_0591!B12,"")</f>
        <v>вул. Київська</v>
      </c>
      <c r="B480" s="23" t="str">
        <f>IFERROR(IF(М1_КАМАЗ55111_0591!C12="","",TEXT(М1_КАМАЗ55111_0591!C12,"General")),"")</f>
        <v>Райлікарня</v>
      </c>
      <c r="C480" s="24" t="str">
        <f>"Понеділок"</f>
        <v>Понеділок</v>
      </c>
      <c r="D480" s="24" t="str">
        <f>IFERROR(TEXT(М1_КАМАЗ55111_0591!D12,"h:mm"),"")</f>
        <v>7:55</v>
      </c>
      <c r="E480" s="24" t="str">
        <f t="shared" si="58"/>
        <v>№1</v>
      </c>
      <c r="F480" s="24" t="str">
        <f>"КАМАЗ 55111"</f>
        <v>КАМАЗ 55111</v>
      </c>
      <c r="G480" s="24" t="str">
        <f>"СВ 50-33 АР"</f>
        <v>СВ 50-33 АР</v>
      </c>
      <c r="H480" s="24">
        <f>IFERROR(М1_КАМАЗ55111_0591!G12,"")</f>
        <v>3</v>
      </c>
      <c r="J480" s="13" t="str">
        <f t="shared" si="55"/>
        <v>вул. Київська|Райлікарня</v>
      </c>
      <c r="K480" s="32">
        <f t="shared" si="56"/>
        <v>0.3298611111111111</v>
      </c>
      <c r="L480" s="13" t="str">
        <f>IF($A480="","",IF(COUNTIFS($J$4:$J480,$J480,$E$4:$E480,$E480)=1,$E480,""))</f>
        <v>№1</v>
      </c>
      <c r="M480" s="13" t="str">
        <f>IF($A480="","",IF(COUNTIFS($J$4:$J480,$J480,$F$4:$F480,$F480)=1,$F480,""))</f>
        <v>КАМАЗ 55111</v>
      </c>
    </row>
    <row r="481" spans="1:13" x14ac:dyDescent="0.35">
      <c r="A481" s="23" t="str">
        <f>IFERROR(М1_КАМАЗ55111_0591!B47,"")</f>
        <v>вул. Київська</v>
      </c>
      <c r="B481" s="23" t="str">
        <f>IFERROR(IF(М1_КАМАЗ55111_0591!C47="","",TEXT(М1_КАМАЗ55111_0591!C47,"General")),"")</f>
        <v>Райлікарня</v>
      </c>
      <c r="C481" s="24" t="str">
        <f>"Вівторок"</f>
        <v>Вівторок</v>
      </c>
      <c r="D481" s="24" t="str">
        <f>IFERROR(TEXT(М1_КАМАЗ55111_0591!D47,"h:mm"),"")</f>
        <v>7:55</v>
      </c>
      <c r="E481" s="24" t="str">
        <f t="shared" si="58"/>
        <v>№1</v>
      </c>
      <c r="F481" s="24" t="str">
        <f>"КАМАЗ 55111"</f>
        <v>КАМАЗ 55111</v>
      </c>
      <c r="G481" s="24" t="str">
        <f>"СВ 50-33 АР"</f>
        <v>СВ 50-33 АР</v>
      </c>
      <c r="H481" s="24">
        <f>IFERROR(М1_КАМАЗ55111_0591!G47,"")</f>
        <v>3</v>
      </c>
      <c r="J481" s="13" t="str">
        <f t="shared" si="55"/>
        <v>вул. Київська|Райлікарня</v>
      </c>
      <c r="K481" s="32">
        <f t="shared" si="56"/>
        <v>0.3298611111111111</v>
      </c>
      <c r="L481" s="13" t="str">
        <f>IF($A481="","",IF(COUNTIFS($J$4:$J481,$J481,$E$4:$E481,$E481)=1,$E481,""))</f>
        <v/>
      </c>
      <c r="M481" s="13" t="str">
        <f>IF($A481="","",IF(COUNTIFS($J$4:$J481,$J481,$F$4:$F481,$F481)=1,$F481,""))</f>
        <v/>
      </c>
    </row>
    <row r="482" spans="1:13" x14ac:dyDescent="0.35">
      <c r="A482" s="23" t="str">
        <f>IFERROR(М1_КАМАЗ55111_0591!B79,"")</f>
        <v>вул. Київська</v>
      </c>
      <c r="B482" s="23" t="str">
        <f>IFERROR(IF(М1_КАМАЗ55111_0591!C79="","",TEXT(М1_КАМАЗ55111_0591!C79,"General")),"")</f>
        <v>Райлікарня</v>
      </c>
      <c r="C482" s="24" t="str">
        <f>"Середа"</f>
        <v>Середа</v>
      </c>
      <c r="D482" s="24" t="str">
        <f>IFERROR(TEXT(М1_КАМАЗ55111_0591!D79,"h:mm"),"")</f>
        <v>7:55</v>
      </c>
      <c r="E482" s="24" t="str">
        <f t="shared" si="58"/>
        <v>№1</v>
      </c>
      <c r="F482" s="24" t="str">
        <f>"КАМАЗ 55111"</f>
        <v>КАМАЗ 55111</v>
      </c>
      <c r="G482" s="24" t="str">
        <f>"СВ 50-33 АР"</f>
        <v>СВ 50-33 АР</v>
      </c>
      <c r="H482" s="24">
        <f>IFERROR(М1_КАМАЗ55111_0591!G79,"")</f>
        <v>3</v>
      </c>
      <c r="J482" s="13" t="str">
        <f t="shared" si="55"/>
        <v>вул. Київська|Райлікарня</v>
      </c>
      <c r="K482" s="32">
        <f t="shared" si="56"/>
        <v>0.3298611111111111</v>
      </c>
      <c r="L482" s="13" t="str">
        <f>IF($A482="","",IF(COUNTIFS($J$4:$J482,$J482,$E$4:$E482,$E482)=1,$E482,""))</f>
        <v/>
      </c>
      <c r="M482" s="13" t="str">
        <f>IF($A482="","",IF(COUNTIFS($J$4:$J482,$J482,$F$4:$F482,$F482)=1,$F482,""))</f>
        <v/>
      </c>
    </row>
    <row r="483" spans="1:13" x14ac:dyDescent="0.35">
      <c r="A483" s="23" t="str">
        <f>IFERROR('М1-2_АТ4021-1120_0585'!B114,"")</f>
        <v>вул. Київська</v>
      </c>
      <c r="B483" s="23" t="str">
        <f>IFERROR(IF('М1-2_АТ4021-1120_0585'!C114="","",TEXT('М1-2_АТ4021-1120_0585'!C114,"General")),"")</f>
        <v>Райлікарня</v>
      </c>
      <c r="C483" s="24" t="str">
        <f>"Четвер"</f>
        <v>Четвер</v>
      </c>
      <c r="D483" s="24" t="str">
        <f>IFERROR(TEXT('М1-2_АТ4021-1120_0585'!D114,"h:mm"),"")</f>
        <v>9:20</v>
      </c>
      <c r="E483" s="24" t="str">
        <f t="shared" si="58"/>
        <v>№1</v>
      </c>
      <c r="F483" s="24" t="str">
        <f>"АТ-4021/1120"</f>
        <v>АТ-4021/1120</v>
      </c>
      <c r="G483" s="24" t="str">
        <f>"СВ 14-65 ЕО"</f>
        <v>СВ 14-65 ЕО</v>
      </c>
      <c r="H483" s="24">
        <f>IFERROR('М1-2_АТ4021-1120_0585'!G114,"")</f>
        <v>4</v>
      </c>
      <c r="J483" s="13" t="str">
        <f t="shared" si="55"/>
        <v>вул. Київська|Райлікарня</v>
      </c>
      <c r="K483" s="32">
        <f t="shared" si="56"/>
        <v>0.3888888888888889</v>
      </c>
      <c r="L483" s="13" t="str">
        <f>IF($A483="","",IF(COUNTIFS($J$4:$J483,$J483,$E$4:$E483,$E483)=1,$E483,""))</f>
        <v/>
      </c>
      <c r="M483" s="13" t="str">
        <f>IF($A483="","",IF(COUNTIFS($J$4:$J483,$J483,$F$4:$F483,$F483)=1,$F483,""))</f>
        <v>АТ-4021/1120</v>
      </c>
    </row>
    <row r="484" spans="1:13" x14ac:dyDescent="0.35">
      <c r="A484" s="23" t="str">
        <f>IFERROR(М1_КАМАЗ55111_0591!B111,"")</f>
        <v>вул. Київська</v>
      </c>
      <c r="B484" s="23" t="str">
        <f>IFERROR(IF(М1_КАМАЗ55111_0591!C111="","",TEXT(М1_КАМАЗ55111_0591!C111,"General")),"")</f>
        <v>Райлікарня</v>
      </c>
      <c r="C484" s="24" t="str">
        <f>"П'ятниця"</f>
        <v>П'ятниця</v>
      </c>
      <c r="D484" s="24" t="str">
        <f>IFERROR(TEXT(М1_КАМАЗ55111_0591!D111,"h:mm"),"")</f>
        <v>7:55</v>
      </c>
      <c r="E484" s="24" t="str">
        <f t="shared" si="58"/>
        <v>№1</v>
      </c>
      <c r="F484" s="24" t="str">
        <f>"КАМАЗ 55111"</f>
        <v>КАМАЗ 55111</v>
      </c>
      <c r="G484" s="24" t="str">
        <f>"СВ 50-33 АР"</f>
        <v>СВ 50-33 АР</v>
      </c>
      <c r="H484" s="24">
        <f>IFERROR(М1_КАМАЗ55111_0591!G111,"")</f>
        <v>3</v>
      </c>
      <c r="J484" s="13" t="str">
        <f t="shared" si="55"/>
        <v>вул. Київська|Райлікарня</v>
      </c>
      <c r="K484" s="32">
        <f t="shared" si="56"/>
        <v>0.3298611111111111</v>
      </c>
      <c r="L484" s="13" t="str">
        <f>IF($A484="","",IF(COUNTIFS($J$4:$J484,$J484,$E$4:$E484,$E484)=1,$E484,""))</f>
        <v/>
      </c>
      <c r="M484" s="13" t="str">
        <f>IF($A484="","",IF(COUNTIFS($J$4:$J484,$J484,$F$4:$F484,$F484)=1,$F484,""))</f>
        <v/>
      </c>
    </row>
    <row r="485" spans="1:13" x14ac:dyDescent="0.35">
      <c r="A485" s="23" t="str">
        <f>IFERROR(М1_КАМАЗ55111_0591!B146,"")</f>
        <v>вул. Київська</v>
      </c>
      <c r="B485" s="23" t="str">
        <f>IFERROR(IF(М1_КАМАЗ55111_0591!C146="","",TEXT(М1_КАМАЗ55111_0591!C146,"General")),"")</f>
        <v>Райлікарня</v>
      </c>
      <c r="C485" s="24" t="str">
        <f>"Субота"</f>
        <v>Субота</v>
      </c>
      <c r="D485" s="24" t="str">
        <f>IFERROR(TEXT(М1_КАМАЗ55111_0591!D146,"h:mm"),"")</f>
        <v>7:55</v>
      </c>
      <c r="E485" s="24" t="str">
        <f t="shared" si="58"/>
        <v>№1</v>
      </c>
      <c r="F485" s="24" t="str">
        <f>"КАМАЗ 55111"</f>
        <v>КАМАЗ 55111</v>
      </c>
      <c r="G485" s="24" t="str">
        <f>"СВ 50-33 АР"</f>
        <v>СВ 50-33 АР</v>
      </c>
      <c r="H485" s="24">
        <f>IFERROR(М1_КАМАЗ55111_0591!G146,"")</f>
        <v>3</v>
      </c>
      <c r="J485" s="13" t="str">
        <f t="shared" si="55"/>
        <v>вул. Київська|Райлікарня</v>
      </c>
      <c r="K485" s="32">
        <f t="shared" si="56"/>
        <v>0.3298611111111111</v>
      </c>
      <c r="L485" s="13" t="str">
        <f>IF($A485="","",IF(COUNTIFS($J$4:$J485,$J485,$E$4:$E485,$E485)=1,$E485,""))</f>
        <v/>
      </c>
      <c r="M485" s="13" t="str">
        <f>IF($A485="","",IF(COUNTIFS($J$4:$J485,$J485,$F$4:$F485,$F485)=1,$F485,""))</f>
        <v/>
      </c>
    </row>
    <row r="486" spans="1:13" x14ac:dyDescent="0.35">
      <c r="A486" s="23" t="str">
        <f>IFERROR('М1-2_АТ4021-1120_0585'!B149,"")</f>
        <v>вул. Київська</v>
      </c>
      <c r="B486" s="23" t="str">
        <f>IFERROR(IF('М1-2_АТ4021-1120_0585'!C149="","",TEXT('М1-2_АТ4021-1120_0585'!C149,"General")),"")</f>
        <v>Райлікарня</v>
      </c>
      <c r="C486" s="24" t="str">
        <f>"Неділя"</f>
        <v>Неділя</v>
      </c>
      <c r="D486" s="24" t="str">
        <f>IFERROR(TEXT('М1-2_АТ4021-1120_0585'!D149,"h:mm"),"")</f>
        <v>9:20</v>
      </c>
      <c r="E486" s="24" t="str">
        <f t="shared" si="58"/>
        <v>№1</v>
      </c>
      <c r="F486" s="24" t="str">
        <f>"АТ-4021/1120"</f>
        <v>АТ-4021/1120</v>
      </c>
      <c r="G486" s="24" t="str">
        <f>"СВ 14-65 ЕО"</f>
        <v>СВ 14-65 ЕО</v>
      </c>
      <c r="H486" s="24">
        <f>IFERROR('М1-2_АТ4021-1120_0585'!G149,"")</f>
        <v>3</v>
      </c>
      <c r="J486" s="13" t="str">
        <f t="shared" si="55"/>
        <v>вул. Київська|Райлікарня</v>
      </c>
      <c r="K486" s="32">
        <f t="shared" si="56"/>
        <v>0.3888888888888889</v>
      </c>
      <c r="L486" s="13" t="str">
        <f>IF($A486="","",IF(COUNTIFS($J$4:$J486,$J486,$E$4:$E486,$E486)=1,$E486,""))</f>
        <v/>
      </c>
      <c r="M486" s="13" t="str">
        <f>IF($A486="","",IF(COUNTIFS($J$4:$J486,$J486,$F$4:$F486,$F486)=1,$F486,""))</f>
        <v/>
      </c>
    </row>
    <row r="487" spans="1:13" x14ac:dyDescent="0.35">
      <c r="A487" s="23" t="str">
        <f>IFERROR(М1_КАМАЗ55111_0591!B28,"")</f>
        <v>вул. Київська</v>
      </c>
      <c r="B487" s="23" t="str">
        <f>IFERROR(IF(М1_КАМАЗ55111_0591!C28="","",TEXT(М1_КАМАЗ55111_0591!C28,"General")),"")</f>
        <v>Сільпо</v>
      </c>
      <c r="C487" s="24" t="str">
        <f>"Понеділок"</f>
        <v>Понеділок</v>
      </c>
      <c r="D487" s="24" t="str">
        <f>IFERROR(TEXT(М1_КАМАЗ55111_0591!D28,"h:mm"),"")</f>
        <v>10:40</v>
      </c>
      <c r="E487" s="24" t="str">
        <f t="shared" si="58"/>
        <v>№1</v>
      </c>
      <c r="F487" s="24" t="str">
        <f>"КАМАЗ 55111"</f>
        <v>КАМАЗ 55111</v>
      </c>
      <c r="G487" s="24" t="str">
        <f>"СВ 50-33 АР"</f>
        <v>СВ 50-33 АР</v>
      </c>
      <c r="H487" s="24">
        <f>IFERROR(М1_КАМАЗ55111_0591!G28,"")</f>
        <v>2</v>
      </c>
      <c r="J487" s="13" t="str">
        <f t="shared" si="55"/>
        <v>вул. Київська|Сільпо</v>
      </c>
      <c r="K487" s="32">
        <f t="shared" si="56"/>
        <v>0.44444444444444442</v>
      </c>
      <c r="L487" s="13" t="str">
        <f>IF($A487="","",IF(COUNTIFS($J$4:$J487,$J487,$E$4:$E487,$E487)=1,$E487,""))</f>
        <v>№1</v>
      </c>
      <c r="M487" s="13" t="str">
        <f>IF($A487="","",IF(COUNTIFS($J$4:$J487,$J487,$F$4:$F487,$F487)=1,$F487,""))</f>
        <v>КАМАЗ 55111</v>
      </c>
    </row>
    <row r="488" spans="1:13" x14ac:dyDescent="0.35">
      <c r="A488" s="23" t="str">
        <f>IFERROR(М1_КАМАЗ55111_0591!B92,"")</f>
        <v>вул. Київська</v>
      </c>
      <c r="B488" s="23" t="str">
        <f>IFERROR(IF(М1_КАМАЗ55111_0591!C92="","",TEXT(М1_КАМАЗ55111_0591!C92,"General")),"")</f>
        <v>Сільпо</v>
      </c>
      <c r="C488" s="24" t="str">
        <f>"Середа"</f>
        <v>Середа</v>
      </c>
      <c r="D488" s="24" t="str">
        <f>IFERROR(TEXT(М1_КАМАЗ55111_0591!D92,"h:mm"),"")</f>
        <v>10:50</v>
      </c>
      <c r="E488" s="24" t="str">
        <f t="shared" si="58"/>
        <v>№1</v>
      </c>
      <c r="F488" s="24" t="str">
        <f>"КАМАЗ 55111"</f>
        <v>КАМАЗ 55111</v>
      </c>
      <c r="G488" s="24" t="str">
        <f>"СВ 50-33 АР"</f>
        <v>СВ 50-33 АР</v>
      </c>
      <c r="H488" s="24">
        <f>IFERROR(М1_КАМАЗ55111_0591!G92,"")</f>
        <v>2</v>
      </c>
      <c r="J488" s="13" t="str">
        <f t="shared" si="55"/>
        <v>вул. Київська|Сільпо</v>
      </c>
      <c r="K488" s="32">
        <f t="shared" si="56"/>
        <v>0.4513888888888889</v>
      </c>
      <c r="L488" s="13" t="str">
        <f>IF($A488="","",IF(COUNTIFS($J$4:$J488,$J488,$E$4:$E488,$E488)=1,$E488,""))</f>
        <v/>
      </c>
      <c r="M488" s="13" t="str">
        <f>IF($A488="","",IF(COUNTIFS($J$4:$J488,$J488,$F$4:$F488,$F488)=1,$F488,""))</f>
        <v/>
      </c>
    </row>
    <row r="489" spans="1:13" x14ac:dyDescent="0.35">
      <c r="A489" s="23" t="str">
        <f>IFERROR('М1-2_АТ4021-1120_0585'!B119,"")</f>
        <v>вул. Київська</v>
      </c>
      <c r="B489" s="23" t="str">
        <f>IFERROR(IF('М1-2_АТ4021-1120_0585'!C119="","",TEXT('М1-2_АТ4021-1120_0585'!C119,"General")),"")</f>
        <v>Сільпо</v>
      </c>
      <c r="C489" s="24" t="str">
        <f>"Четвер"</f>
        <v>Четвер</v>
      </c>
      <c r="D489" s="24" t="str">
        <f>IFERROR(TEXT('М1-2_АТ4021-1120_0585'!D119,"h:mm"),"")</f>
        <v>10:50</v>
      </c>
      <c r="E489" s="24" t="str">
        <f t="shared" si="58"/>
        <v>№1</v>
      </c>
      <c r="F489" s="24" t="str">
        <f>"АТ-4021/1120"</f>
        <v>АТ-4021/1120</v>
      </c>
      <c r="G489" s="24" t="str">
        <f>"СВ 14-65 ЕО"</f>
        <v>СВ 14-65 ЕО</v>
      </c>
      <c r="H489" s="24">
        <f>IFERROR('М1-2_АТ4021-1120_0585'!G119,"")</f>
        <v>2</v>
      </c>
      <c r="J489" s="13" t="str">
        <f t="shared" si="55"/>
        <v>вул. Київська|Сільпо</v>
      </c>
      <c r="K489" s="32">
        <f t="shared" si="56"/>
        <v>0.4513888888888889</v>
      </c>
      <c r="L489" s="13" t="str">
        <f>IF($A489="","",IF(COUNTIFS($J$4:$J489,$J489,$E$4:$E489,$E489)=1,$E489,""))</f>
        <v/>
      </c>
      <c r="M489" s="13" t="str">
        <f>IF($A489="","",IF(COUNTIFS($J$4:$J489,$J489,$F$4:$F489,$F489)=1,$F489,""))</f>
        <v>АТ-4021/1120</v>
      </c>
    </row>
    <row r="490" spans="1:13" x14ac:dyDescent="0.35">
      <c r="A490" s="23" t="str">
        <f>IFERROR(М1_КАМАЗ55111_0591!B127,"")</f>
        <v>вул. Київська</v>
      </c>
      <c r="B490" s="23" t="str">
        <f>IFERROR(IF(М1_КАМАЗ55111_0591!C127="","",TEXT(М1_КАМАЗ55111_0591!C127,"General")),"")</f>
        <v>Сільпо</v>
      </c>
      <c r="C490" s="24" t="str">
        <f>"П'ятниця"</f>
        <v>П'ятниця</v>
      </c>
      <c r="D490" s="24" t="str">
        <f>IFERROR(TEXT(М1_КАМАЗ55111_0591!D127,"h:mm"),"")</f>
        <v>11:25</v>
      </c>
      <c r="E490" s="24" t="str">
        <f t="shared" si="58"/>
        <v>№1</v>
      </c>
      <c r="F490" s="24" t="str">
        <f>"КАМАЗ 55111"</f>
        <v>КАМАЗ 55111</v>
      </c>
      <c r="G490" s="24" t="str">
        <f>"СВ 50-33 АР"</f>
        <v>СВ 50-33 АР</v>
      </c>
      <c r="H490" s="24">
        <f>IFERROR(М1_КАМАЗ55111_0591!G127,"")</f>
        <v>2</v>
      </c>
      <c r="J490" s="13" t="str">
        <f t="shared" si="55"/>
        <v>вул. Київська|Сільпо</v>
      </c>
      <c r="K490" s="32">
        <f t="shared" si="56"/>
        <v>0.47569444444444442</v>
      </c>
      <c r="L490" s="13" t="str">
        <f>IF($A490="","",IF(COUNTIFS($J$4:$J490,$J490,$E$4:$E490,$E490)=1,$E490,""))</f>
        <v/>
      </c>
      <c r="M490" s="13" t="str">
        <f>IF($A490="","",IF(COUNTIFS($J$4:$J490,$J490,$F$4:$F490,$F490)=1,$F490,""))</f>
        <v/>
      </c>
    </row>
    <row r="491" spans="1:13" x14ac:dyDescent="0.35">
      <c r="A491" s="23" t="str">
        <f>IFERROR('М1-2_АТ4021-1120_0585'!B155,"")</f>
        <v>вул. Київська</v>
      </c>
      <c r="B491" s="23" t="str">
        <f>IFERROR(IF('М1-2_АТ4021-1120_0585'!C155="","",TEXT('М1-2_АТ4021-1120_0585'!C155,"General")),"")</f>
        <v>Сільпо</v>
      </c>
      <c r="C491" s="24" t="str">
        <f>"Неділя"</f>
        <v>Неділя</v>
      </c>
      <c r="D491" s="24" t="str">
        <f>IFERROR(TEXT('М1-2_АТ4021-1120_0585'!D155,"h:mm"),"")</f>
        <v>12:00</v>
      </c>
      <c r="E491" s="24" t="str">
        <f t="shared" si="58"/>
        <v>№1</v>
      </c>
      <c r="F491" s="24" t="str">
        <f>"АТ-4021/1120"</f>
        <v>АТ-4021/1120</v>
      </c>
      <c r="G491" s="24" t="str">
        <f>"СВ 14-65 ЕО"</f>
        <v>СВ 14-65 ЕО</v>
      </c>
      <c r="H491" s="24">
        <f>IFERROR('М1-2_АТ4021-1120_0585'!G155,"")</f>
        <v>2</v>
      </c>
      <c r="J491" s="13" t="str">
        <f t="shared" si="55"/>
        <v>вул. Київська|Сільпо</v>
      </c>
      <c r="K491" s="32">
        <f t="shared" si="56"/>
        <v>0.5</v>
      </c>
      <c r="L491" s="13" t="str">
        <f>IF($A491="","",IF(COUNTIFS($J$4:$J491,$J491,$E$4:$E491,$E491)=1,$E491,""))</f>
        <v/>
      </c>
      <c r="M491" s="13" t="str">
        <f>IF($A491="","",IF(COUNTIFS($J$4:$J491,$J491,$F$4:$F491,$F491)=1,$F491,""))</f>
        <v/>
      </c>
    </row>
    <row r="492" spans="1:13" x14ac:dyDescent="0.35">
      <c r="A492" s="23" t="str">
        <f>IFERROR(М4_АТ4042ROD_0584!B28,"")</f>
        <v>вул. Київська</v>
      </c>
      <c r="B492" s="23" t="str">
        <f>IFERROR(IF(М4_АТ4042ROD_0584!C28="","",TEXT(М4_АТ4042ROD_0584!C28,"General")),"")</f>
        <v>Траш</v>
      </c>
      <c r="C492" s="24" t="str">
        <f>"Понеділок"</f>
        <v>Понеділок</v>
      </c>
      <c r="D492" s="24" t="str">
        <f>IFERROR(TEXT(М4_АТ4042ROD_0584!D28,"h:mm"),"")</f>
        <v>15:10</v>
      </c>
      <c r="E492" s="24" t="str">
        <f>"№4"</f>
        <v>№4</v>
      </c>
      <c r="F492" s="24" t="str">
        <f>"АТ 40-42/ROD21003"</f>
        <v>АТ 40-42/ROD21003</v>
      </c>
      <c r="G492" s="24" t="str">
        <f>"СВ 33-15 ЕО"</f>
        <v>СВ 33-15 ЕО</v>
      </c>
      <c r="H492" s="24">
        <f>IFERROR(М4_АТ4042ROD_0584!G28,"")</f>
        <v>2</v>
      </c>
      <c r="J492" s="13" t="str">
        <f t="shared" si="55"/>
        <v>вул. Київська|Траш</v>
      </c>
      <c r="K492" s="32">
        <f t="shared" si="56"/>
        <v>0.63194444444444442</v>
      </c>
      <c r="L492" s="13" t="str">
        <f>IF($A492="","",IF(COUNTIFS($J$4:$J492,$J492,$E$4:$E492,$E492)=1,$E492,""))</f>
        <v>№4</v>
      </c>
      <c r="M492" s="13" t="str">
        <f>IF($A492="","",IF(COUNTIFS($J$4:$J492,$J492,$F$4:$F492,$F492)=1,$F492,""))</f>
        <v>АТ 40-42/ROD21003</v>
      </c>
    </row>
    <row r="493" spans="1:13" x14ac:dyDescent="0.35">
      <c r="A493" s="23" t="str">
        <f>IFERROR(М4_АТ4042ROD_0584!B63,"")</f>
        <v>вул. Київська</v>
      </c>
      <c r="B493" s="23" t="str">
        <f>IFERROR(IF(М4_АТ4042ROD_0584!C63="","",TEXT(М4_АТ4042ROD_0584!C63,"General")),"")</f>
        <v>Траш</v>
      </c>
      <c r="C493" s="24" t="str">
        <f>"Вівторок"</f>
        <v>Вівторок</v>
      </c>
      <c r="D493" s="24" t="str">
        <f>IFERROR(TEXT(М4_АТ4042ROD_0584!D63,"h:mm"),"")</f>
        <v>15:40</v>
      </c>
      <c r="E493" s="24" t="str">
        <f>"№4"</f>
        <v>№4</v>
      </c>
      <c r="F493" s="24" t="str">
        <f>"АТ 40-42/ROD21003"</f>
        <v>АТ 40-42/ROD21003</v>
      </c>
      <c r="G493" s="24" t="str">
        <f>"СВ 33-15 ЕО"</f>
        <v>СВ 33-15 ЕО</v>
      </c>
      <c r="H493" s="24">
        <f>IFERROR(М4_АТ4042ROD_0584!G63,"")</f>
        <v>2</v>
      </c>
      <c r="J493" s="13" t="str">
        <f t="shared" si="55"/>
        <v>вул. Київська|Траш</v>
      </c>
      <c r="K493" s="32">
        <f t="shared" si="56"/>
        <v>0.65277777777777779</v>
      </c>
      <c r="L493" s="13" t="str">
        <f>IF($A493="","",IF(COUNTIFS($J$4:$J493,$J493,$E$4:$E493,$E493)=1,$E493,""))</f>
        <v/>
      </c>
      <c r="M493" s="13" t="str">
        <f>IF($A493="","",IF(COUNTIFS($J$4:$J493,$J493,$F$4:$F493,$F493)=1,$F493,""))</f>
        <v/>
      </c>
    </row>
    <row r="494" spans="1:13" x14ac:dyDescent="0.35">
      <c r="A494" s="23" t="str">
        <f>IFERROR(М4_АТ4042ROD_0584!B94,"")</f>
        <v>вул. Київська</v>
      </c>
      <c r="B494" s="23" t="str">
        <f>IFERROR(IF(М4_АТ4042ROD_0584!C94="","",TEXT(М4_АТ4042ROD_0584!C94,"General")),"")</f>
        <v>Траш</v>
      </c>
      <c r="C494" s="24" t="str">
        <f>"Четвер"</f>
        <v>Четвер</v>
      </c>
      <c r="D494" s="24" t="str">
        <f>IFERROR(TEXT(М4_АТ4042ROD_0584!D94,"h:mm"),"")</f>
        <v>15:10</v>
      </c>
      <c r="E494" s="24" t="str">
        <f>"№4"</f>
        <v>№4</v>
      </c>
      <c r="F494" s="24" t="str">
        <f>"АТ 40-42/ROD21003"</f>
        <v>АТ 40-42/ROD21003</v>
      </c>
      <c r="G494" s="24" t="str">
        <f>"СВ 33-15 ЕО"</f>
        <v>СВ 33-15 ЕО</v>
      </c>
      <c r="H494" s="24">
        <f>IFERROR(М4_АТ4042ROD_0584!G94,"")</f>
        <v>2</v>
      </c>
      <c r="J494" s="13" t="str">
        <f t="shared" si="55"/>
        <v>вул. Київська|Траш</v>
      </c>
      <c r="K494" s="32">
        <f t="shared" si="56"/>
        <v>0.63194444444444442</v>
      </c>
      <c r="L494" s="13" t="str">
        <f>IF($A494="","",IF(COUNTIFS($J$4:$J494,$J494,$E$4:$E494,$E494)=1,$E494,""))</f>
        <v/>
      </c>
      <c r="M494" s="13" t="str">
        <f>IF($A494="","",IF(COUNTIFS($J$4:$J494,$J494,$F$4:$F494,$F494)=1,$F494,""))</f>
        <v/>
      </c>
    </row>
    <row r="495" spans="1:13" x14ac:dyDescent="0.35">
      <c r="A495" s="23" t="str">
        <f>IFERROR(М4_АТ4042ROD_0584!B129,"")</f>
        <v>вул. Київська</v>
      </c>
      <c r="B495" s="23" t="str">
        <f>IFERROR(IF(М4_АТ4042ROD_0584!C129="","",TEXT(М4_АТ4042ROD_0584!C129,"General")),"")</f>
        <v>Траш</v>
      </c>
      <c r="C495" s="24" t="str">
        <f>"П'ятниця"</f>
        <v>П'ятниця</v>
      </c>
      <c r="D495" s="24" t="str">
        <f>IFERROR(TEXT(М4_АТ4042ROD_0584!D129,"h:mm"),"")</f>
        <v>15:30</v>
      </c>
      <c r="E495" s="24" t="str">
        <f>"№4"</f>
        <v>№4</v>
      </c>
      <c r="F495" s="24" t="str">
        <f>"АТ 40-42/ROD21003"</f>
        <v>АТ 40-42/ROD21003</v>
      </c>
      <c r="G495" s="24" t="str">
        <f>"СВ 33-15 ЕО"</f>
        <v>СВ 33-15 ЕО</v>
      </c>
      <c r="H495" s="24">
        <f>IFERROR(М4_АТ4042ROD_0584!G129,"")</f>
        <v>2</v>
      </c>
      <c r="J495" s="13" t="str">
        <f t="shared" si="55"/>
        <v>вул. Київська|Траш</v>
      </c>
      <c r="K495" s="32">
        <f t="shared" si="56"/>
        <v>0.64583333333333337</v>
      </c>
      <c r="L495" s="13" t="str">
        <f>IF($A495="","",IF(COUNTIFS($J$4:$J495,$J495,$E$4:$E495,$E495)=1,$E495,""))</f>
        <v/>
      </c>
      <c r="M495" s="13" t="str">
        <f>IF($A495="","",IF(COUNTIFS($J$4:$J495,$J495,$F$4:$F495,$F495)=1,$F495,""))</f>
        <v/>
      </c>
    </row>
    <row r="496" spans="1:13" x14ac:dyDescent="0.35">
      <c r="A496" s="23" t="str">
        <f>IFERROR(М4_АТ4042ROD_0584!B159,"")</f>
        <v>вул. Київська</v>
      </c>
      <c r="B496" s="23" t="str">
        <f>IFERROR(IF(М4_АТ4042ROD_0584!C159="","",TEXT(М4_АТ4042ROD_0584!C159,"General")),"")</f>
        <v>Траш</v>
      </c>
      <c r="C496" s="24" t="str">
        <f>"Неділя"</f>
        <v>Неділя</v>
      </c>
      <c r="D496" s="24" t="str">
        <f>IFERROR(TEXT(М4_АТ4042ROD_0584!D159,"h:mm"),"")</f>
        <v>15:10</v>
      </c>
      <c r="E496" s="24" t="str">
        <f>"№4"</f>
        <v>№4</v>
      </c>
      <c r="F496" s="24" t="str">
        <f>"АТ 40-42/ROD21003"</f>
        <v>АТ 40-42/ROD21003</v>
      </c>
      <c r="G496" s="24" t="str">
        <f>"СВ 33-15 ЕО"</f>
        <v>СВ 33-15 ЕО</v>
      </c>
      <c r="H496" s="24">
        <f>IFERROR(М4_АТ4042ROD_0584!G159,"")</f>
        <v>3</v>
      </c>
      <c r="J496" s="13" t="str">
        <f t="shared" si="55"/>
        <v>вул. Київська|Траш</v>
      </c>
      <c r="K496" s="32">
        <f t="shared" si="56"/>
        <v>0.63194444444444442</v>
      </c>
      <c r="L496" s="13" t="str">
        <f>IF($A496="","",IF(COUNTIFS($J$4:$J496,$J496,$E$4:$E496,$E496)=1,$E496,""))</f>
        <v/>
      </c>
      <c r="M496" s="13" t="str">
        <f>IF($A496="","",IF(COUNTIFS($J$4:$J496,$J496,$F$4:$F496,$F496)=1,$F496,""))</f>
        <v/>
      </c>
    </row>
    <row r="497" spans="1:13" x14ac:dyDescent="0.35">
      <c r="A497" s="23" t="str">
        <f>IFERROR('М2_АТ4021-1120_0588'!B88,"")</f>
        <v>вул. Київська</v>
      </c>
      <c r="B497" s="23" t="str">
        <f>IFERROR(IF('М2_АТ4021-1120_0588'!C88="","",TEXT('М2_АТ4021-1120_0588'!C88,"General")),"")</f>
        <v>УБР</v>
      </c>
      <c r="C497" s="24" t="str">
        <f>"Четвер"</f>
        <v>Четвер</v>
      </c>
      <c r="D497" s="24" t="str">
        <f>IFERROR(TEXT('М2_АТ4021-1120_0588'!D88,"h:mm"),"")</f>
        <v>15:05</v>
      </c>
      <c r="E497" s="24" t="str">
        <f>"№2"</f>
        <v>№2</v>
      </c>
      <c r="F497" s="24" t="str">
        <f>"АТ 4021/1120"</f>
        <v>АТ 4021/1120</v>
      </c>
      <c r="G497" s="24" t="str">
        <f>"СВ 64-11 ЕТ"</f>
        <v>СВ 64-11 ЕТ</v>
      </c>
      <c r="H497" s="24">
        <f>IFERROR('М2_АТ4021-1120_0588'!G88,"")</f>
        <v>1</v>
      </c>
      <c r="J497" s="13" t="str">
        <f t="shared" si="55"/>
        <v>вул. Київська|УБР</v>
      </c>
      <c r="K497" s="32">
        <f t="shared" si="56"/>
        <v>0.62847222222222221</v>
      </c>
      <c r="L497" s="13" t="str">
        <f>IF($A497="","",IF(COUNTIFS($J$4:$J497,$J497,$E$4:$E497,$E497)=1,$E497,""))</f>
        <v>№2</v>
      </c>
      <c r="M497" s="13" t="str">
        <f>IF($A497="","",IF(COUNTIFS($J$4:$J497,$J497,$F$4:$F497,$F497)=1,$F497,""))</f>
        <v>АТ 4021/1120</v>
      </c>
    </row>
    <row r="498" spans="1:13" x14ac:dyDescent="0.35">
      <c r="A498" s="23" t="str">
        <f>IFERROR('М2_АТ4021-1120_0588'!B27,"")</f>
        <v>вул. Київська</v>
      </c>
      <c r="B498" s="23" t="str">
        <f>IFERROR(IF('М2_АТ4021-1120_0588'!C27="","",TEXT('М2_АТ4021-1120_0588'!C27,"General")),"")</f>
        <v>Франсуа</v>
      </c>
      <c r="C498" s="24" t="str">
        <f>"Понеділок"</f>
        <v>Понеділок</v>
      </c>
      <c r="D498" s="24" t="str">
        <f>IFERROR(TEXT('М2_АТ4021-1120_0588'!D27,"h:mm"),"")</f>
        <v>15:30</v>
      </c>
      <c r="E498" s="24" t="str">
        <f>"№2"</f>
        <v>№2</v>
      </c>
      <c r="F498" s="24" t="str">
        <f>"АТ 4021/1120"</f>
        <v>АТ 4021/1120</v>
      </c>
      <c r="G498" s="24" t="str">
        <f>"СВ 64-11 ЕТ"</f>
        <v>СВ 64-11 ЕТ</v>
      </c>
      <c r="H498" s="24">
        <f>IFERROR('М2_АТ4021-1120_0588'!G27,"")</f>
        <v>1</v>
      </c>
      <c r="J498" s="13" t="str">
        <f t="shared" si="55"/>
        <v>вул. Київська|Франсуа</v>
      </c>
      <c r="K498" s="32">
        <f t="shared" si="56"/>
        <v>0.64583333333333337</v>
      </c>
      <c r="L498" s="13" t="str">
        <f>IF($A498="","",IF(COUNTIFS($J$4:$J498,$J498,$E$4:$E498,$E498)=1,$E498,""))</f>
        <v>№2</v>
      </c>
      <c r="M498" s="13" t="str">
        <f>IF($A498="","",IF(COUNTIFS($J$4:$J498,$J498,$F$4:$F498,$F498)=1,$F498,""))</f>
        <v>АТ 4021/1120</v>
      </c>
    </row>
    <row r="499" spans="1:13" x14ac:dyDescent="0.35">
      <c r="A499" s="23" t="str">
        <f>IFERROR(М1_КАМАЗ55111_0591!B15,"")</f>
        <v>вул. Київська</v>
      </c>
      <c r="B499" s="23" t="str">
        <f>IFERROR(IF(М1_КАМАЗ55111_0591!C15="","",TEXT(М1_КАМАЗ55111_0591!C15,"General")),"")</f>
        <v>ЦМЛ</v>
      </c>
      <c r="C499" s="24" t="str">
        <f>"Понеділок"</f>
        <v>Понеділок</v>
      </c>
      <c r="D499" s="24" t="str">
        <f>IFERROR(TEXT(М1_КАМАЗ55111_0591!D15,"h:mm"),"")</f>
        <v>8:25</v>
      </c>
      <c r="E499" s="24" t="str">
        <f>"№1"</f>
        <v>№1</v>
      </c>
      <c r="F499" s="24" t="str">
        <f>"КАМАЗ 55111"</f>
        <v>КАМАЗ 55111</v>
      </c>
      <c r="G499" s="24" t="str">
        <f>"СВ 50-33 АР"</f>
        <v>СВ 50-33 АР</v>
      </c>
      <c r="H499" s="24">
        <f>IFERROR(М1_КАМАЗ55111_0591!G15,"")</f>
        <v>3</v>
      </c>
      <c r="J499" s="13" t="str">
        <f t="shared" si="55"/>
        <v>вул. Київська|ЦМЛ</v>
      </c>
      <c r="K499" s="32">
        <f t="shared" si="56"/>
        <v>0.35069444444444442</v>
      </c>
      <c r="L499" s="13" t="str">
        <f>IF($A499="","",IF(COUNTIFS($J$4:$J499,$J499,$E$4:$E499,$E499)=1,$E499,""))</f>
        <v>№1</v>
      </c>
      <c r="M499" s="13" t="str">
        <f>IF($A499="","",IF(COUNTIFS($J$4:$J499,$J499,$F$4:$F499,$F499)=1,$F499,""))</f>
        <v>КАМАЗ 55111</v>
      </c>
    </row>
    <row r="500" spans="1:13" x14ac:dyDescent="0.35">
      <c r="A500" s="23" t="str">
        <f>IFERROR(М4_АТ4042ROD_0584!B23,"")</f>
        <v>вул. Київська</v>
      </c>
      <c r="B500" s="23" t="str">
        <f>IFERROR(IF(М4_АТ4042ROD_0584!C23="","",TEXT(М4_АТ4042ROD_0584!C23,"General")),"")</f>
        <v>ЦМЛ</v>
      </c>
      <c r="C500" s="24" t="str">
        <f>"Понеділок"</f>
        <v>Понеділок</v>
      </c>
      <c r="D500" s="24" t="str">
        <f>IFERROR(TEXT(М4_АТ4042ROD_0584!D23,"h:mm"),"")</f>
        <v>13:40</v>
      </c>
      <c r="E500" s="24" t="str">
        <f>"№4"</f>
        <v>№4</v>
      </c>
      <c r="F500" s="24" t="str">
        <f>"АТ 40-42/ROD21003"</f>
        <v>АТ 40-42/ROD21003</v>
      </c>
      <c r="G500" s="24" t="str">
        <f>"СВ 33-15 ЕО"</f>
        <v>СВ 33-15 ЕО</v>
      </c>
      <c r="H500" s="24">
        <f>IFERROR(М4_АТ4042ROD_0584!G23,"")</f>
        <v>4</v>
      </c>
      <c r="J500" s="13" t="str">
        <f t="shared" si="55"/>
        <v>вул. Київська|ЦМЛ</v>
      </c>
      <c r="K500" s="32">
        <f t="shared" si="56"/>
        <v>0.56944444444444442</v>
      </c>
      <c r="L500" s="13" t="str">
        <f>IF($A500="","",IF(COUNTIFS($J$4:$J500,$J500,$E$4:$E500,$E500)=1,$E500,""))</f>
        <v>№4</v>
      </c>
      <c r="M500" s="13" t="str">
        <f>IF($A500="","",IF(COUNTIFS($J$4:$J500,$J500,$F$4:$F500,$F500)=1,$F500,""))</f>
        <v>АТ 40-42/ROD21003</v>
      </c>
    </row>
    <row r="501" spans="1:13" x14ac:dyDescent="0.35">
      <c r="A501" s="23" t="str">
        <f>IFERROR(М1_КАМАЗ55111_0591!B50,"")</f>
        <v>вул. Київська</v>
      </c>
      <c r="B501" s="23" t="str">
        <f>IFERROR(IF(М1_КАМАЗ55111_0591!C50="","",TEXT(М1_КАМАЗ55111_0591!C50,"General")),"")</f>
        <v>ЦМЛ</v>
      </c>
      <c r="C501" s="24" t="str">
        <f>"Вівторок"</f>
        <v>Вівторок</v>
      </c>
      <c r="D501" s="24" t="str">
        <f>IFERROR(TEXT(М1_КАМАЗ55111_0591!D50,"h:mm"),"")</f>
        <v>8:25</v>
      </c>
      <c r="E501" s="24" t="str">
        <f>"№1"</f>
        <v>№1</v>
      </c>
      <c r="F501" s="24" t="str">
        <f>"КАМАЗ 55111"</f>
        <v>КАМАЗ 55111</v>
      </c>
      <c r="G501" s="24" t="str">
        <f>"СВ 50-33 АР"</f>
        <v>СВ 50-33 АР</v>
      </c>
      <c r="H501" s="24">
        <f>IFERROR(М1_КАМАЗ55111_0591!G50,"")</f>
        <v>3</v>
      </c>
      <c r="J501" s="13" t="str">
        <f t="shared" si="55"/>
        <v>вул. Київська|ЦМЛ</v>
      </c>
      <c r="K501" s="32">
        <f t="shared" si="56"/>
        <v>0.35069444444444442</v>
      </c>
      <c r="L501" s="13" t="str">
        <f>IF($A501="","",IF(COUNTIFS($J$4:$J501,$J501,$E$4:$E501,$E501)=1,$E501,""))</f>
        <v/>
      </c>
      <c r="M501" s="13" t="str">
        <f>IF($A501="","",IF(COUNTIFS($J$4:$J501,$J501,$F$4:$F501,$F501)=1,$F501,""))</f>
        <v/>
      </c>
    </row>
    <row r="502" spans="1:13" x14ac:dyDescent="0.35">
      <c r="A502" s="23" t="str">
        <f>IFERROR(М4_АТ4042ROD_0584!B54,"")</f>
        <v>вул. Київська</v>
      </c>
      <c r="B502" s="23" t="str">
        <f>IFERROR(IF(М4_АТ4042ROD_0584!C54="","",TEXT(М4_АТ4042ROD_0584!C54,"General")),"")</f>
        <v>ЦМЛ</v>
      </c>
      <c r="C502" s="24" t="str">
        <f>"Вівторок"</f>
        <v>Вівторок</v>
      </c>
      <c r="D502" s="24" t="str">
        <f>IFERROR(TEXT(М4_АТ4042ROD_0584!D54,"h:mm"),"")</f>
        <v>13:25</v>
      </c>
      <c r="E502" s="24" t="str">
        <f>"№4"</f>
        <v>№4</v>
      </c>
      <c r="F502" s="24" t="str">
        <f>"АТ 40-42/ROD21003"</f>
        <v>АТ 40-42/ROD21003</v>
      </c>
      <c r="G502" s="24" t="str">
        <f>"СВ 33-15 ЕО"</f>
        <v>СВ 33-15 ЕО</v>
      </c>
      <c r="H502" s="24">
        <f>IFERROR(М4_АТ4042ROD_0584!G54,"")</f>
        <v>4</v>
      </c>
      <c r="J502" s="13" t="str">
        <f t="shared" si="55"/>
        <v>вул. Київська|ЦМЛ</v>
      </c>
      <c r="K502" s="32">
        <f t="shared" si="56"/>
        <v>0.55902777777777779</v>
      </c>
      <c r="L502" s="13" t="str">
        <f>IF($A502="","",IF(COUNTIFS($J$4:$J502,$J502,$E$4:$E502,$E502)=1,$E502,""))</f>
        <v/>
      </c>
      <c r="M502" s="13" t="str">
        <f>IF($A502="","",IF(COUNTIFS($J$4:$J502,$J502,$F$4:$F502,$F502)=1,$F502,""))</f>
        <v/>
      </c>
    </row>
    <row r="503" spans="1:13" x14ac:dyDescent="0.35">
      <c r="A503" s="23" t="str">
        <f>IFERROR(М1_КАМАЗ55111_0591!B82,"")</f>
        <v>вул. Київська</v>
      </c>
      <c r="B503" s="23" t="str">
        <f>IFERROR(IF(М1_КАМАЗ55111_0591!C82="","",TEXT(М1_КАМАЗ55111_0591!C82,"General")),"")</f>
        <v>ЦМЛ</v>
      </c>
      <c r="C503" s="24" t="str">
        <f>"Середа"</f>
        <v>Середа</v>
      </c>
      <c r="D503" s="24" t="str">
        <f>IFERROR(TEXT(М1_КАМАЗ55111_0591!D82,"h:mm"),"")</f>
        <v>8:25</v>
      </c>
      <c r="E503" s="24" t="str">
        <f>"№1"</f>
        <v>№1</v>
      </c>
      <c r="F503" s="24" t="str">
        <f>"КАМАЗ 55111"</f>
        <v>КАМАЗ 55111</v>
      </c>
      <c r="G503" s="24" t="str">
        <f>"СВ 50-33 АР"</f>
        <v>СВ 50-33 АР</v>
      </c>
      <c r="H503" s="24">
        <f>IFERROR(М1_КАМАЗ55111_0591!G82,"")</f>
        <v>3</v>
      </c>
      <c r="J503" s="13" t="str">
        <f t="shared" si="55"/>
        <v>вул. Київська|ЦМЛ</v>
      </c>
      <c r="K503" s="32">
        <f t="shared" si="56"/>
        <v>0.35069444444444442</v>
      </c>
      <c r="L503" s="13" t="str">
        <f>IF($A503="","",IF(COUNTIFS($J$4:$J503,$J503,$E$4:$E503,$E503)=1,$E503,""))</f>
        <v/>
      </c>
      <c r="M503" s="13" t="str">
        <f>IF($A503="","",IF(COUNTIFS($J$4:$J503,$J503,$F$4:$F503,$F503)=1,$F503,""))</f>
        <v/>
      </c>
    </row>
    <row r="504" spans="1:13" x14ac:dyDescent="0.35">
      <c r="A504" s="23" t="str">
        <f>IFERROR('М3-4_ГАЗ3309_0590'!B81,"")</f>
        <v>вул. Київська</v>
      </c>
      <c r="B504" s="23" t="str">
        <f>IFERROR(IF('М3-4_ГАЗ3309_0590'!C81="","",TEXT('М3-4_ГАЗ3309_0590'!C81,"General")),"")</f>
        <v>ЦМЛ</v>
      </c>
      <c r="C504" s="24" t="str">
        <f>"Середа"</f>
        <v>Середа</v>
      </c>
      <c r="D504" s="24" t="str">
        <f>IFERROR(TEXT('М3-4_ГАЗ3309_0590'!D81,"h:mm"),"")</f>
        <v>12:25</v>
      </c>
      <c r="E504" s="24" t="str">
        <f>"№4"</f>
        <v>№4</v>
      </c>
      <c r="F504" s="24" t="str">
        <f>"ГАЗ 3309"</f>
        <v>ГАЗ 3309</v>
      </c>
      <c r="G504" s="24" t="str">
        <f>"СВ 17-85 ВН"</f>
        <v>СВ 17-85 ВН</v>
      </c>
      <c r="H504" s="24">
        <f>IFERROR('М3-4_ГАЗ3309_0590'!G81,"")</f>
        <v>2</v>
      </c>
      <c r="J504" s="13" t="str">
        <f t="shared" si="55"/>
        <v>вул. Київська|ЦМЛ</v>
      </c>
      <c r="K504" s="32">
        <f t="shared" si="56"/>
        <v>0.51736111111111116</v>
      </c>
      <c r="L504" s="13" t="str">
        <f>IF($A504="","",IF(COUNTIFS($J$4:$J504,$J504,$E$4:$E504,$E504)=1,$E504,""))</f>
        <v/>
      </c>
      <c r="M504" s="13" t="str">
        <f>IF($A504="","",IF(COUNTIFS($J$4:$J504,$J504,$F$4:$F504,$F504)=1,$F504,""))</f>
        <v>ГАЗ 3309</v>
      </c>
    </row>
    <row r="505" spans="1:13" x14ac:dyDescent="0.35">
      <c r="A505" s="23" t="str">
        <f>IFERROR(М4_АТ4042ROD_0584!B87,"")</f>
        <v>вул. Київська</v>
      </c>
      <c r="B505" s="23" t="str">
        <f>IFERROR(IF(М4_АТ4042ROD_0584!C87="","",TEXT(М4_АТ4042ROD_0584!C87,"General")),"")</f>
        <v>ЦМЛ</v>
      </c>
      <c r="C505" s="24" t="str">
        <f>"Четвер"</f>
        <v>Четвер</v>
      </c>
      <c r="D505" s="24" t="str">
        <f>IFERROR(TEXT(М4_АТ4042ROD_0584!D87,"h:mm"),"")</f>
        <v>13:25</v>
      </c>
      <c r="E505" s="24" t="str">
        <f>"№4"</f>
        <v>№4</v>
      </c>
      <c r="F505" s="24" t="str">
        <f>"АТ 40-42/ROD21003"</f>
        <v>АТ 40-42/ROD21003</v>
      </c>
      <c r="G505" s="24" t="str">
        <f>"СВ 33-15 ЕО"</f>
        <v>СВ 33-15 ЕО</v>
      </c>
      <c r="H505" s="24">
        <f>IFERROR(М4_АТ4042ROD_0584!G87,"")</f>
        <v>4</v>
      </c>
      <c r="J505" s="13" t="str">
        <f t="shared" si="55"/>
        <v>вул. Київська|ЦМЛ</v>
      </c>
      <c r="K505" s="32">
        <f t="shared" si="56"/>
        <v>0.55902777777777779</v>
      </c>
      <c r="L505" s="13" t="str">
        <f>IF($A505="","",IF(COUNTIFS($J$4:$J505,$J505,$E$4:$E505,$E505)=1,$E505,""))</f>
        <v/>
      </c>
      <c r="M505" s="13" t="str">
        <f>IF($A505="","",IF(COUNTIFS($J$4:$J505,$J505,$F$4:$F505,$F505)=1,$F505,""))</f>
        <v/>
      </c>
    </row>
    <row r="506" spans="1:13" x14ac:dyDescent="0.35">
      <c r="A506" s="23" t="str">
        <f>IFERROR('М1-2_АТ4021-1120_0585'!B126,"")</f>
        <v>вул. Київська</v>
      </c>
      <c r="B506" s="23" t="str">
        <f>IFERROR(IF('М1-2_АТ4021-1120_0585'!C126="","",TEXT('М1-2_АТ4021-1120_0585'!C126,"General")),"")</f>
        <v>ЦМЛ</v>
      </c>
      <c r="C506" s="24" t="str">
        <f>"Четвер"</f>
        <v>Четвер</v>
      </c>
      <c r="D506" s="24" t="str">
        <f>IFERROR(TEXT('М1-2_АТ4021-1120_0585'!D126,"h:mm"),"")</f>
        <v>13:45</v>
      </c>
      <c r="E506" s="24" t="str">
        <f>"№1"</f>
        <v>№1</v>
      </c>
      <c r="F506" s="24" t="str">
        <f>"АТ-4021/1120"</f>
        <v>АТ-4021/1120</v>
      </c>
      <c r="G506" s="24" t="str">
        <f>"СВ 14-65 ЕО"</f>
        <v>СВ 14-65 ЕО</v>
      </c>
      <c r="H506" s="24">
        <f>IFERROR('М1-2_АТ4021-1120_0585'!G126,"")</f>
        <v>3</v>
      </c>
      <c r="J506" s="13" t="str">
        <f t="shared" si="55"/>
        <v>вул. Київська|ЦМЛ</v>
      </c>
      <c r="K506" s="32">
        <f t="shared" si="56"/>
        <v>0.57291666666666663</v>
      </c>
      <c r="L506" s="13" t="str">
        <f>IF($A506="","",IF(COUNTIFS($J$4:$J506,$J506,$E$4:$E506,$E506)=1,$E506,""))</f>
        <v/>
      </c>
      <c r="M506" s="13" t="str">
        <f>IF($A506="","",IF(COUNTIFS($J$4:$J506,$J506,$F$4:$F506,$F506)=1,$F506,""))</f>
        <v>АТ-4021/1120</v>
      </c>
    </row>
    <row r="507" spans="1:13" x14ac:dyDescent="0.35">
      <c r="A507" s="23" t="str">
        <f>IFERROR(М1_КАМАЗ55111_0591!B114,"")</f>
        <v>вул. Київська</v>
      </c>
      <c r="B507" s="23" t="str">
        <f>IFERROR(IF(М1_КАМАЗ55111_0591!C114="","",TEXT(М1_КАМАЗ55111_0591!C114,"General")),"")</f>
        <v>ЦМЛ</v>
      </c>
      <c r="C507" s="24" t="str">
        <f>"П'ятниця"</f>
        <v>П'ятниця</v>
      </c>
      <c r="D507" s="24" t="str">
        <f>IFERROR(TEXT(М1_КАМАЗ55111_0591!D114,"h:mm"),"")</f>
        <v>8:25</v>
      </c>
      <c r="E507" s="24" t="str">
        <f>"№1"</f>
        <v>№1</v>
      </c>
      <c r="F507" s="24" t="str">
        <f>"КАМАЗ 55111"</f>
        <v>КАМАЗ 55111</v>
      </c>
      <c r="G507" s="24" t="str">
        <f>"СВ 50-33 АР"</f>
        <v>СВ 50-33 АР</v>
      </c>
      <c r="H507" s="24">
        <f>IFERROR(М1_КАМАЗ55111_0591!G114,"")</f>
        <v>3</v>
      </c>
      <c r="J507" s="13" t="str">
        <f t="shared" si="55"/>
        <v>вул. Київська|ЦМЛ</v>
      </c>
      <c r="K507" s="32">
        <f t="shared" si="56"/>
        <v>0.35069444444444442</v>
      </c>
      <c r="L507" s="13" t="str">
        <f>IF($A507="","",IF(COUNTIFS($J$4:$J507,$J507,$E$4:$E507,$E507)=1,$E507,""))</f>
        <v/>
      </c>
      <c r="M507" s="13" t="str">
        <f>IF($A507="","",IF(COUNTIFS($J$4:$J507,$J507,$F$4:$F507,$F507)=1,$F507,""))</f>
        <v/>
      </c>
    </row>
    <row r="508" spans="1:13" x14ac:dyDescent="0.35">
      <c r="A508" s="23" t="str">
        <f>IFERROR(М4_АТ4042ROD_0584!B122,"")</f>
        <v>вул. Київська</v>
      </c>
      <c r="B508" s="23" t="str">
        <f>IFERROR(IF(М4_АТ4042ROD_0584!C122="","",TEXT(М4_АТ4042ROD_0584!C122,"General")),"")</f>
        <v>ЦМЛ</v>
      </c>
      <c r="C508" s="24" t="str">
        <f>"П'ятниця"</f>
        <v>П'ятниця</v>
      </c>
      <c r="D508" s="24" t="str">
        <f>IFERROR(TEXT(М4_АТ4042ROD_0584!D122,"h:mm"),"")</f>
        <v>13:40</v>
      </c>
      <c r="E508" s="24" t="str">
        <f>"№4"</f>
        <v>№4</v>
      </c>
      <c r="F508" s="24" t="str">
        <f>"АТ 40-42/ROD21003"</f>
        <v>АТ 40-42/ROD21003</v>
      </c>
      <c r="G508" s="24" t="str">
        <f>"СВ 33-15 ЕО"</f>
        <v>СВ 33-15 ЕО</v>
      </c>
      <c r="H508" s="24">
        <f>IFERROR(М4_АТ4042ROD_0584!G122,"")</f>
        <v>4</v>
      </c>
      <c r="J508" s="13" t="str">
        <f t="shared" si="55"/>
        <v>вул. Київська|ЦМЛ</v>
      </c>
      <c r="K508" s="32">
        <f t="shared" si="56"/>
        <v>0.56944444444444442</v>
      </c>
      <c r="L508" s="13" t="str">
        <f>IF($A508="","",IF(COUNTIFS($J$4:$J508,$J508,$E$4:$E508,$E508)=1,$E508,""))</f>
        <v/>
      </c>
      <c r="M508" s="13" t="str">
        <f>IF($A508="","",IF(COUNTIFS($J$4:$J508,$J508,$F$4:$F508,$F508)=1,$F508,""))</f>
        <v/>
      </c>
    </row>
    <row r="509" spans="1:13" x14ac:dyDescent="0.35">
      <c r="A509" s="23" t="str">
        <f>IFERROR(М1_КАМАЗ55111_0591!B149,"")</f>
        <v>вул. Київська</v>
      </c>
      <c r="B509" s="23" t="str">
        <f>IFERROR(IF(М1_КАМАЗ55111_0591!C149="","",TEXT(М1_КАМАЗ55111_0591!C149,"General")),"")</f>
        <v>ЦМЛ</v>
      </c>
      <c r="C509" s="24" t="str">
        <f>"Субота"</f>
        <v>Субота</v>
      </c>
      <c r="D509" s="24" t="str">
        <f>IFERROR(TEXT(М1_КАМАЗ55111_0591!D149,"h:mm"),"")</f>
        <v>8:25</v>
      </c>
      <c r="E509" s="24" t="str">
        <f>"№1"</f>
        <v>№1</v>
      </c>
      <c r="F509" s="24" t="str">
        <f>"КАМАЗ 55111"</f>
        <v>КАМАЗ 55111</v>
      </c>
      <c r="G509" s="24" t="str">
        <f>"СВ 50-33 АР"</f>
        <v>СВ 50-33 АР</v>
      </c>
      <c r="H509" s="24">
        <f>IFERROR(М1_КАМАЗ55111_0591!G149,"")</f>
        <v>3</v>
      </c>
      <c r="J509" s="13" t="str">
        <f t="shared" si="55"/>
        <v>вул. Київська|ЦМЛ</v>
      </c>
      <c r="K509" s="32">
        <f t="shared" si="56"/>
        <v>0.35069444444444442</v>
      </c>
      <c r="L509" s="13" t="str">
        <f>IF($A509="","",IF(COUNTIFS($J$4:$J509,$J509,$E$4:$E509,$E509)=1,$E509,""))</f>
        <v/>
      </c>
      <c r="M509" s="13" t="str">
        <f>IF($A509="","",IF(COUNTIFS($J$4:$J509,$J509,$F$4:$F509,$F509)=1,$F509,""))</f>
        <v/>
      </c>
    </row>
    <row r="510" spans="1:13" x14ac:dyDescent="0.35">
      <c r="A510" s="23" t="str">
        <f>IFERROR('М3-4_ГАЗ3309_0590'!B106,"")</f>
        <v>вул. Київська</v>
      </c>
      <c r="B510" s="23" t="str">
        <f>IFERROR(IF('М3-4_ГАЗ3309_0590'!C106="","",TEXT('М3-4_ГАЗ3309_0590'!C106,"General")),"")</f>
        <v>ЦМЛ</v>
      </c>
      <c r="C510" s="24" t="str">
        <f>"Субота"</f>
        <v>Субота</v>
      </c>
      <c r="D510" s="24" t="str">
        <f>IFERROR(TEXT('М3-4_ГАЗ3309_0590'!D106,"h:mm"),"")</f>
        <v>12:25</v>
      </c>
      <c r="E510" s="24" t="str">
        <f>"№4"</f>
        <v>№4</v>
      </c>
      <c r="F510" s="24" t="str">
        <f>"ГАЗ 3309"</f>
        <v>ГАЗ 3309</v>
      </c>
      <c r="G510" s="24" t="str">
        <f>"СВ 17-85 ВН"</f>
        <v>СВ 17-85 ВН</v>
      </c>
      <c r="H510" s="24">
        <f>IFERROR('М3-4_ГАЗ3309_0590'!G106,"")</f>
        <v>2</v>
      </c>
      <c r="J510" s="13" t="str">
        <f t="shared" si="55"/>
        <v>вул. Київська|ЦМЛ</v>
      </c>
      <c r="K510" s="32">
        <f t="shared" si="56"/>
        <v>0.51736111111111116</v>
      </c>
      <c r="L510" s="13" t="str">
        <f>IF($A510="","",IF(COUNTIFS($J$4:$J510,$J510,$E$4:$E510,$E510)=1,$E510,""))</f>
        <v/>
      </c>
      <c r="M510" s="13" t="str">
        <f>IF($A510="","",IF(COUNTIFS($J$4:$J510,$J510,$F$4:$F510,$F510)=1,$F510,""))</f>
        <v/>
      </c>
    </row>
    <row r="511" spans="1:13" x14ac:dyDescent="0.35">
      <c r="A511" s="23" t="str">
        <f>IFERROR('М1-2_АТ4021-1120_0585'!B161,"")</f>
        <v>вул. Київська</v>
      </c>
      <c r="B511" s="23" t="str">
        <f>IFERROR(IF('М1-2_АТ4021-1120_0585'!C161="","",TEXT('М1-2_АТ4021-1120_0585'!C161,"General")),"")</f>
        <v>ЦМЛ</v>
      </c>
      <c r="C511" s="24" t="str">
        <f>"Неділя"</f>
        <v>Неділя</v>
      </c>
      <c r="D511" s="24" t="str">
        <f>IFERROR(TEXT('М1-2_АТ4021-1120_0585'!D161,"h:mm"),"")</f>
        <v>13:45</v>
      </c>
      <c r="E511" s="24" t="str">
        <f>"№1"</f>
        <v>№1</v>
      </c>
      <c r="F511" s="24" t="str">
        <f>"АТ-4021/1120"</f>
        <v>АТ-4021/1120</v>
      </c>
      <c r="G511" s="24" t="str">
        <f>"СВ 14-65 ЕО"</f>
        <v>СВ 14-65 ЕО</v>
      </c>
      <c r="H511" s="24">
        <f>IFERROR('М1-2_АТ4021-1120_0585'!G161,"")</f>
        <v>3</v>
      </c>
      <c r="J511" s="13" t="str">
        <f t="shared" si="55"/>
        <v>вул. Київська|ЦМЛ</v>
      </c>
      <c r="K511" s="32">
        <f t="shared" si="56"/>
        <v>0.57291666666666663</v>
      </c>
      <c r="L511" s="13" t="str">
        <f>IF($A511="","",IF(COUNTIFS($J$4:$J511,$J511,$E$4:$E511,$E511)=1,$E511,""))</f>
        <v/>
      </c>
      <c r="M511" s="13" t="str">
        <f>IF($A511="","",IF(COUNTIFS($J$4:$J511,$J511,$F$4:$F511,$F511)=1,$F511,""))</f>
        <v/>
      </c>
    </row>
    <row r="512" spans="1:13" x14ac:dyDescent="0.35">
      <c r="A512" s="23" t="str">
        <f>IFERROR(М4_АТ4042ROD_0584!B155,"")</f>
        <v>вул. Київська</v>
      </c>
      <c r="B512" s="23" t="str">
        <f>IFERROR(IF(М4_АТ4042ROD_0584!C155="","",TEXT(М4_АТ4042ROD_0584!C155,"General")),"")</f>
        <v>ЦМЛ</v>
      </c>
      <c r="C512" s="24" t="str">
        <f>"Неділя"</f>
        <v>Неділя</v>
      </c>
      <c r="D512" s="24" t="str">
        <f>IFERROR(TEXT(М4_АТ4042ROD_0584!D155,"h:mm"),"")</f>
        <v>13:55</v>
      </c>
      <c r="E512" s="24" t="str">
        <f t="shared" ref="E512:E519" si="59">"№4"</f>
        <v>№4</v>
      </c>
      <c r="F512" s="24" t="str">
        <f>"АТ 40-42/ROD21003"</f>
        <v>АТ 40-42/ROD21003</v>
      </c>
      <c r="G512" s="24" t="str">
        <f>"СВ 33-15 ЕО"</f>
        <v>СВ 33-15 ЕО</v>
      </c>
      <c r="H512" s="24">
        <f>IFERROR(М4_АТ4042ROD_0584!G155,"")</f>
        <v>4</v>
      </c>
      <c r="J512" s="13" t="str">
        <f t="shared" si="55"/>
        <v>вул. Київська|ЦМЛ</v>
      </c>
      <c r="K512" s="32">
        <f t="shared" si="56"/>
        <v>0.57986111111111116</v>
      </c>
      <c r="L512" s="13" t="str">
        <f>IF($A512="","",IF(COUNTIFS($J$4:$J512,$J512,$E$4:$E512,$E512)=1,$E512,""))</f>
        <v/>
      </c>
      <c r="M512" s="13" t="str">
        <f>IF($A512="","",IF(COUNTIFS($J$4:$J512,$J512,$F$4:$F512,$F512)=1,$F512,""))</f>
        <v/>
      </c>
    </row>
    <row r="513" spans="1:13" x14ac:dyDescent="0.35">
      <c r="A513" s="23" t="str">
        <f>IFERROR(М4_АТ4042ROD_0584!B24,"")</f>
        <v>вул. Київська</v>
      </c>
      <c r="B513" s="23" t="str">
        <f>IFERROR(IF(М4_АТ4042ROD_0584!C24="","",TEXT(М4_АТ4042ROD_0584!C24,"General")),"")</f>
        <v>ЦМЛ (швидка)</v>
      </c>
      <c r="C513" s="24" t="str">
        <f>"Понеділок"</f>
        <v>Понеділок</v>
      </c>
      <c r="D513" s="24" t="str">
        <f>IFERROR(TEXT(М4_АТ4042ROD_0584!D24,"h:mm"),"")</f>
        <v>13:55</v>
      </c>
      <c r="E513" s="24" t="str">
        <f t="shared" si="59"/>
        <v>№4</v>
      </c>
      <c r="F513" s="24" t="str">
        <f>"АТ 40-42/ROD21003"</f>
        <v>АТ 40-42/ROD21003</v>
      </c>
      <c r="G513" s="24" t="str">
        <f>"СВ 33-15 ЕО"</f>
        <v>СВ 33-15 ЕО</v>
      </c>
      <c r="H513" s="24">
        <f>IFERROR(М4_АТ4042ROD_0584!G24,"")</f>
        <v>2</v>
      </c>
      <c r="J513" s="13" t="str">
        <f t="shared" si="55"/>
        <v>вул. Київська|ЦМЛ (швидка)</v>
      </c>
      <c r="K513" s="32">
        <f t="shared" si="56"/>
        <v>0.57986111111111116</v>
      </c>
      <c r="L513" s="13" t="str">
        <f>IF($A513="","",IF(COUNTIFS($J$4:$J513,$J513,$E$4:$E513,$E513)=1,$E513,""))</f>
        <v>№4</v>
      </c>
      <c r="M513" s="13" t="str">
        <f>IF($A513="","",IF(COUNTIFS($J$4:$J513,$J513,$F$4:$F513,$F513)=1,$F513,""))</f>
        <v>АТ 40-42/ROD21003</v>
      </c>
    </row>
    <row r="514" spans="1:13" x14ac:dyDescent="0.35">
      <c r="A514" s="23" t="str">
        <f>IFERROR(М4_АТ4042ROD_0584!B55,"")</f>
        <v>вул. Київська</v>
      </c>
      <c r="B514" s="23" t="str">
        <f>IFERROR(IF(М4_АТ4042ROD_0584!C55="","",TEXT(М4_АТ4042ROD_0584!C55,"General")),"")</f>
        <v>ЦМЛ (швидка)</v>
      </c>
      <c r="C514" s="24" t="str">
        <f>"Вівторок"</f>
        <v>Вівторок</v>
      </c>
      <c r="D514" s="24" t="str">
        <f>IFERROR(TEXT(М4_АТ4042ROD_0584!D55,"h:mm"),"")</f>
        <v>13:40</v>
      </c>
      <c r="E514" s="24" t="str">
        <f t="shared" si="59"/>
        <v>№4</v>
      </c>
      <c r="F514" s="24" t="str">
        <f>"АТ 40-42/ROD21003"</f>
        <v>АТ 40-42/ROD21003</v>
      </c>
      <c r="G514" s="24" t="str">
        <f>"СВ 33-15 ЕО"</f>
        <v>СВ 33-15 ЕО</v>
      </c>
      <c r="H514" s="24">
        <f>IFERROR(М4_АТ4042ROD_0584!G55,"")</f>
        <v>2</v>
      </c>
      <c r="J514" s="13" t="str">
        <f t="shared" si="55"/>
        <v>вул. Київська|ЦМЛ (швидка)</v>
      </c>
      <c r="K514" s="32">
        <f t="shared" si="56"/>
        <v>0.56944444444444442</v>
      </c>
      <c r="L514" s="13" t="str">
        <f>IF($A514="","",IF(COUNTIFS($J$4:$J514,$J514,$E$4:$E514,$E514)=1,$E514,""))</f>
        <v/>
      </c>
      <c r="M514" s="13" t="str">
        <f>IF($A514="","",IF(COUNTIFS($J$4:$J514,$J514,$F$4:$F514,$F514)=1,$F514,""))</f>
        <v/>
      </c>
    </row>
    <row r="515" spans="1:13" x14ac:dyDescent="0.35">
      <c r="A515" s="23" t="str">
        <f>IFERROR('М3-4_ГАЗ3309_0590'!B82,"")</f>
        <v>вул. Київська</v>
      </c>
      <c r="B515" s="23" t="str">
        <f>IFERROR(IF('М3-4_ГАЗ3309_0590'!C82="","",TEXT('М3-4_ГАЗ3309_0590'!C82,"General")),"")</f>
        <v>ЦМЛ (швидка)</v>
      </c>
      <c r="C515" s="24" t="str">
        <f>"Середа"</f>
        <v>Середа</v>
      </c>
      <c r="D515" s="24" t="str">
        <f>IFERROR(TEXT('М3-4_ГАЗ3309_0590'!D82,"h:mm"),"")</f>
        <v>12:40</v>
      </c>
      <c r="E515" s="24" t="str">
        <f t="shared" si="59"/>
        <v>№4</v>
      </c>
      <c r="F515" s="24" t="str">
        <f>"ГАЗ 3309"</f>
        <v>ГАЗ 3309</v>
      </c>
      <c r="G515" s="24" t="str">
        <f>"СВ 17-85 ВН"</f>
        <v>СВ 17-85 ВН</v>
      </c>
      <c r="H515" s="24">
        <f>IFERROR('М3-4_ГАЗ3309_0590'!G82,"")</f>
        <v>1</v>
      </c>
      <c r="J515" s="13" t="str">
        <f t="shared" si="55"/>
        <v>вул. Київська|ЦМЛ (швидка)</v>
      </c>
      <c r="K515" s="32">
        <f t="shared" si="56"/>
        <v>0.52777777777777779</v>
      </c>
      <c r="L515" s="13" t="str">
        <f>IF($A515="","",IF(COUNTIFS($J$4:$J515,$J515,$E$4:$E515,$E515)=1,$E515,""))</f>
        <v/>
      </c>
      <c r="M515" s="13" t="str">
        <f>IF($A515="","",IF(COUNTIFS($J$4:$J515,$J515,$F$4:$F515,$F515)=1,$F515,""))</f>
        <v>ГАЗ 3309</v>
      </c>
    </row>
    <row r="516" spans="1:13" x14ac:dyDescent="0.35">
      <c r="A516" s="23" t="str">
        <f>IFERROR(М4_АТ4042ROD_0584!B88,"")</f>
        <v>вул. Київська</v>
      </c>
      <c r="B516" s="23" t="str">
        <f>IFERROR(IF(М4_АТ4042ROD_0584!C88="","",TEXT(М4_АТ4042ROD_0584!C88,"General")),"")</f>
        <v>ЦМЛ (швидка)</v>
      </c>
      <c r="C516" s="24" t="str">
        <f>"Четвер"</f>
        <v>Четвер</v>
      </c>
      <c r="D516" s="24" t="str">
        <f>IFERROR(TEXT(М4_АТ4042ROD_0584!D88,"h:mm"),"")</f>
        <v>13:40</v>
      </c>
      <c r="E516" s="24" t="str">
        <f t="shared" si="59"/>
        <v>№4</v>
      </c>
      <c r="F516" s="24" t="str">
        <f>"АТ 40-42/ROD21003"</f>
        <v>АТ 40-42/ROD21003</v>
      </c>
      <c r="G516" s="24" t="str">
        <f>"СВ 33-15 ЕО"</f>
        <v>СВ 33-15 ЕО</v>
      </c>
      <c r="H516" s="24">
        <f>IFERROR(М4_АТ4042ROD_0584!G88,"")</f>
        <v>2</v>
      </c>
      <c r="J516" s="13" t="str">
        <f t="shared" ref="J516:J579" si="60">IF(A516="","",A516&amp;"|"&amp;B516)</f>
        <v>вул. Київська|ЦМЛ (швидка)</v>
      </c>
      <c r="K516" s="32">
        <f t="shared" ref="K516:K579" si="61">IFERROR(IF(D516="","",IF(D516="×",9.99,TIMEVALUE(D516))),9.99)</f>
        <v>0.56944444444444442</v>
      </c>
      <c r="L516" s="13" t="str">
        <f>IF($A516="","",IF(COUNTIFS($J$4:$J516,$J516,$E$4:$E516,$E516)=1,$E516,""))</f>
        <v/>
      </c>
      <c r="M516" s="13" t="str">
        <f>IF($A516="","",IF(COUNTIFS($J$4:$J516,$J516,$F$4:$F516,$F516)=1,$F516,""))</f>
        <v/>
      </c>
    </row>
    <row r="517" spans="1:13" x14ac:dyDescent="0.35">
      <c r="A517" s="23" t="str">
        <f>IFERROR(М4_АТ4042ROD_0584!B123,"")</f>
        <v>вул. Київська</v>
      </c>
      <c r="B517" s="23" t="str">
        <f>IFERROR(IF(М4_АТ4042ROD_0584!C123="","",TEXT(М4_АТ4042ROD_0584!C123,"General")),"")</f>
        <v>ЦМЛ (швидка)</v>
      </c>
      <c r="C517" s="24" t="str">
        <f>"П'ятниця"</f>
        <v>П'ятниця</v>
      </c>
      <c r="D517" s="24" t="str">
        <f>IFERROR(TEXT(М4_АТ4042ROD_0584!D123,"h:mm"),"")</f>
        <v>13:55</v>
      </c>
      <c r="E517" s="24" t="str">
        <f t="shared" si="59"/>
        <v>№4</v>
      </c>
      <c r="F517" s="24" t="str">
        <f>"АТ 40-42/ROD21003"</f>
        <v>АТ 40-42/ROD21003</v>
      </c>
      <c r="G517" s="24" t="str">
        <f>"СВ 33-15 ЕО"</f>
        <v>СВ 33-15 ЕО</v>
      </c>
      <c r="H517" s="24">
        <f>IFERROR(М4_АТ4042ROD_0584!G123,"")</f>
        <v>2</v>
      </c>
      <c r="J517" s="13" t="str">
        <f t="shared" si="60"/>
        <v>вул. Київська|ЦМЛ (швидка)</v>
      </c>
      <c r="K517" s="32">
        <f t="shared" si="61"/>
        <v>0.57986111111111116</v>
      </c>
      <c r="L517" s="13" t="str">
        <f>IF($A517="","",IF(COUNTIFS($J$4:$J517,$J517,$E$4:$E517,$E517)=1,$E517,""))</f>
        <v/>
      </c>
      <c r="M517" s="13" t="str">
        <f>IF($A517="","",IF(COUNTIFS($J$4:$J517,$J517,$F$4:$F517,$F517)=1,$F517,""))</f>
        <v/>
      </c>
    </row>
    <row r="518" spans="1:13" x14ac:dyDescent="0.35">
      <c r="A518" s="23" t="str">
        <f>IFERROR('М3-4_ГАЗ3309_0590'!B107,"")</f>
        <v>вул. Київська</v>
      </c>
      <c r="B518" s="23" t="str">
        <f>IFERROR(IF('М3-4_ГАЗ3309_0590'!C107="","",TEXT('М3-4_ГАЗ3309_0590'!C107,"General")),"")</f>
        <v>ЦМЛ (швидка)</v>
      </c>
      <c r="C518" s="24" t="str">
        <f>"Субота"</f>
        <v>Субота</v>
      </c>
      <c r="D518" s="24" t="str">
        <f>IFERROR(TEXT('М3-4_ГАЗ3309_0590'!D107,"h:mm"),"")</f>
        <v>12:40</v>
      </c>
      <c r="E518" s="24" t="str">
        <f t="shared" si="59"/>
        <v>№4</v>
      </c>
      <c r="F518" s="24" t="str">
        <f>"ГАЗ 3309"</f>
        <v>ГАЗ 3309</v>
      </c>
      <c r="G518" s="24" t="str">
        <f>"СВ 17-85 ВН"</f>
        <v>СВ 17-85 ВН</v>
      </c>
      <c r="H518" s="24">
        <f>IFERROR('М3-4_ГАЗ3309_0590'!G107,"")</f>
        <v>1</v>
      </c>
      <c r="J518" s="13" t="str">
        <f t="shared" si="60"/>
        <v>вул. Київська|ЦМЛ (швидка)</v>
      </c>
      <c r="K518" s="32">
        <f t="shared" si="61"/>
        <v>0.52777777777777779</v>
      </c>
      <c r="L518" s="13" t="str">
        <f>IF($A518="","",IF(COUNTIFS($J$4:$J518,$J518,$E$4:$E518,$E518)=1,$E518,""))</f>
        <v/>
      </c>
      <c r="M518" s="13" t="str">
        <f>IF($A518="","",IF(COUNTIFS($J$4:$J518,$J518,$F$4:$F518,$F518)=1,$F518,""))</f>
        <v/>
      </c>
    </row>
    <row r="519" spans="1:13" x14ac:dyDescent="0.35">
      <c r="A519" s="23" t="str">
        <f>IFERROR(М4_АТ4042ROD_0584!B156,"")</f>
        <v>вул. Київська</v>
      </c>
      <c r="B519" s="23" t="str">
        <f>IFERROR(IF(М4_АТ4042ROD_0584!C156="","",TEXT(М4_АТ4042ROD_0584!C156,"General")),"")</f>
        <v>ЦМЛ (швидка)</v>
      </c>
      <c r="C519" s="24" t="str">
        <f>"Неділя"</f>
        <v>Неділя</v>
      </c>
      <c r="D519" s="24" t="str">
        <f>IFERROR(TEXT(М4_АТ4042ROD_0584!D156,"h:mm"),"")</f>
        <v>14:15</v>
      </c>
      <c r="E519" s="24" t="str">
        <f t="shared" si="59"/>
        <v>№4</v>
      </c>
      <c r="F519" s="24" t="str">
        <f>"АТ 40-42/ROD21003"</f>
        <v>АТ 40-42/ROD21003</v>
      </c>
      <c r="G519" s="24" t="str">
        <f>"СВ 33-15 ЕО"</f>
        <v>СВ 33-15 ЕО</v>
      </c>
      <c r="H519" s="24">
        <f>IFERROR(М4_АТ4042ROD_0584!G156,"")</f>
        <v>2</v>
      </c>
      <c r="J519" s="13" t="str">
        <f t="shared" si="60"/>
        <v>вул. Київська|ЦМЛ (швидка)</v>
      </c>
      <c r="K519" s="32">
        <f t="shared" si="61"/>
        <v>0.59375</v>
      </c>
      <c r="L519" s="13" t="str">
        <f>IF($A519="","",IF(COUNTIFS($J$4:$J519,$J519,$E$4:$E519,$E519)=1,$E519,""))</f>
        <v/>
      </c>
      <c r="M519" s="13" t="str">
        <f>IF($A519="","",IF(COUNTIFS($J$4:$J519,$J519,$F$4:$F519,$F519)=1,$F519,""))</f>
        <v/>
      </c>
    </row>
    <row r="520" spans="1:13" x14ac:dyDescent="0.35">
      <c r="A520" s="23" t="str">
        <f>IFERROR(М1_КАМАЗ55111_0591!B8,"")</f>
        <v>вул. Київська</v>
      </c>
      <c r="B520" s="23" t="str">
        <f>IFERROR(IF(М1_КАМАЗ55111_0591!C8="","",TEXT(М1_КАМАЗ55111_0591!C8,"General")),"")</f>
        <v>Центральна площа</v>
      </c>
      <c r="C520" s="24" t="str">
        <f>"Понеділок"</f>
        <v>Понеділок</v>
      </c>
      <c r="D520" s="24" t="str">
        <f>IFERROR(TEXT(М1_КАМАЗ55111_0591!D8,"h:mm"),"")</f>
        <v>7:20</v>
      </c>
      <c r="E520" s="24" t="str">
        <f t="shared" ref="E520:E531" si="62">"№1"</f>
        <v>№1</v>
      </c>
      <c r="F520" s="24" t="str">
        <f t="shared" ref="F520:F525" si="63">"КАМАЗ 55111"</f>
        <v>КАМАЗ 55111</v>
      </c>
      <c r="G520" s="24" t="str">
        <f t="shared" ref="G520:G525" si="64">"СВ 50-33 АР"</f>
        <v>СВ 50-33 АР</v>
      </c>
      <c r="H520" s="24">
        <f>IFERROR(М1_КАМАЗ55111_0591!G8,"")</f>
        <v>2</v>
      </c>
      <c r="J520" s="13" t="str">
        <f t="shared" si="60"/>
        <v>вул. Київська|Центральна площа</v>
      </c>
      <c r="K520" s="32">
        <f t="shared" si="61"/>
        <v>0.30555555555555558</v>
      </c>
      <c r="L520" s="13" t="str">
        <f>IF($A520="","",IF(COUNTIFS($J$4:$J520,$J520,$E$4:$E520,$E520)=1,$E520,""))</f>
        <v>№1</v>
      </c>
      <c r="M520" s="13" t="str">
        <f>IF($A520="","",IF(COUNTIFS($J$4:$J520,$J520,$F$4:$F520,$F520)=1,$F520,""))</f>
        <v>КАМАЗ 55111</v>
      </c>
    </row>
    <row r="521" spans="1:13" x14ac:dyDescent="0.35">
      <c r="A521" s="23" t="str">
        <f>IFERROR(М1_КАМАЗ55111_0591!B31,"")</f>
        <v>вул. Київська</v>
      </c>
      <c r="B521" s="23" t="str">
        <f>IFERROR(IF(М1_КАМАЗ55111_0591!C31="","",TEXT(М1_КАМАЗ55111_0591!C31,"General")),"")</f>
        <v>Центральна площа</v>
      </c>
      <c r="C521" s="24" t="str">
        <f>"Понеділок"</f>
        <v>Понеділок</v>
      </c>
      <c r="D521" s="24" t="str">
        <f>IFERROR(TEXT(М1_КАМАЗ55111_0591!D31,"h:mm"),"")</f>
        <v>11:25</v>
      </c>
      <c r="E521" s="24" t="str">
        <f t="shared" si="62"/>
        <v>№1</v>
      </c>
      <c r="F521" s="24" t="str">
        <f t="shared" si="63"/>
        <v>КАМАЗ 55111</v>
      </c>
      <c r="G521" s="24" t="str">
        <f t="shared" si="64"/>
        <v>СВ 50-33 АР</v>
      </c>
      <c r="H521" s="24">
        <f>IFERROR(М1_КАМАЗ55111_0591!G31,"")</f>
        <v>2</v>
      </c>
      <c r="J521" s="13" t="str">
        <f t="shared" si="60"/>
        <v>вул. Київська|Центральна площа</v>
      </c>
      <c r="K521" s="32">
        <f t="shared" si="61"/>
        <v>0.47569444444444442</v>
      </c>
      <c r="L521" s="13" t="str">
        <f>IF($A521="","",IF(COUNTIFS($J$4:$J521,$J521,$E$4:$E521,$E521)=1,$E521,""))</f>
        <v/>
      </c>
      <c r="M521" s="13" t="str">
        <f>IF($A521="","",IF(COUNTIFS($J$4:$J521,$J521,$F$4:$F521,$F521)=1,$F521,""))</f>
        <v/>
      </c>
    </row>
    <row r="522" spans="1:13" x14ac:dyDescent="0.35">
      <c r="A522" s="23" t="str">
        <f>IFERROR(М1_КАМАЗ55111_0591!B43,"")</f>
        <v>вул. Київська</v>
      </c>
      <c r="B522" s="23" t="str">
        <f>IFERROR(IF(М1_КАМАЗ55111_0591!C43="","",TEXT(М1_КАМАЗ55111_0591!C43,"General")),"")</f>
        <v>Центральна площа</v>
      </c>
      <c r="C522" s="24" t="str">
        <f>"Вівторок"</f>
        <v>Вівторок</v>
      </c>
      <c r="D522" s="24" t="str">
        <f>IFERROR(TEXT(М1_КАМАЗ55111_0591!D43,"h:mm"),"")</f>
        <v>7:20</v>
      </c>
      <c r="E522" s="24" t="str">
        <f t="shared" si="62"/>
        <v>№1</v>
      </c>
      <c r="F522" s="24" t="str">
        <f t="shared" si="63"/>
        <v>КАМАЗ 55111</v>
      </c>
      <c r="G522" s="24" t="str">
        <f t="shared" si="64"/>
        <v>СВ 50-33 АР</v>
      </c>
      <c r="H522" s="24">
        <f>IFERROR(М1_КАМАЗ55111_0591!G43,"")</f>
        <v>2</v>
      </c>
      <c r="J522" s="13" t="str">
        <f t="shared" si="60"/>
        <v>вул. Київська|Центральна площа</v>
      </c>
      <c r="K522" s="32">
        <f t="shared" si="61"/>
        <v>0.30555555555555558</v>
      </c>
      <c r="L522" s="13" t="str">
        <f>IF($A522="","",IF(COUNTIFS($J$4:$J522,$J522,$E$4:$E522,$E522)=1,$E522,""))</f>
        <v/>
      </c>
      <c r="M522" s="13" t="str">
        <f>IF($A522="","",IF(COUNTIFS($J$4:$J522,$J522,$F$4:$F522,$F522)=1,$F522,""))</f>
        <v/>
      </c>
    </row>
    <row r="523" spans="1:13" x14ac:dyDescent="0.35">
      <c r="A523" s="23" t="str">
        <f>IFERROR(М1_КАМАЗ55111_0591!B61,"")</f>
        <v>вул. Київська</v>
      </c>
      <c r="B523" s="23" t="str">
        <f>IFERROR(IF(М1_КАМАЗ55111_0591!C61="","",TEXT(М1_КАМАЗ55111_0591!C61,"General")),"")</f>
        <v>Центральна площа</v>
      </c>
      <c r="C523" s="24" t="str">
        <f>"Вівторок"</f>
        <v>Вівторок</v>
      </c>
      <c r="D523" s="24" t="str">
        <f>IFERROR(TEXT(М1_КАМАЗ55111_0591!D61,"h:mm"),"")</f>
        <v>10:45</v>
      </c>
      <c r="E523" s="24" t="str">
        <f t="shared" si="62"/>
        <v>№1</v>
      </c>
      <c r="F523" s="24" t="str">
        <f t="shared" si="63"/>
        <v>КАМАЗ 55111</v>
      </c>
      <c r="G523" s="24" t="str">
        <f t="shared" si="64"/>
        <v>СВ 50-33 АР</v>
      </c>
      <c r="H523" s="24">
        <f>IFERROR(М1_КАМАЗ55111_0591!G61,"")</f>
        <v>2</v>
      </c>
      <c r="J523" s="13" t="str">
        <f t="shared" si="60"/>
        <v>вул. Київська|Центральна площа</v>
      </c>
      <c r="K523" s="32">
        <f t="shared" si="61"/>
        <v>0.44791666666666669</v>
      </c>
      <c r="L523" s="13" t="str">
        <f>IF($A523="","",IF(COUNTIFS($J$4:$J523,$J523,$E$4:$E523,$E523)=1,$E523,""))</f>
        <v/>
      </c>
      <c r="M523" s="13" t="str">
        <f>IF($A523="","",IF(COUNTIFS($J$4:$J523,$J523,$F$4:$F523,$F523)=1,$F523,""))</f>
        <v/>
      </c>
    </row>
    <row r="524" spans="1:13" x14ac:dyDescent="0.35">
      <c r="A524" s="23" t="str">
        <f>IFERROR(М1_КАМАЗ55111_0591!B75,"")</f>
        <v>вул. Київська</v>
      </c>
      <c r="B524" s="23" t="str">
        <f>IFERROR(IF(М1_КАМАЗ55111_0591!C75="","",TEXT(М1_КАМАЗ55111_0591!C75,"General")),"")</f>
        <v>Центральна площа</v>
      </c>
      <c r="C524" s="24" t="str">
        <f>"Середа"</f>
        <v>Середа</v>
      </c>
      <c r="D524" s="24" t="str">
        <f>IFERROR(TEXT(М1_КАМАЗ55111_0591!D75,"h:mm"),"")</f>
        <v>7:20</v>
      </c>
      <c r="E524" s="24" t="str">
        <f t="shared" si="62"/>
        <v>№1</v>
      </c>
      <c r="F524" s="24" t="str">
        <f t="shared" si="63"/>
        <v>КАМАЗ 55111</v>
      </c>
      <c r="G524" s="24" t="str">
        <f t="shared" si="64"/>
        <v>СВ 50-33 АР</v>
      </c>
      <c r="H524" s="24">
        <f>IFERROR(М1_КАМАЗ55111_0591!G75,"")</f>
        <v>2</v>
      </c>
      <c r="J524" s="13" t="str">
        <f t="shared" si="60"/>
        <v>вул. Київська|Центральна площа</v>
      </c>
      <c r="K524" s="32">
        <f t="shared" si="61"/>
        <v>0.30555555555555558</v>
      </c>
      <c r="L524" s="13" t="str">
        <f>IF($A524="","",IF(COUNTIFS($J$4:$J524,$J524,$E$4:$E524,$E524)=1,$E524,""))</f>
        <v/>
      </c>
      <c r="M524" s="13" t="str">
        <f>IF($A524="","",IF(COUNTIFS($J$4:$J524,$J524,$F$4:$F524,$F524)=1,$F524,""))</f>
        <v/>
      </c>
    </row>
    <row r="525" spans="1:13" x14ac:dyDescent="0.35">
      <c r="A525" s="23" t="str">
        <f>IFERROR(М1_КАМАЗ55111_0591!B94,"")</f>
        <v>вул. Київська</v>
      </c>
      <c r="B525" s="23" t="str">
        <f>IFERROR(IF(М1_КАМАЗ55111_0591!C94="","",TEXT(М1_КАМАЗ55111_0591!C94,"General")),"")</f>
        <v>Центральна площа</v>
      </c>
      <c r="C525" s="24" t="str">
        <f>"Середа"</f>
        <v>Середа</v>
      </c>
      <c r="D525" s="24" t="str">
        <f>IFERROR(TEXT(М1_КАМАЗ55111_0591!D94,"h:mm"),"")</f>
        <v>11:10</v>
      </c>
      <c r="E525" s="24" t="str">
        <f t="shared" si="62"/>
        <v>№1</v>
      </c>
      <c r="F525" s="24" t="str">
        <f t="shared" si="63"/>
        <v>КАМАЗ 55111</v>
      </c>
      <c r="G525" s="24" t="str">
        <f t="shared" si="64"/>
        <v>СВ 50-33 АР</v>
      </c>
      <c r="H525" s="24">
        <f>IFERROR(М1_КАМАЗ55111_0591!G94,"")</f>
        <v>2</v>
      </c>
      <c r="J525" s="13" t="str">
        <f t="shared" si="60"/>
        <v>вул. Київська|Центральна площа</v>
      </c>
      <c r="K525" s="32">
        <f t="shared" si="61"/>
        <v>0.46527777777777779</v>
      </c>
      <c r="L525" s="13" t="str">
        <f>IF($A525="","",IF(COUNTIFS($J$4:$J525,$J525,$E$4:$E525,$E525)=1,$E525,""))</f>
        <v/>
      </c>
      <c r="M525" s="13" t="str">
        <f>IF($A525="","",IF(COUNTIFS($J$4:$J525,$J525,$F$4:$F525,$F525)=1,$F525,""))</f>
        <v/>
      </c>
    </row>
    <row r="526" spans="1:13" x14ac:dyDescent="0.35">
      <c r="A526" s="23" t="str">
        <f>IFERROR('М1-2_АТ4021-1120_0585'!B108,"")</f>
        <v>вул. Київська</v>
      </c>
      <c r="B526" s="23" t="str">
        <f>IFERROR(IF('М1-2_АТ4021-1120_0585'!C108="","",TEXT('М1-2_АТ4021-1120_0585'!C108,"General")),"")</f>
        <v>Центральна площа</v>
      </c>
      <c r="C526" s="24" t="str">
        <f>"Четвер"</f>
        <v>Четвер</v>
      </c>
      <c r="D526" s="24" t="str">
        <f>IFERROR(TEXT('М1-2_АТ4021-1120_0585'!D108,"h:mm"),"")</f>
        <v>7:35</v>
      </c>
      <c r="E526" s="24" t="str">
        <f t="shared" si="62"/>
        <v>№1</v>
      </c>
      <c r="F526" s="24" t="str">
        <f>"АТ-4021/1120"</f>
        <v>АТ-4021/1120</v>
      </c>
      <c r="G526" s="24" t="str">
        <f>"СВ 14-65 ЕО"</f>
        <v>СВ 14-65 ЕО</v>
      </c>
      <c r="H526" s="24">
        <f>IFERROR('М1-2_АТ4021-1120_0585'!G108,"")</f>
        <v>2</v>
      </c>
      <c r="J526" s="13" t="str">
        <f t="shared" si="60"/>
        <v>вул. Київська|Центральна площа</v>
      </c>
      <c r="K526" s="32">
        <f t="shared" si="61"/>
        <v>0.31597222222222221</v>
      </c>
      <c r="L526" s="13" t="str">
        <f>IF($A526="","",IF(COUNTIFS($J$4:$J526,$J526,$E$4:$E526,$E526)=1,$E526,""))</f>
        <v/>
      </c>
      <c r="M526" s="13" t="str">
        <f>IF($A526="","",IF(COUNTIFS($J$4:$J526,$J526,$F$4:$F526,$F526)=1,$F526,""))</f>
        <v>АТ-4021/1120</v>
      </c>
    </row>
    <row r="527" spans="1:13" x14ac:dyDescent="0.35">
      <c r="A527" s="23" t="str">
        <f>IFERROR(М1_КАМАЗ55111_0591!B107,"")</f>
        <v>вул. Київська</v>
      </c>
      <c r="B527" s="23" t="str">
        <f>IFERROR(IF(М1_КАМАЗ55111_0591!C107="","",TEXT(М1_КАМАЗ55111_0591!C107,"General")),"")</f>
        <v>Центральна площа</v>
      </c>
      <c r="C527" s="24" t="str">
        <f>"П'ятниця"</f>
        <v>П'ятниця</v>
      </c>
      <c r="D527" s="24" t="str">
        <f>IFERROR(TEXT(М1_КАМАЗ55111_0591!D107,"h:mm"),"")</f>
        <v>7:20</v>
      </c>
      <c r="E527" s="24" t="str">
        <f t="shared" si="62"/>
        <v>№1</v>
      </c>
      <c r="F527" s="24" t="str">
        <f>"КАМАЗ 55111"</f>
        <v>КАМАЗ 55111</v>
      </c>
      <c r="G527" s="24" t="str">
        <f>"СВ 50-33 АР"</f>
        <v>СВ 50-33 АР</v>
      </c>
      <c r="H527" s="24">
        <f>IFERROR(М1_КАМАЗ55111_0591!G107,"")</f>
        <v>2</v>
      </c>
      <c r="J527" s="13" t="str">
        <f t="shared" si="60"/>
        <v>вул. Київська|Центральна площа</v>
      </c>
      <c r="K527" s="32">
        <f t="shared" si="61"/>
        <v>0.30555555555555558</v>
      </c>
      <c r="L527" s="13" t="str">
        <f>IF($A527="","",IF(COUNTIFS($J$4:$J527,$J527,$E$4:$E527,$E527)=1,$E527,""))</f>
        <v/>
      </c>
      <c r="M527" s="13" t="str">
        <f>IF($A527="","",IF(COUNTIFS($J$4:$J527,$J527,$F$4:$F527,$F527)=1,$F527,""))</f>
        <v/>
      </c>
    </row>
    <row r="528" spans="1:13" x14ac:dyDescent="0.35">
      <c r="A528" s="23" t="str">
        <f>IFERROR(М1_КАМАЗ55111_0591!B142,"")</f>
        <v>вул. Київська</v>
      </c>
      <c r="B528" s="23" t="str">
        <f>IFERROR(IF(М1_КАМАЗ55111_0591!C142="","",TEXT(М1_КАМАЗ55111_0591!C142,"General")),"")</f>
        <v>Центральна площа</v>
      </c>
      <c r="C528" s="24" t="str">
        <f>"Субота"</f>
        <v>Субота</v>
      </c>
      <c r="D528" s="24" t="str">
        <f>IFERROR(TEXT(М1_КАМАЗ55111_0591!D142,"h:mm"),"")</f>
        <v>7:20</v>
      </c>
      <c r="E528" s="24" t="str">
        <f t="shared" si="62"/>
        <v>№1</v>
      </c>
      <c r="F528" s="24" t="str">
        <f>"КАМАЗ 55111"</f>
        <v>КАМАЗ 55111</v>
      </c>
      <c r="G528" s="24" t="str">
        <f>"СВ 50-33 АР"</f>
        <v>СВ 50-33 АР</v>
      </c>
      <c r="H528" s="24">
        <f>IFERROR(М1_КАМАЗ55111_0591!G142,"")</f>
        <v>2</v>
      </c>
      <c r="J528" s="13" t="str">
        <f t="shared" si="60"/>
        <v>вул. Київська|Центральна площа</v>
      </c>
      <c r="K528" s="32">
        <f t="shared" si="61"/>
        <v>0.30555555555555558</v>
      </c>
      <c r="L528" s="13" t="str">
        <f>IF($A528="","",IF(COUNTIFS($J$4:$J528,$J528,$E$4:$E528,$E528)=1,$E528,""))</f>
        <v/>
      </c>
      <c r="M528" s="13" t="str">
        <f>IF($A528="","",IF(COUNTIFS($J$4:$J528,$J528,$F$4:$F528,$F528)=1,$F528,""))</f>
        <v/>
      </c>
    </row>
    <row r="529" spans="1:13" x14ac:dyDescent="0.35">
      <c r="A529" s="23" t="str">
        <f>IFERROR(М1_КАМАЗ55111_0591!B160,"")</f>
        <v>вул. Київська</v>
      </c>
      <c r="B529" s="23" t="str">
        <f>IFERROR(IF(М1_КАМАЗ55111_0591!C160="","",TEXT(М1_КАМАЗ55111_0591!C160,"General")),"")</f>
        <v>Центральна площа</v>
      </c>
      <c r="C529" s="24" t="str">
        <f>"Субота"</f>
        <v>Субота</v>
      </c>
      <c r="D529" s="24" t="str">
        <f>IFERROR(TEXT(М1_КАМАЗ55111_0591!D160,"h:mm"),"")</f>
        <v>10:45</v>
      </c>
      <c r="E529" s="24" t="str">
        <f t="shared" si="62"/>
        <v>№1</v>
      </c>
      <c r="F529" s="24" t="str">
        <f>"КАМАЗ 55111"</f>
        <v>КАМАЗ 55111</v>
      </c>
      <c r="G529" s="24" t="str">
        <f>"СВ 50-33 АР"</f>
        <v>СВ 50-33 АР</v>
      </c>
      <c r="H529" s="24">
        <f>IFERROR(М1_КАМАЗ55111_0591!G160,"")</f>
        <v>2</v>
      </c>
      <c r="J529" s="13" t="str">
        <f t="shared" si="60"/>
        <v>вул. Київська|Центральна площа</v>
      </c>
      <c r="K529" s="32">
        <f t="shared" si="61"/>
        <v>0.44791666666666669</v>
      </c>
      <c r="L529" s="13" t="str">
        <f>IF($A529="","",IF(COUNTIFS($J$4:$J529,$J529,$E$4:$E529,$E529)=1,$E529,""))</f>
        <v/>
      </c>
      <c r="M529" s="13" t="str">
        <f>IF($A529="","",IF(COUNTIFS($J$4:$J529,$J529,$F$4:$F529,$F529)=1,$F529,""))</f>
        <v/>
      </c>
    </row>
    <row r="530" spans="1:13" x14ac:dyDescent="0.35">
      <c r="A530" s="23" t="str">
        <f>IFERROR('М1-2_АТ4021-1120_0585'!B143,"")</f>
        <v>вул. Київська</v>
      </c>
      <c r="B530" s="23" t="str">
        <f>IFERROR(IF('М1-2_АТ4021-1120_0585'!C143="","",TEXT('М1-2_АТ4021-1120_0585'!C143,"General")),"")</f>
        <v>Центральна площа</v>
      </c>
      <c r="C530" s="24" t="str">
        <f>"Неділя"</f>
        <v>Неділя</v>
      </c>
      <c r="D530" s="24" t="str">
        <f>IFERROR(TEXT('М1-2_АТ4021-1120_0585'!D143,"h:mm"),"")</f>
        <v>7:35</v>
      </c>
      <c r="E530" s="24" t="str">
        <f t="shared" si="62"/>
        <v>№1</v>
      </c>
      <c r="F530" s="24" t="str">
        <f>"АТ-4021/1120"</f>
        <v>АТ-4021/1120</v>
      </c>
      <c r="G530" s="24" t="str">
        <f>"СВ 14-65 ЕО"</f>
        <v>СВ 14-65 ЕО</v>
      </c>
      <c r="H530" s="24">
        <f>IFERROR('М1-2_АТ4021-1120_0585'!G143,"")</f>
        <v>2</v>
      </c>
      <c r="J530" s="13" t="str">
        <f t="shared" si="60"/>
        <v>вул. Київська|Центральна площа</v>
      </c>
      <c r="K530" s="32">
        <f t="shared" si="61"/>
        <v>0.31597222222222221</v>
      </c>
      <c r="L530" s="13" t="str">
        <f>IF($A530="","",IF(COUNTIFS($J$4:$J530,$J530,$E$4:$E530,$E530)=1,$E530,""))</f>
        <v/>
      </c>
      <c r="M530" s="13" t="str">
        <f>IF($A530="","",IF(COUNTIFS($J$4:$J530,$J530,$F$4:$F530,$F530)=1,$F530,""))</f>
        <v/>
      </c>
    </row>
    <row r="531" spans="1:13" x14ac:dyDescent="0.35">
      <c r="A531" s="23" t="str">
        <f>IFERROR('М1-2_АТ4021-1120_0585'!B168,"")</f>
        <v>вул. Київська</v>
      </c>
      <c r="B531" s="23" t="str">
        <f>IFERROR(IF('М1-2_АТ4021-1120_0585'!C168="","",TEXT('М1-2_АТ4021-1120_0585'!C168,"General")),"")</f>
        <v>Центральна площа</v>
      </c>
      <c r="C531" s="24" t="str">
        <f>"Неділя"</f>
        <v>Неділя</v>
      </c>
      <c r="D531" s="24" t="str">
        <f>IFERROR(TEXT('М1-2_АТ4021-1120_0585'!D168,"h:mm"),"")</f>
        <v>15:50</v>
      </c>
      <c r="E531" s="24" t="str">
        <f t="shared" si="62"/>
        <v>№1</v>
      </c>
      <c r="F531" s="24" t="str">
        <f>"АТ-4021/1120"</f>
        <v>АТ-4021/1120</v>
      </c>
      <c r="G531" s="24" t="str">
        <f>"СВ 14-65 ЕО"</f>
        <v>СВ 14-65 ЕО</v>
      </c>
      <c r="H531" s="24">
        <f>IFERROR('М1-2_АТ4021-1120_0585'!G168,"")</f>
        <v>2</v>
      </c>
      <c r="J531" s="13" t="str">
        <f t="shared" si="60"/>
        <v>вул. Київська|Центральна площа</v>
      </c>
      <c r="K531" s="32">
        <f t="shared" si="61"/>
        <v>0.65972222222222221</v>
      </c>
      <c r="L531" s="13" t="str">
        <f>IF($A531="","",IF(COUNTIFS($J$4:$J531,$J531,$E$4:$E531,$E531)=1,$E531,""))</f>
        <v/>
      </c>
      <c r="M531" s="13" t="str">
        <f>IF($A531="","",IF(COUNTIFS($J$4:$J531,$J531,$F$4:$F531,$F531)=1,$F531,""))</f>
        <v/>
      </c>
    </row>
    <row r="532" spans="1:13" x14ac:dyDescent="0.35">
      <c r="A532" s="23" t="str">
        <f>IFERROR('М2_АТ4021-1120_0588'!B89,"")</f>
        <v>вул. Київська</v>
      </c>
      <c r="B532" s="23" t="str">
        <f>IFERROR(IF('М2_АТ4021-1120_0588'!C89="","",TEXT('М2_АТ4021-1120_0588'!C89,"General")),"")</f>
        <v>Швейна</v>
      </c>
      <c r="C532" s="24" t="str">
        <f>"Четвер"</f>
        <v>Четвер</v>
      </c>
      <c r="D532" s="24" t="str">
        <f>IFERROR(TEXT('М2_АТ4021-1120_0588'!D89,"h:mm"),"")</f>
        <v>15:15</v>
      </c>
      <c r="E532" s="24" t="str">
        <f>"№2"</f>
        <v>№2</v>
      </c>
      <c r="F532" s="24" t="str">
        <f>"АТ 4021/1120"</f>
        <v>АТ 4021/1120</v>
      </c>
      <c r="G532" s="24" t="str">
        <f>"СВ 64-11 ЕТ"</f>
        <v>СВ 64-11 ЕТ</v>
      </c>
      <c r="H532" s="24">
        <f>IFERROR('М2_АТ4021-1120_0588'!G89,"")</f>
        <v>6</v>
      </c>
      <c r="J532" s="13" t="str">
        <f t="shared" si="60"/>
        <v>вул. Київська|Швейна</v>
      </c>
      <c r="K532" s="32">
        <f t="shared" si="61"/>
        <v>0.63541666666666663</v>
      </c>
      <c r="L532" s="13" t="str">
        <f>IF($A532="","",IF(COUNTIFS($J$4:$J532,$J532,$E$4:$E532,$E532)=1,$E532,""))</f>
        <v>№2</v>
      </c>
      <c r="M532" s="13" t="str">
        <f>IF($A532="","",IF(COUNTIFS($J$4:$J532,$J532,$F$4:$F532,$F532)=1,$F532,""))</f>
        <v>АТ 4021/1120</v>
      </c>
    </row>
    <row r="533" spans="1:13" x14ac:dyDescent="0.35">
      <c r="A533" s="23" t="str">
        <f>IFERROR(М3_МАЗ4371_0587!B59,"")</f>
        <v>вул. Київська</v>
      </c>
      <c r="B533" s="23" t="str">
        <f>IFERROR(IF(М3_МАЗ4371_0587!C59="","",TEXT(М3_МАЗ4371_0587!C59,"General")),"")</f>
        <v>виконком</v>
      </c>
      <c r="C533" s="24" t="str">
        <f>"Вівторок"</f>
        <v>Вівторок</v>
      </c>
      <c r="D533" s="24" t="str">
        <f>IFERROR(TEXT(М3_МАЗ4371_0587!D59,"h:mm"),"")</f>
        <v>12:10</v>
      </c>
      <c r="E533" s="24" t="str">
        <f>"№3"</f>
        <v>№3</v>
      </c>
      <c r="F533" s="24" t="str">
        <f>"МАЗ-4371"</f>
        <v>МАЗ-4371</v>
      </c>
      <c r="G533" s="24" t="str">
        <f>"СВ 53-06 СА"</f>
        <v>СВ 53-06 СА</v>
      </c>
      <c r="H533" s="24">
        <f>IFERROR(М3_МАЗ4371_0587!G59,"")</f>
        <v>1</v>
      </c>
      <c r="J533" s="13" t="str">
        <f t="shared" si="60"/>
        <v>вул. Київська|виконком</v>
      </c>
      <c r="K533" s="32">
        <f t="shared" si="61"/>
        <v>0.50694444444444442</v>
      </c>
      <c r="L533" s="13" t="str">
        <f>IF($A533="","",IF(COUNTIFS($J$4:$J533,$J533,$E$4:$E533,$E533)=1,$E533,""))</f>
        <v>№3</v>
      </c>
      <c r="M533" s="13" t="str">
        <f>IF($A533="","",IF(COUNTIFS($J$4:$J533,$J533,$F$4:$F533,$F533)=1,$F533,""))</f>
        <v>МАЗ-4371</v>
      </c>
    </row>
    <row r="534" spans="1:13" x14ac:dyDescent="0.35">
      <c r="A534" s="23" t="str">
        <f>IFERROR(М3_МАЗ4371_0587!B13,"")</f>
        <v>вул. Київська</v>
      </c>
      <c r="B534" s="23" t="str">
        <f>IFERROR(IF(М3_МАЗ4371_0587!C13="","",TEXT(М3_МАЗ4371_0587!C13,"General")),"")</f>
        <v>військомат</v>
      </c>
      <c r="C534" s="24" t="str">
        <f>"Понеділок"</f>
        <v>Понеділок</v>
      </c>
      <c r="D534" s="24" t="str">
        <f>IFERROR(TEXT(М3_МАЗ4371_0587!D13,"h:mm"),"")</f>
        <v>8:25</v>
      </c>
      <c r="E534" s="24" t="str">
        <f>"№3"</f>
        <v>№3</v>
      </c>
      <c r="F534" s="24" t="str">
        <f>"МАЗ-4371"</f>
        <v>МАЗ-4371</v>
      </c>
      <c r="G534" s="24" t="str">
        <f>"СВ 53-06 СА"</f>
        <v>СВ 53-06 СА</v>
      </c>
      <c r="H534" s="24">
        <f>IFERROR(М3_МАЗ4371_0587!G13,"")</f>
        <v>2</v>
      </c>
      <c r="J534" s="13" t="str">
        <f t="shared" si="60"/>
        <v>вул. Київська|військомат</v>
      </c>
      <c r="K534" s="32">
        <f t="shared" si="61"/>
        <v>0.35069444444444442</v>
      </c>
      <c r="L534" s="13" t="str">
        <f>IF($A534="","",IF(COUNTIFS($J$4:$J534,$J534,$E$4:$E534,$E534)=1,$E534,""))</f>
        <v>№3</v>
      </c>
      <c r="M534" s="13" t="str">
        <f>IF($A534="","",IF(COUNTIFS($J$4:$J534,$J534,$F$4:$F534,$F534)=1,$F534,""))</f>
        <v>МАЗ-4371</v>
      </c>
    </row>
    <row r="535" spans="1:13" x14ac:dyDescent="0.35">
      <c r="A535" s="23" t="str">
        <f>IFERROR('М1-2_АТ4021-1120_0585'!B27,"")</f>
        <v>вул. Київська</v>
      </c>
      <c r="B535" s="23" t="str">
        <f>IFERROR(IF('М1-2_АТ4021-1120_0585'!C27="","",TEXT('М1-2_АТ4021-1120_0585'!C27,"General")),"")</f>
        <v>д/с 9</v>
      </c>
      <c r="C535" s="24" t="str">
        <f>"Понеділок"</f>
        <v>Понеділок</v>
      </c>
      <c r="D535" s="24" t="str">
        <f>IFERROR(TEXT('М1-2_АТ4021-1120_0585'!D27,"h:mm"),"")</f>
        <v>13:45</v>
      </c>
      <c r="E535" s="24" t="str">
        <f>"№1"</f>
        <v>№1</v>
      </c>
      <c r="F535" s="24" t="str">
        <f>"АТ-4021/1120"</f>
        <v>АТ-4021/1120</v>
      </c>
      <c r="G535" s="24" t="str">
        <f>"СВ 14-65 ЕО"</f>
        <v>СВ 14-65 ЕО</v>
      </c>
      <c r="H535" s="24">
        <f>IFERROR('М1-2_АТ4021-1120_0585'!G27,"")</f>
        <v>1</v>
      </c>
      <c r="J535" s="13" t="str">
        <f t="shared" si="60"/>
        <v>вул. Київська|д/с 9</v>
      </c>
      <c r="K535" s="32">
        <f t="shared" si="61"/>
        <v>0.57291666666666663</v>
      </c>
      <c r="L535" s="13" t="str">
        <f>IF($A535="","",IF(COUNTIFS($J$4:$J535,$J535,$E$4:$E535,$E535)=1,$E535,""))</f>
        <v>№1</v>
      </c>
      <c r="M535" s="13" t="str">
        <f>IF($A535="","",IF(COUNTIFS($J$4:$J535,$J535,$F$4:$F535,$F535)=1,$F535,""))</f>
        <v>АТ-4021/1120</v>
      </c>
    </row>
    <row r="536" spans="1:13" x14ac:dyDescent="0.35">
      <c r="A536" s="23" t="str">
        <f>IFERROR(М1_КАМАЗ55111_0591!B131,"")</f>
        <v>вул. Київська</v>
      </c>
      <c r="B536" s="23" t="str">
        <f>IFERROR(IF(М1_КАМАЗ55111_0591!C131="","",TEXT(М1_КАМАЗ55111_0591!C131,"General")),"")</f>
        <v>колонія</v>
      </c>
      <c r="C536" s="24" t="str">
        <f>"П'ятниця"</f>
        <v>П'ятниця</v>
      </c>
      <c r="D536" s="24" t="str">
        <f>IFERROR(TEXT(М1_КАМАЗ55111_0591!D131,"h:mm"),"")</f>
        <v>11:55</v>
      </c>
      <c r="E536" s="24" t="str">
        <f>"№1"</f>
        <v>№1</v>
      </c>
      <c r="F536" s="24" t="str">
        <f>"КАМАЗ 55111"</f>
        <v>КАМАЗ 55111</v>
      </c>
      <c r="G536" s="24" t="str">
        <f>"СВ 50-33 АР"</f>
        <v>СВ 50-33 АР</v>
      </c>
      <c r="H536" s="24">
        <f>IFERROR(М1_КАМАЗ55111_0591!G131,"")</f>
        <v>1</v>
      </c>
      <c r="J536" s="13" t="str">
        <f t="shared" si="60"/>
        <v>вул. Київська|колонія</v>
      </c>
      <c r="K536" s="32">
        <f t="shared" si="61"/>
        <v>0.49652777777777779</v>
      </c>
      <c r="L536" s="13" t="str">
        <f>IF($A536="","",IF(COUNTIFS($J$4:$J536,$J536,$E$4:$E536,$E536)=1,$E536,""))</f>
        <v>№1</v>
      </c>
      <c r="M536" s="13" t="str">
        <f>IF($A536="","",IF(COUNTIFS($J$4:$J536,$J536,$F$4:$F536,$F536)=1,$F536,""))</f>
        <v>КАМАЗ 55111</v>
      </c>
    </row>
    <row r="537" spans="1:13" x14ac:dyDescent="0.35">
      <c r="A537" s="23" t="str">
        <f>IFERROR(М4_АТ4042ROD_0584!B10,"")</f>
        <v>вул. Київська</v>
      </c>
      <c r="B537" s="23" t="str">
        <f>IFERROR(IF(М4_АТ4042ROD_0584!C10="","",TEXT(М4_АТ4042ROD_0584!C10,"General")),"")</f>
        <v>літописець</v>
      </c>
      <c r="C537" s="24" t="str">
        <f>"Понеділок"</f>
        <v>Понеділок</v>
      </c>
      <c r="D537" s="24" t="str">
        <f>IFERROR(TEXT(М4_АТ4042ROD_0584!D10,"h:mm"),"")</f>
        <v>8:25</v>
      </c>
      <c r="E537" s="24" t="str">
        <f>"№4"</f>
        <v>№4</v>
      </c>
      <c r="F537" s="24" t="str">
        <f>"АТ 40-42/ROD21003"</f>
        <v>АТ 40-42/ROD21003</v>
      </c>
      <c r="G537" s="24" t="str">
        <f>"СВ 33-15 ЕО"</f>
        <v>СВ 33-15 ЕО</v>
      </c>
      <c r="H537" s="24">
        <f>IFERROR(М4_АТ4042ROD_0584!G10,"")</f>
        <v>1</v>
      </c>
      <c r="J537" s="13" t="str">
        <f t="shared" si="60"/>
        <v>вул. Київська|літописець</v>
      </c>
      <c r="K537" s="32">
        <f t="shared" si="61"/>
        <v>0.35069444444444442</v>
      </c>
      <c r="L537" s="13" t="str">
        <f>IF($A537="","",IF(COUNTIFS($J$4:$J537,$J537,$E$4:$E537,$E537)=1,$E537,""))</f>
        <v>№4</v>
      </c>
      <c r="M537" s="13" t="str">
        <f>IF($A537="","",IF(COUNTIFS($J$4:$J537,$J537,$F$4:$F537,$F537)=1,$F537,""))</f>
        <v>АТ 40-42/ROD21003</v>
      </c>
    </row>
    <row r="538" spans="1:13" x14ac:dyDescent="0.35">
      <c r="A538" s="23" t="str">
        <f>IFERROR(М4_АТ4042ROD_0584!B109,"")</f>
        <v>вул. Київська</v>
      </c>
      <c r="B538" s="23" t="str">
        <f>IFERROR(IF(М4_АТ4042ROD_0584!C109="","",TEXT(М4_АТ4042ROD_0584!C109,"General")),"")</f>
        <v>літописець</v>
      </c>
      <c r="C538" s="24" t="str">
        <f>"П'ятниця"</f>
        <v>П'ятниця</v>
      </c>
      <c r="D538" s="24" t="str">
        <f>IFERROR(TEXT(М4_АТ4042ROD_0584!D109,"h:mm"),"")</f>
        <v>8:25</v>
      </c>
      <c r="E538" s="24" t="str">
        <f>"№4"</f>
        <v>№4</v>
      </c>
      <c r="F538" s="24" t="str">
        <f>"АТ 40-42/ROD21003"</f>
        <v>АТ 40-42/ROD21003</v>
      </c>
      <c r="G538" s="24" t="str">
        <f>"СВ 33-15 ЕО"</f>
        <v>СВ 33-15 ЕО</v>
      </c>
      <c r="H538" s="24">
        <f>IFERROR(М4_АТ4042ROD_0584!G109,"")</f>
        <v>1</v>
      </c>
      <c r="J538" s="13" t="str">
        <f t="shared" si="60"/>
        <v>вул. Київська|літописець</v>
      </c>
      <c r="K538" s="32">
        <f t="shared" si="61"/>
        <v>0.35069444444444442</v>
      </c>
      <c r="L538" s="13" t="str">
        <f>IF($A538="","",IF(COUNTIFS($J$4:$J538,$J538,$E$4:$E538,$E538)=1,$E538,""))</f>
        <v/>
      </c>
      <c r="M538" s="13" t="str">
        <f>IF($A538="","",IF(COUNTIFS($J$4:$J538,$J538,$F$4:$F538,$F538)=1,$F538,""))</f>
        <v/>
      </c>
    </row>
    <row r="539" spans="1:13" x14ac:dyDescent="0.35">
      <c r="A539" s="23" t="str">
        <f>IFERROR(М4_АТ4042ROD_0584!B144,"")</f>
        <v>вул. Київська</v>
      </c>
      <c r="B539" s="23" t="str">
        <f>IFERROR(IF(М4_АТ4042ROD_0584!C144="","",TEXT(М4_АТ4042ROD_0584!C144,"General")),"")</f>
        <v>літописець</v>
      </c>
      <c r="C539" s="24" t="str">
        <f>"Неділя"</f>
        <v>Неділя</v>
      </c>
      <c r="D539" s="24" t="str">
        <f>IFERROR(TEXT(М4_АТ4042ROD_0584!D144,"h:mm"),"")</f>
        <v>8:40</v>
      </c>
      <c r="E539" s="24" t="str">
        <f>"№4"</f>
        <v>№4</v>
      </c>
      <c r="F539" s="24" t="str">
        <f>"АТ 40-42/ROD21003"</f>
        <v>АТ 40-42/ROD21003</v>
      </c>
      <c r="G539" s="24" t="str">
        <f>"СВ 33-15 ЕО"</f>
        <v>СВ 33-15 ЕО</v>
      </c>
      <c r="H539" s="24">
        <f>IFERROR(М4_АТ4042ROD_0584!G144,"")</f>
        <v>1</v>
      </c>
      <c r="J539" s="13" t="str">
        <f t="shared" si="60"/>
        <v>вул. Київська|літописець</v>
      </c>
      <c r="K539" s="32">
        <f t="shared" si="61"/>
        <v>0.3611111111111111</v>
      </c>
      <c r="L539" s="13" t="str">
        <f>IF($A539="","",IF(COUNTIFS($J$4:$J539,$J539,$E$4:$E539,$E539)=1,$E539,""))</f>
        <v/>
      </c>
      <c r="M539" s="13" t="str">
        <f>IF($A539="","",IF(COUNTIFS($J$4:$J539,$J539,$F$4:$F539,$F539)=1,$F539,""))</f>
        <v/>
      </c>
    </row>
    <row r="540" spans="1:13" x14ac:dyDescent="0.35">
      <c r="A540" s="23" t="str">
        <f>IFERROR('М2_АТ4021-1120_0588'!B29,"")</f>
        <v>вул. Київська</v>
      </c>
      <c r="B540" s="23" t="str">
        <f>IFERROR(IF('М2_АТ4021-1120_0588'!C29="","",TEXT('М2_АТ4021-1120_0588'!C29,"General")),"")</f>
        <v>м-н "Драйв"</v>
      </c>
      <c r="C540" s="24" t="str">
        <f>"Понеділок"</f>
        <v>Понеділок</v>
      </c>
      <c r="D540" s="24" t="str">
        <f>IFERROR(TEXT('М2_АТ4021-1120_0588'!D29,"h:mm"),"")</f>
        <v>15:45</v>
      </c>
      <c r="E540" s="24" t="str">
        <f>"№2"</f>
        <v>№2</v>
      </c>
      <c r="F540" s="24" t="str">
        <f>"АТ 4021/1120"</f>
        <v>АТ 4021/1120</v>
      </c>
      <c r="G540" s="24" t="str">
        <f>"СВ 64-11 ЕТ"</f>
        <v>СВ 64-11 ЕТ</v>
      </c>
      <c r="H540" s="24">
        <f>IFERROR('М2_АТ4021-1120_0588'!G29,"")</f>
        <v>1</v>
      </c>
      <c r="J540" s="13" t="str">
        <f t="shared" si="60"/>
        <v>вул. Київська|м-н "Драйв"</v>
      </c>
      <c r="K540" s="32">
        <f t="shared" si="61"/>
        <v>0.65625</v>
      </c>
      <c r="L540" s="13" t="str">
        <f>IF($A540="","",IF(COUNTIFS($J$4:$J540,$J540,$E$4:$E540,$E540)=1,$E540,""))</f>
        <v>№2</v>
      </c>
      <c r="M540" s="13" t="str">
        <f>IF($A540="","",IF(COUNTIFS($J$4:$J540,$J540,$F$4:$F540,$F540)=1,$F540,""))</f>
        <v>АТ 4021/1120</v>
      </c>
    </row>
    <row r="541" spans="1:13" x14ac:dyDescent="0.35">
      <c r="A541" s="23" t="str">
        <f>IFERROR('М2_АТ4021-1120_0588'!B120,"")</f>
        <v>вул. Київська</v>
      </c>
      <c r="B541" s="23" t="str">
        <f>IFERROR(IF('М2_АТ4021-1120_0588'!C120="","",TEXT('М2_АТ4021-1120_0588'!C120,"General")),"")</f>
        <v>м-н "Драйв"</v>
      </c>
      <c r="C541" s="24" t="str">
        <f>"П'ятниця"</f>
        <v>П'ятниця</v>
      </c>
      <c r="D541" s="24" t="str">
        <f>IFERROR(TEXT('М2_АТ4021-1120_0588'!D120,"h:mm"),"")</f>
        <v>15:40</v>
      </c>
      <c r="E541" s="24" t="str">
        <f>"№2"</f>
        <v>№2</v>
      </c>
      <c r="F541" s="24" t="str">
        <f>"АТ 4021/1120"</f>
        <v>АТ 4021/1120</v>
      </c>
      <c r="G541" s="24" t="str">
        <f>"СВ 64-11 ЕТ"</f>
        <v>СВ 64-11 ЕТ</v>
      </c>
      <c r="H541" s="24">
        <f>IFERROR('М2_АТ4021-1120_0588'!G120,"")</f>
        <v>1</v>
      </c>
      <c r="J541" s="13" t="str">
        <f t="shared" si="60"/>
        <v>вул. Київська|м-н "Драйв"</v>
      </c>
      <c r="K541" s="32">
        <f t="shared" si="61"/>
        <v>0.65277777777777779</v>
      </c>
      <c r="L541" s="13" t="str">
        <f>IF($A541="","",IF(COUNTIFS($J$4:$J541,$J541,$E$4:$E541,$E541)=1,$E541,""))</f>
        <v/>
      </c>
      <c r="M541" s="13" t="str">
        <f>IF($A541="","",IF(COUNTIFS($J$4:$J541,$J541,$F$4:$F541,$F541)=1,$F541,""))</f>
        <v/>
      </c>
    </row>
    <row r="542" spans="1:13" x14ac:dyDescent="0.35">
      <c r="A542" s="23" t="str">
        <f>IFERROR(М4_АТ4042ROD_0584!B131,"")</f>
        <v>вул. Київська</v>
      </c>
      <c r="B542" s="23" t="str">
        <f>IFERROR(IF(М4_АТ4042ROD_0584!C131="","",TEXT(М4_АТ4042ROD_0584!C131,"General")),"")</f>
        <v>пожежна</v>
      </c>
      <c r="C542" s="24" t="str">
        <f>"П'ятниця"</f>
        <v>П'ятниця</v>
      </c>
      <c r="D542" s="24" t="str">
        <f>IFERROR(TEXT(М4_АТ4042ROD_0584!D131,"h:mm"),"")</f>
        <v>15:50</v>
      </c>
      <c r="E542" s="24" t="str">
        <f>"№4"</f>
        <v>№4</v>
      </c>
      <c r="F542" s="24" t="str">
        <f>"АТ 40-42/ROD21003"</f>
        <v>АТ 40-42/ROD21003</v>
      </c>
      <c r="G542" s="24" t="str">
        <f>"СВ 33-15 ЕО"</f>
        <v>СВ 33-15 ЕО</v>
      </c>
      <c r="H542" s="24">
        <f>IFERROR(М4_АТ4042ROD_0584!G131,"")</f>
        <v>2</v>
      </c>
      <c r="J542" s="13" t="str">
        <f t="shared" si="60"/>
        <v>вул. Київська|пожежна</v>
      </c>
      <c r="K542" s="32">
        <f t="shared" si="61"/>
        <v>0.65972222222222221</v>
      </c>
      <c r="L542" s="13" t="str">
        <f>IF($A542="","",IF(COUNTIFS($J$4:$J542,$J542,$E$4:$E542,$E542)=1,$E542,""))</f>
        <v>№4</v>
      </c>
      <c r="M542" s="13" t="str">
        <f>IF($A542="","",IF(COUNTIFS($J$4:$J542,$J542,$F$4:$F542,$F542)=1,$F542,""))</f>
        <v>АТ 40-42/ROD21003</v>
      </c>
    </row>
    <row r="543" spans="1:13" x14ac:dyDescent="0.35">
      <c r="A543" s="23" t="str">
        <f>IFERROR(М3_МАЗ4371_0587!B27,"")</f>
        <v>вул. Київська</v>
      </c>
      <c r="B543" s="23" t="str">
        <f>IFERROR(IF(М3_МАЗ4371_0587!C27="","",TEXT(М3_МАЗ4371_0587!C27,"General")),"")</f>
        <v>райлікарня</v>
      </c>
      <c r="C543" s="24" t="str">
        <f>"Понеділок"</f>
        <v>Понеділок</v>
      </c>
      <c r="D543" s="24" t="str">
        <f>IFERROR(TEXT(М3_МАЗ4371_0587!D27,"h:mm"),"")</f>
        <v>12:55</v>
      </c>
      <c r="E543" s="24" t="str">
        <f>"№3"</f>
        <v>№3</v>
      </c>
      <c r="F543" s="24" t="str">
        <f>"МАЗ-4371"</f>
        <v>МАЗ-4371</v>
      </c>
      <c r="G543" s="24" t="str">
        <f>"СВ 53-06 СА"</f>
        <v>СВ 53-06 СА</v>
      </c>
      <c r="H543" s="24">
        <f>IFERROR(М3_МАЗ4371_0587!G27,"")</f>
        <v>2</v>
      </c>
      <c r="J543" s="13" t="str">
        <f t="shared" si="60"/>
        <v>вул. Київська|райлікарня</v>
      </c>
      <c r="K543" s="32">
        <f t="shared" si="61"/>
        <v>0.53819444444444442</v>
      </c>
      <c r="L543" s="13" t="str">
        <f>IF($A543="","",IF(COUNTIFS($J$4:$J543,$J543,$E$4:$E543,$E543)=1,$E543,""))</f>
        <v>№3</v>
      </c>
      <c r="M543" s="13" t="str">
        <f>IF($A543="","",IF(COUNTIFS($J$4:$J543,$J543,$F$4:$F543,$F543)=1,$F543,""))</f>
        <v>МАЗ-4371</v>
      </c>
    </row>
    <row r="544" spans="1:13" x14ac:dyDescent="0.35">
      <c r="A544" s="23" t="str">
        <f>IFERROR(М3_МАЗ4371_0587!B113,"")</f>
        <v>вул. Київська</v>
      </c>
      <c r="B544" s="23" t="str">
        <f>IFERROR(IF(М3_МАЗ4371_0587!C113="","",TEXT(М3_МАЗ4371_0587!C113,"General")),"")</f>
        <v>райлікарня</v>
      </c>
      <c r="C544" s="24" t="str">
        <f>"П'ятниця"</f>
        <v>П'ятниця</v>
      </c>
      <c r="D544" s="24" t="str">
        <f>IFERROR(TEXT(М3_МАЗ4371_0587!D113,"h:mm"),"")</f>
        <v>7:15</v>
      </c>
      <c r="E544" s="24" t="str">
        <f>"№3"</f>
        <v>№3</v>
      </c>
      <c r="F544" s="24" t="str">
        <f>"МАЗ-4371"</f>
        <v>МАЗ-4371</v>
      </c>
      <c r="G544" s="24" t="str">
        <f>"СВ 53-06 СА"</f>
        <v>СВ 53-06 СА</v>
      </c>
      <c r="H544" s="24">
        <f>IFERROR(М3_МАЗ4371_0587!G113,"")</f>
        <v>2</v>
      </c>
      <c r="J544" s="13" t="str">
        <f t="shared" si="60"/>
        <v>вул. Київська|райлікарня</v>
      </c>
      <c r="K544" s="32">
        <f t="shared" si="61"/>
        <v>0.30208333333333331</v>
      </c>
      <c r="L544" s="13" t="str">
        <f>IF($A544="","",IF(COUNTIFS($J$4:$J544,$J544,$E$4:$E544,$E544)=1,$E544,""))</f>
        <v/>
      </c>
      <c r="M544" s="13" t="str">
        <f>IF($A544="","",IF(COUNTIFS($J$4:$J544,$J544,$F$4:$F544,$F544)=1,$F544,""))</f>
        <v/>
      </c>
    </row>
    <row r="545" spans="1:13" x14ac:dyDescent="0.35">
      <c r="A545" s="23" t="str">
        <f>IFERROR(М3_МАЗ4371_0587!B126,"")</f>
        <v>вул. Київська</v>
      </c>
      <c r="B545" s="23" t="str">
        <f>IFERROR(IF(М3_МАЗ4371_0587!C126="","",TEXT(М3_МАЗ4371_0587!C126,"General")),"")</f>
        <v>райрада</v>
      </c>
      <c r="C545" s="24" t="str">
        <f>"П'ятниця"</f>
        <v>П'ятниця</v>
      </c>
      <c r="D545" s="24" t="str">
        <f>IFERROR(TEXT(М3_МАЗ4371_0587!D126,"h:mm"),"")</f>
        <v>10:00</v>
      </c>
      <c r="E545" s="24" t="str">
        <f>"№3"</f>
        <v>№3</v>
      </c>
      <c r="F545" s="24" t="str">
        <f>"МАЗ-4371"</f>
        <v>МАЗ-4371</v>
      </c>
      <c r="G545" s="24" t="str">
        <f>"СВ 53-06 СА"</f>
        <v>СВ 53-06 СА</v>
      </c>
      <c r="H545" s="24">
        <f>IFERROR(М3_МАЗ4371_0587!G126,"")</f>
        <v>1</v>
      </c>
      <c r="J545" s="13" t="str">
        <f t="shared" si="60"/>
        <v>вул. Київська|райрада</v>
      </c>
      <c r="K545" s="32">
        <f t="shared" si="61"/>
        <v>0.41666666666666669</v>
      </c>
      <c r="L545" s="13" t="str">
        <f>IF($A545="","",IF(COUNTIFS($J$4:$J545,$J545,$E$4:$E545,$E545)=1,$E545,""))</f>
        <v>№3</v>
      </c>
      <c r="M545" s="13" t="str">
        <f>IF($A545="","",IF(COUNTIFS($J$4:$J545,$J545,$F$4:$F545,$F545)=1,$F545,""))</f>
        <v>МАЗ-4371</v>
      </c>
    </row>
    <row r="546" spans="1:13" x14ac:dyDescent="0.35">
      <c r="A546" s="23" t="str">
        <f>IFERROR('М1-2_АТ4021-1120_0585'!B23,"")</f>
        <v>вул. Київська</v>
      </c>
      <c r="B546" s="23" t="str">
        <f>IFERROR(IF('М1-2_АТ4021-1120_0585'!C23="","",TEXT('М1-2_АТ4021-1120_0585'!C23,"General")),"")</f>
        <v>шк. 1</v>
      </c>
      <c r="C546" s="24" t="str">
        <f t="shared" ref="C546:C551" si="65">"Понеділок"</f>
        <v>Понеділок</v>
      </c>
      <c r="D546" s="24" t="str">
        <f>IFERROR(TEXT('М1-2_АТ4021-1120_0585'!D23,"h:mm"),"")</f>
        <v>12:55</v>
      </c>
      <c r="E546" s="24" t="str">
        <f>"№1"</f>
        <v>№1</v>
      </c>
      <c r="F546" s="24" t="str">
        <f>"АТ-4021/1120"</f>
        <v>АТ-4021/1120</v>
      </c>
      <c r="G546" s="24" t="str">
        <f>"СВ 14-65 ЕО"</f>
        <v>СВ 14-65 ЕО</v>
      </c>
      <c r="H546" s="24">
        <f>IFERROR('М1-2_АТ4021-1120_0585'!G23,"")</f>
        <v>3</v>
      </c>
      <c r="J546" s="13" t="str">
        <f t="shared" si="60"/>
        <v>вул. Київська|шк. 1</v>
      </c>
      <c r="K546" s="32">
        <f t="shared" si="61"/>
        <v>0.53819444444444442</v>
      </c>
      <c r="L546" s="13" t="str">
        <f>IF($A546="","",IF(COUNTIFS($J$4:$J546,$J546,$E$4:$E546,$E546)=1,$E546,""))</f>
        <v>№1</v>
      </c>
      <c r="M546" s="13" t="str">
        <f>IF($A546="","",IF(COUNTIFS($J$4:$J546,$J546,$F$4:$F546,$F546)=1,$F546,""))</f>
        <v>АТ-4021/1120</v>
      </c>
    </row>
    <row r="547" spans="1:13" x14ac:dyDescent="0.35">
      <c r="A547" s="23" t="str">
        <f>IFERROR('М1-2_АТ4021-1120_0585'!B29,"")</f>
        <v>вул. Київська</v>
      </c>
      <c r="B547" s="23" t="str">
        <f>IFERROR(IF('М1-2_АТ4021-1120_0585'!C29="","",TEXT('М1-2_АТ4021-1120_0585'!C29,"General")),"")</f>
        <v>шк. 6</v>
      </c>
      <c r="C547" s="24" t="str">
        <f t="shared" si="65"/>
        <v>Понеділок</v>
      </c>
      <c r="D547" s="24" t="str">
        <f>IFERROR(TEXT('М1-2_АТ4021-1120_0585'!D29,"h:mm"),"")</f>
        <v>14:10</v>
      </c>
      <c r="E547" s="24" t="str">
        <f>"№1"</f>
        <v>№1</v>
      </c>
      <c r="F547" s="24" t="str">
        <f>"АТ-4021/1120"</f>
        <v>АТ-4021/1120</v>
      </c>
      <c r="G547" s="24" t="str">
        <f>"СВ 14-65 ЕО"</f>
        <v>СВ 14-65 ЕО</v>
      </c>
      <c r="H547" s="24">
        <f>IFERROR('М1-2_АТ4021-1120_0585'!G29,"")</f>
        <v>1</v>
      </c>
      <c r="J547" s="13" t="str">
        <f t="shared" si="60"/>
        <v>вул. Київська|шк. 6</v>
      </c>
      <c r="K547" s="32">
        <f t="shared" si="61"/>
        <v>0.59027777777777779</v>
      </c>
      <c r="L547" s="13" t="str">
        <f>IF($A547="","",IF(COUNTIFS($J$4:$J547,$J547,$E$4:$E547,$E547)=1,$E547,""))</f>
        <v>№1</v>
      </c>
      <c r="M547" s="13" t="str">
        <f>IF($A547="","",IF(COUNTIFS($J$4:$J547,$J547,$F$4:$F547,$F547)=1,$F547,""))</f>
        <v>АТ-4021/1120</v>
      </c>
    </row>
    <row r="548" spans="1:13" x14ac:dyDescent="0.35">
      <c r="A548" s="23" t="str">
        <f>IFERROR('М3-4_ГАЗ3309_0590'!B130,"")</f>
        <v>вул. Київська</v>
      </c>
      <c r="B548" s="23" t="str">
        <f>IFERROR(IF('М3-4_ГАЗ3309_0590'!C130="","",TEXT('М3-4_ГАЗ3309_0590'!C130,"General")),"")</f>
        <v>шк. мистецтв</v>
      </c>
      <c r="C548" s="24" t="str">
        <f t="shared" si="65"/>
        <v>Понеділок</v>
      </c>
      <c r="D548" s="24" t="str">
        <f>IFERROR(TEXT('М3-4_ГАЗ3309_0590'!D130,"h:mm"),"")</f>
        <v>10:50</v>
      </c>
      <c r="E548" s="24" t="str">
        <f>"№3"</f>
        <v>№3</v>
      </c>
      <c r="F548" s="24" t="str">
        <f>"ГАЗ 3309"</f>
        <v>ГАЗ 3309</v>
      </c>
      <c r="G548" s="24" t="str">
        <f>"СВ 17-85 ВН"</f>
        <v>СВ 17-85 ВН</v>
      </c>
      <c r="H548" s="24">
        <f>IFERROR('М3-4_ГАЗ3309_0590'!G130,"")</f>
        <v>1</v>
      </c>
      <c r="J548" s="13" t="str">
        <f t="shared" si="60"/>
        <v>вул. Київська|шк. мистецтв</v>
      </c>
      <c r="K548" s="32">
        <f t="shared" si="61"/>
        <v>0.4513888888888889</v>
      </c>
      <c r="L548" s="13" t="str">
        <f>IF($A548="","",IF(COUNTIFS($J$4:$J548,$J548,$E$4:$E548,$E548)=1,$E548,""))</f>
        <v>№3</v>
      </c>
      <c r="M548" s="13" t="str">
        <f>IF($A548="","",IF(COUNTIFS($J$4:$J548,$J548,$F$4:$F548,$F548)=1,$F548,""))</f>
        <v>ГАЗ 3309</v>
      </c>
    </row>
    <row r="549" spans="1:13" x14ac:dyDescent="0.35">
      <c r="A549" s="23" t="str">
        <f>IFERROR('М3-4_ГАЗ3309_0590'!B132,"")</f>
        <v>вул. Київська</v>
      </c>
      <c r="B549" s="23" t="str">
        <f>IFERROR(IF('М3-4_ГАЗ3309_0590'!C132="","",TEXT('М3-4_ГАЗ3309_0590'!C132,"General")),"")</f>
        <v>шк.-інтернат</v>
      </c>
      <c r="C549" s="24" t="str">
        <f t="shared" si="65"/>
        <v>Понеділок</v>
      </c>
      <c r="D549" s="24" t="str">
        <f>IFERROR(TEXT('М3-4_ГАЗ3309_0590'!D132,"h:mm"),"")</f>
        <v>11:30</v>
      </c>
      <c r="E549" s="24" t="str">
        <f>"№3"</f>
        <v>№3</v>
      </c>
      <c r="F549" s="24" t="str">
        <f>"ГАЗ 3309"</f>
        <v>ГАЗ 3309</v>
      </c>
      <c r="G549" s="24" t="str">
        <f>"СВ 17-85 ВН"</f>
        <v>СВ 17-85 ВН</v>
      </c>
      <c r="H549" s="24">
        <f>IFERROR('М3-4_ГАЗ3309_0590'!G132,"")</f>
        <v>2</v>
      </c>
      <c r="J549" s="13" t="str">
        <f t="shared" si="60"/>
        <v>вул. Київська|шк.-інтернат</v>
      </c>
      <c r="K549" s="32">
        <f t="shared" si="61"/>
        <v>0.47916666666666669</v>
      </c>
      <c r="L549" s="13" t="str">
        <f>IF($A549="","",IF(COUNTIFS($J$4:$J549,$J549,$E$4:$E549,$E549)=1,$E549,""))</f>
        <v>№3</v>
      </c>
      <c r="M549" s="13" t="str">
        <f>IF($A549="","",IF(COUNTIFS($J$4:$J549,$J549,$F$4:$F549,$F549)=1,$F549,""))</f>
        <v>ГАЗ 3309</v>
      </c>
    </row>
    <row r="550" spans="1:13" x14ac:dyDescent="0.35">
      <c r="A550" s="23" t="str">
        <f>IFERROR(М5_МАЗ4381_0592!B24,"")</f>
        <v>вул. Климачівська</v>
      </c>
      <c r="B550" s="23" t="str">
        <f>IFERROR(IF(М5_МАЗ4381_0592!C24="","",TEXT(М5_МАЗ4381_0592!C24,"General")),"")</f>
        <v/>
      </c>
      <c r="C550" s="24" t="str">
        <f t="shared" si="65"/>
        <v>Понеділок</v>
      </c>
      <c r="D550" s="24" t="str">
        <f>IFERROR(TEXT(М5_МАЗ4381_0592!D24,"h:mm"),"")</f>
        <v>11:00</v>
      </c>
      <c r="E550" s="24" t="str">
        <f>"№5"</f>
        <v>№5</v>
      </c>
      <c r="F550" s="24" t="str">
        <f>"МАЗ 4381"</f>
        <v>МАЗ 4381</v>
      </c>
      <c r="G550" s="24" t="str">
        <f>"СВ 81-71 ВК"</f>
        <v>СВ 81-71 ВК</v>
      </c>
      <c r="H550" s="24"/>
      <c r="J550" s="13" t="str">
        <f t="shared" si="60"/>
        <v>вул. Климачівська|</v>
      </c>
      <c r="K550" s="32">
        <f t="shared" si="61"/>
        <v>0.45833333333333331</v>
      </c>
      <c r="L550" s="13" t="str">
        <f>IF($A550="","",IF(COUNTIFS($J$4:$J550,$J550,$E$4:$E550,$E550)=1,$E550,""))</f>
        <v>№5</v>
      </c>
      <c r="M550" s="13" t="str">
        <f>IF($A550="","",IF(COUNTIFS($J$4:$J550,$J550,$F$4:$F550,$F550)=1,$F550,""))</f>
        <v>МАЗ 4381</v>
      </c>
    </row>
    <row r="551" spans="1:13" x14ac:dyDescent="0.35">
      <c r="A551" s="23" t="str">
        <f>IFERROR('М2_АТ4021-1120_0588'!B13,"")</f>
        <v>вул. Ковалівська</v>
      </c>
      <c r="B551" s="23" t="str">
        <f>IFERROR(IF('М2_АТ4021-1120_0588'!C13="","",TEXT('М2_АТ4021-1120_0588'!C13,"General")),"")</f>
        <v>Лижна база</v>
      </c>
      <c r="C551" s="24" t="str">
        <f t="shared" si="65"/>
        <v>Понеділок</v>
      </c>
      <c r="D551" s="24" t="str">
        <f>IFERROR(TEXT('М2_АТ4021-1120_0588'!D13,"h:mm"),"")</f>
        <v>9:25</v>
      </c>
      <c r="E551" s="24" t="str">
        <f t="shared" ref="E551:E557" si="66">"№2"</f>
        <v>№2</v>
      </c>
      <c r="F551" s="24" t="str">
        <f>"АТ 4021/1120"</f>
        <v>АТ 4021/1120</v>
      </c>
      <c r="G551" s="24" t="str">
        <f>"СВ 64-11 ЕТ"</f>
        <v>СВ 64-11 ЕТ</v>
      </c>
      <c r="H551" s="24">
        <f>IFERROR('М2_АТ4021-1120_0588'!G13,"")</f>
        <v>5</v>
      </c>
      <c r="J551" s="13" t="str">
        <f t="shared" si="60"/>
        <v>вул. Ковалівська|Лижна база</v>
      </c>
      <c r="K551" s="32">
        <f t="shared" si="61"/>
        <v>0.3923611111111111</v>
      </c>
      <c r="L551" s="13" t="str">
        <f>IF($A551="","",IF(COUNTIFS($J$4:$J551,$J551,$E$4:$E551,$E551)=1,$E551,""))</f>
        <v>№2</v>
      </c>
      <c r="M551" s="13" t="str">
        <f>IF($A551="","",IF(COUNTIFS($J$4:$J551,$J551,$F$4:$F551,$F551)=1,$F551,""))</f>
        <v>АТ 4021/1120</v>
      </c>
    </row>
    <row r="552" spans="1:13" x14ac:dyDescent="0.35">
      <c r="A552" s="23" t="str">
        <f>IFERROR('М2_АТ4021-1120_0588'!B44,"")</f>
        <v>вул. Ковалівська</v>
      </c>
      <c r="B552" s="23" t="str">
        <f>IFERROR(IF('М2_АТ4021-1120_0588'!C44="","",TEXT('М2_АТ4021-1120_0588'!C44,"General")),"")</f>
        <v>Лижна база</v>
      </c>
      <c r="C552" s="24" t="str">
        <f>"Вівторок"</f>
        <v>Вівторок</v>
      </c>
      <c r="D552" s="24" t="str">
        <f>IFERROR(TEXT('М2_АТ4021-1120_0588'!D44,"h:mm"),"")</f>
        <v>9:25</v>
      </c>
      <c r="E552" s="24" t="str">
        <f t="shared" si="66"/>
        <v>№2</v>
      </c>
      <c r="F552" s="24" t="str">
        <f>"АТ 4021/1120"</f>
        <v>АТ 4021/1120</v>
      </c>
      <c r="G552" s="24" t="str">
        <f>"СВ 64-11 ЕТ"</f>
        <v>СВ 64-11 ЕТ</v>
      </c>
      <c r="H552" s="24">
        <f>IFERROR('М2_АТ4021-1120_0588'!G44,"")</f>
        <v>5</v>
      </c>
      <c r="J552" s="13" t="str">
        <f t="shared" si="60"/>
        <v>вул. Ковалівська|Лижна база</v>
      </c>
      <c r="K552" s="32">
        <f t="shared" si="61"/>
        <v>0.3923611111111111</v>
      </c>
      <c r="L552" s="13" t="str">
        <f>IF($A552="","",IF(COUNTIFS($J$4:$J552,$J552,$E$4:$E552,$E552)=1,$E552,""))</f>
        <v/>
      </c>
      <c r="M552" s="13" t="str">
        <f>IF($A552="","",IF(COUNTIFS($J$4:$J552,$J552,$F$4:$F552,$F552)=1,$F552,""))</f>
        <v/>
      </c>
    </row>
    <row r="553" spans="1:13" x14ac:dyDescent="0.35">
      <c r="A553" s="23" t="str">
        <f>IFERROR('М1-2_АТ4021-1120_0585'!B55,"")</f>
        <v>вул. Ковалівська</v>
      </c>
      <c r="B553" s="23" t="str">
        <f>IFERROR(IF('М1-2_АТ4021-1120_0585'!C55="","",TEXT('М1-2_АТ4021-1120_0585'!C55,"General")),"")</f>
        <v>Лижна база</v>
      </c>
      <c r="C553" s="24" t="str">
        <f>"Середа"</f>
        <v>Середа</v>
      </c>
      <c r="D553" s="24" t="str">
        <f>IFERROR(TEXT('М1-2_АТ4021-1120_0585'!D55,"h:mm"),"")</f>
        <v>9:40</v>
      </c>
      <c r="E553" s="24" t="str">
        <f t="shared" si="66"/>
        <v>№2</v>
      </c>
      <c r="F553" s="24" t="str">
        <f>"АТ-4021/1120"</f>
        <v>АТ-4021/1120</v>
      </c>
      <c r="G553" s="24" t="str">
        <f>"СВ 14-65 ЕО"</f>
        <v>СВ 14-65 ЕО</v>
      </c>
      <c r="H553" s="24">
        <f>IFERROR('М1-2_АТ4021-1120_0585'!G55,"")</f>
        <v>5</v>
      </c>
      <c r="J553" s="13" t="str">
        <f t="shared" si="60"/>
        <v>вул. Ковалівська|Лижна база</v>
      </c>
      <c r="K553" s="32">
        <f t="shared" si="61"/>
        <v>0.40277777777777779</v>
      </c>
      <c r="L553" s="13" t="str">
        <f>IF($A553="","",IF(COUNTIFS($J$4:$J553,$J553,$E$4:$E553,$E553)=1,$E553,""))</f>
        <v/>
      </c>
      <c r="M553" s="13" t="str">
        <f>IF($A553="","",IF(COUNTIFS($J$4:$J553,$J553,$F$4:$F553,$F553)=1,$F553,""))</f>
        <v>АТ-4021/1120</v>
      </c>
    </row>
    <row r="554" spans="1:13" x14ac:dyDescent="0.35">
      <c r="A554" s="23" t="str">
        <f>IFERROR('М2_АТ4021-1120_0588'!B75,"")</f>
        <v>вул. Ковалівська</v>
      </c>
      <c r="B554" s="23" t="str">
        <f>IFERROR(IF('М2_АТ4021-1120_0588'!C75="","",TEXT('М2_АТ4021-1120_0588'!C75,"General")),"")</f>
        <v>Лижна база</v>
      </c>
      <c r="C554" s="24" t="str">
        <f>"Четвер"</f>
        <v>Четвер</v>
      </c>
      <c r="D554" s="24" t="str">
        <f>IFERROR(TEXT('М2_АТ4021-1120_0588'!D75,"h:mm"),"")</f>
        <v>9:25</v>
      </c>
      <c r="E554" s="24" t="str">
        <f t="shared" si="66"/>
        <v>№2</v>
      </c>
      <c r="F554" s="24" t="str">
        <f>"АТ 4021/1120"</f>
        <v>АТ 4021/1120</v>
      </c>
      <c r="G554" s="24" t="str">
        <f>"СВ 64-11 ЕТ"</f>
        <v>СВ 64-11 ЕТ</v>
      </c>
      <c r="H554" s="24">
        <f>IFERROR('М2_АТ4021-1120_0588'!G75,"")</f>
        <v>5</v>
      </c>
      <c r="J554" s="13" t="str">
        <f t="shared" si="60"/>
        <v>вул. Ковалівська|Лижна база</v>
      </c>
      <c r="K554" s="32">
        <f t="shared" si="61"/>
        <v>0.3923611111111111</v>
      </c>
      <c r="L554" s="13" t="str">
        <f>IF($A554="","",IF(COUNTIFS($J$4:$J554,$J554,$E$4:$E554,$E554)=1,$E554,""))</f>
        <v/>
      </c>
      <c r="M554" s="13" t="str">
        <f>IF($A554="","",IF(COUNTIFS($J$4:$J554,$J554,$F$4:$F554,$F554)=1,$F554,""))</f>
        <v/>
      </c>
    </row>
    <row r="555" spans="1:13" x14ac:dyDescent="0.35">
      <c r="A555" s="23" t="str">
        <f>IFERROR('М2_АТ4021-1120_0588'!B105,"")</f>
        <v>вул. Ковалівська</v>
      </c>
      <c r="B555" s="23" t="str">
        <f>IFERROR(IF('М2_АТ4021-1120_0588'!C105="","",TEXT('М2_АТ4021-1120_0588'!C105,"General")),"")</f>
        <v>Лижна база</v>
      </c>
      <c r="C555" s="24" t="str">
        <f>"П'ятниця"</f>
        <v>П'ятниця</v>
      </c>
      <c r="D555" s="24" t="str">
        <f>IFERROR(TEXT('М2_АТ4021-1120_0588'!D105,"h:mm"),"")</f>
        <v>9:25</v>
      </c>
      <c r="E555" s="24" t="str">
        <f t="shared" si="66"/>
        <v>№2</v>
      </c>
      <c r="F555" s="24" t="str">
        <f>"АТ 4021/1120"</f>
        <v>АТ 4021/1120</v>
      </c>
      <c r="G555" s="24" t="str">
        <f>"СВ 64-11 ЕТ"</f>
        <v>СВ 64-11 ЕТ</v>
      </c>
      <c r="H555" s="24">
        <f>IFERROR('М2_АТ4021-1120_0588'!G105,"")</f>
        <v>5</v>
      </c>
      <c r="J555" s="13" t="str">
        <f t="shared" si="60"/>
        <v>вул. Ковалівська|Лижна база</v>
      </c>
      <c r="K555" s="32">
        <f t="shared" si="61"/>
        <v>0.3923611111111111</v>
      </c>
      <c r="L555" s="13" t="str">
        <f>IF($A555="","",IF(COUNTIFS($J$4:$J555,$J555,$E$4:$E555,$E555)=1,$E555,""))</f>
        <v/>
      </c>
      <c r="M555" s="13" t="str">
        <f>IF($A555="","",IF(COUNTIFS($J$4:$J555,$J555,$F$4:$F555,$F555)=1,$F555,""))</f>
        <v/>
      </c>
    </row>
    <row r="556" spans="1:13" x14ac:dyDescent="0.35">
      <c r="A556" s="23" t="str">
        <f>IFERROR('М1-2_АТ4021-1120_0585'!B84,"")</f>
        <v>вул. Ковалівська</v>
      </c>
      <c r="B556" s="23" t="str">
        <f>IFERROR(IF('М1-2_АТ4021-1120_0585'!C84="","",TEXT('М1-2_АТ4021-1120_0585'!C84,"General")),"")</f>
        <v>Лижна база</v>
      </c>
      <c r="C556" s="24" t="str">
        <f>"Субота"</f>
        <v>Субота</v>
      </c>
      <c r="D556" s="24" t="str">
        <f>IFERROR(TEXT('М1-2_АТ4021-1120_0585'!D84,"h:mm"),"")</f>
        <v>9:40</v>
      </c>
      <c r="E556" s="24" t="str">
        <f t="shared" si="66"/>
        <v>№2</v>
      </c>
      <c r="F556" s="24" t="str">
        <f>"АТ-4021/1120"</f>
        <v>АТ-4021/1120</v>
      </c>
      <c r="G556" s="24" t="str">
        <f>"СВ 14-65 ЕО"</f>
        <v>СВ 14-65 ЕО</v>
      </c>
      <c r="H556" s="24">
        <f>IFERROR('М1-2_АТ4021-1120_0585'!G84,"")</f>
        <v>5</v>
      </c>
      <c r="J556" s="13" t="str">
        <f t="shared" si="60"/>
        <v>вул. Ковалівська|Лижна база</v>
      </c>
      <c r="K556" s="32">
        <f t="shared" si="61"/>
        <v>0.40277777777777779</v>
      </c>
      <c r="L556" s="13" t="str">
        <f>IF($A556="","",IF(COUNTIFS($J$4:$J556,$J556,$E$4:$E556,$E556)=1,$E556,""))</f>
        <v/>
      </c>
      <c r="M556" s="13" t="str">
        <f>IF($A556="","",IF(COUNTIFS($J$4:$J556,$J556,$F$4:$F556,$F556)=1,$F556,""))</f>
        <v/>
      </c>
    </row>
    <row r="557" spans="1:13" x14ac:dyDescent="0.35">
      <c r="A557" s="23" t="str">
        <f>IFERROR('М2_АТ4021-1120_0588'!B135,"")</f>
        <v>вул. Ковалівська</v>
      </c>
      <c r="B557" s="23" t="str">
        <f>IFERROR(IF('М2_АТ4021-1120_0588'!C135="","",TEXT('М2_АТ4021-1120_0588'!C135,"General")),"")</f>
        <v>Лижна база</v>
      </c>
      <c r="C557" s="24" t="str">
        <f>"Неділя"</f>
        <v>Неділя</v>
      </c>
      <c r="D557" s="24" t="str">
        <f>IFERROR(TEXT('М2_АТ4021-1120_0588'!D135,"h:mm"),"")</f>
        <v>9:25</v>
      </c>
      <c r="E557" s="24" t="str">
        <f t="shared" si="66"/>
        <v>№2</v>
      </c>
      <c r="F557" s="24" t="str">
        <f>"АТ 4021/1120"</f>
        <v>АТ 4021/1120</v>
      </c>
      <c r="G557" s="24" t="str">
        <f>"СВ 64-11 ЕТ"</f>
        <v>СВ 64-11 ЕТ</v>
      </c>
      <c r="H557" s="24">
        <f>IFERROR('М2_АТ4021-1120_0588'!G135,"")</f>
        <v>5</v>
      </c>
      <c r="J557" s="13" t="str">
        <f t="shared" si="60"/>
        <v>вул. Ковалівська|Лижна база</v>
      </c>
      <c r="K557" s="32">
        <f t="shared" si="61"/>
        <v>0.3923611111111111</v>
      </c>
      <c r="L557" s="13" t="str">
        <f>IF($A557="","",IF(COUNTIFS($J$4:$J557,$J557,$E$4:$E557,$E557)=1,$E557,""))</f>
        <v/>
      </c>
      <c r="M557" s="13" t="str">
        <f>IF($A557="","",IF(COUNTIFS($J$4:$J557,$J557,$F$4:$F557,$F557)=1,$F557,""))</f>
        <v/>
      </c>
    </row>
    <row r="558" spans="1:13" x14ac:dyDescent="0.35">
      <c r="A558" s="23" t="str">
        <f>IFERROR(М5_МАЗ4381_0592!B127,"")</f>
        <v>вул. Козача</v>
      </c>
      <c r="B558" s="23" t="str">
        <f>IFERROR(IF(М5_МАЗ4381_0592!C127="","",TEXT(М5_МАЗ4381_0592!C127,"General")),"")</f>
        <v/>
      </c>
      <c r="C558" s="24" t="str">
        <f>"Четвер"</f>
        <v>Четвер</v>
      </c>
      <c r="D558" s="24" t="str">
        <f>IFERROR(TEXT(М5_МАЗ4381_0592!D127,"h:mm"),"")</f>
        <v>8:45</v>
      </c>
      <c r="E558" s="24" t="str">
        <f>"№5"</f>
        <v>№5</v>
      </c>
      <c r="F558" s="24" t="str">
        <f>"МАЗ 4381"</f>
        <v>МАЗ 4381</v>
      </c>
      <c r="G558" s="24" t="str">
        <f>"СВ 81-71 ВК"</f>
        <v>СВ 81-71 ВК</v>
      </c>
      <c r="H558" s="24"/>
      <c r="J558" s="13" t="str">
        <f t="shared" si="60"/>
        <v>вул. Козача|</v>
      </c>
      <c r="K558" s="32">
        <f t="shared" si="61"/>
        <v>0.36458333333333331</v>
      </c>
      <c r="L558" s="13" t="str">
        <f>IF($A558="","",IF(COUNTIFS($J$4:$J558,$J558,$E$4:$E558,$E558)=1,$E558,""))</f>
        <v>№5</v>
      </c>
      <c r="M558" s="13" t="str">
        <f>IF($A558="","",IF(COUNTIFS($J$4:$J558,$J558,$F$4:$F558,$F558)=1,$F558,""))</f>
        <v>МАЗ 4381</v>
      </c>
    </row>
    <row r="559" spans="1:13" x14ac:dyDescent="0.35">
      <c r="A559" s="23" t="str">
        <f>IFERROR(М1_КАМАЗ55111_0591!B60,"")</f>
        <v>вул. Козача</v>
      </c>
      <c r="B559" s="23" t="str">
        <f>IFERROR(IF(М1_КАМАЗ55111_0591!C60="","",TEXT(М1_КАМАЗ55111_0591!C60,"General")),"")</f>
        <v>Д/с</v>
      </c>
      <c r="C559" s="24" t="str">
        <f>"Вівторок"</f>
        <v>Вівторок</v>
      </c>
      <c r="D559" s="24" t="str">
        <f>IFERROR(TEXT(М1_КАМАЗ55111_0591!D60,"h:mm"),"")</f>
        <v>10:35</v>
      </c>
      <c r="E559" s="24" t="str">
        <f>"№1"</f>
        <v>№1</v>
      </c>
      <c r="F559" s="24" t="str">
        <f>"КАМАЗ 55111"</f>
        <v>КАМАЗ 55111</v>
      </c>
      <c r="G559" s="24" t="str">
        <f>"СВ 50-33 АР"</f>
        <v>СВ 50-33 АР</v>
      </c>
      <c r="H559" s="24">
        <f>IFERROR(М1_КАМАЗ55111_0591!G60,"")</f>
        <v>2</v>
      </c>
      <c r="J559" s="13" t="str">
        <f t="shared" si="60"/>
        <v>вул. Козача|Д/с</v>
      </c>
      <c r="K559" s="32">
        <f t="shared" si="61"/>
        <v>0.44097222222222221</v>
      </c>
      <c r="L559" s="13" t="str">
        <f>IF($A559="","",IF(COUNTIFS($J$4:$J559,$J559,$E$4:$E559,$E559)=1,$E559,""))</f>
        <v>№1</v>
      </c>
      <c r="M559" s="13" t="str">
        <f>IF($A559="","",IF(COUNTIFS($J$4:$J559,$J559,$F$4:$F559,$F559)=1,$F559,""))</f>
        <v>КАМАЗ 55111</v>
      </c>
    </row>
    <row r="560" spans="1:13" x14ac:dyDescent="0.35">
      <c r="A560" s="23" t="str">
        <f>IFERROR(М1_КАМАЗ55111_0591!B159,"")</f>
        <v>вул. Козача</v>
      </c>
      <c r="B560" s="23" t="str">
        <f>IFERROR(IF(М1_КАМАЗ55111_0591!C159="","",TEXT(М1_КАМАЗ55111_0591!C159,"General")),"")</f>
        <v>Д/с</v>
      </c>
      <c r="C560" s="24" t="str">
        <f>"Субота"</f>
        <v>Субота</v>
      </c>
      <c r="D560" s="24" t="str">
        <f>IFERROR(TEXT(М1_КАМАЗ55111_0591!D159,"h:mm"),"")</f>
        <v>10:35</v>
      </c>
      <c r="E560" s="24" t="str">
        <f>"№1"</f>
        <v>№1</v>
      </c>
      <c r="F560" s="24" t="str">
        <f>"КАМАЗ 55111"</f>
        <v>КАМАЗ 55111</v>
      </c>
      <c r="G560" s="24" t="str">
        <f>"СВ 50-33 АР"</f>
        <v>СВ 50-33 АР</v>
      </c>
      <c r="H560" s="24">
        <f>IFERROR(М1_КАМАЗ55111_0591!G159,"")</f>
        <v>2</v>
      </c>
      <c r="J560" s="13" t="str">
        <f t="shared" si="60"/>
        <v>вул. Козача|Д/с</v>
      </c>
      <c r="K560" s="32">
        <f t="shared" si="61"/>
        <v>0.44097222222222221</v>
      </c>
      <c r="L560" s="13" t="str">
        <f>IF($A560="","",IF(COUNTIFS($J$4:$J560,$J560,$E$4:$E560,$E560)=1,$E560,""))</f>
        <v/>
      </c>
      <c r="M560" s="13" t="str">
        <f>IF($A560="","",IF(COUNTIFS($J$4:$J560,$J560,$F$4:$F560,$F560)=1,$F560,""))</f>
        <v/>
      </c>
    </row>
    <row r="561" spans="1:13" x14ac:dyDescent="0.35">
      <c r="A561" s="23" t="str">
        <f>IFERROR(М4_АТ4042ROD_0584!B25,"")</f>
        <v>вул. Козача</v>
      </c>
      <c r="B561" s="23" t="str">
        <f>IFERROR(IF(М4_АТ4042ROD_0584!C25="","",TEXT(М4_АТ4042ROD_0584!C25,"General")),"")</f>
        <v>перехрестя</v>
      </c>
      <c r="C561" s="24" t="str">
        <f>"Понеділок"</f>
        <v>Понеділок</v>
      </c>
      <c r="D561" s="24" t="str">
        <f>IFERROR(TEXT(М4_АТ4042ROD_0584!D25,"h:mm"),"")</f>
        <v>14:15</v>
      </c>
      <c r="E561" s="24" t="str">
        <f t="shared" ref="E561:E569" si="67">"№4"</f>
        <v>№4</v>
      </c>
      <c r="F561" s="24" t="str">
        <f>"АТ 40-42/ROD21003"</f>
        <v>АТ 40-42/ROD21003</v>
      </c>
      <c r="G561" s="24" t="str">
        <f>"СВ 33-15 ЕО"</f>
        <v>СВ 33-15 ЕО</v>
      </c>
      <c r="H561" s="24">
        <f>IFERROR(М4_АТ4042ROD_0584!G25,"")</f>
        <v>3</v>
      </c>
      <c r="J561" s="13" t="str">
        <f t="shared" si="60"/>
        <v>вул. Козача|перехрестя</v>
      </c>
      <c r="K561" s="32">
        <f t="shared" si="61"/>
        <v>0.59375</v>
      </c>
      <c r="L561" s="13" t="str">
        <f>IF($A561="","",IF(COUNTIFS($J$4:$J561,$J561,$E$4:$E561,$E561)=1,$E561,""))</f>
        <v>№4</v>
      </c>
      <c r="M561" s="13" t="str">
        <f>IF($A561="","",IF(COUNTIFS($J$4:$J561,$J561,$F$4:$F561,$F561)=1,$F561,""))</f>
        <v>АТ 40-42/ROD21003</v>
      </c>
    </row>
    <row r="562" spans="1:13" x14ac:dyDescent="0.35">
      <c r="A562" s="23" t="str">
        <f>IFERROR(М4_АТ4042ROD_0584!B56,"")</f>
        <v>вул. Козача</v>
      </c>
      <c r="B562" s="23" t="str">
        <f>IFERROR(IF(М4_АТ4042ROD_0584!C56="","",TEXT(М4_АТ4042ROD_0584!C56,"General")),"")</f>
        <v>перехрестя</v>
      </c>
      <c r="C562" s="24" t="str">
        <f>"Вівторок"</f>
        <v>Вівторок</v>
      </c>
      <c r="D562" s="24" t="str">
        <f>IFERROR(TEXT(М4_АТ4042ROD_0584!D56,"h:mm"),"")</f>
        <v>13:55</v>
      </c>
      <c r="E562" s="24" t="str">
        <f t="shared" si="67"/>
        <v>№4</v>
      </c>
      <c r="F562" s="24" t="str">
        <f>"АТ 40-42/ROD21003"</f>
        <v>АТ 40-42/ROD21003</v>
      </c>
      <c r="G562" s="24" t="str">
        <f>"СВ 33-15 ЕО"</f>
        <v>СВ 33-15 ЕО</v>
      </c>
      <c r="H562" s="24">
        <f>IFERROR(М4_АТ4042ROD_0584!G56,"")</f>
        <v>3</v>
      </c>
      <c r="J562" s="13" t="str">
        <f t="shared" si="60"/>
        <v>вул. Козача|перехрестя</v>
      </c>
      <c r="K562" s="32">
        <f t="shared" si="61"/>
        <v>0.57986111111111116</v>
      </c>
      <c r="L562" s="13" t="str">
        <f>IF($A562="","",IF(COUNTIFS($J$4:$J562,$J562,$E$4:$E562,$E562)=1,$E562,""))</f>
        <v/>
      </c>
      <c r="M562" s="13" t="str">
        <f>IF($A562="","",IF(COUNTIFS($J$4:$J562,$J562,$F$4:$F562,$F562)=1,$F562,""))</f>
        <v/>
      </c>
    </row>
    <row r="563" spans="1:13" x14ac:dyDescent="0.35">
      <c r="A563" s="23" t="str">
        <f>IFERROR('М3-4_ГАЗ3309_0590'!B85,"")</f>
        <v>вул. Козача</v>
      </c>
      <c r="B563" s="23" t="str">
        <f>IFERROR(IF('М3-4_ГАЗ3309_0590'!C85="","",TEXT('М3-4_ГАЗ3309_0590'!C85,"General")),"")</f>
        <v>перехрестя</v>
      </c>
      <c r="C563" s="24" t="str">
        <f>"Середа"</f>
        <v>Середа</v>
      </c>
      <c r="D563" s="24" t="str">
        <f>IFERROR(TEXT('М3-4_ГАЗ3309_0590'!D85,"h:mm"),"")</f>
        <v>14:25</v>
      </c>
      <c r="E563" s="24" t="str">
        <f t="shared" si="67"/>
        <v>№4</v>
      </c>
      <c r="F563" s="24" t="str">
        <f>"ГАЗ 3309"</f>
        <v>ГАЗ 3309</v>
      </c>
      <c r="G563" s="24" t="str">
        <f>"СВ 17-85 ВН"</f>
        <v>СВ 17-85 ВН</v>
      </c>
      <c r="H563" s="24">
        <f>IFERROR('М3-4_ГАЗ3309_0590'!G85,"")</f>
        <v>2</v>
      </c>
      <c r="J563" s="13" t="str">
        <f t="shared" si="60"/>
        <v>вул. Козача|перехрестя</v>
      </c>
      <c r="K563" s="32">
        <f t="shared" si="61"/>
        <v>0.60069444444444442</v>
      </c>
      <c r="L563" s="13" t="str">
        <f>IF($A563="","",IF(COUNTIFS($J$4:$J563,$J563,$E$4:$E563,$E563)=1,$E563,""))</f>
        <v/>
      </c>
      <c r="M563" s="13" t="str">
        <f>IF($A563="","",IF(COUNTIFS($J$4:$J563,$J563,$F$4:$F563,$F563)=1,$F563,""))</f>
        <v>ГАЗ 3309</v>
      </c>
    </row>
    <row r="564" spans="1:13" x14ac:dyDescent="0.35">
      <c r="A564" s="23" t="str">
        <f>IFERROR(М4_АТ4042ROD_0584!B89,"")</f>
        <v>вул. Козача</v>
      </c>
      <c r="B564" s="23" t="str">
        <f>IFERROR(IF(М4_АТ4042ROD_0584!C89="","",TEXT(М4_АТ4042ROD_0584!C89,"General")),"")</f>
        <v>перехрестя</v>
      </c>
      <c r="C564" s="24" t="str">
        <f>"Четвер"</f>
        <v>Четвер</v>
      </c>
      <c r="D564" s="24" t="str">
        <f>IFERROR(TEXT(М4_АТ4042ROD_0584!D89,"h:mm"),"")</f>
        <v>13:55</v>
      </c>
      <c r="E564" s="24" t="str">
        <f t="shared" si="67"/>
        <v>№4</v>
      </c>
      <c r="F564" s="24" t="str">
        <f>"АТ 40-42/ROD21003"</f>
        <v>АТ 40-42/ROD21003</v>
      </c>
      <c r="G564" s="24" t="str">
        <f>"СВ 33-15 ЕО"</f>
        <v>СВ 33-15 ЕО</v>
      </c>
      <c r="H564" s="24">
        <f>IFERROR(М4_АТ4042ROD_0584!G89,"")</f>
        <v>3</v>
      </c>
      <c r="J564" s="13" t="str">
        <f t="shared" si="60"/>
        <v>вул. Козача|перехрестя</v>
      </c>
      <c r="K564" s="32">
        <f t="shared" si="61"/>
        <v>0.57986111111111116</v>
      </c>
      <c r="L564" s="13" t="str">
        <f>IF($A564="","",IF(COUNTIFS($J$4:$J564,$J564,$E$4:$E564,$E564)=1,$E564,""))</f>
        <v/>
      </c>
      <c r="M564" s="13" t="str">
        <f>IF($A564="","",IF(COUNTIFS($J$4:$J564,$J564,$F$4:$F564,$F564)=1,$F564,""))</f>
        <v/>
      </c>
    </row>
    <row r="565" spans="1:13" x14ac:dyDescent="0.35">
      <c r="A565" s="23" t="str">
        <f>IFERROR(М4_АТ4042ROD_0584!B124,"")</f>
        <v>вул. Козача</v>
      </c>
      <c r="B565" s="23" t="str">
        <f>IFERROR(IF(М4_АТ4042ROD_0584!C124="","",TEXT(М4_АТ4042ROD_0584!C124,"General")),"")</f>
        <v>перехрестя</v>
      </c>
      <c r="C565" s="24" t="str">
        <f>"П'ятниця"</f>
        <v>П'ятниця</v>
      </c>
      <c r="D565" s="24" t="str">
        <f>IFERROR(TEXT(М4_АТ4042ROD_0584!D124,"h:mm"),"")</f>
        <v>14:15</v>
      </c>
      <c r="E565" s="24" t="str">
        <f t="shared" si="67"/>
        <v>№4</v>
      </c>
      <c r="F565" s="24" t="str">
        <f>"АТ 40-42/ROD21003"</f>
        <v>АТ 40-42/ROD21003</v>
      </c>
      <c r="G565" s="24" t="str">
        <f>"СВ 33-15 ЕО"</f>
        <v>СВ 33-15 ЕО</v>
      </c>
      <c r="H565" s="24">
        <f>IFERROR(М4_АТ4042ROD_0584!G124,"")</f>
        <v>3</v>
      </c>
      <c r="J565" s="13" t="str">
        <f t="shared" si="60"/>
        <v>вул. Козача|перехрестя</v>
      </c>
      <c r="K565" s="32">
        <f t="shared" si="61"/>
        <v>0.59375</v>
      </c>
      <c r="L565" s="13" t="str">
        <f>IF($A565="","",IF(COUNTIFS($J$4:$J565,$J565,$E$4:$E565,$E565)=1,$E565,""))</f>
        <v/>
      </c>
      <c r="M565" s="13" t="str">
        <f>IF($A565="","",IF(COUNTIFS($J$4:$J565,$J565,$F$4:$F565,$F565)=1,$F565,""))</f>
        <v/>
      </c>
    </row>
    <row r="566" spans="1:13" x14ac:dyDescent="0.35">
      <c r="A566" s="23" t="str">
        <f>IFERROR('М3-4_ГАЗ3309_0590'!B110,"")</f>
        <v>вул. Козача</v>
      </c>
      <c r="B566" s="23" t="str">
        <f>IFERROR(IF('М3-4_ГАЗ3309_0590'!C110="","",TEXT('М3-4_ГАЗ3309_0590'!C110,"General")),"")</f>
        <v>перехрестя</v>
      </c>
      <c r="C566" s="24" t="str">
        <f>"Субота"</f>
        <v>Субота</v>
      </c>
      <c r="D566" s="24" t="str">
        <f>IFERROR(TEXT('М3-4_ГАЗ3309_0590'!D110,"h:mm"),"")</f>
        <v>14:25</v>
      </c>
      <c r="E566" s="24" t="str">
        <f t="shared" si="67"/>
        <v>№4</v>
      </c>
      <c r="F566" s="24" t="str">
        <f>"ГАЗ 3309"</f>
        <v>ГАЗ 3309</v>
      </c>
      <c r="G566" s="24" t="str">
        <f>"СВ 17-85 ВН"</f>
        <v>СВ 17-85 ВН</v>
      </c>
      <c r="H566" s="24">
        <f>IFERROR('М3-4_ГАЗ3309_0590'!G110,"")</f>
        <v>2</v>
      </c>
      <c r="J566" s="13" t="str">
        <f t="shared" si="60"/>
        <v>вул. Козача|перехрестя</v>
      </c>
      <c r="K566" s="32">
        <f t="shared" si="61"/>
        <v>0.60069444444444442</v>
      </c>
      <c r="L566" s="13" t="str">
        <f>IF($A566="","",IF(COUNTIFS($J$4:$J566,$J566,$E$4:$E566,$E566)=1,$E566,""))</f>
        <v/>
      </c>
      <c r="M566" s="13" t="str">
        <f>IF($A566="","",IF(COUNTIFS($J$4:$J566,$J566,$F$4:$F566,$F566)=1,$F566,""))</f>
        <v/>
      </c>
    </row>
    <row r="567" spans="1:13" x14ac:dyDescent="0.35">
      <c r="A567" s="23" t="str">
        <f>IFERROR(М4_АТ4042ROD_0584!B157,"")</f>
        <v>вул. Козача</v>
      </c>
      <c r="B567" s="23" t="str">
        <f>IFERROR(IF(М4_АТ4042ROD_0584!C157="","",TEXT(М4_АТ4042ROD_0584!C157,"General")),"")</f>
        <v>перехрестя</v>
      </c>
      <c r="C567" s="24" t="str">
        <f>"Неділя"</f>
        <v>Неділя</v>
      </c>
      <c r="D567" s="24" t="str">
        <f>IFERROR(TEXT(М4_АТ4042ROD_0584!D157,"h:mm"),"")</f>
        <v>14:40</v>
      </c>
      <c r="E567" s="24" t="str">
        <f t="shared" si="67"/>
        <v>№4</v>
      </c>
      <c r="F567" s="24" t="str">
        <f>"АТ 40-42/ROD21003"</f>
        <v>АТ 40-42/ROD21003</v>
      </c>
      <c r="G567" s="24" t="str">
        <f>"СВ 33-15 ЕО"</f>
        <v>СВ 33-15 ЕО</v>
      </c>
      <c r="H567" s="24">
        <f>IFERROR(М4_АТ4042ROD_0584!G157,"")</f>
        <v>3</v>
      </c>
      <c r="J567" s="13" t="str">
        <f t="shared" si="60"/>
        <v>вул. Козача|перехрестя</v>
      </c>
      <c r="K567" s="32">
        <f t="shared" si="61"/>
        <v>0.61111111111111116</v>
      </c>
      <c r="L567" s="13" t="str">
        <f>IF($A567="","",IF(COUNTIFS($J$4:$J567,$J567,$E$4:$E567,$E567)=1,$E567,""))</f>
        <v/>
      </c>
      <c r="M567" s="13" t="str">
        <f>IF($A567="","",IF(COUNTIFS($J$4:$J567,$J567,$F$4:$F567,$F567)=1,$F567,""))</f>
        <v/>
      </c>
    </row>
    <row r="568" spans="1:13" x14ac:dyDescent="0.35">
      <c r="A568" s="23" t="str">
        <f>IFERROR(М4_АТ4042ROD_0584!B57,"")</f>
        <v>вул. Козача</v>
      </c>
      <c r="B568" s="23" t="str">
        <f>IFERROR(IF(М4_АТ4042ROD_0584!C57="","",TEXT(М4_АТ4042ROD_0584!C57,"General")),"")</f>
        <v>ямщик</v>
      </c>
      <c r="C568" s="24" t="str">
        <f>"Вівторок"</f>
        <v>Вівторок</v>
      </c>
      <c r="D568" s="24" t="str">
        <f>IFERROR(TEXT(М4_АТ4042ROD_0584!D57,"h:mm"),"")</f>
        <v>14:15</v>
      </c>
      <c r="E568" s="24" t="str">
        <f t="shared" si="67"/>
        <v>№4</v>
      </c>
      <c r="F568" s="24" t="str">
        <f>"АТ 40-42/ROD21003"</f>
        <v>АТ 40-42/ROD21003</v>
      </c>
      <c r="G568" s="24" t="str">
        <f>"СВ 33-15 ЕО"</f>
        <v>СВ 33-15 ЕО</v>
      </c>
      <c r="H568" s="24">
        <f>IFERROR(М4_АТ4042ROD_0584!G57,"")</f>
        <v>1</v>
      </c>
      <c r="J568" s="13" t="str">
        <f t="shared" si="60"/>
        <v>вул. Козача|ямщик</v>
      </c>
      <c r="K568" s="32">
        <f t="shared" si="61"/>
        <v>0.59375</v>
      </c>
      <c r="L568" s="13" t="str">
        <f>IF($A568="","",IF(COUNTIFS($J$4:$J568,$J568,$E$4:$E568,$E568)=1,$E568,""))</f>
        <v>№4</v>
      </c>
      <c r="M568" s="13" t="str">
        <f>IF($A568="","",IF(COUNTIFS($J$4:$J568,$J568,$F$4:$F568,$F568)=1,$F568,""))</f>
        <v>АТ 40-42/ROD21003</v>
      </c>
    </row>
    <row r="569" spans="1:13" x14ac:dyDescent="0.35">
      <c r="A569" s="23" t="str">
        <f>IFERROR(М4_АТ4042ROD_0584!B90,"")</f>
        <v>вул. Козача</v>
      </c>
      <c r="B569" s="23" t="str">
        <f>IFERROR(IF(М4_АТ4042ROD_0584!C90="","",TEXT(М4_АТ4042ROD_0584!C90,"General")),"")</f>
        <v>ямщик</v>
      </c>
      <c r="C569" s="24" t="str">
        <f>"Четвер"</f>
        <v>Четвер</v>
      </c>
      <c r="D569" s="24" t="str">
        <f>IFERROR(TEXT(М4_АТ4042ROD_0584!D90,"h:mm"),"")</f>
        <v>14:15</v>
      </c>
      <c r="E569" s="24" t="str">
        <f t="shared" si="67"/>
        <v>№4</v>
      </c>
      <c r="F569" s="24" t="str">
        <f>"АТ 40-42/ROD21003"</f>
        <v>АТ 40-42/ROD21003</v>
      </c>
      <c r="G569" s="24" t="str">
        <f>"СВ 33-15 ЕО"</f>
        <v>СВ 33-15 ЕО</v>
      </c>
      <c r="H569" s="24">
        <f>IFERROR(М4_АТ4042ROD_0584!G90,"")</f>
        <v>1</v>
      </c>
      <c r="J569" s="13" t="str">
        <f t="shared" si="60"/>
        <v>вул. Козача|ямщик</v>
      </c>
      <c r="K569" s="32">
        <f t="shared" si="61"/>
        <v>0.59375</v>
      </c>
      <c r="L569" s="13" t="str">
        <f>IF($A569="","",IF(COUNTIFS($J$4:$J569,$J569,$E$4:$E569,$E569)=1,$E569,""))</f>
        <v/>
      </c>
      <c r="M569" s="13" t="str">
        <f>IF($A569="","",IF(COUNTIFS($J$4:$J569,$J569,$F$4:$F569,$F569)=1,$F569,""))</f>
        <v/>
      </c>
    </row>
    <row r="570" spans="1:13" x14ac:dyDescent="0.35">
      <c r="A570" s="23" t="str">
        <f>IFERROR('М1-2_АТ4021-1120_0585'!B34,"")</f>
        <v>вул. Коновальця</v>
      </c>
      <c r="B570" s="23" t="str">
        <f>IFERROR(IF('М1-2_АТ4021-1120_0585'!C34="","",TEXT('М1-2_АТ4021-1120_0585'!C34,"General")),"")</f>
        <v>"Барвінок"</v>
      </c>
      <c r="C570" s="24" t="str">
        <f>"Понеділок"</f>
        <v>Понеділок</v>
      </c>
      <c r="D570" s="24" t="str">
        <f>IFERROR(TEXT('М1-2_АТ4021-1120_0585'!D34,"h:mm"),"")</f>
        <v>15:00</v>
      </c>
      <c r="E570" s="24" t="str">
        <f>"№1"</f>
        <v>№1</v>
      </c>
      <c r="F570" s="24" t="str">
        <f>"АТ-4021/1120"</f>
        <v>АТ-4021/1120</v>
      </c>
      <c r="G570" s="24" t="str">
        <f>"СВ 14-65 ЕО"</f>
        <v>СВ 14-65 ЕО</v>
      </c>
      <c r="H570" s="24">
        <f>IFERROR('М1-2_АТ4021-1120_0585'!G34,"")</f>
        <v>2</v>
      </c>
      <c r="J570" s="13" t="str">
        <f t="shared" si="60"/>
        <v>вул. Коновальця|"Барвінок"</v>
      </c>
      <c r="K570" s="32">
        <f t="shared" si="61"/>
        <v>0.625</v>
      </c>
      <c r="L570" s="13" t="str">
        <f>IF($A570="","",IF(COUNTIFS($J$4:$J570,$J570,$E$4:$E570,$E570)=1,$E570,""))</f>
        <v>№1</v>
      </c>
      <c r="M570" s="13" t="str">
        <f>IF($A570="","",IF(COUNTIFS($J$4:$J570,$J570,$F$4:$F570,$F570)=1,$F570,""))</f>
        <v>АТ-4021/1120</v>
      </c>
    </row>
    <row r="571" spans="1:13" x14ac:dyDescent="0.35">
      <c r="A571" s="23" t="str">
        <f>IFERROR('М1-2_АТ4021-1120_0585'!B33,"")</f>
        <v>вул. Коновальця</v>
      </c>
      <c r="B571" s="23" t="str">
        <f>IFERROR(IF('М1-2_АТ4021-1120_0585'!C33="","",TEXT('М1-2_АТ4021-1120_0585'!C33,"General")),"")</f>
        <v>"Скло"</v>
      </c>
      <c r="C571" s="24" t="str">
        <f>"Понеділок"</f>
        <v>Понеділок</v>
      </c>
      <c r="D571" s="24" t="str">
        <f>IFERROR(TEXT('М1-2_АТ4021-1120_0585'!D33,"h:mm"),"")</f>
        <v>14:55</v>
      </c>
      <c r="E571" s="24" t="str">
        <f>"№1"</f>
        <v>№1</v>
      </c>
      <c r="F571" s="24" t="str">
        <f>"АТ-4021/1120"</f>
        <v>АТ-4021/1120</v>
      </c>
      <c r="G571" s="24" t="str">
        <f>"СВ 14-65 ЕО"</f>
        <v>СВ 14-65 ЕО</v>
      </c>
      <c r="H571" s="24">
        <f>IFERROR('М1-2_АТ4021-1120_0585'!G33,"")</f>
        <v>1</v>
      </c>
      <c r="J571" s="13" t="str">
        <f t="shared" si="60"/>
        <v>вул. Коновальця|"Скло"</v>
      </c>
      <c r="K571" s="32">
        <f t="shared" si="61"/>
        <v>0.62152777777777779</v>
      </c>
      <c r="L571" s="13" t="str">
        <f>IF($A571="","",IF(COUNTIFS($J$4:$J571,$J571,$E$4:$E571,$E571)=1,$E571,""))</f>
        <v>№1</v>
      </c>
      <c r="M571" s="13" t="str">
        <f>IF($A571="","",IF(COUNTIFS($J$4:$J571,$J571,$F$4:$F571,$F571)=1,$F571,""))</f>
        <v>АТ-4021/1120</v>
      </c>
    </row>
    <row r="572" spans="1:13" x14ac:dyDescent="0.35">
      <c r="A572" s="23" t="str">
        <f>IFERROR('М1-2_АТ4021-1120_0585'!B69,"")</f>
        <v>вул. Коновальця</v>
      </c>
      <c r="B572" s="23" t="str">
        <f>IFERROR(IF('М1-2_АТ4021-1120_0585'!C69="","",TEXT('М1-2_АТ4021-1120_0585'!C69,"General")),"")</f>
        <v>67 АЗС</v>
      </c>
      <c r="C572" s="24" t="str">
        <f>"Середа"</f>
        <v>Середа</v>
      </c>
      <c r="D572" s="24" t="str">
        <f>IFERROR(TEXT('М1-2_АТ4021-1120_0585'!D69,"h:mm"),"")</f>
        <v>15:35</v>
      </c>
      <c r="E572" s="24" t="str">
        <f>"№2"</f>
        <v>№2</v>
      </c>
      <c r="F572" s="24" t="str">
        <f>"АТ-4021/1120"</f>
        <v>АТ-4021/1120</v>
      </c>
      <c r="G572" s="24" t="str">
        <f>"СВ 14-65 ЕО"</f>
        <v>СВ 14-65 ЕО</v>
      </c>
      <c r="H572" s="24">
        <f>IFERROR('М1-2_АТ4021-1120_0585'!G69,"")</f>
        <v>1</v>
      </c>
      <c r="J572" s="13" t="str">
        <f t="shared" si="60"/>
        <v>вул. Коновальця|67 АЗС</v>
      </c>
      <c r="K572" s="32">
        <f t="shared" si="61"/>
        <v>0.64930555555555558</v>
      </c>
      <c r="L572" s="13" t="str">
        <f>IF($A572="","",IF(COUNTIFS($J$4:$J572,$J572,$E$4:$E572,$E572)=1,$E572,""))</f>
        <v>№2</v>
      </c>
      <c r="M572" s="13" t="str">
        <f>IF($A572="","",IF(COUNTIFS($J$4:$J572,$J572,$F$4:$F572,$F572)=1,$F572,""))</f>
        <v>АТ-4021/1120</v>
      </c>
    </row>
    <row r="573" spans="1:13" x14ac:dyDescent="0.35">
      <c r="A573" s="23" t="str">
        <f>IFERROR('М1-2_АТ4021-1120_0585'!B98,"")</f>
        <v>вул. Коновальця</v>
      </c>
      <c r="B573" s="23" t="str">
        <f>IFERROR(IF('М1-2_АТ4021-1120_0585'!C98="","",TEXT('М1-2_АТ4021-1120_0585'!C98,"General")),"")</f>
        <v>67 АЗС</v>
      </c>
      <c r="C573" s="24" t="str">
        <f>"Субота"</f>
        <v>Субота</v>
      </c>
      <c r="D573" s="24" t="str">
        <f>IFERROR(TEXT('М1-2_АТ4021-1120_0585'!D98,"h:mm"),"")</f>
        <v>15:35</v>
      </c>
      <c r="E573" s="24" t="str">
        <f>"№2"</f>
        <v>№2</v>
      </c>
      <c r="F573" s="24" t="str">
        <f>"АТ-4021/1120"</f>
        <v>АТ-4021/1120</v>
      </c>
      <c r="G573" s="24" t="str">
        <f>"СВ 14-65 ЕО"</f>
        <v>СВ 14-65 ЕО</v>
      </c>
      <c r="H573" s="24">
        <f>IFERROR('М1-2_АТ4021-1120_0585'!G98,"")</f>
        <v>1</v>
      </c>
      <c r="J573" s="13" t="str">
        <f t="shared" si="60"/>
        <v>вул. Коновальця|67 АЗС</v>
      </c>
      <c r="K573" s="32">
        <f t="shared" si="61"/>
        <v>0.64930555555555558</v>
      </c>
      <c r="L573" s="13" t="str">
        <f>IF($A573="","",IF(COUNTIFS($J$4:$J573,$J573,$E$4:$E573,$E573)=1,$E573,""))</f>
        <v/>
      </c>
      <c r="M573" s="13" t="str">
        <f>IF($A573="","",IF(COUNTIFS($J$4:$J573,$J573,$F$4:$F573,$F573)=1,$F573,""))</f>
        <v/>
      </c>
    </row>
    <row r="574" spans="1:13" x14ac:dyDescent="0.35">
      <c r="A574" s="23" t="str">
        <f>IFERROR('М1-2_АТ4021-1120_0585'!B7,"")</f>
        <v>вул. Коновальця</v>
      </c>
      <c r="B574" s="23" t="str">
        <f>IFERROR(IF('М1-2_АТ4021-1120_0585'!C7="","",TEXT('М1-2_АТ4021-1120_0585'!C7,"General")),"")</f>
        <v>АЗС</v>
      </c>
      <c r="C574" s="24" t="str">
        <f>"Понеділок"</f>
        <v>Понеділок</v>
      </c>
      <c r="D574" s="24" t="str">
        <f>IFERROR(TEXT('М1-2_АТ4021-1120_0585'!D7,"h:mm"),"")</f>
        <v>7:15</v>
      </c>
      <c r="E574" s="24" t="str">
        <f>"№1"</f>
        <v>№1</v>
      </c>
      <c r="F574" s="24" t="str">
        <f>"АТ-4021/1120"</f>
        <v>АТ-4021/1120</v>
      </c>
      <c r="G574" s="24" t="str">
        <f>"СВ 14-65 ЕО"</f>
        <v>СВ 14-65 ЕО</v>
      </c>
      <c r="H574" s="24">
        <f>IFERROR('М1-2_АТ4021-1120_0585'!G7,"")</f>
        <v>1</v>
      </c>
      <c r="J574" s="13" t="str">
        <f t="shared" si="60"/>
        <v>вул. Коновальця|АЗС</v>
      </c>
      <c r="K574" s="32">
        <f t="shared" si="61"/>
        <v>0.30208333333333331</v>
      </c>
      <c r="L574" s="13" t="str">
        <f>IF($A574="","",IF(COUNTIFS($J$4:$J574,$J574,$E$4:$E574,$E574)=1,$E574,""))</f>
        <v>№1</v>
      </c>
      <c r="M574" s="13" t="str">
        <f>IF($A574="","",IF(COUNTIFS($J$4:$J574,$J574,$F$4:$F574,$F574)=1,$F574,""))</f>
        <v>АТ-4021/1120</v>
      </c>
    </row>
    <row r="575" spans="1:13" x14ac:dyDescent="0.35">
      <c r="A575" s="23" t="str">
        <f>IFERROR('М3-4_ГАЗ3309_0590'!B135,"")</f>
        <v>вул. Коновальця</v>
      </c>
      <c r="B575" s="23" t="str">
        <f>IFERROR(IF('М3-4_ГАЗ3309_0590'!C135="","",TEXT('М3-4_ГАЗ3309_0590'!C135,"General")),"")</f>
        <v>Д/с 27</v>
      </c>
      <c r="C575" s="24" t="str">
        <f>"Понеділок"</f>
        <v>Понеділок</v>
      </c>
      <c r="D575" s="24" t="str">
        <f>IFERROR(TEXT('М3-4_ГАЗ3309_0590'!D135,"h:mm"),"")</f>
        <v>13:25</v>
      </c>
      <c r="E575" s="24" t="str">
        <f>"№3"</f>
        <v>№3</v>
      </c>
      <c r="F575" s="24" t="str">
        <f>"ГАЗ 3309"</f>
        <v>ГАЗ 3309</v>
      </c>
      <c r="G575" s="24" t="str">
        <f>"СВ 17-85 ВН"</f>
        <v>СВ 17-85 ВН</v>
      </c>
      <c r="H575" s="24">
        <f>IFERROR('М3-4_ГАЗ3309_0590'!G135,"")</f>
        <v>1</v>
      </c>
      <c r="J575" s="13" t="str">
        <f t="shared" si="60"/>
        <v>вул. Коновальця|Д/с 27</v>
      </c>
      <c r="K575" s="32">
        <f t="shared" si="61"/>
        <v>0.55902777777777779</v>
      </c>
      <c r="L575" s="13" t="str">
        <f>IF($A575="","",IF(COUNTIFS($J$4:$J575,$J575,$E$4:$E575,$E575)=1,$E575,""))</f>
        <v>№3</v>
      </c>
      <c r="M575" s="13" t="str">
        <f>IF($A575="","",IF(COUNTIFS($J$4:$J575,$J575,$F$4:$F575,$F575)=1,$F575,""))</f>
        <v>ГАЗ 3309</v>
      </c>
    </row>
    <row r="576" spans="1:13" x14ac:dyDescent="0.35">
      <c r="A576" s="23" t="str">
        <f>IFERROR(М5_МАЗ4381_0592!B48,"")</f>
        <v>вул. Короленка</v>
      </c>
      <c r="B576" s="23" t="str">
        <f>IFERROR(IF(М5_МАЗ4381_0592!C48="","",TEXT(М5_МАЗ4381_0592!C48,"General")),"")</f>
        <v/>
      </c>
      <c r="C576" s="24" t="str">
        <f>"Вівторок"</f>
        <v>Вівторок</v>
      </c>
      <c r="D576" s="24" t="str">
        <f>IFERROR(TEXT(М5_МАЗ4381_0592!D48,"h:mm"),"")</f>
        <v>7:40</v>
      </c>
      <c r="E576" s="24" t="str">
        <f>"№5"</f>
        <v>№5</v>
      </c>
      <c r="F576" s="24" t="str">
        <f>"МАЗ 4381"</f>
        <v>МАЗ 4381</v>
      </c>
      <c r="G576" s="24" t="str">
        <f>"СВ 81-71 ВК"</f>
        <v>СВ 81-71 ВК</v>
      </c>
      <c r="H576" s="24"/>
      <c r="J576" s="13" t="str">
        <f t="shared" si="60"/>
        <v>вул. Короленка|</v>
      </c>
      <c r="K576" s="32">
        <f t="shared" si="61"/>
        <v>0.31944444444444442</v>
      </c>
      <c r="L576" s="13" t="str">
        <f>IF($A576="","",IF(COUNTIFS($J$4:$J576,$J576,$E$4:$E576,$E576)=1,$E576,""))</f>
        <v>№5</v>
      </c>
      <c r="M576" s="13" t="str">
        <f>IF($A576="","",IF(COUNTIFS($J$4:$J576,$J576,$F$4:$F576,$F576)=1,$F576,""))</f>
        <v>МАЗ 4381</v>
      </c>
    </row>
    <row r="577" spans="1:13" x14ac:dyDescent="0.35">
      <c r="A577" s="23" t="str">
        <f>IFERROR(М6_АТ4021_0586!B132,"")</f>
        <v>вул. Котляревського</v>
      </c>
      <c r="B577" s="23" t="str">
        <f>IFERROR(IF(М6_АТ4021_0586!C132="","",TEXT(М6_АТ4021_0586!C132,"General")),"")</f>
        <v>1,21</v>
      </c>
      <c r="C577" s="24" t="str">
        <f>"Четвер"</f>
        <v>Четвер</v>
      </c>
      <c r="D577" s="24" t="str">
        <f>IFERROR(TEXT(М6_АТ4021_0586!D132,"h:mm"),"")</f>
        <v>10:45</v>
      </c>
      <c r="E577" s="24" t="str">
        <f>"№6"</f>
        <v>№6</v>
      </c>
      <c r="F577" s="24" t="str">
        <f>"АТ 4021"</f>
        <v>АТ 4021</v>
      </c>
      <c r="G577" s="24" t="str">
        <f>"СВ 33-16 ЕО"</f>
        <v>СВ 33-16 ЕО</v>
      </c>
      <c r="H577" s="24"/>
      <c r="J577" s="13" t="str">
        <f t="shared" si="60"/>
        <v>вул. Котляревського|1,21</v>
      </c>
      <c r="K577" s="32">
        <f t="shared" si="61"/>
        <v>0.44791666666666669</v>
      </c>
      <c r="L577" s="13" t="str">
        <f>IF($A577="","",IF(COUNTIFS($J$4:$J577,$J577,$E$4:$E577,$E577)=1,$E577,""))</f>
        <v>№6</v>
      </c>
      <c r="M577" s="13" t="str">
        <f>IF($A577="","",IF(COUNTIFS($J$4:$J577,$J577,$F$4:$F577,$F577)=1,$F577,""))</f>
        <v>АТ 4021</v>
      </c>
    </row>
    <row r="578" spans="1:13" x14ac:dyDescent="0.35">
      <c r="A578" s="23" t="str">
        <f>IFERROR(М6_АТ4021_0586!B51,"")</f>
        <v>вул. Котляревського</v>
      </c>
      <c r="B578" s="23" t="str">
        <f>IFERROR(IF(М6_АТ4021_0586!C51="","",TEXT(М6_АТ4021_0586!C51,"General")),"")</f>
        <v>18,29</v>
      </c>
      <c r="C578" s="24" t="str">
        <f>"Вівторок"</f>
        <v>Вівторок</v>
      </c>
      <c r="D578" s="24" t="str">
        <f>IFERROR(TEXT(М6_АТ4021_0586!D51,"h:mm"),"")</f>
        <v>9:20</v>
      </c>
      <c r="E578" s="24" t="str">
        <f>"№6"</f>
        <v>№6</v>
      </c>
      <c r="F578" s="24" t="str">
        <f>"АТ 4021"</f>
        <v>АТ 4021</v>
      </c>
      <c r="G578" s="24" t="str">
        <f>"СВ 33-16 ЕО"</f>
        <v>СВ 33-16 ЕО</v>
      </c>
      <c r="H578" s="24"/>
      <c r="J578" s="13" t="str">
        <f t="shared" si="60"/>
        <v>вул. Котляревського|18,29</v>
      </c>
      <c r="K578" s="32">
        <f t="shared" si="61"/>
        <v>0.3888888888888889</v>
      </c>
      <c r="L578" s="13" t="str">
        <f>IF($A578="","",IF(COUNTIFS($J$4:$J578,$J578,$E$4:$E578,$E578)=1,$E578,""))</f>
        <v>№6</v>
      </c>
      <c r="M578" s="13" t="str">
        <f>IF($A578="","",IF(COUNTIFS($J$4:$J578,$J578,$F$4:$F578,$F578)=1,$F578,""))</f>
        <v>АТ 4021</v>
      </c>
    </row>
    <row r="579" spans="1:13" x14ac:dyDescent="0.35">
      <c r="A579" s="23" t="str">
        <f>IFERROR(М1_КАМАЗ55111_0591!B22,"")</f>
        <v>вул. Котляревського</v>
      </c>
      <c r="B579" s="23" t="str">
        <f>IFERROR(IF(М1_КАМАЗ55111_0591!C22="","",TEXT(М1_КАМАЗ55111_0591!C22,"General")),"")</f>
        <v>ВОГ</v>
      </c>
      <c r="C579" s="24" t="str">
        <f>"Понеділок"</f>
        <v>Понеділок</v>
      </c>
      <c r="D579" s="24" t="str">
        <f>IFERROR(TEXT(М1_КАМАЗ55111_0591!D22,"h:mm"),"")</f>
        <v>9:45</v>
      </c>
      <c r="E579" s="24" t="str">
        <f>"№1"</f>
        <v>№1</v>
      </c>
      <c r="F579" s="24" t="str">
        <f>"КАМАЗ 55111"</f>
        <v>КАМАЗ 55111</v>
      </c>
      <c r="G579" s="24" t="str">
        <f>"СВ 50-33 АР"</f>
        <v>СВ 50-33 АР</v>
      </c>
      <c r="H579" s="24">
        <f>IFERROR(М1_КАМАЗ55111_0591!G22,"")</f>
        <v>1</v>
      </c>
      <c r="J579" s="13" t="str">
        <f t="shared" si="60"/>
        <v>вул. Котляревського|ВОГ</v>
      </c>
      <c r="K579" s="32">
        <f t="shared" si="61"/>
        <v>0.40625</v>
      </c>
      <c r="L579" s="13" t="str">
        <f>IF($A579="","",IF(COUNTIFS($J$4:$J579,$J579,$E$4:$E579,$E579)=1,$E579,""))</f>
        <v>№1</v>
      </c>
      <c r="M579" s="13" t="str">
        <f>IF($A579="","",IF(COUNTIFS($J$4:$J579,$J579,$F$4:$F579,$F579)=1,$F579,""))</f>
        <v>КАМАЗ 55111</v>
      </c>
    </row>
    <row r="580" spans="1:13" x14ac:dyDescent="0.35">
      <c r="A580" s="23" t="str">
        <f>IFERROR('М1-2_АТ4021-1120_0585'!B25,"")</f>
        <v>вул. Котляревського</v>
      </c>
      <c r="B580" s="23" t="str">
        <f>IFERROR(IF('М1-2_АТ4021-1120_0585'!C25="","",TEXT('М1-2_АТ4021-1120_0585'!C25,"General")),"")</f>
        <v>СТО</v>
      </c>
      <c r="C580" s="24" t="str">
        <f>"Понеділок"</f>
        <v>Понеділок</v>
      </c>
      <c r="D580" s="24" t="str">
        <f>IFERROR(TEXT('М1-2_АТ4021-1120_0585'!D25,"h:mm"),"")</f>
        <v>13:20</v>
      </c>
      <c r="E580" s="24" t="str">
        <f>"№1"</f>
        <v>№1</v>
      </c>
      <c r="F580" s="24" t="str">
        <f>"АТ-4021/1120"</f>
        <v>АТ-4021/1120</v>
      </c>
      <c r="G580" s="24" t="str">
        <f>"СВ 14-65 ЕО"</f>
        <v>СВ 14-65 ЕО</v>
      </c>
      <c r="H580" s="24">
        <f>IFERROR('М1-2_АТ4021-1120_0585'!G25,"")</f>
        <v>1</v>
      </c>
      <c r="J580" s="13" t="str">
        <f t="shared" ref="J580:J643" si="68">IF(A580="","",A580&amp;"|"&amp;B580)</f>
        <v>вул. Котляревського|СТО</v>
      </c>
      <c r="K580" s="32">
        <f t="shared" ref="K580:K643" si="69">IFERROR(IF(D580="","",IF(D580="×",9.99,TIMEVALUE(D580))),9.99)</f>
        <v>0.55555555555555558</v>
      </c>
      <c r="L580" s="13" t="str">
        <f>IF($A580="","",IF(COUNTIFS($J$4:$J580,$J580,$E$4:$E580,$E580)=1,$E580,""))</f>
        <v>№1</v>
      </c>
      <c r="M580" s="13" t="str">
        <f>IF($A580="","",IF(COUNTIFS($J$4:$J580,$J580,$F$4:$F580,$F580)=1,$F580,""))</f>
        <v>АТ-4021/1120</v>
      </c>
    </row>
    <row r="581" spans="1:13" x14ac:dyDescent="0.35">
      <c r="A581" s="23" t="str">
        <f>IFERROR('М1-2_АТ4021-1120_0585'!B133,"")</f>
        <v>вул. Котляревського</v>
      </c>
      <c r="B581" s="23" t="str">
        <f>IFERROR(IF('М1-2_АТ4021-1120_0585'!C133="","",TEXT('М1-2_АТ4021-1120_0585'!C133,"General")),"")</f>
        <v>Суд</v>
      </c>
      <c r="C581" s="24" t="str">
        <f>"Четвер"</f>
        <v>Четвер</v>
      </c>
      <c r="D581" s="24" t="str">
        <f>IFERROR(TEXT('М1-2_АТ4021-1120_0585'!D133,"h:mm"),"")</f>
        <v>15:50</v>
      </c>
      <c r="E581" s="24" t="str">
        <f>"№1"</f>
        <v>№1</v>
      </c>
      <c r="F581" s="24" t="str">
        <f>"АТ-4021/1120"</f>
        <v>АТ-4021/1120</v>
      </c>
      <c r="G581" s="24" t="str">
        <f>"СВ 14-65 ЕО"</f>
        <v>СВ 14-65 ЕО</v>
      </c>
      <c r="H581" s="24">
        <f>IFERROR('М1-2_АТ4021-1120_0585'!G133,"")</f>
        <v>1</v>
      </c>
      <c r="J581" s="13" t="str">
        <f t="shared" si="68"/>
        <v>вул. Котляревського|Суд</v>
      </c>
      <c r="K581" s="32">
        <f t="shared" si="69"/>
        <v>0.65972222222222221</v>
      </c>
      <c r="L581" s="13" t="str">
        <f>IF($A581="","",IF(COUNTIFS($J$4:$J581,$J581,$E$4:$E581,$E581)=1,$E581,""))</f>
        <v>№1</v>
      </c>
      <c r="M581" s="13" t="str">
        <f>IF($A581="","",IF(COUNTIFS($J$4:$J581,$J581,$F$4:$F581,$F581)=1,$F581,""))</f>
        <v>АТ-4021/1120</v>
      </c>
    </row>
    <row r="582" spans="1:13" x14ac:dyDescent="0.35">
      <c r="A582" s="23" t="str">
        <f>IFERROR('М3-4_ГАЗ3309_0590'!B131,"")</f>
        <v>вул. Котляревського</v>
      </c>
      <c r="B582" s="23" t="str">
        <f>IFERROR(IF('М3-4_ГАЗ3309_0590'!C131="","",TEXT('М3-4_ГАЗ3309_0590'!C131,"General")),"")</f>
        <v>поліція</v>
      </c>
      <c r="C582" s="24" t="str">
        <f>"Понеділок"</f>
        <v>Понеділок</v>
      </c>
      <c r="D582" s="24" t="str">
        <f>IFERROR(TEXT('М3-4_ГАЗ3309_0590'!D131,"h:mm"),"")</f>
        <v>11:05</v>
      </c>
      <c r="E582" s="24" t="str">
        <f>"№3"</f>
        <v>№3</v>
      </c>
      <c r="F582" s="24" t="str">
        <f>"ГАЗ 3309"</f>
        <v>ГАЗ 3309</v>
      </c>
      <c r="G582" s="24" t="str">
        <f>"СВ 17-85 ВН"</f>
        <v>СВ 17-85 ВН</v>
      </c>
      <c r="H582" s="24">
        <f>IFERROR('М3-4_ГАЗ3309_0590'!G131,"")</f>
        <v>3</v>
      </c>
      <c r="J582" s="13" t="str">
        <f t="shared" si="68"/>
        <v>вул. Котляревського|поліція</v>
      </c>
      <c r="K582" s="32">
        <f t="shared" si="69"/>
        <v>0.46180555555555558</v>
      </c>
      <c r="L582" s="13" t="str">
        <f>IF($A582="","",IF(COUNTIFS($J$4:$J582,$J582,$E$4:$E582,$E582)=1,$E582,""))</f>
        <v>№3</v>
      </c>
      <c r="M582" s="13" t="str">
        <f>IF($A582="","",IF(COUNTIFS($J$4:$J582,$J582,$F$4:$F582,$F582)=1,$F582,""))</f>
        <v>ГАЗ 3309</v>
      </c>
    </row>
    <row r="583" spans="1:13" x14ac:dyDescent="0.35">
      <c r="A583" s="23" t="str">
        <f>IFERROR(М6_АТ4021_0586!B176,"")</f>
        <v>вул. Кощюбинського</v>
      </c>
      <c r="B583" s="23" t="str">
        <f>IFERROR(IF(М6_АТ4021_0586!C176="","",TEXT(М6_АТ4021_0586!C176,"General")),"")</f>
        <v/>
      </c>
      <c r="C583" s="24" t="str">
        <f>"П'ятниця"</f>
        <v>П'ятниця</v>
      </c>
      <c r="D583" s="24" t="str">
        <f>IFERROR(TEXT(М6_АТ4021_0586!D176,"h:mm"),"")</f>
        <v>12:30</v>
      </c>
      <c r="E583" s="24" t="str">
        <f>"№6"</f>
        <v>№6</v>
      </c>
      <c r="F583" s="24" t="str">
        <f>"АТ 4021"</f>
        <v>АТ 4021</v>
      </c>
      <c r="G583" s="24" t="str">
        <f>"СВ 33-16 ЕО"</f>
        <v>СВ 33-16 ЕО</v>
      </c>
      <c r="H583" s="24"/>
      <c r="J583" s="13" t="str">
        <f t="shared" si="68"/>
        <v>вул. Кощюбинського|</v>
      </c>
      <c r="K583" s="32">
        <f t="shared" si="69"/>
        <v>0.52083333333333337</v>
      </c>
      <c r="L583" s="13" t="str">
        <f>IF($A583="","",IF(COUNTIFS($J$4:$J583,$J583,$E$4:$E583,$E583)=1,$E583,""))</f>
        <v>№6</v>
      </c>
      <c r="M583" s="13" t="str">
        <f>IF($A583="","",IF(COUNTIFS($J$4:$J583,$J583,$F$4:$F583,$F583)=1,$F583,""))</f>
        <v>АТ 4021</v>
      </c>
    </row>
    <row r="584" spans="1:13" x14ac:dyDescent="0.35">
      <c r="A584" s="23" t="str">
        <f>IFERROR(М6_АТ4021_0586!B92,"")</f>
        <v>вул. Кощюбинського</v>
      </c>
      <c r="B584" s="23" t="str">
        <f>IFERROR(IF(М6_АТ4021_0586!C92="","",TEXT(М6_АТ4021_0586!C92,"General")),"")</f>
        <v>1,4  10,20</v>
      </c>
      <c r="C584" s="24" t="str">
        <f>"Середа"</f>
        <v>Середа</v>
      </c>
      <c r="D584" s="24" t="str">
        <f>IFERROR(TEXT(М6_АТ4021_0586!D92,"h:mm"),"")</f>
        <v>10:50</v>
      </c>
      <c r="E584" s="24" t="str">
        <f>"№6"</f>
        <v>№6</v>
      </c>
      <c r="F584" s="24" t="str">
        <f>"АТ 4021"</f>
        <v>АТ 4021</v>
      </c>
      <c r="G584" s="24" t="str">
        <f>"СВ 33-16 ЕО"</f>
        <v>СВ 33-16 ЕО</v>
      </c>
      <c r="H584" s="24"/>
      <c r="J584" s="13" t="str">
        <f t="shared" si="68"/>
        <v>вул. Кощюбинського|1,4  10,20</v>
      </c>
      <c r="K584" s="32">
        <f t="shared" si="69"/>
        <v>0.4513888888888889</v>
      </c>
      <c r="L584" s="13" t="str">
        <f>IF($A584="","",IF(COUNTIFS($J$4:$J584,$J584,$E$4:$E584,$E584)=1,$E584,""))</f>
        <v>№6</v>
      </c>
      <c r="M584" s="13" t="str">
        <f>IF($A584="","",IF(COUNTIFS($J$4:$J584,$J584,$F$4:$F584,$F584)=1,$F584,""))</f>
        <v>АТ 4021</v>
      </c>
    </row>
    <row r="585" spans="1:13" x14ac:dyDescent="0.35">
      <c r="A585" s="23" t="str">
        <f>IFERROR(М5_МАЗ4381_0592!B101,"")</f>
        <v>вул. Кругова</v>
      </c>
      <c r="B585" s="23" t="str">
        <f>IFERROR(IF(М5_МАЗ4381_0592!C101="","",TEXT(М5_МАЗ4381_0592!C101,"General")),"")</f>
        <v/>
      </c>
      <c r="C585" s="24" t="str">
        <f>"Середа"</f>
        <v>Середа</v>
      </c>
      <c r="D585" s="24" t="str">
        <f>IFERROR(TEXT(М5_МАЗ4381_0592!D101,"h:mm"),"")</f>
        <v>13:00</v>
      </c>
      <c r="E585" s="24" t="str">
        <f>"№5"</f>
        <v>№5</v>
      </c>
      <c r="F585" s="24" t="str">
        <f>"МАЗ 4381"</f>
        <v>МАЗ 4381</v>
      </c>
      <c r="G585" s="24" t="str">
        <f>"СВ 81-71 ВК"</f>
        <v>СВ 81-71 ВК</v>
      </c>
      <c r="H585" s="24"/>
      <c r="J585" s="13" t="str">
        <f t="shared" si="68"/>
        <v>вул. Кругова|</v>
      </c>
      <c r="K585" s="32">
        <f t="shared" si="69"/>
        <v>0.54166666666666663</v>
      </c>
      <c r="L585" s="13" t="str">
        <f>IF($A585="","",IF(COUNTIFS($J$4:$J585,$J585,$E$4:$E585,$E585)=1,$E585,""))</f>
        <v>№5</v>
      </c>
      <c r="M585" s="13" t="str">
        <f>IF($A585="","",IF(COUNTIFS($J$4:$J585,$J585,$F$4:$F585,$F585)=1,$F585,""))</f>
        <v>МАЗ 4381</v>
      </c>
    </row>
    <row r="586" spans="1:13" x14ac:dyDescent="0.35">
      <c r="A586" s="23" t="str">
        <f>IFERROR(М6_АТ4021_0586!B58,"")</f>
        <v>вул. Кустівська</v>
      </c>
      <c r="B586" s="23" t="str">
        <f>IFERROR(IF(М6_АТ4021_0586!C58="","",TEXT(М6_АТ4021_0586!C58,"General")),"")</f>
        <v>5,37  47,61</v>
      </c>
      <c r="C586" s="24" t="str">
        <f>"Вівторок"</f>
        <v>Вівторок</v>
      </c>
      <c r="D586" s="24" t="str">
        <f>IFERROR(TEXT(М6_АТ4021_0586!D58,"h:mm"),"")</f>
        <v>11:05</v>
      </c>
      <c r="E586" s="24" t="str">
        <f>"№6"</f>
        <v>№6</v>
      </c>
      <c r="F586" s="24" t="str">
        <f>"АТ 4021"</f>
        <v>АТ 4021</v>
      </c>
      <c r="G586" s="24" t="str">
        <f>"СВ 33-16 ЕО"</f>
        <v>СВ 33-16 ЕО</v>
      </c>
      <c r="H586" s="24"/>
      <c r="J586" s="13" t="str">
        <f t="shared" si="68"/>
        <v>вул. Кустівська|5,37  47,61</v>
      </c>
      <c r="K586" s="32">
        <f t="shared" si="69"/>
        <v>0.46180555555555558</v>
      </c>
      <c r="L586" s="13" t="str">
        <f>IF($A586="","",IF(COUNTIFS($J$4:$J586,$J586,$E$4:$E586,$E586)=1,$E586,""))</f>
        <v>№6</v>
      </c>
      <c r="M586" s="13" t="str">
        <f>IF($A586="","",IF(COUNTIFS($J$4:$J586,$J586,$F$4:$F586,$F586)=1,$F586,""))</f>
        <v>АТ 4021</v>
      </c>
    </row>
    <row r="587" spans="1:13" x14ac:dyDescent="0.35">
      <c r="A587" s="23" t="str">
        <f>IFERROR('М3-4_ГАЗ3309_0590'!B143,"")</f>
        <v>вул. Кільцева</v>
      </c>
      <c r="B587" s="23" t="str">
        <f>IFERROR(IF('М3-4_ГАЗ3309_0590'!C143="","",TEXT('М3-4_ГАЗ3309_0590'!C143,"General")),"")</f>
        <v>Виробнича</v>
      </c>
      <c r="C587" s="24" t="str">
        <f>"Понеділок"</f>
        <v>Понеділок</v>
      </c>
      <c r="D587" s="24" t="str">
        <f>IFERROR(TEXT('М3-4_ГАЗ3309_0590'!D143,"h:mm"),"")</f>
        <v>15:35</v>
      </c>
      <c r="E587" s="24" t="str">
        <f>"№3"</f>
        <v>№3</v>
      </c>
      <c r="F587" s="24" t="str">
        <f>"ГАЗ 3309"</f>
        <v>ГАЗ 3309</v>
      </c>
      <c r="G587" s="24" t="str">
        <f>"СВ 17-85 ВН"</f>
        <v>СВ 17-85 ВН</v>
      </c>
      <c r="H587" s="24">
        <f>IFERROR('М3-4_ГАЗ3309_0590'!G143,"")</f>
        <v>2</v>
      </c>
      <c r="J587" s="13" t="str">
        <f t="shared" si="68"/>
        <v>вул. Кільцева|Виробнича</v>
      </c>
      <c r="K587" s="32">
        <f t="shared" si="69"/>
        <v>0.64930555555555558</v>
      </c>
      <c r="L587" s="13" t="str">
        <f>IF($A587="","",IF(COUNTIFS($J$4:$J587,$J587,$E$4:$E587,$E587)=1,$E587,""))</f>
        <v>№3</v>
      </c>
      <c r="M587" s="13" t="str">
        <f>IF($A587="","",IF(COUNTIFS($J$4:$J587,$J587,$F$4:$F587,$F587)=1,$F587,""))</f>
        <v>ГАЗ 3309</v>
      </c>
    </row>
    <row r="588" spans="1:13" x14ac:dyDescent="0.35">
      <c r="A588" s="23" t="str">
        <f>IFERROR(М4_АТ4042ROD_0584!B82,"")</f>
        <v>вул. Кільцева</v>
      </c>
      <c r="B588" s="23" t="str">
        <f>IFERROR(IF(М4_АТ4042ROD_0584!C82="","",TEXT(М4_АТ4042ROD_0584!C82,"General")),"")</f>
        <v>трубна база</v>
      </c>
      <c r="C588" s="24" t="str">
        <f>"Четвер"</f>
        <v>Четвер</v>
      </c>
      <c r="D588" s="24" t="str">
        <f>IFERROR(TEXT(М4_АТ4042ROD_0584!D82,"h:mm"),"")</f>
        <v>10:45</v>
      </c>
      <c r="E588" s="24" t="str">
        <f>"№4"</f>
        <v>№4</v>
      </c>
      <c r="F588" s="24" t="str">
        <f>"АТ 40-42/ROD21003"</f>
        <v>АТ 40-42/ROD21003</v>
      </c>
      <c r="G588" s="24" t="str">
        <f>"СВ 33-15 ЕО"</f>
        <v>СВ 33-15 ЕО</v>
      </c>
      <c r="H588" s="24">
        <f>IFERROR(М4_АТ4042ROD_0584!G82,"")</f>
        <v>1</v>
      </c>
      <c r="J588" s="13" t="str">
        <f t="shared" si="68"/>
        <v>вул. Кільцева|трубна база</v>
      </c>
      <c r="K588" s="32">
        <f t="shared" si="69"/>
        <v>0.44791666666666669</v>
      </c>
      <c r="L588" s="13" t="str">
        <f>IF($A588="","",IF(COUNTIFS($J$4:$J588,$J588,$E$4:$E588,$E588)=1,$E588,""))</f>
        <v>№4</v>
      </c>
      <c r="M588" s="13" t="str">
        <f>IF($A588="","",IF(COUNTIFS($J$4:$J588,$J588,$F$4:$F588,$F588)=1,$F588,""))</f>
        <v>АТ 40-42/ROD21003</v>
      </c>
    </row>
    <row r="589" spans="1:13" x14ac:dyDescent="0.35">
      <c r="A589" s="23" t="str">
        <f>IFERROR(М6_АТ4021_0586!B100,"")</f>
        <v>вул. Л. Забашти</v>
      </c>
      <c r="B589" s="23" t="str">
        <f>IFERROR(IF(М6_АТ4021_0586!C100="","",TEXT(М6_АТ4021_0586!C100,"General")),"")</f>
        <v>3,10  16,23</v>
      </c>
      <c r="C589" s="24" t="str">
        <f>"Середа"</f>
        <v>Середа</v>
      </c>
      <c r="D589" s="24" t="str">
        <f>IFERROR(TEXT(М6_АТ4021_0586!D100,"h:mm"),"")</f>
        <v>13:20</v>
      </c>
      <c r="E589" s="24" t="str">
        <f>"№6"</f>
        <v>№6</v>
      </c>
      <c r="F589" s="24" t="str">
        <f>"АТ 4021"</f>
        <v>АТ 4021</v>
      </c>
      <c r="G589" s="24" t="str">
        <f>"СВ 33-16 ЕО"</f>
        <v>СВ 33-16 ЕО</v>
      </c>
      <c r="H589" s="24"/>
      <c r="J589" s="13" t="str">
        <f t="shared" si="68"/>
        <v>вул. Л. Забашти|3,10  16,23</v>
      </c>
      <c r="K589" s="32">
        <f t="shared" si="69"/>
        <v>0.55555555555555558</v>
      </c>
      <c r="L589" s="13" t="str">
        <f>IF($A589="","",IF(COUNTIFS($J$4:$J589,$J589,$E$4:$E589,$E589)=1,$E589,""))</f>
        <v>№6</v>
      </c>
      <c r="M589" s="13" t="str">
        <f>IF($A589="","",IF(COUNTIFS($J$4:$J589,$J589,$F$4:$F589,$F589)=1,$F589,""))</f>
        <v>АТ 4021</v>
      </c>
    </row>
    <row r="590" spans="1:13" x14ac:dyDescent="0.35">
      <c r="A590" s="23" t="str">
        <f>IFERROR(М5_МАЗ4381_0592!B165,"")</f>
        <v>вул. Л. Лук'яненка</v>
      </c>
      <c r="B590" s="23" t="str">
        <f>IFERROR(IF(М5_МАЗ4381_0592!C165="","",TEXT(М5_МАЗ4381_0592!C165,"General")),"")</f>
        <v/>
      </c>
      <c r="C590" s="24" t="str">
        <f>"П'ятниця"</f>
        <v>П'ятниця</v>
      </c>
      <c r="D590" s="24" t="str">
        <f>IFERROR(TEXT(М5_МАЗ4381_0592!D165,"h:mm"),"")</f>
        <v>8:00</v>
      </c>
      <c r="E590" s="24" t="str">
        <f>"№5"</f>
        <v>№5</v>
      </c>
      <c r="F590" s="24" t="str">
        <f>"МАЗ 4381"</f>
        <v>МАЗ 4381</v>
      </c>
      <c r="G590" s="24" t="str">
        <f>"СВ 81-71 ВК"</f>
        <v>СВ 81-71 ВК</v>
      </c>
      <c r="H590" s="24"/>
      <c r="J590" s="13" t="str">
        <f t="shared" si="68"/>
        <v>вул. Л. Лук'яненка|</v>
      </c>
      <c r="K590" s="32">
        <f t="shared" si="69"/>
        <v>0.33333333333333331</v>
      </c>
      <c r="L590" s="13" t="str">
        <f>IF($A590="","",IF(COUNTIFS($J$4:$J590,$J590,$E$4:$E590,$E590)=1,$E590,""))</f>
        <v>№5</v>
      </c>
      <c r="M590" s="13" t="str">
        <f>IF($A590="","",IF(COUNTIFS($J$4:$J590,$J590,$F$4:$F590,$F590)=1,$F590,""))</f>
        <v>МАЗ 4381</v>
      </c>
    </row>
    <row r="591" spans="1:13" x14ac:dyDescent="0.35">
      <c r="A591" s="23" t="str">
        <f>IFERROR('М3-4_ГАЗ3309_0590'!B80,"")</f>
        <v>вул. Л. Лук'яненка</v>
      </c>
      <c r="B591" s="23" t="str">
        <f>IFERROR(IF('М3-4_ГАЗ3309_0590'!C80="","",TEXT('М3-4_ГАЗ3309_0590'!C80,"General")),"")</f>
        <v>буд. 31 а</v>
      </c>
      <c r="C591" s="24" t="str">
        <f>"Середа"</f>
        <v>Середа</v>
      </c>
      <c r="D591" s="24" t="str">
        <f>IFERROR(TEXT('М3-4_ГАЗ3309_0590'!D80,"h:mm"),"")</f>
        <v>12:05</v>
      </c>
      <c r="E591" s="24" t="str">
        <f t="shared" ref="E591:E597" si="70">"№4"</f>
        <v>№4</v>
      </c>
      <c r="F591" s="24" t="str">
        <f>"ГАЗ 3309"</f>
        <v>ГАЗ 3309</v>
      </c>
      <c r="G591" s="24" t="str">
        <f>"СВ 17-85 ВН"</f>
        <v>СВ 17-85 ВН</v>
      </c>
      <c r="H591" s="24">
        <f>IFERROR('М3-4_ГАЗ3309_0590'!G80,"")</f>
        <v>2</v>
      </c>
      <c r="J591" s="13" t="str">
        <f t="shared" si="68"/>
        <v>вул. Л. Лук'яненка|буд. 31 а</v>
      </c>
      <c r="K591" s="32">
        <f t="shared" si="69"/>
        <v>0.50347222222222221</v>
      </c>
      <c r="L591" s="13" t="str">
        <f>IF($A591="","",IF(COUNTIFS($J$4:$J591,$J591,$E$4:$E591,$E591)=1,$E591,""))</f>
        <v>№4</v>
      </c>
      <c r="M591" s="13" t="str">
        <f>IF($A591="","",IF(COUNTIFS($J$4:$J591,$J591,$F$4:$F591,$F591)=1,$F591,""))</f>
        <v>ГАЗ 3309</v>
      </c>
    </row>
    <row r="592" spans="1:13" x14ac:dyDescent="0.35">
      <c r="A592" s="23" t="str">
        <f>IFERROR('М3-4_ГАЗ3309_0590'!B105,"")</f>
        <v>вул. Л. Лук'яненка</v>
      </c>
      <c r="B592" s="23" t="str">
        <f>IFERROR(IF('М3-4_ГАЗ3309_0590'!C105="","",TEXT('М3-4_ГАЗ3309_0590'!C105,"General")),"")</f>
        <v>буд. 31 а</v>
      </c>
      <c r="C592" s="24" t="str">
        <f>"Субота"</f>
        <v>Субота</v>
      </c>
      <c r="D592" s="24" t="str">
        <f>IFERROR(TEXT('М3-4_ГАЗ3309_0590'!D105,"h:mm"),"")</f>
        <v>12:05</v>
      </c>
      <c r="E592" s="24" t="str">
        <f t="shared" si="70"/>
        <v>№4</v>
      </c>
      <c r="F592" s="24" t="str">
        <f>"ГАЗ 3309"</f>
        <v>ГАЗ 3309</v>
      </c>
      <c r="G592" s="24" t="str">
        <f>"СВ 17-85 ВН"</f>
        <v>СВ 17-85 ВН</v>
      </c>
      <c r="H592" s="24">
        <f>IFERROR('М3-4_ГАЗ3309_0590'!G105,"")</f>
        <v>2</v>
      </c>
      <c r="J592" s="13" t="str">
        <f t="shared" si="68"/>
        <v>вул. Л. Лук'яненка|буд. 31 а</v>
      </c>
      <c r="K592" s="32">
        <f t="shared" si="69"/>
        <v>0.50347222222222221</v>
      </c>
      <c r="L592" s="13" t="str">
        <f>IF($A592="","",IF(COUNTIFS($J$4:$J592,$J592,$E$4:$E592,$E592)=1,$E592,""))</f>
        <v/>
      </c>
      <c r="M592" s="13" t="str">
        <f>IF($A592="","",IF(COUNTIFS($J$4:$J592,$J592,$F$4:$F592,$F592)=1,$F592,""))</f>
        <v/>
      </c>
    </row>
    <row r="593" spans="1:13" x14ac:dyDescent="0.35">
      <c r="A593" s="23" t="str">
        <f>IFERROR(М4_АТ4042ROD_0584!B22,"")</f>
        <v>вул. Л. Лук'яненка</v>
      </c>
      <c r="B593" s="23" t="str">
        <f>IFERROR(IF(М4_АТ4042ROD_0584!C22="","",TEXT(М4_АТ4042ROD_0584!C22,"General")),"")</f>
        <v>буд. 31а</v>
      </c>
      <c r="C593" s="24" t="str">
        <f>"Понеділок"</f>
        <v>Понеділок</v>
      </c>
      <c r="D593" s="24" t="str">
        <f>IFERROR(TEXT(М4_АТ4042ROD_0584!D22,"h:mm"),"")</f>
        <v>13:25</v>
      </c>
      <c r="E593" s="24" t="str">
        <f t="shared" si="70"/>
        <v>№4</v>
      </c>
      <c r="F593" s="24" t="str">
        <f>"АТ 40-42/ROD21003"</f>
        <v>АТ 40-42/ROD21003</v>
      </c>
      <c r="G593" s="24" t="str">
        <f>"СВ 33-15 ЕО"</f>
        <v>СВ 33-15 ЕО</v>
      </c>
      <c r="H593" s="24">
        <f>IFERROR(М4_АТ4042ROD_0584!G22,"")</f>
        <v>3</v>
      </c>
      <c r="J593" s="13" t="str">
        <f t="shared" si="68"/>
        <v>вул. Л. Лук'яненка|буд. 31а</v>
      </c>
      <c r="K593" s="32">
        <f t="shared" si="69"/>
        <v>0.55902777777777779</v>
      </c>
      <c r="L593" s="13" t="str">
        <f>IF($A593="","",IF(COUNTIFS($J$4:$J593,$J593,$E$4:$E593,$E593)=1,$E593,""))</f>
        <v>№4</v>
      </c>
      <c r="M593" s="13" t="str">
        <f>IF($A593="","",IF(COUNTIFS($J$4:$J593,$J593,$F$4:$F593,$F593)=1,$F593,""))</f>
        <v>АТ 40-42/ROD21003</v>
      </c>
    </row>
    <row r="594" spans="1:13" x14ac:dyDescent="0.35">
      <c r="A594" s="23" t="str">
        <f>IFERROR(М4_АТ4042ROD_0584!B53,"")</f>
        <v>вул. Л. Лук'яненка</v>
      </c>
      <c r="B594" s="23" t="str">
        <f>IFERROR(IF(М4_АТ4042ROD_0584!C53="","",TEXT(М4_АТ4042ROD_0584!C53,"General")),"")</f>
        <v>буд. 31а</v>
      </c>
      <c r="C594" s="24" t="str">
        <f>"Вівторок"</f>
        <v>Вівторок</v>
      </c>
      <c r="D594" s="24" t="str">
        <f>IFERROR(TEXT(М4_АТ4042ROD_0584!D53,"h:mm"),"")</f>
        <v>13:10</v>
      </c>
      <c r="E594" s="24" t="str">
        <f t="shared" si="70"/>
        <v>№4</v>
      </c>
      <c r="F594" s="24" t="str">
        <f>"АТ 40-42/ROD21003"</f>
        <v>АТ 40-42/ROD21003</v>
      </c>
      <c r="G594" s="24" t="str">
        <f>"СВ 33-15 ЕО"</f>
        <v>СВ 33-15 ЕО</v>
      </c>
      <c r="H594" s="24">
        <f>IFERROR(М4_АТ4042ROD_0584!G53,"")</f>
        <v>3</v>
      </c>
      <c r="J594" s="13" t="str">
        <f t="shared" si="68"/>
        <v>вул. Л. Лук'яненка|буд. 31а</v>
      </c>
      <c r="K594" s="32">
        <f t="shared" si="69"/>
        <v>0.54861111111111116</v>
      </c>
      <c r="L594" s="13" t="str">
        <f>IF($A594="","",IF(COUNTIFS($J$4:$J594,$J594,$E$4:$E594,$E594)=1,$E594,""))</f>
        <v/>
      </c>
      <c r="M594" s="13" t="str">
        <f>IF($A594="","",IF(COUNTIFS($J$4:$J594,$J594,$F$4:$F594,$F594)=1,$F594,""))</f>
        <v/>
      </c>
    </row>
    <row r="595" spans="1:13" x14ac:dyDescent="0.35">
      <c r="A595" s="23" t="str">
        <f>IFERROR(М4_АТ4042ROD_0584!B86,"")</f>
        <v>вул. Л. Лук'яненка</v>
      </c>
      <c r="B595" s="23" t="str">
        <f>IFERROR(IF(М4_АТ4042ROD_0584!C86="","",TEXT(М4_АТ4042ROD_0584!C86,"General")),"")</f>
        <v>буд. 31а</v>
      </c>
      <c r="C595" s="24" t="str">
        <f>"Четвер"</f>
        <v>Четвер</v>
      </c>
      <c r="D595" s="24" t="str">
        <f>IFERROR(TEXT(М4_АТ4042ROD_0584!D86,"h:mm"),"")</f>
        <v>13:10</v>
      </c>
      <c r="E595" s="24" t="str">
        <f t="shared" si="70"/>
        <v>№4</v>
      </c>
      <c r="F595" s="24" t="str">
        <f>"АТ 40-42/ROD21003"</f>
        <v>АТ 40-42/ROD21003</v>
      </c>
      <c r="G595" s="24" t="str">
        <f>"СВ 33-15 ЕО"</f>
        <v>СВ 33-15 ЕО</v>
      </c>
      <c r="H595" s="24">
        <f>IFERROR(М4_АТ4042ROD_0584!G86,"")</f>
        <v>3</v>
      </c>
      <c r="J595" s="13" t="str">
        <f t="shared" si="68"/>
        <v>вул. Л. Лук'яненка|буд. 31а</v>
      </c>
      <c r="K595" s="32">
        <f t="shared" si="69"/>
        <v>0.54861111111111116</v>
      </c>
      <c r="L595" s="13" t="str">
        <f>IF($A595="","",IF(COUNTIFS($J$4:$J595,$J595,$E$4:$E595,$E595)=1,$E595,""))</f>
        <v/>
      </c>
      <c r="M595" s="13" t="str">
        <f>IF($A595="","",IF(COUNTIFS($J$4:$J595,$J595,$F$4:$F595,$F595)=1,$F595,""))</f>
        <v/>
      </c>
    </row>
    <row r="596" spans="1:13" x14ac:dyDescent="0.35">
      <c r="A596" s="23" t="str">
        <f>IFERROR(М4_АТ4042ROD_0584!B121,"")</f>
        <v>вул. Л. Лук'яненка</v>
      </c>
      <c r="B596" s="23" t="str">
        <f>IFERROR(IF(М4_АТ4042ROD_0584!C121="","",TEXT(М4_АТ4042ROD_0584!C121,"General")),"")</f>
        <v>буд. 31а</v>
      </c>
      <c r="C596" s="24" t="str">
        <f>"П'ятниця"</f>
        <v>П'ятниця</v>
      </c>
      <c r="D596" s="24" t="str">
        <f>IFERROR(TEXT(М4_АТ4042ROD_0584!D121,"h:mm"),"")</f>
        <v>13:25</v>
      </c>
      <c r="E596" s="24" t="str">
        <f t="shared" si="70"/>
        <v>№4</v>
      </c>
      <c r="F596" s="24" t="str">
        <f>"АТ 40-42/ROD21003"</f>
        <v>АТ 40-42/ROD21003</v>
      </c>
      <c r="G596" s="24" t="str">
        <f>"СВ 33-15 ЕО"</f>
        <v>СВ 33-15 ЕО</v>
      </c>
      <c r="H596" s="24">
        <f>IFERROR(М4_АТ4042ROD_0584!G121,"")</f>
        <v>3</v>
      </c>
      <c r="J596" s="13" t="str">
        <f t="shared" si="68"/>
        <v>вул. Л. Лук'яненка|буд. 31а</v>
      </c>
      <c r="K596" s="32">
        <f t="shared" si="69"/>
        <v>0.55902777777777779</v>
      </c>
      <c r="L596" s="13" t="str">
        <f>IF($A596="","",IF(COUNTIFS($J$4:$J596,$J596,$E$4:$E596,$E596)=1,$E596,""))</f>
        <v/>
      </c>
      <c r="M596" s="13" t="str">
        <f>IF($A596="","",IF(COUNTIFS($J$4:$J596,$J596,$F$4:$F596,$F596)=1,$F596,""))</f>
        <v/>
      </c>
    </row>
    <row r="597" spans="1:13" x14ac:dyDescent="0.35">
      <c r="A597" s="23" t="str">
        <f>IFERROR(М4_АТ4042ROD_0584!B154,"")</f>
        <v>вул. Л. Лук'яненка</v>
      </c>
      <c r="B597" s="23" t="str">
        <f>IFERROR(IF(М4_АТ4042ROD_0584!C154="","",TEXT(М4_АТ4042ROD_0584!C154,"General")),"")</f>
        <v>буд. 31а</v>
      </c>
      <c r="C597" s="24" t="str">
        <f>"Неділя"</f>
        <v>Неділя</v>
      </c>
      <c r="D597" s="24" t="str">
        <f>IFERROR(TEXT(М4_АТ4042ROD_0584!D154,"h:mm"),"")</f>
        <v>13:45</v>
      </c>
      <c r="E597" s="24" t="str">
        <f t="shared" si="70"/>
        <v>№4</v>
      </c>
      <c r="F597" s="24" t="str">
        <f>"АТ 40-42/ROD21003"</f>
        <v>АТ 40-42/ROD21003</v>
      </c>
      <c r="G597" s="24" t="str">
        <f>"СВ 33-15 ЕО"</f>
        <v>СВ 33-15 ЕО</v>
      </c>
      <c r="H597" s="24">
        <f>IFERROR(М4_АТ4042ROD_0584!G154,"")</f>
        <v>3</v>
      </c>
      <c r="J597" s="13" t="str">
        <f t="shared" si="68"/>
        <v>вул. Л. Лук'яненка|буд. 31а</v>
      </c>
      <c r="K597" s="32">
        <f t="shared" si="69"/>
        <v>0.57291666666666663</v>
      </c>
      <c r="L597" s="13" t="str">
        <f>IF($A597="","",IF(COUNTIFS($J$4:$J597,$J597,$E$4:$E597,$E597)=1,$E597,""))</f>
        <v/>
      </c>
      <c r="M597" s="13" t="str">
        <f>IF($A597="","",IF(COUNTIFS($J$4:$J597,$J597,$F$4:$F597,$F597)=1,$F597,""))</f>
        <v/>
      </c>
    </row>
    <row r="598" spans="1:13" x14ac:dyDescent="0.35">
      <c r="A598" s="23" t="str">
        <f>IFERROR(М5_МАЗ4381_0592!B44,"")</f>
        <v>вул. Л. Українки</v>
      </c>
      <c r="B598" s="23" t="str">
        <f>IFERROR(IF(М5_МАЗ4381_0592!C44="","",TEXT(М5_МАЗ4381_0592!C44,"General")),"")</f>
        <v/>
      </c>
      <c r="C598" s="24" t="str">
        <f>"Вівторок"</f>
        <v>Вівторок</v>
      </c>
      <c r="D598" s="24" t="str">
        <f>IFERROR(TEXT(М5_МАЗ4381_0592!D44,"h:mm"),"")</f>
        <v>7:00</v>
      </c>
      <c r="E598" s="24" t="str">
        <f>"№5"</f>
        <v>№5</v>
      </c>
      <c r="F598" s="24" t="str">
        <f>"МАЗ 4381"</f>
        <v>МАЗ 4381</v>
      </c>
      <c r="G598" s="24" t="str">
        <f>"СВ 81-71 ВК"</f>
        <v>СВ 81-71 ВК</v>
      </c>
      <c r="H598" s="24"/>
      <c r="J598" s="13" t="str">
        <f t="shared" si="68"/>
        <v>вул. Л. Українки|</v>
      </c>
      <c r="K598" s="32">
        <f t="shared" si="69"/>
        <v>0.29166666666666669</v>
      </c>
      <c r="L598" s="13" t="str">
        <f>IF($A598="","",IF(COUNTIFS($J$4:$J598,$J598,$E$4:$E598,$E598)=1,$E598,""))</f>
        <v>№5</v>
      </c>
      <c r="M598" s="13" t="str">
        <f>IF($A598="","",IF(COUNTIFS($J$4:$J598,$J598,$F$4:$F598,$F598)=1,$F598,""))</f>
        <v>МАЗ 4381</v>
      </c>
    </row>
    <row r="599" spans="1:13" x14ac:dyDescent="0.35">
      <c r="A599" s="23" t="str">
        <f>IFERROR(М6_АТ4021_0586!B181,"")</f>
        <v>вул. Ладанська</v>
      </c>
      <c r="B599" s="23" t="str">
        <f>IFERROR(IF(М6_АТ4021_0586!C181="","",TEXT(М6_АТ4021_0586!C181,"General")),"")</f>
        <v>4,28  30,35</v>
      </c>
      <c r="C599" s="24" t="str">
        <f>"П'ятниця"</f>
        <v>П'ятниця</v>
      </c>
      <c r="D599" s="24" t="str">
        <f>IFERROR(TEXT(М6_АТ4021_0586!D181,"h:mm"),"")</f>
        <v>14:00</v>
      </c>
      <c r="E599" s="24" t="str">
        <f>"№6"</f>
        <v>№6</v>
      </c>
      <c r="F599" s="24" t="str">
        <f>"АТ 4021"</f>
        <v>АТ 4021</v>
      </c>
      <c r="G599" s="24" t="str">
        <f>"СВ 33-16 ЕО"</f>
        <v>СВ 33-16 ЕО</v>
      </c>
      <c r="H599" s="24"/>
      <c r="J599" s="13" t="str">
        <f t="shared" si="68"/>
        <v>вул. Ладанська|4,28  30,35</v>
      </c>
      <c r="K599" s="32">
        <f t="shared" si="69"/>
        <v>0.58333333333333337</v>
      </c>
      <c r="L599" s="13" t="str">
        <f>IF($A599="","",IF(COUNTIFS($J$4:$J599,$J599,$E$4:$E599,$E599)=1,$E599,""))</f>
        <v>№6</v>
      </c>
      <c r="M599" s="13" t="str">
        <f>IF($A599="","",IF(COUNTIFS($J$4:$J599,$J599,$F$4:$F599,$F599)=1,$F599,""))</f>
        <v>АТ 4021</v>
      </c>
    </row>
    <row r="600" spans="1:13" x14ac:dyDescent="0.35">
      <c r="A600" s="23" t="str">
        <f>IFERROR(М5_МАЗ4381_0592!B119,"")</f>
        <v>вул. Леонтовича</v>
      </c>
      <c r="B600" s="23" t="str">
        <f>IFERROR(IF(М5_МАЗ4381_0592!C119="","",TEXT(М5_МАЗ4381_0592!C119,"General")),"")</f>
        <v/>
      </c>
      <c r="C600" s="24" t="str">
        <f>"Четвер"</f>
        <v>Четвер</v>
      </c>
      <c r="D600" s="24" t="str">
        <f>IFERROR(TEXT(М5_МАЗ4381_0592!D119,"h:mm"),"")</f>
        <v>7:20</v>
      </c>
      <c r="E600" s="24" t="str">
        <f>"№5"</f>
        <v>№5</v>
      </c>
      <c r="F600" s="24" t="str">
        <f>"МАЗ 4381"</f>
        <v>МАЗ 4381</v>
      </c>
      <c r="G600" s="24" t="str">
        <f>"СВ 81-71 ВК"</f>
        <v>СВ 81-71 ВК</v>
      </c>
      <c r="H600" s="24"/>
      <c r="J600" s="13" t="str">
        <f t="shared" si="68"/>
        <v>вул. Леонтовича|</v>
      </c>
      <c r="K600" s="32">
        <f t="shared" si="69"/>
        <v>0.30555555555555558</v>
      </c>
      <c r="L600" s="13" t="str">
        <f>IF($A600="","",IF(COUNTIFS($J$4:$J600,$J600,$E$4:$E600,$E600)=1,$E600,""))</f>
        <v>№5</v>
      </c>
      <c r="M600" s="13" t="str">
        <f>IF($A600="","",IF(COUNTIFS($J$4:$J600,$J600,$F$4:$F600,$F600)=1,$F600,""))</f>
        <v>МАЗ 4381</v>
      </c>
    </row>
    <row r="601" spans="1:13" x14ac:dyDescent="0.35">
      <c r="A601" s="23" t="str">
        <f>IFERROR(М6_АТ4021_0586!B165,"")</f>
        <v>вул. Леонтовича</v>
      </c>
      <c r="B601" s="23" t="str">
        <f>IFERROR(IF(М6_АТ4021_0586!C165="","",TEXT(М6_АТ4021_0586!C165,"General")),"")</f>
        <v>1,5  11,20</v>
      </c>
      <c r="C601" s="24" t="str">
        <f>"П'ятниця"</f>
        <v>П'ятниця</v>
      </c>
      <c r="D601" s="24" t="str">
        <f>IFERROR(TEXT(М6_АТ4021_0586!D165,"h:mm"),"")</f>
        <v>9:45</v>
      </c>
      <c r="E601" s="24" t="str">
        <f>"№6"</f>
        <v>№6</v>
      </c>
      <c r="F601" s="24" t="str">
        <f>"АТ 4021"</f>
        <v>АТ 4021</v>
      </c>
      <c r="G601" s="24" t="str">
        <f>"СВ 33-16 ЕО"</f>
        <v>СВ 33-16 ЕО</v>
      </c>
      <c r="H601" s="24"/>
      <c r="J601" s="13" t="str">
        <f t="shared" si="68"/>
        <v>вул. Леонтовича|1,5  11,20</v>
      </c>
      <c r="K601" s="32">
        <f t="shared" si="69"/>
        <v>0.40625</v>
      </c>
      <c r="L601" s="13" t="str">
        <f>IF($A601="","",IF(COUNTIFS($J$4:$J601,$J601,$E$4:$E601,$E601)=1,$E601,""))</f>
        <v>№6</v>
      </c>
      <c r="M601" s="13" t="str">
        <f>IF($A601="","",IF(COUNTIFS($J$4:$J601,$J601,$F$4:$F601,$F601)=1,$F601,""))</f>
        <v>АТ 4021</v>
      </c>
    </row>
    <row r="602" spans="1:13" x14ac:dyDescent="0.35">
      <c r="A602" s="23" t="str">
        <f>IFERROR('М3-4_ГАЗ3309_0590'!B137,"")</f>
        <v>вул. Леонтовича</v>
      </c>
      <c r="B602" s="23" t="str">
        <f>IFERROR(IF('М3-4_ГАЗ3309_0590'!C137="","",TEXT('М3-4_ГАЗ3309_0590'!C137,"General")),"")</f>
        <v>УГГ</v>
      </c>
      <c r="C602" s="24" t="str">
        <f>"Понеділок"</f>
        <v>Понеділок</v>
      </c>
      <c r="D602" s="24" t="str">
        <f>IFERROR(TEXT('М3-4_ГАЗ3309_0590'!D137,"h:mm"),"")</f>
        <v>14:00</v>
      </c>
      <c r="E602" s="24" t="str">
        <f>"№3"</f>
        <v>№3</v>
      </c>
      <c r="F602" s="24" t="str">
        <f>"ГАЗ 3309"</f>
        <v>ГАЗ 3309</v>
      </c>
      <c r="G602" s="24" t="str">
        <f>"СВ 17-85 ВН"</f>
        <v>СВ 17-85 ВН</v>
      </c>
      <c r="H602" s="24">
        <f>IFERROR('М3-4_ГАЗ3309_0590'!G137,"")</f>
        <v>1</v>
      </c>
      <c r="J602" s="13" t="str">
        <f t="shared" si="68"/>
        <v>вул. Леонтовича|УГГ</v>
      </c>
      <c r="K602" s="32">
        <f t="shared" si="69"/>
        <v>0.58333333333333337</v>
      </c>
      <c r="L602" s="13" t="str">
        <f>IF($A602="","",IF(COUNTIFS($J$4:$J602,$J602,$E$4:$E602,$E602)=1,$E602,""))</f>
        <v>№3</v>
      </c>
      <c r="M602" s="13" t="str">
        <f>IF($A602="","",IF(COUNTIFS($J$4:$J602,$J602,$F$4:$F602,$F602)=1,$F602,""))</f>
        <v>ГАЗ 3309</v>
      </c>
    </row>
    <row r="603" spans="1:13" x14ac:dyDescent="0.35">
      <c r="A603" s="23" t="str">
        <f>IFERROR('М3-4_ГАЗ3309_0590'!B136,"")</f>
        <v>вул. Леонтовича</v>
      </c>
      <c r="B603" s="23" t="str">
        <f>IFERROR(IF('М3-4_ГАЗ3309_0590'!C136="","",TEXT('М3-4_ГАЗ3309_0590'!C136,"General")),"")</f>
        <v>стадіон</v>
      </c>
      <c r="C603" s="24" t="str">
        <f>"Понеділок"</f>
        <v>Понеділок</v>
      </c>
      <c r="D603" s="24" t="str">
        <f>IFERROR(TEXT('М3-4_ГАЗ3309_0590'!D136,"h:mm"),"")</f>
        <v>13:45</v>
      </c>
      <c r="E603" s="24" t="str">
        <f>"№3"</f>
        <v>№3</v>
      </c>
      <c r="F603" s="24" t="str">
        <f>"ГАЗ 3309"</f>
        <v>ГАЗ 3309</v>
      </c>
      <c r="G603" s="24" t="str">
        <f>"СВ 17-85 ВН"</f>
        <v>СВ 17-85 ВН</v>
      </c>
      <c r="H603" s="24">
        <f>IFERROR('М3-4_ГАЗ3309_0590'!G136,"")</f>
        <v>1</v>
      </c>
      <c r="J603" s="13" t="str">
        <f t="shared" si="68"/>
        <v>вул. Леонтовича|стадіон</v>
      </c>
      <c r="K603" s="32">
        <f t="shared" si="69"/>
        <v>0.57291666666666663</v>
      </c>
      <c r="L603" s="13" t="str">
        <f>IF($A603="","",IF(COUNTIFS($J$4:$J603,$J603,$E$4:$E603,$E603)=1,$E603,""))</f>
        <v>№3</v>
      </c>
      <c r="M603" s="13" t="str">
        <f>IF($A603="","",IF(COUNTIFS($J$4:$J603,$J603,$F$4:$F603,$F603)=1,$F603,""))</f>
        <v>ГАЗ 3309</v>
      </c>
    </row>
    <row r="604" spans="1:13" x14ac:dyDescent="0.35">
      <c r="A604" s="23" t="str">
        <f>IFERROR(М6_АТ4021_0586!B144,"")</f>
        <v>вул. Лохвицька</v>
      </c>
      <c r="B604" s="23" t="str">
        <f>IFERROR(IF(М6_АТ4021_0586!C144="","",TEXT(М6_АТ4021_0586!C144,"General")),"")</f>
        <v>6,14  21,27</v>
      </c>
      <c r="C604" s="24" t="str">
        <f>"Четвер"</f>
        <v>Четвер</v>
      </c>
      <c r="D604" s="24" t="str">
        <f>IFERROR(TEXT(М6_АТ4021_0586!D144,"h:mm"),"")</f>
        <v>14:50</v>
      </c>
      <c r="E604" s="24" t="str">
        <f>"№6"</f>
        <v>№6</v>
      </c>
      <c r="F604" s="24" t="str">
        <f>"АТ 4021"</f>
        <v>АТ 4021</v>
      </c>
      <c r="G604" s="24" t="str">
        <f>"СВ 33-16 ЕО"</f>
        <v>СВ 33-16 ЕО</v>
      </c>
      <c r="H604" s="24"/>
      <c r="J604" s="13" t="str">
        <f t="shared" si="68"/>
        <v>вул. Лохвицька|6,14  21,27</v>
      </c>
      <c r="K604" s="32">
        <f t="shared" si="69"/>
        <v>0.61805555555555558</v>
      </c>
      <c r="L604" s="13" t="str">
        <f>IF($A604="","",IF(COUNTIFS($J$4:$J604,$J604,$E$4:$E604,$E604)=1,$E604,""))</f>
        <v>№6</v>
      </c>
      <c r="M604" s="13" t="str">
        <f>IF($A604="","",IF(COUNTIFS($J$4:$J604,$J604,$F$4:$F604,$F604)=1,$F604,""))</f>
        <v>АТ 4021</v>
      </c>
    </row>
    <row r="605" spans="1:13" x14ac:dyDescent="0.35">
      <c r="A605" s="23" t="str">
        <f>IFERROR(М6_АТ4021_0586!B105,"")</f>
        <v>вул. Лохвицька</v>
      </c>
      <c r="B605" s="23" t="str">
        <f>IFERROR(IF(М6_АТ4021_0586!C105="","",TEXT(М6_АТ4021_0586!C105,"General")),"")</f>
        <v>75</v>
      </c>
      <c r="C605" s="24" t="str">
        <f>"Середа"</f>
        <v>Середа</v>
      </c>
      <c r="D605" s="24" t="str">
        <f>IFERROR(TEXT(М6_АТ4021_0586!D105,"h:mm"),"")</f>
        <v>14:45</v>
      </c>
      <c r="E605" s="24" t="str">
        <f>"№6"</f>
        <v>№6</v>
      </c>
      <c r="F605" s="24" t="str">
        <f>"АТ 4021"</f>
        <v>АТ 4021</v>
      </c>
      <c r="G605" s="24" t="str">
        <f>"СВ 33-16 ЕО"</f>
        <v>СВ 33-16 ЕО</v>
      </c>
      <c r="H605" s="24"/>
      <c r="J605" s="13" t="str">
        <f t="shared" si="68"/>
        <v>вул. Лохвицька|75</v>
      </c>
      <c r="K605" s="32">
        <f t="shared" si="69"/>
        <v>0.61458333333333337</v>
      </c>
      <c r="L605" s="13" t="str">
        <f>IF($A605="","",IF(COUNTIFS($J$4:$J605,$J605,$E$4:$E605,$E605)=1,$E605,""))</f>
        <v>№6</v>
      </c>
      <c r="M605" s="13" t="str">
        <f>IF($A605="","",IF(COUNTIFS($J$4:$J605,$J605,$F$4:$F605,$F605)=1,$F605,""))</f>
        <v>АТ 4021</v>
      </c>
    </row>
    <row r="606" spans="1:13" x14ac:dyDescent="0.35">
      <c r="A606" s="23" t="str">
        <f>IFERROR(М6_АТ4021_0586!B167,"")</f>
        <v>вул. Лісовська</v>
      </c>
      <c r="B606" s="23" t="str">
        <f>IFERROR(IF(М6_АТ4021_0586!C167="","",TEXT(М6_АТ4021_0586!C167,"General")),"")</f>
        <v>6,28  30,35</v>
      </c>
      <c r="C606" s="24" t="str">
        <f>"П'ятниця"</f>
        <v>П'ятниця</v>
      </c>
      <c r="D606" s="24" t="str">
        <f>IFERROR(TEXT(М6_АТ4021_0586!D167,"h:mm"),"")</f>
        <v>10:15</v>
      </c>
      <c r="E606" s="24" t="str">
        <f>"№6"</f>
        <v>№6</v>
      </c>
      <c r="F606" s="24" t="str">
        <f>"АТ 4021"</f>
        <v>АТ 4021</v>
      </c>
      <c r="G606" s="24" t="str">
        <f>"СВ 33-16 ЕО"</f>
        <v>СВ 33-16 ЕО</v>
      </c>
      <c r="H606" s="24"/>
      <c r="J606" s="13" t="str">
        <f t="shared" si="68"/>
        <v>вул. Лісовська|6,28  30,35</v>
      </c>
      <c r="K606" s="32">
        <f t="shared" si="69"/>
        <v>0.42708333333333331</v>
      </c>
      <c r="L606" s="13" t="str">
        <f>IF($A606="","",IF(COUNTIFS($J$4:$J606,$J606,$E$4:$E606,$E606)=1,$E606,""))</f>
        <v>№6</v>
      </c>
      <c r="M606" s="13" t="str">
        <f>IF($A606="","",IF(COUNTIFS($J$4:$J606,$J606,$F$4:$F606,$F606)=1,$F606,""))</f>
        <v>АТ 4021</v>
      </c>
    </row>
    <row r="607" spans="1:13" x14ac:dyDescent="0.35">
      <c r="A607" s="23" t="str">
        <f>IFERROR(М5_МАЗ4381_0592!B164,"")</f>
        <v>вул. М. Андріяшева</v>
      </c>
      <c r="B607" s="23" t="str">
        <f>IFERROR(IF(М5_МАЗ4381_0592!C164="","",TEXT(М5_МАЗ4381_0592!C164,"General")),"")</f>
        <v/>
      </c>
      <c r="C607" s="24" t="str">
        <f>"П'ятниця"</f>
        <v>П'ятниця</v>
      </c>
      <c r="D607" s="24" t="str">
        <f>IFERROR(TEXT(М5_МАЗ4381_0592!D164,"h:mm"),"")</f>
        <v>7:50</v>
      </c>
      <c r="E607" s="24" t="str">
        <f>"№5"</f>
        <v>№5</v>
      </c>
      <c r="F607" s="24" t="str">
        <f>"МАЗ 4381"</f>
        <v>МАЗ 4381</v>
      </c>
      <c r="G607" s="24" t="str">
        <f>"СВ 81-71 ВК"</f>
        <v>СВ 81-71 ВК</v>
      </c>
      <c r="H607" s="24"/>
      <c r="J607" s="13" t="str">
        <f t="shared" si="68"/>
        <v>вул. М. Андріяшева|</v>
      </c>
      <c r="K607" s="32">
        <f t="shared" si="69"/>
        <v>0.3263888888888889</v>
      </c>
      <c r="L607" s="13" t="str">
        <f>IF($A607="","",IF(COUNTIFS($J$4:$J607,$J607,$E$4:$E607,$E607)=1,$E607,""))</f>
        <v>№5</v>
      </c>
      <c r="M607" s="13" t="str">
        <f>IF($A607="","",IF(COUNTIFS($J$4:$J607,$J607,$F$4:$F607,$F607)=1,$F607,""))</f>
        <v>МАЗ 4381</v>
      </c>
    </row>
    <row r="608" spans="1:13" x14ac:dyDescent="0.35">
      <c r="A608" s="23" t="str">
        <f>IFERROR(М6_АТ4021_0586!B86,"")</f>
        <v>вул. М. Леонтовича</v>
      </c>
      <c r="B608" s="23" t="str">
        <f>IFERROR(IF(М6_АТ4021_0586!C86="","",TEXT(М6_АТ4021_0586!C86,"General")),"")</f>
        <v>169,167</v>
      </c>
      <c r="C608" s="24" t="str">
        <f>"Середа"</f>
        <v>Середа</v>
      </c>
      <c r="D608" s="24" t="str">
        <f>IFERROR(TEXT(М6_АТ4021_0586!D86,"h:mm"),"")</f>
        <v>9:00</v>
      </c>
      <c r="E608" s="24" t="str">
        <f>"№6"</f>
        <v>№6</v>
      </c>
      <c r="F608" s="24" t="str">
        <f>"АТ 4021"</f>
        <v>АТ 4021</v>
      </c>
      <c r="G608" s="24" t="str">
        <f>"СВ 33-16 ЕО"</f>
        <v>СВ 33-16 ЕО</v>
      </c>
      <c r="H608" s="24"/>
      <c r="J608" s="13" t="str">
        <f t="shared" si="68"/>
        <v>вул. М. Леонтовича|169,167</v>
      </c>
      <c r="K608" s="32">
        <f t="shared" si="69"/>
        <v>0.375</v>
      </c>
      <c r="L608" s="13" t="str">
        <f>IF($A608="","",IF(COUNTIFS($J$4:$J608,$J608,$E$4:$E608,$E608)=1,$E608,""))</f>
        <v>№6</v>
      </c>
      <c r="M608" s="13" t="str">
        <f>IF($A608="","",IF(COUNTIFS($J$4:$J608,$J608,$F$4:$F608,$F608)=1,$F608,""))</f>
        <v>АТ 4021</v>
      </c>
    </row>
    <row r="609" spans="1:13" x14ac:dyDescent="0.35">
      <c r="A609" s="23" t="str">
        <f>IFERROR(М6_АТ4021_0586!B60,"")</f>
        <v>вул. М. Леонтовича</v>
      </c>
      <c r="B609" s="23" t="str">
        <f>IFERROR(IF(М6_АТ4021_0586!C60="","",TEXT(М6_АТ4021_0586!C60,"General")),"")</f>
        <v>53,51  39</v>
      </c>
      <c r="C609" s="24" t="str">
        <f>"Вівторок"</f>
        <v>Вівторок</v>
      </c>
      <c r="D609" s="24" t="str">
        <f>IFERROR(TEXT(М6_АТ4021_0586!D60,"h:mm"),"")</f>
        <v>11:55</v>
      </c>
      <c r="E609" s="24" t="str">
        <f>"№6"</f>
        <v>№6</v>
      </c>
      <c r="F609" s="24" t="str">
        <f>"АТ 4021"</f>
        <v>АТ 4021</v>
      </c>
      <c r="G609" s="24" t="str">
        <f>"СВ 33-16 ЕО"</f>
        <v>СВ 33-16 ЕО</v>
      </c>
      <c r="H609" s="24"/>
      <c r="J609" s="13" t="str">
        <f t="shared" si="68"/>
        <v>вул. М. Леонтовича|53,51  39</v>
      </c>
      <c r="K609" s="32">
        <f t="shared" si="69"/>
        <v>0.49652777777777779</v>
      </c>
      <c r="L609" s="13" t="str">
        <f>IF($A609="","",IF(COUNTIFS($J$4:$J609,$J609,$E$4:$E609,$E609)=1,$E609,""))</f>
        <v>№6</v>
      </c>
      <c r="M609" s="13" t="str">
        <f>IF($A609="","",IF(COUNTIFS($J$4:$J609,$J609,$F$4:$F609,$F609)=1,$F609,""))</f>
        <v>АТ 4021</v>
      </c>
    </row>
    <row r="610" spans="1:13" x14ac:dyDescent="0.35">
      <c r="A610" s="23" t="str">
        <f>IFERROR('М2_АТ4021-1120_0588'!B23,"")</f>
        <v>вул. М. Леонтовича</v>
      </c>
      <c r="B610" s="23" t="str">
        <f>IFERROR(IF('М2_АТ4021-1120_0588'!C23="","",TEXT('М2_АТ4021-1120_0588'!C23,"General")),"")</f>
        <v>СПТУ</v>
      </c>
      <c r="C610" s="24" t="str">
        <f>"Понеділок"</f>
        <v>Понеділок</v>
      </c>
      <c r="D610" s="24" t="str">
        <f>IFERROR(TEXT('М2_АТ4021-1120_0588'!D23,"h:mm"),"")</f>
        <v>14:25</v>
      </c>
      <c r="E610" s="24" t="str">
        <f t="shared" ref="E610:E625" si="71">"№2"</f>
        <v>№2</v>
      </c>
      <c r="F610" s="24" t="str">
        <f>"АТ 4021/1120"</f>
        <v>АТ 4021/1120</v>
      </c>
      <c r="G610" s="24" t="str">
        <f>"СВ 64-11 ЕТ"</f>
        <v>СВ 64-11 ЕТ</v>
      </c>
      <c r="H610" s="24">
        <f>IFERROR('М2_АТ4021-1120_0588'!G23,"")</f>
        <v>5</v>
      </c>
      <c r="J610" s="13" t="str">
        <f t="shared" si="68"/>
        <v>вул. М. Леонтовича|СПТУ</v>
      </c>
      <c r="K610" s="32">
        <f t="shared" si="69"/>
        <v>0.60069444444444442</v>
      </c>
      <c r="L610" s="13" t="str">
        <f>IF($A610="","",IF(COUNTIFS($J$4:$J610,$J610,$E$4:$E610,$E610)=1,$E610,""))</f>
        <v>№2</v>
      </c>
      <c r="M610" s="13" t="str">
        <f>IF($A610="","",IF(COUNTIFS($J$4:$J610,$J610,$F$4:$F610,$F610)=1,$F610,""))</f>
        <v>АТ 4021/1120</v>
      </c>
    </row>
    <row r="611" spans="1:13" x14ac:dyDescent="0.35">
      <c r="A611" s="23" t="str">
        <f>IFERROR('М2_АТ4021-1120_0588'!B54,"")</f>
        <v>вул. М. Леонтовича</v>
      </c>
      <c r="B611" s="23" t="str">
        <f>IFERROR(IF('М2_АТ4021-1120_0588'!C54="","",TEXT('М2_АТ4021-1120_0588'!C54,"General")),"")</f>
        <v>СПТУ</v>
      </c>
      <c r="C611" s="24" t="str">
        <f>"Вівторок"</f>
        <v>Вівторок</v>
      </c>
      <c r="D611" s="24" t="str">
        <f>IFERROR(TEXT('М2_АТ4021-1120_0588'!D54,"h:mm"),"")</f>
        <v>14:25</v>
      </c>
      <c r="E611" s="24" t="str">
        <f t="shared" si="71"/>
        <v>№2</v>
      </c>
      <c r="F611" s="24" t="str">
        <f>"АТ 4021/1120"</f>
        <v>АТ 4021/1120</v>
      </c>
      <c r="G611" s="24" t="str">
        <f>"СВ 64-11 ЕТ"</f>
        <v>СВ 64-11 ЕТ</v>
      </c>
      <c r="H611" s="24">
        <f>IFERROR('М2_АТ4021-1120_0588'!G54,"")</f>
        <v>4</v>
      </c>
      <c r="J611" s="13" t="str">
        <f t="shared" si="68"/>
        <v>вул. М. Леонтовича|СПТУ</v>
      </c>
      <c r="K611" s="32">
        <f t="shared" si="69"/>
        <v>0.60069444444444442</v>
      </c>
      <c r="L611" s="13" t="str">
        <f>IF($A611="","",IF(COUNTIFS($J$4:$J611,$J611,$E$4:$E611,$E611)=1,$E611,""))</f>
        <v/>
      </c>
      <c r="M611" s="13" t="str">
        <f>IF($A611="","",IF(COUNTIFS($J$4:$J611,$J611,$F$4:$F611,$F611)=1,$F611,""))</f>
        <v/>
      </c>
    </row>
    <row r="612" spans="1:13" x14ac:dyDescent="0.35">
      <c r="A612" s="23" t="str">
        <f>IFERROR('М1-2_АТ4021-1120_0585'!B54,"")</f>
        <v>вул. М. Леонтовича</v>
      </c>
      <c r="B612" s="23" t="str">
        <f>IFERROR(IF('М1-2_АТ4021-1120_0585'!C54="","",TEXT('М1-2_АТ4021-1120_0585'!C54,"General")),"")</f>
        <v>СПТУ</v>
      </c>
      <c r="C612" s="24" t="str">
        <f>"Середа"</f>
        <v>Середа</v>
      </c>
      <c r="D612" s="24" t="str">
        <f>IFERROR(TEXT('М1-2_АТ4021-1120_0585'!D54,"h:mm"),"")</f>
        <v>9:25</v>
      </c>
      <c r="E612" s="24" t="str">
        <f t="shared" si="71"/>
        <v>№2</v>
      </c>
      <c r="F612" s="24" t="str">
        <f>"АТ-4021/1120"</f>
        <v>АТ-4021/1120</v>
      </c>
      <c r="G612" s="24" t="str">
        <f>"СВ 14-65 ЕО"</f>
        <v>СВ 14-65 ЕО</v>
      </c>
      <c r="H612" s="24">
        <f>IFERROR('М1-2_АТ4021-1120_0585'!G54,"")</f>
        <v>5</v>
      </c>
      <c r="J612" s="13" t="str">
        <f t="shared" si="68"/>
        <v>вул. М. Леонтовича|СПТУ</v>
      </c>
      <c r="K612" s="32">
        <f t="shared" si="69"/>
        <v>0.3923611111111111</v>
      </c>
      <c r="L612" s="13" t="str">
        <f>IF($A612="","",IF(COUNTIFS($J$4:$J612,$J612,$E$4:$E612,$E612)=1,$E612,""))</f>
        <v/>
      </c>
      <c r="M612" s="13" t="str">
        <f>IF($A612="","",IF(COUNTIFS($J$4:$J612,$J612,$F$4:$F612,$F612)=1,$F612,""))</f>
        <v>АТ-4021/1120</v>
      </c>
    </row>
    <row r="613" spans="1:13" x14ac:dyDescent="0.35">
      <c r="A613" s="23" t="str">
        <f>IFERROR('М2_АТ4021-1120_0588'!B87,"")</f>
        <v>вул. М. Леонтовича</v>
      </c>
      <c r="B613" s="23" t="str">
        <f>IFERROR(IF('М2_АТ4021-1120_0588'!C87="","",TEXT('М2_АТ4021-1120_0588'!C87,"General")),"")</f>
        <v>СПТУ</v>
      </c>
      <c r="C613" s="24" t="str">
        <f>"Четвер"</f>
        <v>Четвер</v>
      </c>
      <c r="D613" s="24" t="str">
        <f>IFERROR(TEXT('М2_АТ4021-1120_0588'!D87,"h:mm"),"")</f>
        <v>14:45</v>
      </c>
      <c r="E613" s="24" t="str">
        <f t="shared" si="71"/>
        <v>№2</v>
      </c>
      <c r="F613" s="24" t="str">
        <f>"АТ 4021/1120"</f>
        <v>АТ 4021/1120</v>
      </c>
      <c r="G613" s="24" t="str">
        <f>"СВ 64-11 ЕТ"</f>
        <v>СВ 64-11 ЕТ</v>
      </c>
      <c r="H613" s="24">
        <f>IFERROR('М2_АТ4021-1120_0588'!G87,"")</f>
        <v>5</v>
      </c>
      <c r="J613" s="13" t="str">
        <f t="shared" si="68"/>
        <v>вул. М. Леонтовича|СПТУ</v>
      </c>
      <c r="K613" s="32">
        <f t="shared" si="69"/>
        <v>0.61458333333333337</v>
      </c>
      <c r="L613" s="13" t="str">
        <f>IF($A613="","",IF(COUNTIFS($J$4:$J613,$J613,$E$4:$E613,$E613)=1,$E613,""))</f>
        <v/>
      </c>
      <c r="M613" s="13" t="str">
        <f>IF($A613="","",IF(COUNTIFS($J$4:$J613,$J613,$F$4:$F613,$F613)=1,$F613,""))</f>
        <v/>
      </c>
    </row>
    <row r="614" spans="1:13" x14ac:dyDescent="0.35">
      <c r="A614" s="23" t="str">
        <f>IFERROR('М2_АТ4021-1120_0588'!B115,"")</f>
        <v>вул. М. Леонтовича</v>
      </c>
      <c r="B614" s="23" t="str">
        <f>IFERROR(IF('М2_АТ4021-1120_0588'!C115="","",TEXT('М2_АТ4021-1120_0588'!C115,"General")),"")</f>
        <v>СПТУ</v>
      </c>
      <c r="C614" s="24" t="str">
        <f>"П'ятниця"</f>
        <v>П'ятниця</v>
      </c>
      <c r="D614" s="24" t="str">
        <f>IFERROR(TEXT('М2_АТ4021-1120_0588'!D115,"h:mm"),"")</f>
        <v>14:25</v>
      </c>
      <c r="E614" s="24" t="str">
        <f t="shared" si="71"/>
        <v>№2</v>
      </c>
      <c r="F614" s="24" t="str">
        <f>"АТ 4021/1120"</f>
        <v>АТ 4021/1120</v>
      </c>
      <c r="G614" s="24" t="str">
        <f>"СВ 64-11 ЕТ"</f>
        <v>СВ 64-11 ЕТ</v>
      </c>
      <c r="H614" s="24">
        <f>IFERROR('М2_АТ4021-1120_0588'!G115,"")</f>
        <v>5</v>
      </c>
      <c r="J614" s="13" t="str">
        <f t="shared" si="68"/>
        <v>вул. М. Леонтовича|СПТУ</v>
      </c>
      <c r="K614" s="32">
        <f t="shared" si="69"/>
        <v>0.60069444444444442</v>
      </c>
      <c r="L614" s="13" t="str">
        <f>IF($A614="","",IF(COUNTIFS($J$4:$J614,$J614,$E$4:$E614,$E614)=1,$E614,""))</f>
        <v/>
      </c>
      <c r="M614" s="13" t="str">
        <f>IF($A614="","",IF(COUNTIFS($J$4:$J614,$J614,$F$4:$F614,$F614)=1,$F614,""))</f>
        <v/>
      </c>
    </row>
    <row r="615" spans="1:13" x14ac:dyDescent="0.35">
      <c r="A615" s="23" t="str">
        <f>IFERROR('М1-2_АТ4021-1120_0585'!B83,"")</f>
        <v>вул. М. Леонтовича</v>
      </c>
      <c r="B615" s="23" t="str">
        <f>IFERROR(IF('М1-2_АТ4021-1120_0585'!C83="","",TEXT('М1-2_АТ4021-1120_0585'!C83,"General")),"")</f>
        <v>СПТУ</v>
      </c>
      <c r="C615" s="24" t="str">
        <f>"Субота"</f>
        <v>Субота</v>
      </c>
      <c r="D615" s="24" t="str">
        <f>IFERROR(TEXT('М1-2_АТ4021-1120_0585'!D83,"h:mm"),"")</f>
        <v>9:25</v>
      </c>
      <c r="E615" s="24" t="str">
        <f t="shared" si="71"/>
        <v>№2</v>
      </c>
      <c r="F615" s="24" t="str">
        <f>"АТ-4021/1120"</f>
        <v>АТ-4021/1120</v>
      </c>
      <c r="G615" s="24" t="str">
        <f>"СВ 14-65 ЕО"</f>
        <v>СВ 14-65 ЕО</v>
      </c>
      <c r="H615" s="24">
        <f>IFERROR('М1-2_АТ4021-1120_0585'!G83,"")</f>
        <v>5</v>
      </c>
      <c r="J615" s="13" t="str">
        <f t="shared" si="68"/>
        <v>вул. М. Леонтовича|СПТУ</v>
      </c>
      <c r="K615" s="32">
        <f t="shared" si="69"/>
        <v>0.3923611111111111</v>
      </c>
      <c r="L615" s="13" t="str">
        <f>IF($A615="","",IF(COUNTIFS($J$4:$J615,$J615,$E$4:$E615,$E615)=1,$E615,""))</f>
        <v/>
      </c>
      <c r="M615" s="13" t="str">
        <f>IF($A615="","",IF(COUNTIFS($J$4:$J615,$J615,$F$4:$F615,$F615)=1,$F615,""))</f>
        <v/>
      </c>
    </row>
    <row r="616" spans="1:13" x14ac:dyDescent="0.35">
      <c r="A616" s="23" t="str">
        <f>IFERROR('М2_АТ4021-1120_0588'!B145,"")</f>
        <v>вул. М. Леонтовича</v>
      </c>
      <c r="B616" s="23" t="str">
        <f>IFERROR(IF('М2_АТ4021-1120_0588'!C145="","",TEXT('М2_АТ4021-1120_0588'!C145,"General")),"")</f>
        <v>СПТУ</v>
      </c>
      <c r="C616" s="24" t="str">
        <f>"Неділя"</f>
        <v>Неділя</v>
      </c>
      <c r="D616" s="24" t="str">
        <f>IFERROR(TEXT('М2_АТ4021-1120_0588'!D145,"h:mm"),"")</f>
        <v>14:25</v>
      </c>
      <c r="E616" s="24" t="str">
        <f t="shared" si="71"/>
        <v>№2</v>
      </c>
      <c r="F616" s="24" t="str">
        <f>"АТ 4021/1120"</f>
        <v>АТ 4021/1120</v>
      </c>
      <c r="G616" s="24" t="str">
        <f>"СВ 64-11 ЕТ"</f>
        <v>СВ 64-11 ЕТ</v>
      </c>
      <c r="H616" s="24">
        <f>IFERROR('М2_АТ4021-1120_0588'!G145,"")</f>
        <v>4</v>
      </c>
      <c r="J616" s="13" t="str">
        <f t="shared" si="68"/>
        <v>вул. М. Леонтовича|СПТУ</v>
      </c>
      <c r="K616" s="32">
        <f t="shared" si="69"/>
        <v>0.60069444444444442</v>
      </c>
      <c r="L616" s="13" t="str">
        <f>IF($A616="","",IF(COUNTIFS($J$4:$J616,$J616,$E$4:$E616,$E616)=1,$E616,""))</f>
        <v/>
      </c>
      <c r="M616" s="13" t="str">
        <f>IF($A616="","",IF(COUNTIFS($J$4:$J616,$J616,$F$4:$F616,$F616)=1,$F616,""))</f>
        <v/>
      </c>
    </row>
    <row r="617" spans="1:13" x14ac:dyDescent="0.35">
      <c r="A617" s="23" t="str">
        <f>IFERROR('М2_АТ4021-1120_0588'!B7,"")</f>
        <v>вул. М. Леонтовича</v>
      </c>
      <c r="B617" s="23" t="str">
        <f>IFERROR(IF('М2_АТ4021-1120_0588'!C7="","",TEXT('М2_АТ4021-1120_0588'!C7,"General")),"")</f>
        <v>Флагман</v>
      </c>
      <c r="C617" s="24" t="str">
        <f>"Понеділок"</f>
        <v>Понеділок</v>
      </c>
      <c r="D617" s="24" t="str">
        <f>IFERROR(TEXT('М2_АТ4021-1120_0588'!D7,"h:mm"),"")</f>
        <v>7:30</v>
      </c>
      <c r="E617" s="24" t="str">
        <f t="shared" si="71"/>
        <v>№2</v>
      </c>
      <c r="F617" s="24" t="str">
        <f>"АТ 4021/1120"</f>
        <v>АТ 4021/1120</v>
      </c>
      <c r="G617" s="24" t="str">
        <f>"СВ 64-11 ЕТ"</f>
        <v>СВ 64-11 ЕТ</v>
      </c>
      <c r="H617" s="24">
        <f>IFERROR('М2_АТ4021-1120_0588'!G7,"")</f>
        <v>3</v>
      </c>
      <c r="J617" s="13" t="str">
        <f t="shared" si="68"/>
        <v>вул. М. Леонтовича|Флагман</v>
      </c>
      <c r="K617" s="32">
        <f t="shared" si="69"/>
        <v>0.3125</v>
      </c>
      <c r="L617" s="13" t="str">
        <f>IF($A617="","",IF(COUNTIFS($J$4:$J617,$J617,$E$4:$E617,$E617)=1,$E617,""))</f>
        <v>№2</v>
      </c>
      <c r="M617" s="13" t="str">
        <f>IF($A617="","",IF(COUNTIFS($J$4:$J617,$J617,$F$4:$F617,$F617)=1,$F617,""))</f>
        <v>АТ 4021/1120</v>
      </c>
    </row>
    <row r="618" spans="1:13" x14ac:dyDescent="0.35">
      <c r="A618" s="23" t="str">
        <f>IFERROR('М2_АТ4021-1120_0588'!B38,"")</f>
        <v>вул. М. Леонтовича</v>
      </c>
      <c r="B618" s="23" t="str">
        <f>IFERROR(IF('М2_АТ4021-1120_0588'!C38="","",TEXT('М2_АТ4021-1120_0588'!C38,"General")),"")</f>
        <v>Флагман</v>
      </c>
      <c r="C618" s="24" t="str">
        <f>"Вівторок"</f>
        <v>Вівторок</v>
      </c>
      <c r="D618" s="24" t="str">
        <f>IFERROR(TEXT('М2_АТ4021-1120_0588'!D38,"h:mm"),"")</f>
        <v>7:30</v>
      </c>
      <c r="E618" s="24" t="str">
        <f t="shared" si="71"/>
        <v>№2</v>
      </c>
      <c r="F618" s="24" t="str">
        <f>"АТ 4021/1120"</f>
        <v>АТ 4021/1120</v>
      </c>
      <c r="G618" s="24" t="str">
        <f>"СВ 64-11 ЕТ"</f>
        <v>СВ 64-11 ЕТ</v>
      </c>
      <c r="H618" s="24">
        <f>IFERROR('М2_АТ4021-1120_0588'!G38,"")</f>
        <v>3</v>
      </c>
      <c r="J618" s="13" t="str">
        <f t="shared" si="68"/>
        <v>вул. М. Леонтовича|Флагман</v>
      </c>
      <c r="K618" s="32">
        <f t="shared" si="69"/>
        <v>0.3125</v>
      </c>
      <c r="L618" s="13" t="str">
        <f>IF($A618="","",IF(COUNTIFS($J$4:$J618,$J618,$E$4:$E618,$E618)=1,$E618,""))</f>
        <v/>
      </c>
      <c r="M618" s="13" t="str">
        <f>IF($A618="","",IF(COUNTIFS($J$4:$J618,$J618,$F$4:$F618,$F618)=1,$F618,""))</f>
        <v/>
      </c>
    </row>
    <row r="619" spans="1:13" x14ac:dyDescent="0.35">
      <c r="A619" s="23" t="str">
        <f>IFERROR('М2_АТ4021-1120_0588'!B60,"")</f>
        <v>вул. М. Леонтовича</v>
      </c>
      <c r="B619" s="23" t="str">
        <f>IFERROR(IF('М2_АТ4021-1120_0588'!C60="","",TEXT('М2_АТ4021-1120_0588'!C60,"General")),"")</f>
        <v>Флагман</v>
      </c>
      <c r="C619" s="24" t="str">
        <f>"Вівторок"</f>
        <v>Вівторок</v>
      </c>
      <c r="D619" s="24" t="str">
        <f>IFERROR(TEXT('М2_АТ4021-1120_0588'!D60,"h:mm"),"")</f>
        <v>15:45</v>
      </c>
      <c r="E619" s="24" t="str">
        <f t="shared" si="71"/>
        <v>№2</v>
      </c>
      <c r="F619" s="24" t="str">
        <f>"АТ 4021/1120"</f>
        <v>АТ 4021/1120</v>
      </c>
      <c r="G619" s="24" t="str">
        <f>"СВ 64-11 ЕТ"</f>
        <v>СВ 64-11 ЕТ</v>
      </c>
      <c r="H619" s="24">
        <f>IFERROR('М2_АТ4021-1120_0588'!G60,"")</f>
        <v>3</v>
      </c>
      <c r="J619" s="13" t="str">
        <f t="shared" si="68"/>
        <v>вул. М. Леонтовича|Флагман</v>
      </c>
      <c r="K619" s="32">
        <f t="shared" si="69"/>
        <v>0.65625</v>
      </c>
      <c r="L619" s="13" t="str">
        <f>IF($A619="","",IF(COUNTIFS($J$4:$J619,$J619,$E$4:$E619,$E619)=1,$E619,""))</f>
        <v/>
      </c>
      <c r="M619" s="13" t="str">
        <f>IF($A619="","",IF(COUNTIFS($J$4:$J619,$J619,$F$4:$F619,$F619)=1,$F619,""))</f>
        <v/>
      </c>
    </row>
    <row r="620" spans="1:13" x14ac:dyDescent="0.35">
      <c r="A620" s="23" t="str">
        <f>IFERROR('М1-2_АТ4021-1120_0585'!B49,"")</f>
        <v>вул. М. Леонтовича</v>
      </c>
      <c r="B620" s="23" t="str">
        <f>IFERROR(IF('М1-2_АТ4021-1120_0585'!C49="","",TEXT('М1-2_АТ4021-1120_0585'!C49,"General")),"")</f>
        <v>Флагман</v>
      </c>
      <c r="C620" s="24" t="str">
        <f>"Середа"</f>
        <v>Середа</v>
      </c>
      <c r="D620" s="24" t="str">
        <f>IFERROR(TEXT('М1-2_АТ4021-1120_0585'!D49,"h:mm"),"")</f>
        <v>7:40</v>
      </c>
      <c r="E620" s="24" t="str">
        <f t="shared" si="71"/>
        <v>№2</v>
      </c>
      <c r="F620" s="24" t="str">
        <f>"АТ-4021/1120"</f>
        <v>АТ-4021/1120</v>
      </c>
      <c r="G620" s="24" t="str">
        <f>"СВ 14-65 ЕО"</f>
        <v>СВ 14-65 ЕО</v>
      </c>
      <c r="H620" s="24">
        <f>IFERROR('М1-2_АТ4021-1120_0585'!G49,"")</f>
        <v>3</v>
      </c>
      <c r="J620" s="13" t="str">
        <f t="shared" si="68"/>
        <v>вул. М. Леонтовича|Флагман</v>
      </c>
      <c r="K620" s="32">
        <f t="shared" si="69"/>
        <v>0.31944444444444442</v>
      </c>
      <c r="L620" s="13" t="str">
        <f>IF($A620="","",IF(COUNTIFS($J$4:$J620,$J620,$E$4:$E620,$E620)=1,$E620,""))</f>
        <v/>
      </c>
      <c r="M620" s="13" t="str">
        <f>IF($A620="","",IF(COUNTIFS($J$4:$J620,$J620,$F$4:$F620,$F620)=1,$F620,""))</f>
        <v>АТ-4021/1120</v>
      </c>
    </row>
    <row r="621" spans="1:13" x14ac:dyDescent="0.35">
      <c r="A621" s="23" t="str">
        <f>IFERROR('М2_АТ4021-1120_0588'!B69,"")</f>
        <v>вул. М. Леонтовича</v>
      </c>
      <c r="B621" s="23" t="str">
        <f>IFERROR(IF('М2_АТ4021-1120_0588'!C69="","",TEXT('М2_АТ4021-1120_0588'!C69,"General")),"")</f>
        <v>Флагман</v>
      </c>
      <c r="C621" s="24" t="str">
        <f>"Четвер"</f>
        <v>Четвер</v>
      </c>
      <c r="D621" s="24" t="str">
        <f>IFERROR(TEXT('М2_АТ4021-1120_0588'!D69,"h:mm"),"")</f>
        <v>7:30</v>
      </c>
      <c r="E621" s="24" t="str">
        <f t="shared" si="71"/>
        <v>№2</v>
      </c>
      <c r="F621" s="24" t="str">
        <f>"АТ 4021/1120"</f>
        <v>АТ 4021/1120</v>
      </c>
      <c r="G621" s="24" t="str">
        <f>"СВ 64-11 ЕТ"</f>
        <v>СВ 64-11 ЕТ</v>
      </c>
      <c r="H621" s="24">
        <f>IFERROR('М2_АТ4021-1120_0588'!G69,"")</f>
        <v>3</v>
      </c>
      <c r="J621" s="13" t="str">
        <f t="shared" si="68"/>
        <v>вул. М. Леонтовича|Флагман</v>
      </c>
      <c r="K621" s="32">
        <f t="shared" si="69"/>
        <v>0.3125</v>
      </c>
      <c r="L621" s="13" t="str">
        <f>IF($A621="","",IF(COUNTIFS($J$4:$J621,$J621,$E$4:$E621,$E621)=1,$E621,""))</f>
        <v/>
      </c>
      <c r="M621" s="13" t="str">
        <f>IF($A621="","",IF(COUNTIFS($J$4:$J621,$J621,$F$4:$F621,$F621)=1,$F621,""))</f>
        <v/>
      </c>
    </row>
    <row r="622" spans="1:13" x14ac:dyDescent="0.35">
      <c r="A622" s="23" t="str">
        <f>IFERROR('М2_АТ4021-1120_0588'!B99,"")</f>
        <v>вул. М. Леонтовича</v>
      </c>
      <c r="B622" s="23" t="str">
        <f>IFERROR(IF('М2_АТ4021-1120_0588'!C99="","",TEXT('М2_АТ4021-1120_0588'!C99,"General")),"")</f>
        <v>Флагман</v>
      </c>
      <c r="C622" s="24" t="str">
        <f>"П'ятниця"</f>
        <v>П'ятниця</v>
      </c>
      <c r="D622" s="24" t="str">
        <f>IFERROR(TEXT('М2_АТ4021-1120_0588'!D99,"h:mm"),"")</f>
        <v>7:30</v>
      </c>
      <c r="E622" s="24" t="str">
        <f t="shared" si="71"/>
        <v>№2</v>
      </c>
      <c r="F622" s="24" t="str">
        <f>"АТ 4021/1120"</f>
        <v>АТ 4021/1120</v>
      </c>
      <c r="G622" s="24" t="str">
        <f>"СВ 64-11 ЕТ"</f>
        <v>СВ 64-11 ЕТ</v>
      </c>
      <c r="H622" s="24">
        <f>IFERROR('М2_АТ4021-1120_0588'!G99,"")</f>
        <v>3</v>
      </c>
      <c r="J622" s="13" t="str">
        <f t="shared" si="68"/>
        <v>вул. М. Леонтовича|Флагман</v>
      </c>
      <c r="K622" s="32">
        <f t="shared" si="69"/>
        <v>0.3125</v>
      </c>
      <c r="L622" s="13" t="str">
        <f>IF($A622="","",IF(COUNTIFS($J$4:$J622,$J622,$E$4:$E622,$E622)=1,$E622,""))</f>
        <v/>
      </c>
      <c r="M622" s="13" t="str">
        <f>IF($A622="","",IF(COUNTIFS($J$4:$J622,$J622,$F$4:$F622,$F622)=1,$F622,""))</f>
        <v/>
      </c>
    </row>
    <row r="623" spans="1:13" x14ac:dyDescent="0.35">
      <c r="A623" s="23" t="str">
        <f>IFERROR('М1-2_АТ4021-1120_0585'!B78,"")</f>
        <v>вул. М. Леонтовича</v>
      </c>
      <c r="B623" s="23" t="str">
        <f>IFERROR(IF('М1-2_АТ4021-1120_0585'!C78="","",TEXT('М1-2_АТ4021-1120_0585'!C78,"General")),"")</f>
        <v>Флагман</v>
      </c>
      <c r="C623" s="24" t="str">
        <f>"Субота"</f>
        <v>Субота</v>
      </c>
      <c r="D623" s="24" t="str">
        <f>IFERROR(TEXT('М1-2_АТ4021-1120_0585'!D78,"h:mm"),"")</f>
        <v>7:40</v>
      </c>
      <c r="E623" s="24" t="str">
        <f t="shared" si="71"/>
        <v>№2</v>
      </c>
      <c r="F623" s="24" t="str">
        <f>"АТ-4021/1120"</f>
        <v>АТ-4021/1120</v>
      </c>
      <c r="G623" s="24" t="str">
        <f>"СВ 14-65 ЕО"</f>
        <v>СВ 14-65 ЕО</v>
      </c>
      <c r="H623" s="24">
        <f>IFERROR('М1-2_АТ4021-1120_0585'!G78,"")</f>
        <v>3</v>
      </c>
      <c r="J623" s="13" t="str">
        <f t="shared" si="68"/>
        <v>вул. М. Леонтовича|Флагман</v>
      </c>
      <c r="K623" s="32">
        <f t="shared" si="69"/>
        <v>0.31944444444444442</v>
      </c>
      <c r="L623" s="13" t="str">
        <f>IF($A623="","",IF(COUNTIFS($J$4:$J623,$J623,$E$4:$E623,$E623)=1,$E623,""))</f>
        <v/>
      </c>
      <c r="M623" s="13" t="str">
        <f>IF($A623="","",IF(COUNTIFS($J$4:$J623,$J623,$F$4:$F623,$F623)=1,$F623,""))</f>
        <v/>
      </c>
    </row>
    <row r="624" spans="1:13" x14ac:dyDescent="0.35">
      <c r="A624" s="23" t="str">
        <f>IFERROR('М2_АТ4021-1120_0588'!B129,"")</f>
        <v>вул. М. Леонтовича</v>
      </c>
      <c r="B624" s="23" t="str">
        <f>IFERROR(IF('М2_АТ4021-1120_0588'!C129="","",TEXT('М2_АТ4021-1120_0588'!C129,"General")),"")</f>
        <v>Флагман</v>
      </c>
      <c r="C624" s="24" t="str">
        <f>"Неділя"</f>
        <v>Неділя</v>
      </c>
      <c r="D624" s="24" t="str">
        <f>IFERROR(TEXT('М2_АТ4021-1120_0588'!D129,"h:mm"),"")</f>
        <v>7:30</v>
      </c>
      <c r="E624" s="24" t="str">
        <f t="shared" si="71"/>
        <v>№2</v>
      </c>
      <c r="F624" s="24" t="str">
        <f>"АТ 4021/1120"</f>
        <v>АТ 4021/1120</v>
      </c>
      <c r="G624" s="24" t="str">
        <f>"СВ 64-11 ЕТ"</f>
        <v>СВ 64-11 ЕТ</v>
      </c>
      <c r="H624" s="24">
        <f>IFERROR('М2_АТ4021-1120_0588'!G129,"")</f>
        <v>3</v>
      </c>
      <c r="J624" s="13" t="str">
        <f t="shared" si="68"/>
        <v>вул. М. Леонтовича|Флагман</v>
      </c>
      <c r="K624" s="32">
        <f t="shared" si="69"/>
        <v>0.3125</v>
      </c>
      <c r="L624" s="13" t="str">
        <f>IF($A624="","",IF(COUNTIFS($J$4:$J624,$J624,$E$4:$E624,$E624)=1,$E624,""))</f>
        <v/>
      </c>
      <c r="M624" s="13" t="str">
        <f>IF($A624="","",IF(COUNTIFS($J$4:$J624,$J624,$F$4:$F624,$F624)=1,$F624,""))</f>
        <v/>
      </c>
    </row>
    <row r="625" spans="1:13" x14ac:dyDescent="0.35">
      <c r="A625" s="23" t="str">
        <f>IFERROR('М2_АТ4021-1120_0588'!B150,"")</f>
        <v>вул. М. Леонтовича</v>
      </c>
      <c r="B625" s="23" t="str">
        <f>IFERROR(IF('М2_АТ4021-1120_0588'!C150="","",TEXT('М2_АТ4021-1120_0588'!C150,"General")),"")</f>
        <v>Флагман</v>
      </c>
      <c r="C625" s="24" t="str">
        <f>"Неділя"</f>
        <v>Неділя</v>
      </c>
      <c r="D625" s="24" t="str">
        <f>IFERROR(TEXT('М2_АТ4021-1120_0588'!D150,"h:mm"),"")</f>
        <v>15:35</v>
      </c>
      <c r="E625" s="24" t="str">
        <f t="shared" si="71"/>
        <v>№2</v>
      </c>
      <c r="F625" s="24" t="str">
        <f>"АТ 4021/1120"</f>
        <v>АТ 4021/1120</v>
      </c>
      <c r="G625" s="24" t="str">
        <f>"СВ 64-11 ЕТ"</f>
        <v>СВ 64-11 ЕТ</v>
      </c>
      <c r="H625" s="24">
        <f>IFERROR('М2_АТ4021-1120_0588'!G150,"")</f>
        <v>3</v>
      </c>
      <c r="J625" s="13" t="str">
        <f t="shared" si="68"/>
        <v>вул. М. Леонтовича|Флагман</v>
      </c>
      <c r="K625" s="32">
        <f t="shared" si="69"/>
        <v>0.64930555555555558</v>
      </c>
      <c r="L625" s="13" t="str">
        <f>IF($A625="","",IF(COUNTIFS($J$4:$J625,$J625,$E$4:$E625,$E625)=1,$E625,""))</f>
        <v/>
      </c>
      <c r="M625" s="13" t="str">
        <f>IF($A625="","",IF(COUNTIFS($J$4:$J625,$J625,$F$4:$F625,$F625)=1,$F625,""))</f>
        <v/>
      </c>
    </row>
    <row r="626" spans="1:13" x14ac:dyDescent="0.35">
      <c r="A626" s="23" t="str">
        <f>IFERROR(М4_АТ4042ROD_0584!B13,"")</f>
        <v>вул. М. Леонтовича</v>
      </c>
      <c r="B626" s="23" t="str">
        <f>IFERROR(IF(М4_АТ4042ROD_0584!C13="","",TEXT(М4_АТ4042ROD_0584!C13,"General")),"")</f>
        <v>газове</v>
      </c>
      <c r="C626" s="24" t="str">
        <f>"Понеділок"</f>
        <v>Понеділок</v>
      </c>
      <c r="D626" s="24" t="str">
        <f>IFERROR(TEXT(М4_АТ4042ROD_0584!D13,"h:mm"),"")</f>
        <v>9:25</v>
      </c>
      <c r="E626" s="24" t="str">
        <f>"№4"</f>
        <v>№4</v>
      </c>
      <c r="F626" s="24" t="str">
        <f>"АТ 40-42/ROD21003"</f>
        <v>АТ 40-42/ROD21003</v>
      </c>
      <c r="G626" s="24" t="str">
        <f>"СВ 33-15 ЕО"</f>
        <v>СВ 33-15 ЕО</v>
      </c>
      <c r="H626" s="24">
        <f>IFERROR(М4_АТ4042ROD_0584!G13,"")</f>
        <v>1</v>
      </c>
      <c r="J626" s="13" t="str">
        <f t="shared" si="68"/>
        <v>вул. М. Леонтовича|газове</v>
      </c>
      <c r="K626" s="32">
        <f t="shared" si="69"/>
        <v>0.3923611111111111</v>
      </c>
      <c r="L626" s="13" t="str">
        <f>IF($A626="","",IF(COUNTIFS($J$4:$J626,$J626,$E$4:$E626,$E626)=1,$E626,""))</f>
        <v>№4</v>
      </c>
      <c r="M626" s="13" t="str">
        <f>IF($A626="","",IF(COUNTIFS($J$4:$J626,$J626,$F$4:$F626,$F626)=1,$F626,""))</f>
        <v>АТ 40-42/ROD21003</v>
      </c>
    </row>
    <row r="627" spans="1:13" x14ac:dyDescent="0.35">
      <c r="A627" s="23" t="str">
        <f>IFERROR(М4_АТ4042ROD_0584!B46,"")</f>
        <v>вул. М. Леонтовича</v>
      </c>
      <c r="B627" s="23" t="str">
        <f>IFERROR(IF(М4_АТ4042ROD_0584!C46="","",TEXT(М4_АТ4042ROD_0584!C46,"General")),"")</f>
        <v>газове</v>
      </c>
      <c r="C627" s="24" t="str">
        <f>"Вівторок"</f>
        <v>Вівторок</v>
      </c>
      <c r="D627" s="24" t="str">
        <f>IFERROR(TEXT(М4_АТ4042ROD_0584!D46,"h:mm"),"")</f>
        <v>9:25</v>
      </c>
      <c r="E627" s="24" t="str">
        <f>"№4"</f>
        <v>№4</v>
      </c>
      <c r="F627" s="24" t="str">
        <f>"АТ 40-42/ROD21003"</f>
        <v>АТ 40-42/ROD21003</v>
      </c>
      <c r="G627" s="24" t="str">
        <f>"СВ 33-15 ЕО"</f>
        <v>СВ 33-15 ЕО</v>
      </c>
      <c r="H627" s="24">
        <f>IFERROR(М4_АТ4042ROD_0584!G46,"")</f>
        <v>1</v>
      </c>
      <c r="J627" s="13" t="str">
        <f t="shared" si="68"/>
        <v>вул. М. Леонтовича|газове</v>
      </c>
      <c r="K627" s="32">
        <f t="shared" si="69"/>
        <v>0.3923611111111111</v>
      </c>
      <c r="L627" s="13" t="str">
        <f>IF($A627="","",IF(COUNTIFS($J$4:$J627,$J627,$E$4:$E627,$E627)=1,$E627,""))</f>
        <v/>
      </c>
      <c r="M627" s="13" t="str">
        <f>IF($A627="","",IF(COUNTIFS($J$4:$J627,$J627,$F$4:$F627,$F627)=1,$F627,""))</f>
        <v/>
      </c>
    </row>
    <row r="628" spans="1:13" x14ac:dyDescent="0.35">
      <c r="A628" s="23" t="str">
        <f>IFERROR(М4_АТ4042ROD_0584!B77,"")</f>
        <v>вул. М. Леонтовича</v>
      </c>
      <c r="B628" s="23" t="str">
        <f>IFERROR(IF(М4_АТ4042ROD_0584!C77="","",TEXT(М4_АТ4042ROD_0584!C77,"General")),"")</f>
        <v>газове</v>
      </c>
      <c r="C628" s="24" t="str">
        <f>"Четвер"</f>
        <v>Четвер</v>
      </c>
      <c r="D628" s="24" t="str">
        <f>IFERROR(TEXT(М4_АТ4042ROD_0584!D77,"h:mm"),"")</f>
        <v>9:10</v>
      </c>
      <c r="E628" s="24" t="str">
        <f>"№4"</f>
        <v>№4</v>
      </c>
      <c r="F628" s="24" t="str">
        <f>"АТ 40-42/ROD21003"</f>
        <v>АТ 40-42/ROD21003</v>
      </c>
      <c r="G628" s="24" t="str">
        <f>"СВ 33-15 ЕО"</f>
        <v>СВ 33-15 ЕО</v>
      </c>
      <c r="H628" s="24">
        <f>IFERROR(М4_АТ4042ROD_0584!G77,"")</f>
        <v>1</v>
      </c>
      <c r="J628" s="13" t="str">
        <f t="shared" si="68"/>
        <v>вул. М. Леонтовича|газове</v>
      </c>
      <c r="K628" s="32">
        <f t="shared" si="69"/>
        <v>0.38194444444444442</v>
      </c>
      <c r="L628" s="13" t="str">
        <f>IF($A628="","",IF(COUNTIFS($J$4:$J628,$J628,$E$4:$E628,$E628)=1,$E628,""))</f>
        <v/>
      </c>
      <c r="M628" s="13" t="str">
        <f>IF($A628="","",IF(COUNTIFS($J$4:$J628,$J628,$F$4:$F628,$F628)=1,$F628,""))</f>
        <v/>
      </c>
    </row>
    <row r="629" spans="1:13" x14ac:dyDescent="0.35">
      <c r="A629" s="23" t="str">
        <f>IFERROR(М4_АТ4042ROD_0584!B112,"")</f>
        <v>вул. М. Леонтовича</v>
      </c>
      <c r="B629" s="23" t="str">
        <f>IFERROR(IF(М4_АТ4042ROD_0584!C112="","",TEXT(М4_АТ4042ROD_0584!C112,"General")),"")</f>
        <v>газове</v>
      </c>
      <c r="C629" s="24" t="str">
        <f>"П'ятниця"</f>
        <v>П'ятниця</v>
      </c>
      <c r="D629" s="24" t="str">
        <f>IFERROR(TEXT(М4_АТ4042ROD_0584!D112,"h:mm"),"")</f>
        <v>9:25</v>
      </c>
      <c r="E629" s="24" t="str">
        <f>"№4"</f>
        <v>№4</v>
      </c>
      <c r="F629" s="24" t="str">
        <f>"АТ 40-42/ROD21003"</f>
        <v>АТ 40-42/ROD21003</v>
      </c>
      <c r="G629" s="24" t="str">
        <f>"СВ 33-15 ЕО"</f>
        <v>СВ 33-15 ЕО</v>
      </c>
      <c r="H629" s="24">
        <f>IFERROR(М4_АТ4042ROD_0584!G112,"")</f>
        <v>2</v>
      </c>
      <c r="J629" s="13" t="str">
        <f t="shared" si="68"/>
        <v>вул. М. Леонтовича|газове</v>
      </c>
      <c r="K629" s="32">
        <f t="shared" si="69"/>
        <v>0.3923611111111111</v>
      </c>
      <c r="L629" s="13" t="str">
        <f>IF($A629="","",IF(COUNTIFS($J$4:$J629,$J629,$E$4:$E629,$E629)=1,$E629,""))</f>
        <v/>
      </c>
      <c r="M629" s="13" t="str">
        <f>IF($A629="","",IF(COUNTIFS($J$4:$J629,$J629,$F$4:$F629,$F629)=1,$F629,""))</f>
        <v/>
      </c>
    </row>
    <row r="630" spans="1:13" x14ac:dyDescent="0.35">
      <c r="A630" s="23" t="str">
        <f>IFERROR(М6_АТ4021_0586!B24,"")</f>
        <v>вул. М. Лисенка</v>
      </c>
      <c r="B630" s="23" t="str">
        <f>IFERROR(IF(М6_АТ4021_0586!C24="","",TEXT(М6_АТ4021_0586!C24,"General")),"")</f>
        <v>26,16  11,5</v>
      </c>
      <c r="C630" s="24" t="str">
        <f>"Понеділок"</f>
        <v>Понеділок</v>
      </c>
      <c r="D630" s="24" t="str">
        <f>IFERROR(TEXT(М6_АТ4021_0586!D24,"h:mm"),"")</f>
        <v>11:00</v>
      </c>
      <c r="E630" s="24" t="str">
        <f>"№6"</f>
        <v>№6</v>
      </c>
      <c r="F630" s="24" t="str">
        <f>"АТ 4021"</f>
        <v>АТ 4021</v>
      </c>
      <c r="G630" s="24" t="str">
        <f>"СВ 33-16 ЕО"</f>
        <v>СВ 33-16 ЕО</v>
      </c>
      <c r="H630" s="24"/>
      <c r="J630" s="13" t="str">
        <f t="shared" si="68"/>
        <v>вул. М. Лисенка|26,16  11,5</v>
      </c>
      <c r="K630" s="32">
        <f t="shared" si="69"/>
        <v>0.45833333333333331</v>
      </c>
      <c r="L630" s="13" t="str">
        <f>IF($A630="","",IF(COUNTIFS($J$4:$J630,$J630,$E$4:$E630,$E630)=1,$E630,""))</f>
        <v>№6</v>
      </c>
      <c r="M630" s="13" t="str">
        <f>IF($A630="","",IF(COUNTIFS($J$4:$J630,$J630,$F$4:$F630,$F630)=1,$F630,""))</f>
        <v>АТ 4021</v>
      </c>
    </row>
    <row r="631" spans="1:13" x14ac:dyDescent="0.35">
      <c r="A631" s="23" t="str">
        <f>IFERROR(М6_АТ4021_0586!B122,"")</f>
        <v>вул. М. Лисенка</v>
      </c>
      <c r="B631" s="23" t="str">
        <f>IFERROR(IF(М6_АТ4021_0586!C122="","",TEXT(М6_АТ4021_0586!C122,"General")),"")</f>
        <v>5,12</v>
      </c>
      <c r="C631" s="24" t="str">
        <f>"Четвер"</f>
        <v>Четвер</v>
      </c>
      <c r="D631" s="24" t="str">
        <f>IFERROR(TEXT(М6_АТ4021_0586!D122,"h:mm"),"")</f>
        <v>8:30</v>
      </c>
      <c r="E631" s="24" t="str">
        <f>"№6"</f>
        <v>№6</v>
      </c>
      <c r="F631" s="24" t="str">
        <f>"АТ 4021"</f>
        <v>АТ 4021</v>
      </c>
      <c r="G631" s="24" t="str">
        <f>"СВ 33-16 ЕО"</f>
        <v>СВ 33-16 ЕО</v>
      </c>
      <c r="H631" s="24"/>
      <c r="J631" s="13" t="str">
        <f t="shared" si="68"/>
        <v>вул. М. Лисенка|5,12</v>
      </c>
      <c r="K631" s="32">
        <f t="shared" si="69"/>
        <v>0.35416666666666669</v>
      </c>
      <c r="L631" s="13" t="str">
        <f>IF($A631="","",IF(COUNTIFS($J$4:$J631,$J631,$E$4:$E631,$E631)=1,$E631,""))</f>
        <v>№6</v>
      </c>
      <c r="M631" s="13" t="str">
        <f>IF($A631="","",IF(COUNTIFS($J$4:$J631,$J631,$F$4:$F631,$F631)=1,$F631,""))</f>
        <v>АТ 4021</v>
      </c>
    </row>
    <row r="632" spans="1:13" x14ac:dyDescent="0.35">
      <c r="A632" s="23" t="str">
        <f>IFERROR(М5_МАЗ4381_0592!B56,"")</f>
        <v>вул. М. Маркевича</v>
      </c>
      <c r="B632" s="23" t="str">
        <f>IFERROR(IF(М5_МАЗ4381_0592!C56="","",TEXT(М5_МАЗ4381_0592!C56,"General")),"")</f>
        <v/>
      </c>
      <c r="C632" s="24" t="str">
        <f>"Вівторок"</f>
        <v>Вівторок</v>
      </c>
      <c r="D632" s="24" t="str">
        <f>IFERROR(TEXT(М5_МАЗ4381_0592!D56,"h:mm"),"")</f>
        <v>9:50</v>
      </c>
      <c r="E632" s="24" t="str">
        <f>"№5"</f>
        <v>№5</v>
      </c>
      <c r="F632" s="24" t="str">
        <f>"МАЗ 4381"</f>
        <v>МАЗ 4381</v>
      </c>
      <c r="G632" s="24" t="str">
        <f>"СВ 81-71 ВК"</f>
        <v>СВ 81-71 ВК</v>
      </c>
      <c r="H632" s="24"/>
      <c r="J632" s="13" t="str">
        <f t="shared" si="68"/>
        <v>вул. М. Маркевича|</v>
      </c>
      <c r="K632" s="32">
        <f t="shared" si="69"/>
        <v>0.40972222222222221</v>
      </c>
      <c r="L632" s="13" t="str">
        <f>IF($A632="","",IF(COUNTIFS($J$4:$J632,$J632,$E$4:$E632,$E632)=1,$E632,""))</f>
        <v>№5</v>
      </c>
      <c r="M632" s="13" t="str">
        <f>IF($A632="","",IF(COUNTIFS($J$4:$J632,$J632,$F$4:$F632,$F632)=1,$F632,""))</f>
        <v>МАЗ 4381</v>
      </c>
    </row>
    <row r="633" spans="1:13" x14ac:dyDescent="0.35">
      <c r="A633" s="23" t="str">
        <f>IFERROR(М5_МАЗ4381_0592!B17,"")</f>
        <v>вул. М. Міхновського</v>
      </c>
      <c r="B633" s="23" t="str">
        <f>IFERROR(IF(М5_МАЗ4381_0592!C17="","",TEXT(М5_МАЗ4381_0592!C17,"General")),"")</f>
        <v/>
      </c>
      <c r="C633" s="24" t="str">
        <f>"Понеділок"</f>
        <v>Понеділок</v>
      </c>
      <c r="D633" s="24" t="str">
        <f>IFERROR(TEXT(М5_МАЗ4381_0592!D17,"h:mm"),"")</f>
        <v>8:55</v>
      </c>
      <c r="E633" s="24" t="str">
        <f>"№5"</f>
        <v>№5</v>
      </c>
      <c r="F633" s="24" t="str">
        <f>"МАЗ 4381"</f>
        <v>МАЗ 4381</v>
      </c>
      <c r="G633" s="24" t="str">
        <f>"СВ 81-71 ВК"</f>
        <v>СВ 81-71 ВК</v>
      </c>
      <c r="H633" s="24"/>
      <c r="J633" s="13" t="str">
        <f t="shared" si="68"/>
        <v>вул. М. Міхновського|</v>
      </c>
      <c r="K633" s="32">
        <f t="shared" si="69"/>
        <v>0.37152777777777779</v>
      </c>
      <c r="L633" s="13" t="str">
        <f>IF($A633="","",IF(COUNTIFS($J$4:$J633,$J633,$E$4:$E633,$E633)=1,$E633,""))</f>
        <v>№5</v>
      </c>
      <c r="M633" s="13" t="str">
        <f>IF($A633="","",IF(COUNTIFS($J$4:$J633,$J633,$F$4:$F633,$F633)=1,$F633,""))</f>
        <v>МАЗ 4381</v>
      </c>
    </row>
    <row r="634" spans="1:13" x14ac:dyDescent="0.35">
      <c r="A634" s="23" t="str">
        <f>IFERROR(М5_МАЗ4381_0592!B88,"")</f>
        <v>вул. М. Приймаченка</v>
      </c>
      <c r="B634" s="23" t="str">
        <f>IFERROR(IF(М5_МАЗ4381_0592!C88="","",TEXT(М5_МАЗ4381_0592!C88,"General")),"")</f>
        <v/>
      </c>
      <c r="C634" s="24" t="str">
        <f>"Середа"</f>
        <v>Середа</v>
      </c>
      <c r="D634" s="24" t="str">
        <f>IFERROR(TEXT(М5_МАЗ4381_0592!D88,"h:mm"),"")</f>
        <v>8:00</v>
      </c>
      <c r="E634" s="24" t="str">
        <f>"№5"</f>
        <v>№5</v>
      </c>
      <c r="F634" s="24" t="str">
        <f>"МАЗ 4381"</f>
        <v>МАЗ 4381</v>
      </c>
      <c r="G634" s="24" t="str">
        <f>"СВ 81-71 ВК"</f>
        <v>СВ 81-71 ВК</v>
      </c>
      <c r="H634" s="24"/>
      <c r="J634" s="13" t="str">
        <f t="shared" si="68"/>
        <v>вул. М. Приймаченка|</v>
      </c>
      <c r="K634" s="32">
        <f t="shared" si="69"/>
        <v>0.33333333333333331</v>
      </c>
      <c r="L634" s="13" t="str">
        <f>IF($A634="","",IF(COUNTIFS($J$4:$J634,$J634,$E$4:$E634,$E634)=1,$E634,""))</f>
        <v>№5</v>
      </c>
      <c r="M634" s="13" t="str">
        <f>IF($A634="","",IF(COUNTIFS($J$4:$J634,$J634,$F$4:$F634,$F634)=1,$F634,""))</f>
        <v>МАЗ 4381</v>
      </c>
    </row>
    <row r="635" spans="1:13" x14ac:dyDescent="0.35">
      <c r="A635" s="23" t="str">
        <f>IFERROR(М5_МАЗ4381_0592!B70,"")</f>
        <v>вул. М. Старицького</v>
      </c>
      <c r="B635" s="23" t="str">
        <f>IFERROR(IF(М5_МАЗ4381_0592!C70="","",TEXT(М5_МАЗ4381_0592!C70,"General")),"")</f>
        <v/>
      </c>
      <c r="C635" s="24" t="str">
        <f>"Вівторок"</f>
        <v>Вівторок</v>
      </c>
      <c r="D635" s="24" t="str">
        <f>IFERROR(TEXT(М5_МАЗ4381_0592!D70,"h:mm"),"")</f>
        <v>13:45</v>
      </c>
      <c r="E635" s="24" t="str">
        <f>"№5"</f>
        <v>№5</v>
      </c>
      <c r="F635" s="24" t="str">
        <f>"МАЗ 4381"</f>
        <v>МАЗ 4381</v>
      </c>
      <c r="G635" s="24" t="str">
        <f>"СВ 81-71 ВК"</f>
        <v>СВ 81-71 ВК</v>
      </c>
      <c r="H635" s="24"/>
      <c r="J635" s="13" t="str">
        <f t="shared" si="68"/>
        <v>вул. М. Старицького|</v>
      </c>
      <c r="K635" s="32">
        <f t="shared" si="69"/>
        <v>0.57291666666666663</v>
      </c>
      <c r="L635" s="13" t="str">
        <f>IF($A635="","",IF(COUNTIFS($J$4:$J635,$J635,$E$4:$E635,$E635)=1,$E635,""))</f>
        <v>№5</v>
      </c>
      <c r="M635" s="13" t="str">
        <f>IF($A635="","",IF(COUNTIFS($J$4:$J635,$J635,$F$4:$F635,$F635)=1,$F635,""))</f>
        <v>МАЗ 4381</v>
      </c>
    </row>
    <row r="636" spans="1:13" x14ac:dyDescent="0.35">
      <c r="A636" s="23" t="str">
        <f>IFERROR(М5_МАЗ4381_0592!B168,"")</f>
        <v>вул. М. Старицького</v>
      </c>
      <c r="B636" s="23" t="str">
        <f>IFERROR(IF(М5_МАЗ4381_0592!C168="","",TEXT(М5_МАЗ4381_0592!C168,"General")),"")</f>
        <v/>
      </c>
      <c r="C636" s="24" t="str">
        <f>"П'ятниця"</f>
        <v>П'ятниця</v>
      </c>
      <c r="D636" s="24" t="str">
        <f>IFERROR(TEXT(М5_МАЗ4381_0592!D168,"h:mm"),"")</f>
        <v>8:40</v>
      </c>
      <c r="E636" s="24" t="str">
        <f>"№5"</f>
        <v>№5</v>
      </c>
      <c r="F636" s="24" t="str">
        <f>"МАЗ 4381"</f>
        <v>МАЗ 4381</v>
      </c>
      <c r="G636" s="24" t="str">
        <f>"СВ 81-71 ВК"</f>
        <v>СВ 81-71 ВК</v>
      </c>
      <c r="H636" s="24"/>
      <c r="J636" s="13" t="str">
        <f t="shared" si="68"/>
        <v>вул. М. Старицького|</v>
      </c>
      <c r="K636" s="32">
        <f t="shared" si="69"/>
        <v>0.3611111111111111</v>
      </c>
      <c r="L636" s="13" t="str">
        <f>IF($A636="","",IF(COUNTIFS($J$4:$J636,$J636,$E$4:$E636,$E636)=1,$E636,""))</f>
        <v/>
      </c>
      <c r="M636" s="13" t="str">
        <f>IF($A636="","",IF(COUNTIFS($J$4:$J636,$J636,$F$4:$F636,$F636)=1,$F636,""))</f>
        <v/>
      </c>
    </row>
    <row r="637" spans="1:13" x14ac:dyDescent="0.35">
      <c r="A637" s="23" t="str">
        <f>IFERROR(М1_КАМАЗ55111_0591!B16,"")</f>
        <v>вул. М. Старицького</v>
      </c>
      <c r="B637" s="23" t="str">
        <f>IFERROR(IF(М1_КАМАЗ55111_0591!C16="","",TEXT(М1_КАМАЗ55111_0591!C16,"General")),"")</f>
        <v>буд. 3</v>
      </c>
      <c r="C637" s="24" t="str">
        <f>"Понеділок"</f>
        <v>Понеділок</v>
      </c>
      <c r="D637" s="24" t="str">
        <f>IFERROR(TEXT(М1_КАМАЗ55111_0591!D16,"h:mm"),"")</f>
        <v>8:35</v>
      </c>
      <c r="E637" s="24" t="str">
        <f t="shared" ref="E637:E643" si="72">"№1"</f>
        <v>№1</v>
      </c>
      <c r="F637" s="24" t="str">
        <f>"КАМАЗ 55111"</f>
        <v>КАМАЗ 55111</v>
      </c>
      <c r="G637" s="24" t="str">
        <f>"СВ 50-33 АР"</f>
        <v>СВ 50-33 АР</v>
      </c>
      <c r="H637" s="24">
        <f>IFERROR(М1_КАМАЗ55111_0591!G16,"")</f>
        <v>2</v>
      </c>
      <c r="J637" s="13" t="str">
        <f t="shared" si="68"/>
        <v>вул. М. Старицького|буд. 3</v>
      </c>
      <c r="K637" s="32">
        <f t="shared" si="69"/>
        <v>0.3576388888888889</v>
      </c>
      <c r="L637" s="13" t="str">
        <f>IF($A637="","",IF(COUNTIFS($J$4:$J637,$J637,$E$4:$E637,$E637)=1,$E637,""))</f>
        <v>№1</v>
      </c>
      <c r="M637" s="13" t="str">
        <f>IF($A637="","",IF(COUNTIFS($J$4:$J637,$J637,$F$4:$F637,$F637)=1,$F637,""))</f>
        <v>КАМАЗ 55111</v>
      </c>
    </row>
    <row r="638" spans="1:13" x14ac:dyDescent="0.35">
      <c r="A638" s="23" t="str">
        <f>IFERROR(М1_КАМАЗ55111_0591!B51,"")</f>
        <v>вул. М. Старицького</v>
      </c>
      <c r="B638" s="23" t="str">
        <f>IFERROR(IF(М1_КАМАЗ55111_0591!C51="","",TEXT(М1_КАМАЗ55111_0591!C51,"General")),"")</f>
        <v>буд. 3</v>
      </c>
      <c r="C638" s="24" t="str">
        <f>"Вівторок"</f>
        <v>Вівторок</v>
      </c>
      <c r="D638" s="24" t="str">
        <f>IFERROR(TEXT(М1_КАМАЗ55111_0591!D51,"h:mm"),"")</f>
        <v>8:35</v>
      </c>
      <c r="E638" s="24" t="str">
        <f t="shared" si="72"/>
        <v>№1</v>
      </c>
      <c r="F638" s="24" t="str">
        <f>"КАМАЗ 55111"</f>
        <v>КАМАЗ 55111</v>
      </c>
      <c r="G638" s="24" t="str">
        <f>"СВ 50-33 АР"</f>
        <v>СВ 50-33 АР</v>
      </c>
      <c r="H638" s="24">
        <f>IFERROR(М1_КАМАЗ55111_0591!G51,"")</f>
        <v>2</v>
      </c>
      <c r="J638" s="13" t="str">
        <f t="shared" si="68"/>
        <v>вул. М. Старицького|буд. 3</v>
      </c>
      <c r="K638" s="32">
        <f t="shared" si="69"/>
        <v>0.3576388888888889</v>
      </c>
      <c r="L638" s="13" t="str">
        <f>IF($A638="","",IF(COUNTIFS($J$4:$J638,$J638,$E$4:$E638,$E638)=1,$E638,""))</f>
        <v/>
      </c>
      <c r="M638" s="13" t="str">
        <f>IF($A638="","",IF(COUNTIFS($J$4:$J638,$J638,$F$4:$F638,$F638)=1,$F638,""))</f>
        <v/>
      </c>
    </row>
    <row r="639" spans="1:13" x14ac:dyDescent="0.35">
      <c r="A639" s="23" t="str">
        <f>IFERROR(М1_КАМАЗ55111_0591!B83,"")</f>
        <v>вул. М. Старицького</v>
      </c>
      <c r="B639" s="23" t="str">
        <f>IFERROR(IF(М1_КАМАЗ55111_0591!C83="","",TEXT(М1_КАМАЗ55111_0591!C83,"General")),"")</f>
        <v>буд. 3</v>
      </c>
      <c r="C639" s="24" t="str">
        <f>"Середа"</f>
        <v>Середа</v>
      </c>
      <c r="D639" s="24" t="str">
        <f>IFERROR(TEXT(М1_КАМАЗ55111_0591!D83,"h:mm"),"")</f>
        <v>8:35</v>
      </c>
      <c r="E639" s="24" t="str">
        <f t="shared" si="72"/>
        <v>№1</v>
      </c>
      <c r="F639" s="24" t="str">
        <f>"КАМАЗ 55111"</f>
        <v>КАМАЗ 55111</v>
      </c>
      <c r="G639" s="24" t="str">
        <f>"СВ 50-33 АР"</f>
        <v>СВ 50-33 АР</v>
      </c>
      <c r="H639" s="24">
        <f>IFERROR(М1_КАМАЗ55111_0591!G83,"")</f>
        <v>2</v>
      </c>
      <c r="J639" s="13" t="str">
        <f t="shared" si="68"/>
        <v>вул. М. Старицького|буд. 3</v>
      </c>
      <c r="K639" s="32">
        <f t="shared" si="69"/>
        <v>0.3576388888888889</v>
      </c>
      <c r="L639" s="13" t="str">
        <f>IF($A639="","",IF(COUNTIFS($J$4:$J639,$J639,$E$4:$E639,$E639)=1,$E639,""))</f>
        <v/>
      </c>
      <c r="M639" s="13" t="str">
        <f>IF($A639="","",IF(COUNTIFS($J$4:$J639,$J639,$F$4:$F639,$F639)=1,$F639,""))</f>
        <v/>
      </c>
    </row>
    <row r="640" spans="1:13" x14ac:dyDescent="0.35">
      <c r="A640" s="23" t="str">
        <f>IFERROR('М1-2_АТ4021-1120_0585'!B117,"")</f>
        <v>вул. М. Старицького</v>
      </c>
      <c r="B640" s="23" t="str">
        <f>IFERROR(IF('М1-2_АТ4021-1120_0585'!C117="","",TEXT('М1-2_АТ4021-1120_0585'!C117,"General")),"")</f>
        <v>буд. 3</v>
      </c>
      <c r="C640" s="24" t="str">
        <f>"Четвер"</f>
        <v>Четвер</v>
      </c>
      <c r="D640" s="24" t="str">
        <f>IFERROR(TEXT('М1-2_АТ4021-1120_0585'!D117,"h:mm"),"")</f>
        <v>10:25</v>
      </c>
      <c r="E640" s="24" t="str">
        <f t="shared" si="72"/>
        <v>№1</v>
      </c>
      <c r="F640" s="24" t="str">
        <f>"АТ-4021/1120"</f>
        <v>АТ-4021/1120</v>
      </c>
      <c r="G640" s="24" t="str">
        <f>"СВ 14-65 ЕО"</f>
        <v>СВ 14-65 ЕО</v>
      </c>
      <c r="H640" s="24">
        <f>IFERROR('М1-2_АТ4021-1120_0585'!G117,"")</f>
        <v>2</v>
      </c>
      <c r="J640" s="13" t="str">
        <f t="shared" si="68"/>
        <v>вул. М. Старицького|буд. 3</v>
      </c>
      <c r="K640" s="32">
        <f t="shared" si="69"/>
        <v>0.43402777777777779</v>
      </c>
      <c r="L640" s="13" t="str">
        <f>IF($A640="","",IF(COUNTIFS($J$4:$J640,$J640,$E$4:$E640,$E640)=1,$E640,""))</f>
        <v/>
      </c>
      <c r="M640" s="13" t="str">
        <f>IF($A640="","",IF(COUNTIFS($J$4:$J640,$J640,$F$4:$F640,$F640)=1,$F640,""))</f>
        <v>АТ-4021/1120</v>
      </c>
    </row>
    <row r="641" spans="1:13" x14ac:dyDescent="0.35">
      <c r="A641" s="23" t="str">
        <f>IFERROR(М1_КАМАЗ55111_0591!B115,"")</f>
        <v>вул. М. Старицького</v>
      </c>
      <c r="B641" s="23" t="str">
        <f>IFERROR(IF(М1_КАМАЗ55111_0591!C115="","",TEXT(М1_КАМАЗ55111_0591!C115,"General")),"")</f>
        <v>буд. 3</v>
      </c>
      <c r="C641" s="24" t="str">
        <f>"П'ятниця"</f>
        <v>П'ятниця</v>
      </c>
      <c r="D641" s="24" t="str">
        <f>IFERROR(TEXT(М1_КАМАЗ55111_0591!D115,"h:mm"),"")</f>
        <v>8:35</v>
      </c>
      <c r="E641" s="24" t="str">
        <f t="shared" si="72"/>
        <v>№1</v>
      </c>
      <c r="F641" s="24" t="str">
        <f>"КАМАЗ 55111"</f>
        <v>КАМАЗ 55111</v>
      </c>
      <c r="G641" s="24" t="str">
        <f>"СВ 50-33 АР"</f>
        <v>СВ 50-33 АР</v>
      </c>
      <c r="H641" s="24">
        <f>IFERROR(М1_КАМАЗ55111_0591!G115,"")</f>
        <v>2</v>
      </c>
      <c r="J641" s="13" t="str">
        <f t="shared" si="68"/>
        <v>вул. М. Старицького|буд. 3</v>
      </c>
      <c r="K641" s="32">
        <f t="shared" si="69"/>
        <v>0.3576388888888889</v>
      </c>
      <c r="L641" s="13" t="str">
        <f>IF($A641="","",IF(COUNTIFS($J$4:$J641,$J641,$E$4:$E641,$E641)=1,$E641,""))</f>
        <v/>
      </c>
      <c r="M641" s="13" t="str">
        <f>IF($A641="","",IF(COUNTIFS($J$4:$J641,$J641,$F$4:$F641,$F641)=1,$F641,""))</f>
        <v/>
      </c>
    </row>
    <row r="642" spans="1:13" x14ac:dyDescent="0.35">
      <c r="A642" s="23" t="str">
        <f>IFERROR(М1_КАМАЗ55111_0591!B150,"")</f>
        <v>вул. М. Старицького</v>
      </c>
      <c r="B642" s="23" t="str">
        <f>IFERROR(IF(М1_КАМАЗ55111_0591!C150="","",TEXT(М1_КАМАЗ55111_0591!C150,"General")),"")</f>
        <v>буд. 3</v>
      </c>
      <c r="C642" s="24" t="str">
        <f>"Субота"</f>
        <v>Субота</v>
      </c>
      <c r="D642" s="24" t="str">
        <f>IFERROR(TEXT(М1_КАМАЗ55111_0591!D150,"h:mm"),"")</f>
        <v>8:35</v>
      </c>
      <c r="E642" s="24" t="str">
        <f t="shared" si="72"/>
        <v>№1</v>
      </c>
      <c r="F642" s="24" t="str">
        <f>"КАМАЗ 55111"</f>
        <v>КАМАЗ 55111</v>
      </c>
      <c r="G642" s="24" t="str">
        <f>"СВ 50-33 АР"</f>
        <v>СВ 50-33 АР</v>
      </c>
      <c r="H642" s="24">
        <f>IFERROR(М1_КАМАЗ55111_0591!G150,"")</f>
        <v>2</v>
      </c>
      <c r="J642" s="13" t="str">
        <f t="shared" si="68"/>
        <v>вул. М. Старицького|буд. 3</v>
      </c>
      <c r="K642" s="32">
        <f t="shared" si="69"/>
        <v>0.3576388888888889</v>
      </c>
      <c r="L642" s="13" t="str">
        <f>IF($A642="","",IF(COUNTIFS($J$4:$J642,$J642,$E$4:$E642,$E642)=1,$E642,""))</f>
        <v/>
      </c>
      <c r="M642" s="13" t="str">
        <f>IF($A642="","",IF(COUNTIFS($J$4:$J642,$J642,$F$4:$F642,$F642)=1,$F642,""))</f>
        <v/>
      </c>
    </row>
    <row r="643" spans="1:13" x14ac:dyDescent="0.35">
      <c r="A643" s="23" t="str">
        <f>IFERROR('М1-2_АТ4021-1120_0585'!B152,"")</f>
        <v>вул. М. Старицького</v>
      </c>
      <c r="B643" s="23" t="str">
        <f>IFERROR(IF('М1-2_АТ4021-1120_0585'!C152="","",TEXT('М1-2_АТ4021-1120_0585'!C152,"General")),"")</f>
        <v>буд. 3</v>
      </c>
      <c r="C643" s="24" t="str">
        <f>"Неділя"</f>
        <v>Неділя</v>
      </c>
      <c r="D643" s="24" t="str">
        <f>IFERROR(TEXT('М1-2_АТ4021-1120_0585'!D152,"h:mm"),"")</f>
        <v>10:25</v>
      </c>
      <c r="E643" s="24" t="str">
        <f t="shared" si="72"/>
        <v>№1</v>
      </c>
      <c r="F643" s="24" t="str">
        <f>"АТ-4021/1120"</f>
        <v>АТ-4021/1120</v>
      </c>
      <c r="G643" s="24" t="str">
        <f>"СВ 14-65 ЕО"</f>
        <v>СВ 14-65 ЕО</v>
      </c>
      <c r="H643" s="24">
        <f>IFERROR('М1-2_АТ4021-1120_0585'!G152,"")</f>
        <v>2</v>
      </c>
      <c r="J643" s="13" t="str">
        <f t="shared" si="68"/>
        <v>вул. М. Старицького|буд. 3</v>
      </c>
      <c r="K643" s="32">
        <f t="shared" si="69"/>
        <v>0.43402777777777779</v>
      </c>
      <c r="L643" s="13" t="str">
        <f>IF($A643="","",IF(COUNTIFS($J$4:$J643,$J643,$E$4:$E643,$E643)=1,$E643,""))</f>
        <v/>
      </c>
      <c r="M643" s="13" t="str">
        <f>IF($A643="","",IF(COUNTIFS($J$4:$J643,$J643,$F$4:$F643,$F643)=1,$F643,""))</f>
        <v/>
      </c>
    </row>
    <row r="644" spans="1:13" x14ac:dyDescent="0.35">
      <c r="A644" s="23" t="str">
        <f>IFERROR(М5_МАЗ4381_0592!B47,"")</f>
        <v>вул. М. Яковченка</v>
      </c>
      <c r="B644" s="23" t="str">
        <f>IFERROR(IF(М5_МАЗ4381_0592!C47="","",TEXT(М5_МАЗ4381_0592!C47,"General")),"")</f>
        <v/>
      </c>
      <c r="C644" s="24" t="str">
        <f>"Вівторок"</f>
        <v>Вівторок</v>
      </c>
      <c r="D644" s="24" t="str">
        <f>IFERROR(TEXT(М5_МАЗ4381_0592!D47,"h:mm"),"")</f>
        <v>7:30</v>
      </c>
      <c r="E644" s="24" t="str">
        <f>"№5"</f>
        <v>№5</v>
      </c>
      <c r="F644" s="24" t="str">
        <f>"МАЗ 4381"</f>
        <v>МАЗ 4381</v>
      </c>
      <c r="G644" s="24" t="str">
        <f>"СВ 81-71 ВК"</f>
        <v>СВ 81-71 ВК</v>
      </c>
      <c r="H644" s="24"/>
      <c r="J644" s="13" t="str">
        <f t="shared" ref="J644:J707" si="73">IF(A644="","",A644&amp;"|"&amp;B644)</f>
        <v>вул. М. Яковченка|</v>
      </c>
      <c r="K644" s="32">
        <f t="shared" ref="K644:K707" si="74">IFERROR(IF(D644="","",IF(D644="×",9.99,TIMEVALUE(D644))),9.99)</f>
        <v>0.3125</v>
      </c>
      <c r="L644" s="13" t="str">
        <f>IF($A644="","",IF(COUNTIFS($J$4:$J644,$J644,$E$4:$E644,$E644)=1,$E644,""))</f>
        <v>№5</v>
      </c>
      <c r="M644" s="13" t="str">
        <f>IF($A644="","",IF(COUNTIFS($J$4:$J644,$J644,$F$4:$F644,$F644)=1,$F644,""))</f>
        <v>МАЗ 4381</v>
      </c>
    </row>
    <row r="645" spans="1:13" x14ac:dyDescent="0.35">
      <c r="A645" s="23" t="str">
        <f>IFERROR(М6_АТ4021_0586!B166,"")</f>
        <v>вул. Макаренка</v>
      </c>
      <c r="B645" s="23" t="str">
        <f>IFERROR(IF(М6_АТ4021_0586!C166="","",TEXT(М6_АТ4021_0586!C166,"General")),"")</f>
        <v>7,16  22,75</v>
      </c>
      <c r="C645" s="24" t="str">
        <f>"П'ятниця"</f>
        <v>П'ятниця</v>
      </c>
      <c r="D645" s="24" t="str">
        <f>IFERROR(TEXT(М6_АТ4021_0586!D166,"h:mm"),"")</f>
        <v>10:00</v>
      </c>
      <c r="E645" s="24" t="str">
        <f>"№6"</f>
        <v>№6</v>
      </c>
      <c r="F645" s="24" t="str">
        <f>"АТ 4021"</f>
        <v>АТ 4021</v>
      </c>
      <c r="G645" s="24" t="str">
        <f>"СВ 33-16 ЕО"</f>
        <v>СВ 33-16 ЕО</v>
      </c>
      <c r="H645" s="24"/>
      <c r="J645" s="13" t="str">
        <f t="shared" si="73"/>
        <v>вул. Макаренка|7,16  22,75</v>
      </c>
      <c r="K645" s="32">
        <f t="shared" si="74"/>
        <v>0.41666666666666669</v>
      </c>
      <c r="L645" s="13" t="str">
        <f>IF($A645="","",IF(COUNTIFS($J$4:$J645,$J645,$E$4:$E645,$E645)=1,$E645,""))</f>
        <v>№6</v>
      </c>
      <c r="M645" s="13" t="str">
        <f>IF($A645="","",IF(COUNTIFS($J$4:$J645,$J645,$F$4:$F645,$F645)=1,$F645,""))</f>
        <v>АТ 4021</v>
      </c>
    </row>
    <row r="646" spans="1:13" x14ac:dyDescent="0.35">
      <c r="A646" s="23" t="str">
        <f>IFERROR(М5_МАЗ4381_0592!B23,"")</f>
        <v>вул. Малківська</v>
      </c>
      <c r="B646" s="23" t="str">
        <f>IFERROR(IF(М5_МАЗ4381_0592!C23="","",TEXT(М5_МАЗ4381_0592!C23,"General")),"")</f>
        <v/>
      </c>
      <c r="C646" s="24" t="str">
        <f>"Понеділок"</f>
        <v>Понеділок</v>
      </c>
      <c r="D646" s="24" t="str">
        <f>IFERROR(TEXT(М5_МАЗ4381_0592!D23,"h:mm"),"")</f>
        <v>10:50</v>
      </c>
      <c r="E646" s="24" t="str">
        <f>"№5"</f>
        <v>№5</v>
      </c>
      <c r="F646" s="24" t="str">
        <f>"МАЗ 4381"</f>
        <v>МАЗ 4381</v>
      </c>
      <c r="G646" s="24" t="str">
        <f>"СВ 81-71 ВК"</f>
        <v>СВ 81-71 ВК</v>
      </c>
      <c r="H646" s="24"/>
      <c r="J646" s="13" t="str">
        <f t="shared" si="73"/>
        <v>вул. Малківська|</v>
      </c>
      <c r="K646" s="32">
        <f t="shared" si="74"/>
        <v>0.4513888888888889</v>
      </c>
      <c r="L646" s="13" t="str">
        <f>IF($A646="","",IF(COUNTIFS($J$4:$J646,$J646,$E$4:$E646,$E646)=1,$E646,""))</f>
        <v>№5</v>
      </c>
      <c r="M646" s="13" t="str">
        <f>IF($A646="","",IF(COUNTIFS($J$4:$J646,$J646,$F$4:$F646,$F646)=1,$F646,""))</f>
        <v>МАЗ 4381</v>
      </c>
    </row>
    <row r="647" spans="1:13" x14ac:dyDescent="0.35">
      <c r="A647" s="23" t="str">
        <f>IFERROR(М5_МАЗ4381_0592!B148,"")</f>
        <v>вул. Мединська</v>
      </c>
      <c r="B647" s="23" t="str">
        <f>IFERROR(IF(М5_МАЗ4381_0592!C148="","",TEXT(М5_МАЗ4381_0592!C148,"General")),"")</f>
        <v/>
      </c>
      <c r="C647" s="24" t="str">
        <f>"Четвер"</f>
        <v>Четвер</v>
      </c>
      <c r="D647" s="24" t="str">
        <f>IFERROR(TEXT(М5_МАЗ4381_0592!D148,"h:mm"),"")</f>
        <v>14:30</v>
      </c>
      <c r="E647" s="24" t="str">
        <f>"№5"</f>
        <v>№5</v>
      </c>
      <c r="F647" s="24" t="str">
        <f>"МАЗ 4381"</f>
        <v>МАЗ 4381</v>
      </c>
      <c r="G647" s="24" t="str">
        <f>"СВ 81-71 ВК"</f>
        <v>СВ 81-71 ВК</v>
      </c>
      <c r="H647" s="24"/>
      <c r="J647" s="13" t="str">
        <f t="shared" si="73"/>
        <v>вул. Мединська|</v>
      </c>
      <c r="K647" s="32">
        <f t="shared" si="74"/>
        <v>0.60416666666666663</v>
      </c>
      <c r="L647" s="13" t="str">
        <f>IF($A647="","",IF(COUNTIFS($J$4:$J647,$J647,$E$4:$E647,$E647)=1,$E647,""))</f>
        <v>№5</v>
      </c>
      <c r="M647" s="13" t="str">
        <f>IF($A647="","",IF(COUNTIFS($J$4:$J647,$J647,$F$4:$F647,$F647)=1,$F647,""))</f>
        <v>МАЗ 4381</v>
      </c>
    </row>
    <row r="648" spans="1:13" x14ac:dyDescent="0.35">
      <c r="A648" s="23" t="str">
        <f>IFERROR(М6_АТ4021_0586!B27,"")</f>
        <v>вул. Межова</v>
      </c>
      <c r="B648" s="23" t="str">
        <f>IFERROR(IF(М6_АТ4021_0586!C27="","",TEXT(М6_АТ4021_0586!C27,"General")),"")</f>
        <v>2,12</v>
      </c>
      <c r="C648" s="24" t="str">
        <f>"Понеділок"</f>
        <v>Понеділок</v>
      </c>
      <c r="D648" s="24" t="str">
        <f>IFERROR(TEXT(М6_АТ4021_0586!D27,"h:mm"),"")</f>
        <v>11:55</v>
      </c>
      <c r="E648" s="24" t="str">
        <f>"№6"</f>
        <v>№6</v>
      </c>
      <c r="F648" s="24" t="str">
        <f>"АТ 4021"</f>
        <v>АТ 4021</v>
      </c>
      <c r="G648" s="24" t="str">
        <f>"СВ 33-16 ЕО"</f>
        <v>СВ 33-16 ЕО</v>
      </c>
      <c r="H648" s="24"/>
      <c r="J648" s="13" t="str">
        <f t="shared" si="73"/>
        <v>вул. Межова|2,12</v>
      </c>
      <c r="K648" s="32">
        <f t="shared" si="74"/>
        <v>0.49652777777777779</v>
      </c>
      <c r="L648" s="13" t="str">
        <f>IF($A648="","",IF(COUNTIFS($J$4:$J648,$J648,$E$4:$E648,$E648)=1,$E648,""))</f>
        <v>№6</v>
      </c>
      <c r="M648" s="13" t="str">
        <f>IF($A648="","",IF(COUNTIFS($J$4:$J648,$J648,$F$4:$F648,$F648)=1,$F648,""))</f>
        <v>АТ 4021</v>
      </c>
    </row>
    <row r="649" spans="1:13" x14ac:dyDescent="0.35">
      <c r="A649" s="23" t="str">
        <f>IFERROR(М5_МАЗ4381_0592!B146,"")</f>
        <v>вул. Миколаївська</v>
      </c>
      <c r="B649" s="23" t="str">
        <f>IFERROR(IF(М5_МАЗ4381_0592!C146="","",TEXT(М5_МАЗ4381_0592!C146,"General")),"")</f>
        <v/>
      </c>
      <c r="C649" s="24" t="str">
        <f>"Четвер"</f>
        <v>Четвер</v>
      </c>
      <c r="D649" s="24" t="str">
        <f>IFERROR(TEXT(М5_МАЗ4381_0592!D146,"h:mm"),"")</f>
        <v>14:00</v>
      </c>
      <c r="E649" s="24" t="str">
        <f>"№5"</f>
        <v>№5</v>
      </c>
      <c r="F649" s="24" t="str">
        <f>"МАЗ 4381"</f>
        <v>МАЗ 4381</v>
      </c>
      <c r="G649" s="24" t="str">
        <f>"СВ 81-71 ВК"</f>
        <v>СВ 81-71 ВК</v>
      </c>
      <c r="H649" s="24"/>
      <c r="J649" s="13" t="str">
        <f t="shared" si="73"/>
        <v>вул. Миколаївська|</v>
      </c>
      <c r="K649" s="32">
        <f t="shared" si="74"/>
        <v>0.58333333333333337</v>
      </c>
      <c r="L649" s="13" t="str">
        <f>IF($A649="","",IF(COUNTIFS($J$4:$J649,$J649,$E$4:$E649,$E649)=1,$E649,""))</f>
        <v>№5</v>
      </c>
      <c r="M649" s="13" t="str">
        <f>IF($A649="","",IF(COUNTIFS($J$4:$J649,$J649,$F$4:$F649,$F649)=1,$F649,""))</f>
        <v>МАЗ 4381</v>
      </c>
    </row>
    <row r="650" spans="1:13" x14ac:dyDescent="0.35">
      <c r="A650" s="23" t="str">
        <f>IFERROR(М6_АТ4021_0586!B159,"")</f>
        <v>вул. Миролюбна</v>
      </c>
      <c r="B650" s="23" t="str">
        <f>IFERROR(IF(М6_АТ4021_0586!C159="","",TEXT(М6_АТ4021_0586!C159,"General")),"")</f>
        <v>31,41  51,27</v>
      </c>
      <c r="C650" s="24" t="str">
        <f>"П'ятниця"</f>
        <v>П'ятниця</v>
      </c>
      <c r="D650" s="24" t="str">
        <f>IFERROR(TEXT(М6_АТ4021_0586!D159,"h:mm"),"")</f>
        <v>8:00</v>
      </c>
      <c r="E650" s="24" t="str">
        <f>"№6"</f>
        <v>№6</v>
      </c>
      <c r="F650" s="24" t="str">
        <f>"АТ 4021"</f>
        <v>АТ 4021</v>
      </c>
      <c r="G650" s="24" t="str">
        <f>"СВ 33-16 ЕО"</f>
        <v>СВ 33-16 ЕО</v>
      </c>
      <c r="H650" s="24"/>
      <c r="J650" s="13" t="str">
        <f t="shared" si="73"/>
        <v>вул. Миролюбна|31,41  51,27</v>
      </c>
      <c r="K650" s="32">
        <f t="shared" si="74"/>
        <v>0.33333333333333331</v>
      </c>
      <c r="L650" s="13" t="str">
        <f>IF($A650="","",IF(COUNTIFS($J$4:$J650,$J650,$E$4:$E650,$E650)=1,$E650,""))</f>
        <v>№6</v>
      </c>
      <c r="M650" s="13" t="str">
        <f>IF($A650="","",IF(COUNTIFS($J$4:$J650,$J650,$F$4:$F650,$F650)=1,$F650,""))</f>
        <v>АТ 4021</v>
      </c>
    </row>
    <row r="651" spans="1:13" x14ac:dyDescent="0.35">
      <c r="A651" s="23" t="str">
        <f>IFERROR(М6_АТ4021_0586!B120,"")</f>
        <v>вул. Миролюбна</v>
      </c>
      <c r="B651" s="23" t="str">
        <f>IFERROR(IF(М6_АТ4021_0586!C120="","",TEXT(М6_АТ4021_0586!C120,"General")),"")</f>
        <v>4,8  19,23</v>
      </c>
      <c r="C651" s="24" t="str">
        <f>"Четвер"</f>
        <v>Четвер</v>
      </c>
      <c r="D651" s="24" t="str">
        <f>IFERROR(TEXT(М6_АТ4021_0586!D120,"h:mm"),"")</f>
        <v>8:00</v>
      </c>
      <c r="E651" s="24" t="str">
        <f>"№6"</f>
        <v>№6</v>
      </c>
      <c r="F651" s="24" t="str">
        <f>"АТ 4021"</f>
        <v>АТ 4021</v>
      </c>
      <c r="G651" s="24" t="str">
        <f>"СВ 33-16 ЕО"</f>
        <v>СВ 33-16 ЕО</v>
      </c>
      <c r="H651" s="24"/>
      <c r="J651" s="13" t="str">
        <f t="shared" si="73"/>
        <v>вул. Миролюбна|4,8  19,23</v>
      </c>
      <c r="K651" s="32">
        <f t="shared" si="74"/>
        <v>0.33333333333333331</v>
      </c>
      <c r="L651" s="13" t="str">
        <f>IF($A651="","",IF(COUNTIFS($J$4:$J651,$J651,$E$4:$E651,$E651)=1,$E651,""))</f>
        <v>№6</v>
      </c>
      <c r="M651" s="13" t="str">
        <f>IF($A651="","",IF(COUNTIFS($J$4:$J651,$J651,$F$4:$F651,$F651)=1,$F651,""))</f>
        <v>АТ 4021</v>
      </c>
    </row>
    <row r="652" spans="1:13" x14ac:dyDescent="0.35">
      <c r="A652" s="23" t="str">
        <f>IFERROR(М6_АТ4021_0586!B80,"")</f>
        <v>вул. Миролюбна</v>
      </c>
      <c r="B652" s="23" t="str">
        <f>IFERROR(IF(М6_АТ4021_0586!C80="","",TEXT(М6_АТ4021_0586!C80,"General")),"")</f>
        <v>40,46</v>
      </c>
      <c r="C652" s="24" t="str">
        <f>"Середа"</f>
        <v>Середа</v>
      </c>
      <c r="D652" s="24" t="str">
        <f>IFERROR(TEXT(М6_АТ4021_0586!D80,"h:mm"),"")</f>
        <v>7:30</v>
      </c>
      <c r="E652" s="24" t="str">
        <f>"№6"</f>
        <v>№6</v>
      </c>
      <c r="F652" s="24" t="str">
        <f>"АТ 4021"</f>
        <v>АТ 4021</v>
      </c>
      <c r="G652" s="24" t="str">
        <f>"СВ 33-16 ЕО"</f>
        <v>СВ 33-16 ЕО</v>
      </c>
      <c r="H652" s="24"/>
      <c r="J652" s="13" t="str">
        <f t="shared" si="73"/>
        <v>вул. Миролюбна|40,46</v>
      </c>
      <c r="K652" s="32">
        <f t="shared" si="74"/>
        <v>0.3125</v>
      </c>
      <c r="L652" s="13" t="str">
        <f>IF($A652="","",IF(COUNTIFS($J$4:$J652,$J652,$E$4:$E652,$E652)=1,$E652,""))</f>
        <v>№6</v>
      </c>
      <c r="M652" s="13" t="str">
        <f>IF($A652="","",IF(COUNTIFS($J$4:$J652,$J652,$F$4:$F652,$F652)=1,$F652,""))</f>
        <v>АТ 4021</v>
      </c>
    </row>
    <row r="653" spans="1:13" x14ac:dyDescent="0.35">
      <c r="A653" s="23" t="str">
        <f>IFERROR(М6_АТ4021_0586!B157,"")</f>
        <v>вул. Миролюбна</v>
      </c>
      <c r="B653" s="23" t="str">
        <f>IFERROR(IF(М6_АТ4021_0586!C157="","",TEXT(М6_АТ4021_0586!C157,"General")),"")</f>
        <v>48,42  27,19</v>
      </c>
      <c r="C653" s="24" t="str">
        <f>"П'ятниця"</f>
        <v>П'ятниця</v>
      </c>
      <c r="D653" s="24" t="str">
        <f>IFERROR(TEXT(М6_АТ4021_0586!D157,"h:mm"),"")</f>
        <v>7:30</v>
      </c>
      <c r="E653" s="24" t="str">
        <f>"№6"</f>
        <v>№6</v>
      </c>
      <c r="F653" s="24" t="str">
        <f>"АТ 4021"</f>
        <v>АТ 4021</v>
      </c>
      <c r="G653" s="24" t="str">
        <f>"СВ 33-16 ЕО"</f>
        <v>СВ 33-16 ЕО</v>
      </c>
      <c r="H653" s="24"/>
      <c r="J653" s="13" t="str">
        <f t="shared" si="73"/>
        <v>вул. Миролюбна|48,42  27,19</v>
      </c>
      <c r="K653" s="32">
        <f t="shared" si="74"/>
        <v>0.3125</v>
      </c>
      <c r="L653" s="13" t="str">
        <f>IF($A653="","",IF(COUNTIFS($J$4:$J653,$J653,$E$4:$E653,$E653)=1,$E653,""))</f>
        <v>№6</v>
      </c>
      <c r="M653" s="13" t="str">
        <f>IF($A653="","",IF(COUNTIFS($J$4:$J653,$J653,$F$4:$F653,$F653)=1,$F653,""))</f>
        <v>АТ 4021</v>
      </c>
    </row>
    <row r="654" spans="1:13" x14ac:dyDescent="0.35">
      <c r="A654" s="23" t="str">
        <f>IFERROR(М6_АТ4021_0586!B12,"")</f>
        <v>вул. Миролюбна</v>
      </c>
      <c r="B654" s="23" t="str">
        <f>IFERROR(IF(М6_АТ4021_0586!C12="","",TEXT(М6_АТ4021_0586!C12,"General")),"")</f>
        <v>48,82  33,19</v>
      </c>
      <c r="C654" s="24" t="str">
        <f>"Понеділок"</f>
        <v>Понеділок</v>
      </c>
      <c r="D654" s="24" t="str">
        <f>IFERROR(TEXT(М6_АТ4021_0586!D12,"h:mm"),"")</f>
        <v>8:15</v>
      </c>
      <c r="E654" s="24" t="str">
        <f>"№6"</f>
        <v>№6</v>
      </c>
      <c r="F654" s="24" t="str">
        <f>"АТ 4021"</f>
        <v>АТ 4021</v>
      </c>
      <c r="G654" s="24" t="str">
        <f>"СВ 33-16 ЕО"</f>
        <v>СВ 33-16 ЕО</v>
      </c>
      <c r="H654" s="24"/>
      <c r="J654" s="13" t="str">
        <f t="shared" si="73"/>
        <v>вул. Миролюбна|48,82  33,19</v>
      </c>
      <c r="K654" s="32">
        <f t="shared" si="74"/>
        <v>0.34375</v>
      </c>
      <c r="L654" s="13" t="str">
        <f>IF($A654="","",IF(COUNTIFS($J$4:$J654,$J654,$E$4:$E654,$E654)=1,$E654,""))</f>
        <v>№6</v>
      </c>
      <c r="M654" s="13" t="str">
        <f>IF($A654="","",IF(COUNTIFS($J$4:$J654,$J654,$F$4:$F654,$F654)=1,$F654,""))</f>
        <v>АТ 4021</v>
      </c>
    </row>
    <row r="655" spans="1:13" x14ac:dyDescent="0.35">
      <c r="A655" s="23" t="str">
        <f>IFERROR(М5_МАЗ4381_0592!B150,"")</f>
        <v>вул. Миротворців</v>
      </c>
      <c r="B655" s="23" t="str">
        <f>IFERROR(IF(М5_МАЗ4381_0592!C150="","",TEXT(М5_МАЗ4381_0592!C150,"General")),"")</f>
        <v/>
      </c>
      <c r="C655" s="24" t="str">
        <f>"Четвер"</f>
        <v>Четвер</v>
      </c>
      <c r="D655" s="24" t="str">
        <f>IFERROR(TEXT(М5_МАЗ4381_0592!D150,"h:mm"),"")</f>
        <v>15:00</v>
      </c>
      <c r="E655" s="24" t="str">
        <f>"№5"</f>
        <v>№5</v>
      </c>
      <c r="F655" s="24" t="str">
        <f>"МАЗ 4381"</f>
        <v>МАЗ 4381</v>
      </c>
      <c r="G655" s="24" t="str">
        <f>"СВ 81-71 ВК"</f>
        <v>СВ 81-71 ВК</v>
      </c>
      <c r="H655" s="24"/>
      <c r="J655" s="13" t="str">
        <f t="shared" si="73"/>
        <v>вул. Миротворців|</v>
      </c>
      <c r="K655" s="32">
        <f t="shared" si="74"/>
        <v>0.625</v>
      </c>
      <c r="L655" s="13" t="str">
        <f>IF($A655="","",IF(COUNTIFS($J$4:$J655,$J655,$E$4:$E655,$E655)=1,$E655,""))</f>
        <v>№5</v>
      </c>
      <c r="M655" s="13" t="str">
        <f>IF($A655="","",IF(COUNTIFS($J$4:$J655,$J655,$F$4:$F655,$F655)=1,$F655,""))</f>
        <v>МАЗ 4381</v>
      </c>
    </row>
    <row r="656" spans="1:13" x14ac:dyDescent="0.35">
      <c r="A656" s="23" t="str">
        <f>IFERROR(М6_АТ4021_0586!B161,"")</f>
        <v>вул. Миру</v>
      </c>
      <c r="B656" s="23" t="str">
        <f>IFERROR(IF(М6_АТ4021_0586!C161="","",TEXT(М6_АТ4021_0586!C161,"General")),"")</f>
        <v>17,15  48</v>
      </c>
      <c r="C656" s="24" t="str">
        <f>"П'ятниця"</f>
        <v>П'ятниця</v>
      </c>
      <c r="D656" s="24" t="str">
        <f>IFERROR(TEXT(М6_АТ4021_0586!D161,"h:mm"),"")</f>
        <v>8:40</v>
      </c>
      <c r="E656" s="24" t="str">
        <f>"№6"</f>
        <v>№6</v>
      </c>
      <c r="F656" s="24" t="str">
        <f>"АТ 4021"</f>
        <v>АТ 4021</v>
      </c>
      <c r="G656" s="24" t="str">
        <f>"СВ 33-16 ЕО"</f>
        <v>СВ 33-16 ЕО</v>
      </c>
      <c r="H656" s="24"/>
      <c r="J656" s="13" t="str">
        <f t="shared" si="73"/>
        <v>вул. Миру|17,15  48</v>
      </c>
      <c r="K656" s="32">
        <f t="shared" si="74"/>
        <v>0.3611111111111111</v>
      </c>
      <c r="L656" s="13" t="str">
        <f>IF($A656="","",IF(COUNTIFS($J$4:$J656,$J656,$E$4:$E656,$E656)=1,$E656,""))</f>
        <v>№6</v>
      </c>
      <c r="M656" s="13" t="str">
        <f>IF($A656="","",IF(COUNTIFS($J$4:$J656,$J656,$F$4:$F656,$F656)=1,$F656,""))</f>
        <v>АТ 4021</v>
      </c>
    </row>
    <row r="657" spans="1:13" x14ac:dyDescent="0.35">
      <c r="A657" s="23" t="str">
        <f>IFERROR(М6_АТ4021_0586!B23,"")</f>
        <v>вул. Миру</v>
      </c>
      <c r="B657" s="23" t="str">
        <f>IFERROR(IF(М6_АТ4021_0586!C23="","",TEXT(М6_АТ4021_0586!C23,"General")),"")</f>
        <v>24</v>
      </c>
      <c r="C657" s="24" t="str">
        <f>"Понеділок"</f>
        <v>Понеділок</v>
      </c>
      <c r="D657" s="24" t="str">
        <f>IFERROR(TEXT(М6_АТ4021_0586!D23,"h:mm"),"")</f>
        <v>10:45</v>
      </c>
      <c r="E657" s="24" t="str">
        <f>"№6"</f>
        <v>№6</v>
      </c>
      <c r="F657" s="24" t="str">
        <f>"АТ 4021"</f>
        <v>АТ 4021</v>
      </c>
      <c r="G657" s="24" t="str">
        <f>"СВ 33-16 ЕО"</f>
        <v>СВ 33-16 ЕО</v>
      </c>
      <c r="H657" s="24"/>
      <c r="J657" s="13" t="str">
        <f t="shared" si="73"/>
        <v>вул. Миру|24</v>
      </c>
      <c r="K657" s="32">
        <f t="shared" si="74"/>
        <v>0.44791666666666669</v>
      </c>
      <c r="L657" s="13" t="str">
        <f>IF($A657="","",IF(COUNTIFS($J$4:$J657,$J657,$E$4:$E657,$E657)=1,$E657,""))</f>
        <v>№6</v>
      </c>
      <c r="M657" s="13" t="str">
        <f>IF($A657="","",IF(COUNTIFS($J$4:$J657,$J657,$F$4:$F657,$F657)=1,$F657,""))</f>
        <v>АТ 4021</v>
      </c>
    </row>
    <row r="658" spans="1:13" x14ac:dyDescent="0.35">
      <c r="A658" s="23" t="str">
        <f>IFERROR(М6_АТ4021_0586!B83,"")</f>
        <v>вул. Миру</v>
      </c>
      <c r="B658" s="23" t="str">
        <f>IFERROR(IF(М6_АТ4021_0586!C83="","",TEXT(М6_АТ4021_0586!C83,"General")),"")</f>
        <v>58</v>
      </c>
      <c r="C658" s="24" t="str">
        <f>"Середа"</f>
        <v>Середа</v>
      </c>
      <c r="D658" s="24" t="str">
        <f>IFERROR(TEXT(М6_АТ4021_0586!D83,"h:mm"),"")</f>
        <v>8:15</v>
      </c>
      <c r="E658" s="24" t="str">
        <f>"№6"</f>
        <v>№6</v>
      </c>
      <c r="F658" s="24" t="str">
        <f>"АТ 4021"</f>
        <v>АТ 4021</v>
      </c>
      <c r="G658" s="24" t="str">
        <f>"СВ 33-16 ЕО"</f>
        <v>СВ 33-16 ЕО</v>
      </c>
      <c r="H658" s="24"/>
      <c r="J658" s="13" t="str">
        <f t="shared" si="73"/>
        <v>вул. Миру|58</v>
      </c>
      <c r="K658" s="32">
        <f t="shared" si="74"/>
        <v>0.34375</v>
      </c>
      <c r="L658" s="13" t="str">
        <f>IF($A658="","",IF(COUNTIFS($J$4:$J658,$J658,$E$4:$E658,$E658)=1,$E658,""))</f>
        <v>№6</v>
      </c>
      <c r="M658" s="13" t="str">
        <f>IF($A658="","",IF(COUNTIFS($J$4:$J658,$J658,$F$4:$F658,$F658)=1,$F658,""))</f>
        <v>АТ 4021</v>
      </c>
    </row>
    <row r="659" spans="1:13" x14ac:dyDescent="0.35">
      <c r="A659" s="23" t="str">
        <f>IFERROR('М2_АТ4021-1120_0588'!B86,"")</f>
        <v>вул. Михайлівський</v>
      </c>
      <c r="B659" s="23" t="str">
        <f>IFERROR(IF('М2_АТ4021-1120_0588'!C86="","",TEXT('М2_АТ4021-1120_0588'!C86,"General")),"")</f>
        <v>ОСББ</v>
      </c>
      <c r="C659" s="24" t="str">
        <f>"Четвер"</f>
        <v>Четвер</v>
      </c>
      <c r="D659" s="24" t="str">
        <f>IFERROR(TEXT('М2_АТ4021-1120_0588'!D86,"h:mm"),"")</f>
        <v>14:35</v>
      </c>
      <c r="E659" s="24" t="str">
        <f>"№2"</f>
        <v>№2</v>
      </c>
      <c r="F659" s="24" t="str">
        <f>"АТ 4021/1120"</f>
        <v>АТ 4021/1120</v>
      </c>
      <c r="G659" s="24" t="str">
        <f>"СВ 64-11 ЕТ"</f>
        <v>СВ 64-11 ЕТ</v>
      </c>
      <c r="H659" s="24">
        <f>IFERROR('М2_АТ4021-1120_0588'!G86,"")</f>
        <v>1</v>
      </c>
      <c r="J659" s="13" t="str">
        <f t="shared" si="73"/>
        <v>вул. Михайлівський|ОСББ</v>
      </c>
      <c r="K659" s="32">
        <f t="shared" si="74"/>
        <v>0.60763888888888884</v>
      </c>
      <c r="L659" s="13" t="str">
        <f>IF($A659="","",IF(COUNTIFS($J$4:$J659,$J659,$E$4:$E659,$E659)=1,$E659,""))</f>
        <v>№2</v>
      </c>
      <c r="M659" s="13" t="str">
        <f>IF($A659="","",IF(COUNTIFS($J$4:$J659,$J659,$F$4:$F659,$F659)=1,$F659,""))</f>
        <v>АТ 4021/1120</v>
      </c>
    </row>
    <row r="660" spans="1:13" x14ac:dyDescent="0.35">
      <c r="A660" s="23" t="str">
        <f>IFERROR(М5_МАЗ4381_0592!B97,"")</f>
        <v>вул. Молодіжна</v>
      </c>
      <c r="B660" s="23" t="str">
        <f>IFERROR(IF(М5_МАЗ4381_0592!C97="","",TEXT(М5_МАЗ4381_0592!C97,"General")),"")</f>
        <v/>
      </c>
      <c r="C660" s="24" t="str">
        <f>"Середа"</f>
        <v>Середа</v>
      </c>
      <c r="D660" s="24" t="str">
        <f>IFERROR(TEXT(М5_МАЗ4381_0592!D97,"h:mm"),"")</f>
        <v>10:55</v>
      </c>
      <c r="E660" s="24" t="str">
        <f>"№5"</f>
        <v>№5</v>
      </c>
      <c r="F660" s="24" t="str">
        <f>"МАЗ 4381"</f>
        <v>МАЗ 4381</v>
      </c>
      <c r="G660" s="24" t="str">
        <f>"СВ 81-71 ВК"</f>
        <v>СВ 81-71 ВК</v>
      </c>
      <c r="H660" s="24"/>
      <c r="J660" s="13" t="str">
        <f t="shared" si="73"/>
        <v>вул. Молодіжна|</v>
      </c>
      <c r="K660" s="32">
        <f t="shared" si="74"/>
        <v>0.4548611111111111</v>
      </c>
      <c r="L660" s="13" t="str">
        <f>IF($A660="","",IF(COUNTIFS($J$4:$J660,$J660,$E$4:$E660,$E660)=1,$E660,""))</f>
        <v>№5</v>
      </c>
      <c r="M660" s="13" t="str">
        <f>IF($A660="","",IF(COUNTIFS($J$4:$J660,$J660,$F$4:$F660,$F660)=1,$F660,""))</f>
        <v>МАЗ 4381</v>
      </c>
    </row>
    <row r="661" spans="1:13" x14ac:dyDescent="0.35">
      <c r="A661" s="23" t="str">
        <f>IFERROR(М5_МАЗ4381_0592!B90,"")</f>
        <v>вул. Н. Левинського</v>
      </c>
      <c r="B661" s="23" t="str">
        <f>IFERROR(IF(М5_МАЗ4381_0592!C90="","",TEXT(М5_МАЗ4381_0592!C90,"General")),"")</f>
        <v/>
      </c>
      <c r="C661" s="24" t="str">
        <f>"Середа"</f>
        <v>Середа</v>
      </c>
      <c r="D661" s="24" t="str">
        <f>IFERROR(TEXT(М5_МАЗ4381_0592!D90,"h:mm"),"")</f>
        <v>8:40</v>
      </c>
      <c r="E661" s="24" t="str">
        <f>"№5"</f>
        <v>№5</v>
      </c>
      <c r="F661" s="24" t="str">
        <f>"МАЗ 4381"</f>
        <v>МАЗ 4381</v>
      </c>
      <c r="G661" s="24" t="str">
        <f>"СВ 81-71 ВК"</f>
        <v>СВ 81-71 ВК</v>
      </c>
      <c r="H661" s="24"/>
      <c r="J661" s="13" t="str">
        <f t="shared" si="73"/>
        <v>вул. Н. Левинського|</v>
      </c>
      <c r="K661" s="32">
        <f t="shared" si="74"/>
        <v>0.3611111111111111</v>
      </c>
      <c r="L661" s="13" t="str">
        <f>IF($A661="","",IF(COUNTIFS($J$4:$J661,$J661,$E$4:$E661,$E661)=1,$E661,""))</f>
        <v>№5</v>
      </c>
      <c r="M661" s="13" t="str">
        <f>IF($A661="","",IF(COUNTIFS($J$4:$J661,$J661,$F$4:$F661,$F661)=1,$F661,""))</f>
        <v>МАЗ 4381</v>
      </c>
    </row>
    <row r="662" spans="1:13" x14ac:dyDescent="0.35">
      <c r="A662" s="23" t="str">
        <f>IFERROR(М3_МАЗ4371_0587!B26,"")</f>
        <v>вул. Небесної Сотні</v>
      </c>
      <c r="B662" s="23" t="str">
        <f>IFERROR(IF(М3_МАЗ4371_0587!C26="","",TEXT(М3_МАЗ4371_0587!C26,"General")),"")</f>
        <v/>
      </c>
      <c r="C662" s="24" t="str">
        <f>"Понеділок"</f>
        <v>Понеділок</v>
      </c>
      <c r="D662" s="24" t="str">
        <f>IFERROR(TEXT(М3_МАЗ4371_0587!D26,"h:mm"),"")</f>
        <v>12:45</v>
      </c>
      <c r="E662" s="24" t="str">
        <f>"№3"</f>
        <v>№3</v>
      </c>
      <c r="F662" s="24" t="str">
        <f>"МАЗ-4371"</f>
        <v>МАЗ-4371</v>
      </c>
      <c r="G662" s="24" t="str">
        <f>"СВ 53-06 СА"</f>
        <v>СВ 53-06 СА</v>
      </c>
      <c r="H662" s="24">
        <f>IFERROR(М3_МАЗ4371_0587!G26,"")</f>
        <v>3</v>
      </c>
      <c r="J662" s="13" t="str">
        <f t="shared" si="73"/>
        <v>вул. Небесної Сотні|</v>
      </c>
      <c r="K662" s="32">
        <f t="shared" si="74"/>
        <v>0.53125</v>
      </c>
      <c r="L662" s="13" t="str">
        <f>IF($A662="","",IF(COUNTIFS($J$4:$J662,$J662,$E$4:$E662,$E662)=1,$E662,""))</f>
        <v>№3</v>
      </c>
      <c r="M662" s="13" t="str">
        <f>IF($A662="","",IF(COUNTIFS($J$4:$J662,$J662,$F$4:$F662,$F662)=1,$F662,""))</f>
        <v>МАЗ-4371</v>
      </c>
    </row>
    <row r="663" spans="1:13" x14ac:dyDescent="0.35">
      <c r="A663" s="23" t="str">
        <f>IFERROR(М5_МАЗ4381_0592!B33,"")</f>
        <v>вул. Небесної Сотні</v>
      </c>
      <c r="B663" s="23" t="str">
        <f>IFERROR(IF(М5_МАЗ4381_0592!C33="","",TEXT(М5_МАЗ4381_0592!C33,"General")),"")</f>
        <v/>
      </c>
      <c r="C663" s="24" t="str">
        <f>"Понеділок"</f>
        <v>Понеділок</v>
      </c>
      <c r="D663" s="24" t="str">
        <f>IFERROR(TEXT(М5_МАЗ4381_0592!D33,"h:mm"),"")</f>
        <v>13:45</v>
      </c>
      <c r="E663" s="24" t="str">
        <f>"№5"</f>
        <v>№5</v>
      </c>
      <c r="F663" s="24" t="str">
        <f>"МАЗ 4381"</f>
        <v>МАЗ 4381</v>
      </c>
      <c r="G663" s="24" t="str">
        <f>"СВ 81-71 ВК"</f>
        <v>СВ 81-71 ВК</v>
      </c>
      <c r="H663" s="24"/>
      <c r="J663" s="13" t="str">
        <f t="shared" si="73"/>
        <v>вул. Небесної Сотні|</v>
      </c>
      <c r="K663" s="32">
        <f t="shared" si="74"/>
        <v>0.57291666666666663</v>
      </c>
      <c r="L663" s="13" t="str">
        <f>IF($A663="","",IF(COUNTIFS($J$4:$J663,$J663,$E$4:$E663,$E663)=1,$E663,""))</f>
        <v>№5</v>
      </c>
      <c r="M663" s="13" t="str">
        <f>IF($A663="","",IF(COUNTIFS($J$4:$J663,$J663,$F$4:$F663,$F663)=1,$F663,""))</f>
        <v>МАЗ 4381</v>
      </c>
    </row>
    <row r="664" spans="1:13" x14ac:dyDescent="0.35">
      <c r="A664" s="23" t="str">
        <f>IFERROR(М3_МАЗ4371_0587!B65,"")</f>
        <v>вул. Небесної Сотні</v>
      </c>
      <c r="B664" s="23" t="str">
        <f>IFERROR(IF(М3_МАЗ4371_0587!C65="","",TEXT(М3_МАЗ4371_0587!C65,"General")),"")</f>
        <v/>
      </c>
      <c r="C664" s="24" t="str">
        <f>"Вівторок"</f>
        <v>Вівторок</v>
      </c>
      <c r="D664" s="24" t="str">
        <f>IFERROR(TEXT(М3_МАЗ4371_0587!D65,"h:mm"),"")</f>
        <v>14:25</v>
      </c>
      <c r="E664" s="24" t="str">
        <f>"№3"</f>
        <v>№3</v>
      </c>
      <c r="F664" s="24" t="str">
        <f>"МАЗ-4371"</f>
        <v>МАЗ-4371</v>
      </c>
      <c r="G664" s="24" t="str">
        <f>"СВ 53-06 СА"</f>
        <v>СВ 53-06 СА</v>
      </c>
      <c r="H664" s="24">
        <f>IFERROR(М3_МАЗ4371_0587!G65,"")</f>
        <v>4</v>
      </c>
      <c r="J664" s="13" t="str">
        <f t="shared" si="73"/>
        <v>вул. Небесної Сотні|</v>
      </c>
      <c r="K664" s="32">
        <f t="shared" si="74"/>
        <v>0.60069444444444442</v>
      </c>
      <c r="L664" s="13" t="str">
        <f>IF($A664="","",IF(COUNTIFS($J$4:$J664,$J664,$E$4:$E664,$E664)=1,$E664,""))</f>
        <v/>
      </c>
      <c r="M664" s="13" t="str">
        <f>IF($A664="","",IF(COUNTIFS($J$4:$J664,$J664,$F$4:$F664,$F664)=1,$F664,""))</f>
        <v/>
      </c>
    </row>
    <row r="665" spans="1:13" x14ac:dyDescent="0.35">
      <c r="A665" s="23" t="str">
        <f>IFERROR(М5_МАЗ4381_0592!B76,"")</f>
        <v>вул. Небесної Сотні</v>
      </c>
      <c r="B665" s="23" t="str">
        <f>IFERROR(IF(М5_МАЗ4381_0592!C76="","",TEXT(М5_МАЗ4381_0592!C76,"General")),"")</f>
        <v/>
      </c>
      <c r="C665" s="24" t="str">
        <f>"Вівторок"</f>
        <v>Вівторок</v>
      </c>
      <c r="D665" s="24" t="str">
        <f>IFERROR(TEXT(М5_МАЗ4381_0592!D76,"h:mm"),"")</f>
        <v>15:25</v>
      </c>
      <c r="E665" s="24" t="str">
        <f>"№5"</f>
        <v>№5</v>
      </c>
      <c r="F665" s="24" t="str">
        <f>"МАЗ 4381"</f>
        <v>МАЗ 4381</v>
      </c>
      <c r="G665" s="24" t="str">
        <f>"СВ 81-71 ВК"</f>
        <v>СВ 81-71 ВК</v>
      </c>
      <c r="H665" s="24"/>
      <c r="J665" s="13" t="str">
        <f t="shared" si="73"/>
        <v>вул. Небесної Сотні|</v>
      </c>
      <c r="K665" s="32">
        <f t="shared" si="74"/>
        <v>0.64236111111111116</v>
      </c>
      <c r="L665" s="13" t="str">
        <f>IF($A665="","",IF(COUNTIFS($J$4:$J665,$J665,$E$4:$E665,$E665)=1,$E665,""))</f>
        <v/>
      </c>
      <c r="M665" s="13" t="str">
        <f>IF($A665="","",IF(COUNTIFS($J$4:$J665,$J665,$F$4:$F665,$F665)=1,$F665,""))</f>
        <v/>
      </c>
    </row>
    <row r="666" spans="1:13" x14ac:dyDescent="0.35">
      <c r="A666" s="23" t="str">
        <f>IFERROR(М3_МАЗ4371_0587!B91,"")</f>
        <v>вул. Небесної Сотні</v>
      </c>
      <c r="B666" s="23" t="str">
        <f>IFERROR(IF(М3_МАЗ4371_0587!C91="","",TEXT(М3_МАЗ4371_0587!C91,"General")),"")</f>
        <v/>
      </c>
      <c r="C666" s="24" t="str">
        <f>"Середа"</f>
        <v>Середа</v>
      </c>
      <c r="D666" s="24" t="str">
        <f>IFERROR(TEXT(М3_МАЗ4371_0587!D91,"h:mm"),"")</f>
        <v>12:15</v>
      </c>
      <c r="E666" s="24" t="str">
        <f>"№3"</f>
        <v>№3</v>
      </c>
      <c r="F666" s="24" t="str">
        <f>"МАЗ-4371"</f>
        <v>МАЗ-4371</v>
      </c>
      <c r="G666" s="24" t="str">
        <f>"СВ 53-06 СА"</f>
        <v>СВ 53-06 СА</v>
      </c>
      <c r="H666" s="24">
        <f>IFERROR(М3_МАЗ4371_0587!G91,"")</f>
        <v>3</v>
      </c>
      <c r="J666" s="13" t="str">
        <f t="shared" si="73"/>
        <v>вул. Небесної Сотні|</v>
      </c>
      <c r="K666" s="32">
        <f t="shared" si="74"/>
        <v>0.51041666666666663</v>
      </c>
      <c r="L666" s="13" t="str">
        <f>IF($A666="","",IF(COUNTIFS($J$4:$J666,$J666,$E$4:$E666,$E666)=1,$E666,""))</f>
        <v/>
      </c>
      <c r="M666" s="13" t="str">
        <f>IF($A666="","",IF(COUNTIFS($J$4:$J666,$J666,$F$4:$F666,$F666)=1,$F666,""))</f>
        <v/>
      </c>
    </row>
    <row r="667" spans="1:13" x14ac:dyDescent="0.35">
      <c r="A667" s="23" t="str">
        <f>IFERROR('М3-4_ГАЗ3309_0590'!B23,"")</f>
        <v>вул. Небесної Сотні</v>
      </c>
      <c r="B667" s="23" t="str">
        <f>IFERROR(IF('М3-4_ГАЗ3309_0590'!C23="","",TEXT('М3-4_ГАЗ3309_0590'!C23,"General")),"")</f>
        <v/>
      </c>
      <c r="C667" s="24" t="str">
        <f>"Четвер"</f>
        <v>Четвер</v>
      </c>
      <c r="D667" s="24" t="str">
        <f>IFERROR(TEXT('М3-4_ГАЗ3309_0590'!D23,"h:mm"),"")</f>
        <v>13:35</v>
      </c>
      <c r="E667" s="24" t="str">
        <f>"№3"</f>
        <v>№3</v>
      </c>
      <c r="F667" s="24" t="str">
        <f>"ГАЗ 3309"</f>
        <v>ГАЗ 3309</v>
      </c>
      <c r="G667" s="24" t="str">
        <f>"СВ 17-85 ВН"</f>
        <v>СВ 17-85 ВН</v>
      </c>
      <c r="H667" s="24">
        <f>IFERROR('М3-4_ГАЗ3309_0590'!G23,"")</f>
        <v>3</v>
      </c>
      <c r="J667" s="13" t="str">
        <f t="shared" si="73"/>
        <v>вул. Небесної Сотні|</v>
      </c>
      <c r="K667" s="32">
        <f t="shared" si="74"/>
        <v>0.56597222222222221</v>
      </c>
      <c r="L667" s="13" t="str">
        <f>IF($A667="","",IF(COUNTIFS($J$4:$J667,$J667,$E$4:$E667,$E667)=1,$E667,""))</f>
        <v/>
      </c>
      <c r="M667" s="13" t="str">
        <f>IF($A667="","",IF(COUNTIFS($J$4:$J667,$J667,$F$4:$F667,$F667)=1,$F667,""))</f>
        <v>ГАЗ 3309</v>
      </c>
    </row>
    <row r="668" spans="1:13" x14ac:dyDescent="0.35">
      <c r="A668" s="23" t="str">
        <f>IFERROR(М3_МАЗ4371_0587!B133,"")</f>
        <v>вул. Небесної Сотні</v>
      </c>
      <c r="B668" s="23" t="str">
        <f>IFERROR(IF(М3_МАЗ4371_0587!C133="","",TEXT(М3_МАЗ4371_0587!C133,"General")),"")</f>
        <v/>
      </c>
      <c r="C668" s="24" t="str">
        <f>"П'ятниця"</f>
        <v>П'ятниця</v>
      </c>
      <c r="D668" s="24" t="str">
        <f>IFERROR(TEXT(М3_МАЗ4371_0587!D133,"h:mm"),"")</f>
        <v>12:45</v>
      </c>
      <c r="E668" s="24" t="str">
        <f>"№3"</f>
        <v>№3</v>
      </c>
      <c r="F668" s="24" t="str">
        <f>"МАЗ-4371"</f>
        <v>МАЗ-4371</v>
      </c>
      <c r="G668" s="24" t="str">
        <f>"СВ 53-06 СА"</f>
        <v>СВ 53-06 СА</v>
      </c>
      <c r="H668" s="24">
        <f>IFERROR(М3_МАЗ4371_0587!G133,"")</f>
        <v>3</v>
      </c>
      <c r="J668" s="13" t="str">
        <f t="shared" si="73"/>
        <v>вул. Небесної Сотні|</v>
      </c>
      <c r="K668" s="32">
        <f t="shared" si="74"/>
        <v>0.53125</v>
      </c>
      <c r="L668" s="13" t="str">
        <f>IF($A668="","",IF(COUNTIFS($J$4:$J668,$J668,$E$4:$E668,$E668)=1,$E668,""))</f>
        <v/>
      </c>
      <c r="M668" s="13" t="str">
        <f>IF($A668="","",IF(COUNTIFS($J$4:$J668,$J668,$F$4:$F668,$F668)=1,$F668,""))</f>
        <v/>
      </c>
    </row>
    <row r="669" spans="1:13" x14ac:dyDescent="0.35">
      <c r="A669" s="23" t="str">
        <f>IFERROR(М3_МАЗ4371_0587!B169,"")</f>
        <v>вул. Небесної Сотні</v>
      </c>
      <c r="B669" s="23" t="str">
        <f>IFERROR(IF(М3_МАЗ4371_0587!C169="","",TEXT(М3_МАЗ4371_0587!C169,"General")),"")</f>
        <v/>
      </c>
      <c r="C669" s="24" t="str">
        <f>"Субота"</f>
        <v>Субота</v>
      </c>
      <c r="D669" s="24" t="str">
        <f>IFERROR(TEXT(М3_МАЗ4371_0587!D169,"h:mm"),"")</f>
        <v>13:45</v>
      </c>
      <c r="E669" s="24" t="str">
        <f>"№3"</f>
        <v>№3</v>
      </c>
      <c r="F669" s="24" t="str">
        <f>"МАЗ-4371"</f>
        <v>МАЗ-4371</v>
      </c>
      <c r="G669" s="24" t="str">
        <f>"СВ 53-06 СА"</f>
        <v>СВ 53-06 СА</v>
      </c>
      <c r="H669" s="24">
        <f>IFERROR(М3_МАЗ4371_0587!G169,"")</f>
        <v>4</v>
      </c>
      <c r="J669" s="13" t="str">
        <f t="shared" si="73"/>
        <v>вул. Небесної Сотні|</v>
      </c>
      <c r="K669" s="32">
        <f t="shared" si="74"/>
        <v>0.57291666666666663</v>
      </c>
      <c r="L669" s="13" t="str">
        <f>IF($A669="","",IF(COUNTIFS($J$4:$J669,$J669,$E$4:$E669,$E669)=1,$E669,""))</f>
        <v/>
      </c>
      <c r="M669" s="13" t="str">
        <f>IF($A669="","",IF(COUNTIFS($J$4:$J669,$J669,$F$4:$F669,$F669)=1,$F669,""))</f>
        <v/>
      </c>
    </row>
    <row r="670" spans="1:13" x14ac:dyDescent="0.35">
      <c r="A670" s="23" t="str">
        <f>IFERROR('М3-4_ГАЗ3309_0590'!B55,"")</f>
        <v>вул. Небесної Сотні</v>
      </c>
      <c r="B670" s="23" t="str">
        <f>IFERROR(IF('М3-4_ГАЗ3309_0590'!C55="","",TEXT('М3-4_ГАЗ3309_0590'!C55,"General")),"")</f>
        <v/>
      </c>
      <c r="C670" s="24" t="str">
        <f>"Неділя"</f>
        <v>Неділя</v>
      </c>
      <c r="D670" s="24" t="str">
        <f>IFERROR(TEXT('М3-4_ГАЗ3309_0590'!D55,"h:mm"),"")</f>
        <v>13:35</v>
      </c>
      <c r="E670" s="24" t="str">
        <f>"№3"</f>
        <v>№3</v>
      </c>
      <c r="F670" s="24" t="str">
        <f>"ГАЗ 3309"</f>
        <v>ГАЗ 3309</v>
      </c>
      <c r="G670" s="24" t="str">
        <f>"СВ 17-85 ВН"</f>
        <v>СВ 17-85 ВН</v>
      </c>
      <c r="H670" s="24">
        <f>IFERROR('М3-4_ГАЗ3309_0590'!G55,"")</f>
        <v>3</v>
      </c>
      <c r="J670" s="13" t="str">
        <f t="shared" si="73"/>
        <v>вул. Небесної Сотні|</v>
      </c>
      <c r="K670" s="32">
        <f t="shared" si="74"/>
        <v>0.56597222222222221</v>
      </c>
      <c r="L670" s="13" t="str">
        <f>IF($A670="","",IF(COUNTIFS($J$4:$J670,$J670,$E$4:$E670,$E670)=1,$E670,""))</f>
        <v/>
      </c>
      <c r="M670" s="13" t="str">
        <f>IF($A670="","",IF(COUNTIFS($J$4:$J670,$J670,$F$4:$F670,$F670)=1,$F670,""))</f>
        <v/>
      </c>
    </row>
    <row r="671" spans="1:13" x14ac:dyDescent="0.35">
      <c r="A671" s="23" t="str">
        <f>IFERROR(М4_АТ4042ROD_0584!B15,"")</f>
        <v>вул. Небесної Сотні</v>
      </c>
      <c r="B671" s="23" t="str">
        <f>IFERROR(IF(М4_АТ4042ROD_0584!C15="","",TEXT(М4_АТ4042ROD_0584!C15,"General")),"")</f>
        <v>РЕМ</v>
      </c>
      <c r="C671" s="24" t="str">
        <f>"Понеділок"</f>
        <v>Понеділок</v>
      </c>
      <c r="D671" s="24" t="str">
        <f>IFERROR(TEXT(М4_АТ4042ROD_0584!D15,"h:mm"),"")</f>
        <v>9:55</v>
      </c>
      <c r="E671" s="24" t="str">
        <f>"№4"</f>
        <v>№4</v>
      </c>
      <c r="F671" s="24" t="str">
        <f>"АТ 40-42/ROD21003"</f>
        <v>АТ 40-42/ROD21003</v>
      </c>
      <c r="G671" s="24" t="str">
        <f>"СВ 33-15 ЕО"</f>
        <v>СВ 33-15 ЕО</v>
      </c>
      <c r="H671" s="24">
        <f>IFERROR(М4_АТ4042ROD_0584!G15,"")</f>
        <v>2</v>
      </c>
      <c r="J671" s="13" t="str">
        <f t="shared" si="73"/>
        <v>вул. Небесної Сотні|РЕМ</v>
      </c>
      <c r="K671" s="32">
        <f t="shared" si="74"/>
        <v>0.41319444444444442</v>
      </c>
      <c r="L671" s="13" t="str">
        <f>IF($A671="","",IF(COUNTIFS($J$4:$J671,$J671,$E$4:$E671,$E671)=1,$E671,""))</f>
        <v>№4</v>
      </c>
      <c r="M671" s="13" t="str">
        <f>IF($A671="","",IF(COUNTIFS($J$4:$J671,$J671,$F$4:$F671,$F671)=1,$F671,""))</f>
        <v>АТ 40-42/ROD21003</v>
      </c>
    </row>
    <row r="672" spans="1:13" x14ac:dyDescent="0.35">
      <c r="A672" s="23" t="str">
        <f>IFERROR(М6_АТ4021_0586!B124,"")</f>
        <v>вул. Незалежності</v>
      </c>
      <c r="B672" s="23" t="str">
        <f>IFERROR(IF(М6_АТ4021_0586!C124="","",TEXT(М6_АТ4021_0586!C124,"General")),"")</f>
        <v>12,10  8,5</v>
      </c>
      <c r="C672" s="24" t="str">
        <f>"Четвер"</f>
        <v>Четвер</v>
      </c>
      <c r="D672" s="24" t="str">
        <f>IFERROR(TEXT(М6_АТ4021_0586!D124,"h:mm"),"")</f>
        <v>9:00</v>
      </c>
      <c r="E672" s="24" t="str">
        <f>"№6"</f>
        <v>№6</v>
      </c>
      <c r="F672" s="24" t="str">
        <f>"АТ 4021"</f>
        <v>АТ 4021</v>
      </c>
      <c r="G672" s="24" t="str">
        <f>"СВ 33-16 ЕО"</f>
        <v>СВ 33-16 ЕО</v>
      </c>
      <c r="H672" s="24"/>
      <c r="J672" s="13" t="str">
        <f t="shared" si="73"/>
        <v>вул. Незалежності|12,10  8,5</v>
      </c>
      <c r="K672" s="32">
        <f t="shared" si="74"/>
        <v>0.375</v>
      </c>
      <c r="L672" s="13" t="str">
        <f>IF($A672="","",IF(COUNTIFS($J$4:$J672,$J672,$E$4:$E672,$E672)=1,$E672,""))</f>
        <v>№6</v>
      </c>
      <c r="M672" s="13" t="str">
        <f>IF($A672="","",IF(COUNTIFS($J$4:$J672,$J672,$F$4:$F672,$F672)=1,$F672,""))</f>
        <v>АТ 4021</v>
      </c>
    </row>
    <row r="673" spans="1:13" x14ac:dyDescent="0.35">
      <c r="A673" s="23" t="str">
        <f>IFERROR('М2_АТ4021-1120_0588'!B14,"")</f>
        <v>вул. Незалежності</v>
      </c>
      <c r="B673" s="23" t="str">
        <f>IFERROR(IF('М2_АТ4021-1120_0588'!C14="","",TEXT('М2_АТ4021-1120_0588'!C14,"General")),"")</f>
        <v>Пляж</v>
      </c>
      <c r="C673" s="24" t="str">
        <f>"Понеділок"</f>
        <v>Понеділок</v>
      </c>
      <c r="D673" s="24" t="str">
        <f>IFERROR(TEXT('М2_АТ4021-1120_0588'!D14,"h:mm"),"")</f>
        <v>9:45</v>
      </c>
      <c r="E673" s="24" t="str">
        <f t="shared" ref="E673:E682" si="75">"№2"</f>
        <v>№2</v>
      </c>
      <c r="F673" s="24" t="str">
        <f>"АТ 4021/1120"</f>
        <v>АТ 4021/1120</v>
      </c>
      <c r="G673" s="24" t="str">
        <f>"СВ 64-11 ЕТ"</f>
        <v>СВ 64-11 ЕТ</v>
      </c>
      <c r="H673" s="24">
        <f>IFERROR('М2_АТ4021-1120_0588'!G14,"")</f>
        <v>3</v>
      </c>
      <c r="J673" s="13" t="str">
        <f t="shared" si="73"/>
        <v>вул. Незалежності|Пляж</v>
      </c>
      <c r="K673" s="32">
        <f t="shared" si="74"/>
        <v>0.40625</v>
      </c>
      <c r="L673" s="13" t="str">
        <f>IF($A673="","",IF(COUNTIFS($J$4:$J673,$J673,$E$4:$E673,$E673)=1,$E673,""))</f>
        <v>№2</v>
      </c>
      <c r="M673" s="13" t="str">
        <f>IF($A673="","",IF(COUNTIFS($J$4:$J673,$J673,$F$4:$F673,$F673)=1,$F673,""))</f>
        <v>АТ 4021/1120</v>
      </c>
    </row>
    <row r="674" spans="1:13" x14ac:dyDescent="0.35">
      <c r="A674" s="23" t="str">
        <f>IFERROR('М2_АТ4021-1120_0588'!B45,"")</f>
        <v>вул. Незалежності</v>
      </c>
      <c r="B674" s="23" t="str">
        <f>IFERROR(IF('М2_АТ4021-1120_0588'!C45="","",TEXT('М2_АТ4021-1120_0588'!C45,"General")),"")</f>
        <v>Пляж</v>
      </c>
      <c r="C674" s="24" t="str">
        <f>"Вівторок"</f>
        <v>Вівторок</v>
      </c>
      <c r="D674" s="24" t="str">
        <f>IFERROR(TEXT('М2_АТ4021-1120_0588'!D45,"h:mm"),"")</f>
        <v>9:45</v>
      </c>
      <c r="E674" s="24" t="str">
        <f t="shared" si="75"/>
        <v>№2</v>
      </c>
      <c r="F674" s="24" t="str">
        <f>"АТ 4021/1120"</f>
        <v>АТ 4021/1120</v>
      </c>
      <c r="G674" s="24" t="str">
        <f>"СВ 64-11 ЕТ"</f>
        <v>СВ 64-11 ЕТ</v>
      </c>
      <c r="H674" s="24">
        <f>IFERROR('М2_АТ4021-1120_0588'!G45,"")</f>
        <v>3</v>
      </c>
      <c r="J674" s="13" t="str">
        <f t="shared" si="73"/>
        <v>вул. Незалежності|Пляж</v>
      </c>
      <c r="K674" s="32">
        <f t="shared" si="74"/>
        <v>0.40625</v>
      </c>
      <c r="L674" s="13" t="str">
        <f>IF($A674="","",IF(COUNTIFS($J$4:$J674,$J674,$E$4:$E674,$E674)=1,$E674,""))</f>
        <v/>
      </c>
      <c r="M674" s="13" t="str">
        <f>IF($A674="","",IF(COUNTIFS($J$4:$J674,$J674,$F$4:$F674,$F674)=1,$F674,""))</f>
        <v/>
      </c>
    </row>
    <row r="675" spans="1:13" x14ac:dyDescent="0.35">
      <c r="A675" s="23" t="str">
        <f>IFERROR('М1-2_АТ4021-1120_0585'!B56,"")</f>
        <v>вул. Незалежності</v>
      </c>
      <c r="B675" s="23" t="str">
        <f>IFERROR(IF('М1-2_АТ4021-1120_0585'!C56="","",TEXT('М1-2_АТ4021-1120_0585'!C56,"General")),"")</f>
        <v>Пляж</v>
      </c>
      <c r="C675" s="24" t="str">
        <f>"Середа"</f>
        <v>Середа</v>
      </c>
      <c r="D675" s="24" t="str">
        <f>IFERROR(TEXT('М1-2_АТ4021-1120_0585'!D56,"h:mm"),"")</f>
        <v>9:55</v>
      </c>
      <c r="E675" s="24" t="str">
        <f t="shared" si="75"/>
        <v>№2</v>
      </c>
      <c r="F675" s="24" t="str">
        <f>"АТ-4021/1120"</f>
        <v>АТ-4021/1120</v>
      </c>
      <c r="G675" s="24" t="str">
        <f>"СВ 14-65 ЕО"</f>
        <v>СВ 14-65 ЕО</v>
      </c>
      <c r="H675" s="24">
        <f>IFERROR('М1-2_АТ4021-1120_0585'!G56,"")</f>
        <v>3</v>
      </c>
      <c r="J675" s="13" t="str">
        <f t="shared" si="73"/>
        <v>вул. Незалежності|Пляж</v>
      </c>
      <c r="K675" s="32">
        <f t="shared" si="74"/>
        <v>0.41319444444444442</v>
      </c>
      <c r="L675" s="13" t="str">
        <f>IF($A675="","",IF(COUNTIFS($J$4:$J675,$J675,$E$4:$E675,$E675)=1,$E675,""))</f>
        <v/>
      </c>
      <c r="M675" s="13" t="str">
        <f>IF($A675="","",IF(COUNTIFS($J$4:$J675,$J675,$F$4:$F675,$F675)=1,$F675,""))</f>
        <v>АТ-4021/1120</v>
      </c>
    </row>
    <row r="676" spans="1:13" x14ac:dyDescent="0.35">
      <c r="A676" s="23" t="str">
        <f>IFERROR('М2_АТ4021-1120_0588'!B76,"")</f>
        <v>вул. Незалежності</v>
      </c>
      <c r="B676" s="23" t="str">
        <f>IFERROR(IF('М2_АТ4021-1120_0588'!C76="","",TEXT('М2_АТ4021-1120_0588'!C76,"General")),"")</f>
        <v>Пляж</v>
      </c>
      <c r="C676" s="24" t="str">
        <f>"Четвер"</f>
        <v>Четвер</v>
      </c>
      <c r="D676" s="24" t="str">
        <f>IFERROR(TEXT('М2_АТ4021-1120_0588'!D76,"h:mm"),"")</f>
        <v>9:45</v>
      </c>
      <c r="E676" s="24" t="str">
        <f t="shared" si="75"/>
        <v>№2</v>
      </c>
      <c r="F676" s="24" t="str">
        <f>"АТ 4021/1120"</f>
        <v>АТ 4021/1120</v>
      </c>
      <c r="G676" s="24" t="str">
        <f>"СВ 64-11 ЕТ"</f>
        <v>СВ 64-11 ЕТ</v>
      </c>
      <c r="H676" s="24">
        <f>IFERROR('М2_АТ4021-1120_0588'!G76,"")</f>
        <v>3</v>
      </c>
      <c r="J676" s="13" t="str">
        <f t="shared" si="73"/>
        <v>вул. Незалежності|Пляж</v>
      </c>
      <c r="K676" s="32">
        <f t="shared" si="74"/>
        <v>0.40625</v>
      </c>
      <c r="L676" s="13" t="str">
        <f>IF($A676="","",IF(COUNTIFS($J$4:$J676,$J676,$E$4:$E676,$E676)=1,$E676,""))</f>
        <v/>
      </c>
      <c r="M676" s="13" t="str">
        <f>IF($A676="","",IF(COUNTIFS($J$4:$J676,$J676,$F$4:$F676,$F676)=1,$F676,""))</f>
        <v/>
      </c>
    </row>
    <row r="677" spans="1:13" x14ac:dyDescent="0.35">
      <c r="A677" s="23" t="str">
        <f>IFERROR('М2_АТ4021-1120_0588'!B106,"")</f>
        <v>вул. Незалежності</v>
      </c>
      <c r="B677" s="23" t="str">
        <f>IFERROR(IF('М2_АТ4021-1120_0588'!C106="","",TEXT('М2_АТ4021-1120_0588'!C106,"General")),"")</f>
        <v>Пляж</v>
      </c>
      <c r="C677" s="24" t="str">
        <f>"П'ятниця"</f>
        <v>П'ятниця</v>
      </c>
      <c r="D677" s="24" t="str">
        <f>IFERROR(TEXT('М2_АТ4021-1120_0588'!D106,"h:mm"),"")</f>
        <v>9:45</v>
      </c>
      <c r="E677" s="24" t="str">
        <f t="shared" si="75"/>
        <v>№2</v>
      </c>
      <c r="F677" s="24" t="str">
        <f>"АТ 4021/1120"</f>
        <v>АТ 4021/1120</v>
      </c>
      <c r="G677" s="24" t="str">
        <f>"СВ 64-11 ЕТ"</f>
        <v>СВ 64-11 ЕТ</v>
      </c>
      <c r="H677" s="24">
        <f>IFERROR('М2_АТ4021-1120_0588'!G106,"")</f>
        <v>3</v>
      </c>
      <c r="J677" s="13" t="str">
        <f t="shared" si="73"/>
        <v>вул. Незалежності|Пляж</v>
      </c>
      <c r="K677" s="32">
        <f t="shared" si="74"/>
        <v>0.40625</v>
      </c>
      <c r="L677" s="13" t="str">
        <f>IF($A677="","",IF(COUNTIFS($J$4:$J677,$J677,$E$4:$E677,$E677)=1,$E677,""))</f>
        <v/>
      </c>
      <c r="M677" s="13" t="str">
        <f>IF($A677="","",IF(COUNTIFS($J$4:$J677,$J677,$F$4:$F677,$F677)=1,$F677,""))</f>
        <v/>
      </c>
    </row>
    <row r="678" spans="1:13" x14ac:dyDescent="0.35">
      <c r="A678" s="23" t="str">
        <f>IFERROR('М1-2_АТ4021-1120_0585'!B85,"")</f>
        <v>вул. Незалежності</v>
      </c>
      <c r="B678" s="23" t="str">
        <f>IFERROR(IF('М1-2_АТ4021-1120_0585'!C85="","",TEXT('М1-2_АТ4021-1120_0585'!C85,"General")),"")</f>
        <v>Пляж</v>
      </c>
      <c r="C678" s="24" t="str">
        <f>"Субота"</f>
        <v>Субота</v>
      </c>
      <c r="D678" s="24" t="str">
        <f>IFERROR(TEXT('М1-2_АТ4021-1120_0585'!D85,"h:mm"),"")</f>
        <v>9:55</v>
      </c>
      <c r="E678" s="24" t="str">
        <f t="shared" si="75"/>
        <v>№2</v>
      </c>
      <c r="F678" s="24" t="str">
        <f>"АТ-4021/1120"</f>
        <v>АТ-4021/1120</v>
      </c>
      <c r="G678" s="24" t="str">
        <f>"СВ 14-65 ЕО"</f>
        <v>СВ 14-65 ЕО</v>
      </c>
      <c r="H678" s="24">
        <f>IFERROR('М1-2_АТ4021-1120_0585'!G85,"")</f>
        <v>3</v>
      </c>
      <c r="J678" s="13" t="str">
        <f t="shared" si="73"/>
        <v>вул. Незалежності|Пляж</v>
      </c>
      <c r="K678" s="32">
        <f t="shared" si="74"/>
        <v>0.41319444444444442</v>
      </c>
      <c r="L678" s="13" t="str">
        <f>IF($A678="","",IF(COUNTIFS($J$4:$J678,$J678,$E$4:$E678,$E678)=1,$E678,""))</f>
        <v/>
      </c>
      <c r="M678" s="13" t="str">
        <f>IF($A678="","",IF(COUNTIFS($J$4:$J678,$J678,$F$4:$F678,$F678)=1,$F678,""))</f>
        <v/>
      </c>
    </row>
    <row r="679" spans="1:13" x14ac:dyDescent="0.35">
      <c r="A679" s="23" t="str">
        <f>IFERROR('М2_АТ4021-1120_0588'!B136,"")</f>
        <v>вул. Незалежності</v>
      </c>
      <c r="B679" s="23" t="str">
        <f>IFERROR(IF('М2_АТ4021-1120_0588'!C136="","",TEXT('М2_АТ4021-1120_0588'!C136,"General")),"")</f>
        <v>Пляж</v>
      </c>
      <c r="C679" s="24" t="str">
        <f>"Неділя"</f>
        <v>Неділя</v>
      </c>
      <c r="D679" s="24" t="str">
        <f>IFERROR(TEXT('М2_АТ4021-1120_0588'!D136,"h:mm"),"")</f>
        <v>9:45</v>
      </c>
      <c r="E679" s="24" t="str">
        <f t="shared" si="75"/>
        <v>№2</v>
      </c>
      <c r="F679" s="24" t="str">
        <f>"АТ 4021/1120"</f>
        <v>АТ 4021/1120</v>
      </c>
      <c r="G679" s="24" t="str">
        <f>"СВ 64-11 ЕТ"</f>
        <v>СВ 64-11 ЕТ</v>
      </c>
      <c r="H679" s="24">
        <f>IFERROR('М2_АТ4021-1120_0588'!G136,"")</f>
        <v>3</v>
      </c>
      <c r="J679" s="13" t="str">
        <f t="shared" si="73"/>
        <v>вул. Незалежності|Пляж</v>
      </c>
      <c r="K679" s="32">
        <f t="shared" si="74"/>
        <v>0.40625</v>
      </c>
      <c r="L679" s="13" t="str">
        <f>IF($A679="","",IF(COUNTIFS($J$4:$J679,$J679,$E$4:$E679,$E679)=1,$E679,""))</f>
        <v/>
      </c>
      <c r="M679" s="13" t="str">
        <f>IF($A679="","",IF(COUNTIFS($J$4:$J679,$J679,$F$4:$F679,$F679)=1,$F679,""))</f>
        <v/>
      </c>
    </row>
    <row r="680" spans="1:13" x14ac:dyDescent="0.35">
      <c r="A680" s="23" t="str">
        <f>IFERROR('М2_АТ4021-1120_0588'!B25,"")</f>
        <v>вул. Незалежності</v>
      </c>
      <c r="B680" s="23" t="str">
        <f>IFERROR(IF('М2_АТ4021-1120_0588'!C25="","",TEXT('М2_АТ4021-1120_0588'!C25,"General")),"")</f>
        <v>Універмаг</v>
      </c>
      <c r="C680" s="24" t="str">
        <f>"Понеділок"</f>
        <v>Понеділок</v>
      </c>
      <c r="D680" s="24" t="str">
        <f>IFERROR(TEXT('М2_АТ4021-1120_0588'!D25,"h:mm"),"")</f>
        <v>15:05</v>
      </c>
      <c r="E680" s="24" t="str">
        <f t="shared" si="75"/>
        <v>№2</v>
      </c>
      <c r="F680" s="24" t="str">
        <f>"АТ 4021/1120"</f>
        <v>АТ 4021/1120</v>
      </c>
      <c r="G680" s="24" t="str">
        <f>"СВ 64-11 ЕТ"</f>
        <v>СВ 64-11 ЕТ</v>
      </c>
      <c r="H680" s="24">
        <f>IFERROR('М2_АТ4021-1120_0588'!G25,"")</f>
        <v>2</v>
      </c>
      <c r="J680" s="13" t="str">
        <f t="shared" si="73"/>
        <v>вул. Незалежності|Універмаг</v>
      </c>
      <c r="K680" s="32">
        <f t="shared" si="74"/>
        <v>0.62847222222222221</v>
      </c>
      <c r="L680" s="13" t="str">
        <f>IF($A680="","",IF(COUNTIFS($J$4:$J680,$J680,$E$4:$E680,$E680)=1,$E680,""))</f>
        <v>№2</v>
      </c>
      <c r="M680" s="13" t="str">
        <f>IF($A680="","",IF(COUNTIFS($J$4:$J680,$J680,$F$4:$F680,$F680)=1,$F680,""))</f>
        <v>АТ 4021/1120</v>
      </c>
    </row>
    <row r="681" spans="1:13" x14ac:dyDescent="0.35">
      <c r="A681" s="23" t="str">
        <f>IFERROR('М2_АТ4021-1120_0588'!B24,"")</f>
        <v>вул. Незалежності</v>
      </c>
      <c r="B681" s="23" t="str">
        <f>IFERROR(IF('М2_АТ4021-1120_0588'!C24="","",TEXT('М2_АТ4021-1120_0588'!C24,"General")),"")</f>
        <v>старий ринок</v>
      </c>
      <c r="C681" s="24" t="str">
        <f>"Понеділок"</f>
        <v>Понеділок</v>
      </c>
      <c r="D681" s="24" t="str">
        <f>IFERROR(TEXT('М2_АТ4021-1120_0588'!D24,"h:mm"),"")</f>
        <v>14:40</v>
      </c>
      <c r="E681" s="24" t="str">
        <f t="shared" si="75"/>
        <v>№2</v>
      </c>
      <c r="F681" s="24" t="str">
        <f>"АТ 4021/1120"</f>
        <v>АТ 4021/1120</v>
      </c>
      <c r="G681" s="24" t="str">
        <f>"СВ 64-11 ЕТ"</f>
        <v>СВ 64-11 ЕТ</v>
      </c>
      <c r="H681" s="24">
        <f>IFERROR('М2_АТ4021-1120_0588'!G24,"")</f>
        <v>5</v>
      </c>
      <c r="J681" s="13" t="str">
        <f t="shared" si="73"/>
        <v>вул. Незалежності|старий ринок</v>
      </c>
      <c r="K681" s="32">
        <f t="shared" si="74"/>
        <v>0.61111111111111116</v>
      </c>
      <c r="L681" s="13" t="str">
        <f>IF($A681="","",IF(COUNTIFS($J$4:$J681,$J681,$E$4:$E681,$E681)=1,$E681,""))</f>
        <v>№2</v>
      </c>
      <c r="M681" s="13" t="str">
        <f>IF($A681="","",IF(COUNTIFS($J$4:$J681,$J681,$F$4:$F681,$F681)=1,$F681,""))</f>
        <v>АТ 4021/1120</v>
      </c>
    </row>
    <row r="682" spans="1:13" x14ac:dyDescent="0.35">
      <c r="A682" s="23" t="str">
        <f>IFERROR('М2_АТ4021-1120_0588'!B116,"")</f>
        <v>вул. Незалежності</v>
      </c>
      <c r="B682" s="23" t="str">
        <f>IFERROR(IF('М2_АТ4021-1120_0588'!C116="","",TEXT('М2_АТ4021-1120_0588'!C116,"General")),"")</f>
        <v>старий ринок</v>
      </c>
      <c r="C682" s="24" t="str">
        <f>"П'ятниця"</f>
        <v>П'ятниця</v>
      </c>
      <c r="D682" s="24" t="str">
        <f>IFERROR(TEXT('М2_АТ4021-1120_0588'!D116,"h:mm"),"")</f>
        <v>14:40</v>
      </c>
      <c r="E682" s="24" t="str">
        <f t="shared" si="75"/>
        <v>№2</v>
      </c>
      <c r="F682" s="24" t="str">
        <f>"АТ 4021/1120"</f>
        <v>АТ 4021/1120</v>
      </c>
      <c r="G682" s="24" t="str">
        <f>"СВ 64-11 ЕТ"</f>
        <v>СВ 64-11 ЕТ</v>
      </c>
      <c r="H682" s="24">
        <f>IFERROR('М2_АТ4021-1120_0588'!G116,"")</f>
        <v>5</v>
      </c>
      <c r="J682" s="13" t="str">
        <f t="shared" si="73"/>
        <v>вул. Незалежності|старий ринок</v>
      </c>
      <c r="K682" s="32">
        <f t="shared" si="74"/>
        <v>0.61111111111111116</v>
      </c>
      <c r="L682" s="13" t="str">
        <f>IF($A682="","",IF(COUNTIFS($J$4:$J682,$J682,$E$4:$E682,$E682)=1,$E682,""))</f>
        <v/>
      </c>
      <c r="M682" s="13" t="str">
        <f>IF($A682="","",IF(COUNTIFS($J$4:$J682,$J682,$F$4:$F682,$F682)=1,$F682,""))</f>
        <v/>
      </c>
    </row>
    <row r="683" spans="1:13" x14ac:dyDescent="0.35">
      <c r="A683" s="23" t="str">
        <f>IFERROR(М5_МАЗ4381_0592!B68,"")</f>
        <v>вул. Низова</v>
      </c>
      <c r="B683" s="23" t="str">
        <f>IFERROR(IF(М5_МАЗ4381_0592!C68="","",TEXT(М5_МАЗ4381_0592!C68,"General")),"")</f>
        <v/>
      </c>
      <c r="C683" s="24" t="str">
        <f>"Вівторок"</f>
        <v>Вівторок</v>
      </c>
      <c r="D683" s="24" t="str">
        <f>IFERROR(TEXT(М5_МАЗ4381_0592!D68,"h:mm"),"")</f>
        <v>13:20</v>
      </c>
      <c r="E683" s="24" t="str">
        <f t="shared" ref="E683:E688" si="76">"№5"</f>
        <v>№5</v>
      </c>
      <c r="F683" s="24" t="str">
        <f t="shared" ref="F683:F688" si="77">"МАЗ 4381"</f>
        <v>МАЗ 4381</v>
      </c>
      <c r="G683" s="24" t="str">
        <f t="shared" ref="G683:G688" si="78">"СВ 81-71 ВК"</f>
        <v>СВ 81-71 ВК</v>
      </c>
      <c r="H683" s="24"/>
      <c r="J683" s="13" t="str">
        <f t="shared" si="73"/>
        <v>вул. Низова|</v>
      </c>
      <c r="K683" s="32">
        <f t="shared" si="74"/>
        <v>0.55555555555555558</v>
      </c>
      <c r="L683" s="13" t="str">
        <f>IF($A683="","",IF(COUNTIFS($J$4:$J683,$J683,$E$4:$E683,$E683)=1,$E683,""))</f>
        <v>№5</v>
      </c>
      <c r="M683" s="13" t="str">
        <f>IF($A683="","",IF(COUNTIFS($J$4:$J683,$J683,$F$4:$F683,$F683)=1,$F683,""))</f>
        <v>МАЗ 4381</v>
      </c>
    </row>
    <row r="684" spans="1:13" x14ac:dyDescent="0.35">
      <c r="A684" s="23" t="str">
        <f>IFERROR(М5_МАЗ4381_0592!B69,"")</f>
        <v>вул. Нова</v>
      </c>
      <c r="B684" s="23" t="str">
        <f>IFERROR(IF(М5_МАЗ4381_0592!C69="","",TEXT(М5_МАЗ4381_0592!C69,"General")),"")</f>
        <v/>
      </c>
      <c r="C684" s="24" t="str">
        <f>"Вівторок"</f>
        <v>Вівторок</v>
      </c>
      <c r="D684" s="24" t="str">
        <f>IFERROR(TEXT(М5_МАЗ4381_0592!D69,"h:mm"),"")</f>
        <v>13:30</v>
      </c>
      <c r="E684" s="24" t="str">
        <f t="shared" si="76"/>
        <v>№5</v>
      </c>
      <c r="F684" s="24" t="str">
        <f t="shared" si="77"/>
        <v>МАЗ 4381</v>
      </c>
      <c r="G684" s="24" t="str">
        <f t="shared" si="78"/>
        <v>СВ 81-71 ВК</v>
      </c>
      <c r="H684" s="24"/>
      <c r="J684" s="13" t="str">
        <f t="shared" si="73"/>
        <v>вул. Нова|</v>
      </c>
      <c r="K684" s="32">
        <f t="shared" si="74"/>
        <v>0.5625</v>
      </c>
      <c r="L684" s="13" t="str">
        <f>IF($A684="","",IF(COUNTIFS($J$4:$J684,$J684,$E$4:$E684,$E684)=1,$E684,""))</f>
        <v>№5</v>
      </c>
      <c r="M684" s="13" t="str">
        <f>IF($A684="","",IF(COUNTIFS($J$4:$J684,$J684,$F$4:$F684,$F684)=1,$F684,""))</f>
        <v>МАЗ 4381</v>
      </c>
    </row>
    <row r="685" spans="1:13" x14ac:dyDescent="0.35">
      <c r="A685" s="23" t="str">
        <f>IFERROR(М5_МАЗ4381_0592!B65,"")</f>
        <v>вул. Ніжинська</v>
      </c>
      <c r="B685" s="23" t="str">
        <f>IFERROR(IF(М5_МАЗ4381_0592!C65="","",TEXT(М5_МАЗ4381_0592!C65,"General")),"")</f>
        <v/>
      </c>
      <c r="C685" s="24" t="str">
        <f>"Вівторок"</f>
        <v>Вівторок</v>
      </c>
      <c r="D685" s="24" t="str">
        <f>IFERROR(TEXT(М5_МАЗ4381_0592!D65,"h:mm"),"")</f>
        <v>12:40</v>
      </c>
      <c r="E685" s="24" t="str">
        <f t="shared" si="76"/>
        <v>№5</v>
      </c>
      <c r="F685" s="24" t="str">
        <f t="shared" si="77"/>
        <v>МАЗ 4381</v>
      </c>
      <c r="G685" s="24" t="str">
        <f t="shared" si="78"/>
        <v>СВ 81-71 ВК</v>
      </c>
      <c r="H685" s="24"/>
      <c r="J685" s="13" t="str">
        <f t="shared" si="73"/>
        <v>вул. Ніжинська|</v>
      </c>
      <c r="K685" s="32">
        <f t="shared" si="74"/>
        <v>0.52777777777777779</v>
      </c>
      <c r="L685" s="13" t="str">
        <f>IF($A685="","",IF(COUNTIFS($J$4:$J685,$J685,$E$4:$E685,$E685)=1,$E685,""))</f>
        <v>№5</v>
      </c>
      <c r="M685" s="13" t="str">
        <f>IF($A685="","",IF(COUNTIFS($J$4:$J685,$J685,$F$4:$F685,$F685)=1,$F685,""))</f>
        <v>МАЗ 4381</v>
      </c>
    </row>
    <row r="686" spans="1:13" x14ac:dyDescent="0.35">
      <c r="A686" s="23" t="str">
        <f>IFERROR(М5_МАЗ4381_0592!B151,"")</f>
        <v>вул. О. Пчілки</v>
      </c>
      <c r="B686" s="23" t="str">
        <f>IFERROR(IF(М5_МАЗ4381_0592!C151="","",TEXT(М5_МАЗ4381_0592!C151,"General")),"")</f>
        <v/>
      </c>
      <c r="C686" s="24" t="str">
        <f>"Четвер"</f>
        <v>Четвер</v>
      </c>
      <c r="D686" s="24" t="str">
        <f>IFERROR(TEXT(М5_МАЗ4381_0592!D151,"h:mm"),"")</f>
        <v>15:15</v>
      </c>
      <c r="E686" s="24" t="str">
        <f t="shared" si="76"/>
        <v>№5</v>
      </c>
      <c r="F686" s="24" t="str">
        <f t="shared" si="77"/>
        <v>МАЗ 4381</v>
      </c>
      <c r="G686" s="24" t="str">
        <f t="shared" si="78"/>
        <v>СВ 81-71 ВК</v>
      </c>
      <c r="H686" s="24"/>
      <c r="J686" s="13" t="str">
        <f t="shared" si="73"/>
        <v>вул. О. Пчілки|</v>
      </c>
      <c r="K686" s="32">
        <f t="shared" si="74"/>
        <v>0.63541666666666663</v>
      </c>
      <c r="L686" s="13" t="str">
        <f>IF($A686="","",IF(COUNTIFS($J$4:$J686,$J686,$E$4:$E686,$E686)=1,$E686,""))</f>
        <v>№5</v>
      </c>
      <c r="M686" s="13" t="str">
        <f>IF($A686="","",IF(COUNTIFS($J$4:$J686,$J686,$F$4:$F686,$F686)=1,$F686,""))</f>
        <v>МАЗ 4381</v>
      </c>
    </row>
    <row r="687" spans="1:13" x14ac:dyDescent="0.35">
      <c r="A687" s="23" t="str">
        <f>IFERROR(М5_МАЗ4381_0592!B20,"")</f>
        <v>вул. Оранжерейна</v>
      </c>
      <c r="B687" s="23" t="str">
        <f>IFERROR(IF(М5_МАЗ4381_0592!C20="","",TEXT(М5_МАЗ4381_0592!C20,"General")),"")</f>
        <v/>
      </c>
      <c r="C687" s="24" t="str">
        <f>"Понеділок"</f>
        <v>Понеділок</v>
      </c>
      <c r="D687" s="24" t="str">
        <f>IFERROR(TEXT(М5_МАЗ4381_0592!D20,"h:mm"),"")</f>
        <v>9:50</v>
      </c>
      <c r="E687" s="24" t="str">
        <f t="shared" si="76"/>
        <v>№5</v>
      </c>
      <c r="F687" s="24" t="str">
        <f t="shared" si="77"/>
        <v>МАЗ 4381</v>
      </c>
      <c r="G687" s="24" t="str">
        <f t="shared" si="78"/>
        <v>СВ 81-71 ВК</v>
      </c>
      <c r="H687" s="24"/>
      <c r="J687" s="13" t="str">
        <f t="shared" si="73"/>
        <v>вул. Оранжерейна|</v>
      </c>
      <c r="K687" s="32">
        <f t="shared" si="74"/>
        <v>0.40972222222222221</v>
      </c>
      <c r="L687" s="13" t="str">
        <f>IF($A687="","",IF(COUNTIFS($J$4:$J687,$J687,$E$4:$E687,$E687)=1,$E687,""))</f>
        <v>№5</v>
      </c>
      <c r="M687" s="13" t="str">
        <f>IF($A687="","",IF(COUNTIFS($J$4:$J687,$J687,$F$4:$F687,$F687)=1,$F687,""))</f>
        <v>МАЗ 4381</v>
      </c>
    </row>
    <row r="688" spans="1:13" x14ac:dyDescent="0.35">
      <c r="A688" s="23" t="str">
        <f>IFERROR(М5_МАЗ4381_0592!B178,"")</f>
        <v>вул. Оранжерейна</v>
      </c>
      <c r="B688" s="23" t="str">
        <f>IFERROR(IF(М5_МАЗ4381_0592!C178="","",TEXT(М5_МАЗ4381_0592!C178,"General")),"")</f>
        <v/>
      </c>
      <c r="C688" s="24" t="str">
        <f>"П'ятниця"</f>
        <v>П'ятниця</v>
      </c>
      <c r="D688" s="24" t="str">
        <f>IFERROR(TEXT(М5_МАЗ4381_0592!D178,"h:mm"),"")</f>
        <v>10:55</v>
      </c>
      <c r="E688" s="24" t="str">
        <f t="shared" si="76"/>
        <v>№5</v>
      </c>
      <c r="F688" s="24" t="str">
        <f t="shared" si="77"/>
        <v>МАЗ 4381</v>
      </c>
      <c r="G688" s="24" t="str">
        <f t="shared" si="78"/>
        <v>СВ 81-71 ВК</v>
      </c>
      <c r="H688" s="24"/>
      <c r="J688" s="13" t="str">
        <f t="shared" si="73"/>
        <v>вул. Оранжерейна|</v>
      </c>
      <c r="K688" s="32">
        <f t="shared" si="74"/>
        <v>0.4548611111111111</v>
      </c>
      <c r="L688" s="13" t="str">
        <f>IF($A688="","",IF(COUNTIFS($J$4:$J688,$J688,$E$4:$E688,$E688)=1,$E688,""))</f>
        <v/>
      </c>
      <c r="M688" s="13" t="str">
        <f>IF($A688="","",IF(COUNTIFS($J$4:$J688,$J688,$F$4:$F688,$F688)=1,$F688,""))</f>
        <v/>
      </c>
    </row>
    <row r="689" spans="1:13" x14ac:dyDescent="0.35">
      <c r="A689" s="23" t="str">
        <f>IFERROR(М6_АТ4021_0586!B180,"")</f>
        <v>вул. Осипенка</v>
      </c>
      <c r="B689" s="23" t="str">
        <f>IFERROR(IF(М6_АТ4021_0586!C180="","",TEXT(М6_АТ4021_0586!C180,"General")),"")</f>
        <v/>
      </c>
      <c r="C689" s="24" t="str">
        <f>"П'ятниця"</f>
        <v>П'ятниця</v>
      </c>
      <c r="D689" s="24" t="str">
        <f>IFERROR(TEXT(М6_АТ4021_0586!D180,"h:mm"),"")</f>
        <v>13:40</v>
      </c>
      <c r="E689" s="24" t="str">
        <f>"№6"</f>
        <v>№6</v>
      </c>
      <c r="F689" s="24" t="str">
        <f>"АТ 4021"</f>
        <v>АТ 4021</v>
      </c>
      <c r="G689" s="24" t="str">
        <f>"СВ 33-16 ЕО"</f>
        <v>СВ 33-16 ЕО</v>
      </c>
      <c r="H689" s="24"/>
      <c r="J689" s="13" t="str">
        <f t="shared" si="73"/>
        <v>вул. Осипенка|</v>
      </c>
      <c r="K689" s="32">
        <f t="shared" si="74"/>
        <v>0.56944444444444442</v>
      </c>
      <c r="L689" s="13" t="str">
        <f>IF($A689="","",IF(COUNTIFS($J$4:$J689,$J689,$E$4:$E689,$E689)=1,$E689,""))</f>
        <v>№6</v>
      </c>
      <c r="M689" s="13" t="str">
        <f>IF($A689="","",IF(COUNTIFS($J$4:$J689,$J689,$F$4:$F689,$F689)=1,$F689,""))</f>
        <v>АТ 4021</v>
      </c>
    </row>
    <row r="690" spans="1:13" x14ac:dyDescent="0.35">
      <c r="A690" s="23" t="str">
        <f>IFERROR(М6_АТ4021_0586!B50,"")</f>
        <v>вул. П. Дорошенка</v>
      </c>
      <c r="B690" s="23" t="str">
        <f>IFERROR(IF(М6_АТ4021_0586!C50="","",TEXT(М6_АТ4021_0586!C50,"General")),"")</f>
        <v>11,16  20,39</v>
      </c>
      <c r="C690" s="24" t="str">
        <f>"Вівторок"</f>
        <v>Вівторок</v>
      </c>
      <c r="D690" s="24" t="str">
        <f>IFERROR(TEXT(М6_АТ4021_0586!D50,"h:mm"),"")</f>
        <v>9:10</v>
      </c>
      <c r="E690" s="24" t="str">
        <f>"№6"</f>
        <v>№6</v>
      </c>
      <c r="F690" s="24" t="str">
        <f>"АТ 4021"</f>
        <v>АТ 4021</v>
      </c>
      <c r="G690" s="24" t="str">
        <f>"СВ 33-16 ЕО"</f>
        <v>СВ 33-16 ЕО</v>
      </c>
      <c r="H690" s="24"/>
      <c r="J690" s="13" t="str">
        <f t="shared" si="73"/>
        <v>вул. П. Дорошенка|11,16  20,39</v>
      </c>
      <c r="K690" s="32">
        <f t="shared" si="74"/>
        <v>0.38194444444444442</v>
      </c>
      <c r="L690" s="13" t="str">
        <f>IF($A690="","",IF(COUNTIFS($J$4:$J690,$J690,$E$4:$E690,$E690)=1,$E690,""))</f>
        <v>№6</v>
      </c>
      <c r="M690" s="13" t="str">
        <f>IF($A690="","",IF(COUNTIFS($J$4:$J690,$J690,$F$4:$F690,$F690)=1,$F690,""))</f>
        <v>АТ 4021</v>
      </c>
    </row>
    <row r="691" spans="1:13" x14ac:dyDescent="0.35">
      <c r="A691" s="23" t="str">
        <f>IFERROR(М5_МАЗ4381_0592!B176,"")</f>
        <v>вул. П. Орлика</v>
      </c>
      <c r="B691" s="23" t="str">
        <f>IFERROR(IF(М5_МАЗ4381_0592!C176="","",TEXT(М5_МАЗ4381_0592!C176,"General")),"")</f>
        <v/>
      </c>
      <c r="C691" s="24" t="str">
        <f>"П'ятниця"</f>
        <v>П'ятниця</v>
      </c>
      <c r="D691" s="24" t="str">
        <f>IFERROR(TEXT(М5_МАЗ4381_0592!D176,"h:mm"),"")</f>
        <v>10:35</v>
      </c>
      <c r="E691" s="24" t="str">
        <f>"№5"</f>
        <v>№5</v>
      </c>
      <c r="F691" s="24" t="str">
        <f>"МАЗ 4381"</f>
        <v>МАЗ 4381</v>
      </c>
      <c r="G691" s="24" t="str">
        <f>"СВ 81-71 ВК"</f>
        <v>СВ 81-71 ВК</v>
      </c>
      <c r="H691" s="24"/>
      <c r="J691" s="13" t="str">
        <f t="shared" si="73"/>
        <v>вул. П. Орлика|</v>
      </c>
      <c r="K691" s="32">
        <f t="shared" si="74"/>
        <v>0.44097222222222221</v>
      </c>
      <c r="L691" s="13" t="str">
        <f>IF($A691="","",IF(COUNTIFS($J$4:$J691,$J691,$E$4:$E691,$E691)=1,$E691,""))</f>
        <v>№5</v>
      </c>
      <c r="M691" s="13" t="str">
        <f>IF($A691="","",IF(COUNTIFS($J$4:$J691,$J691,$F$4:$F691,$F691)=1,$F691,""))</f>
        <v>МАЗ 4381</v>
      </c>
    </row>
    <row r="692" spans="1:13" x14ac:dyDescent="0.35">
      <c r="A692" s="23" t="str">
        <f>IFERROR(М5_МАЗ4381_0592!B83,"")</f>
        <v>вул. П. Сагайдачного</v>
      </c>
      <c r="B692" s="23" t="str">
        <f>IFERROR(IF(М5_МАЗ4381_0592!C83="","",TEXT(М5_МАЗ4381_0592!C83,"General")),"")</f>
        <v/>
      </c>
      <c r="C692" s="24" t="str">
        <f>"Середа"</f>
        <v>Середа</v>
      </c>
      <c r="D692" s="24" t="str">
        <f>IFERROR(TEXT(М5_МАЗ4381_0592!D83,"h:mm"),"")</f>
        <v>7:00</v>
      </c>
      <c r="E692" s="24" t="str">
        <f>"№5"</f>
        <v>№5</v>
      </c>
      <c r="F692" s="24" t="str">
        <f>"МАЗ 4381"</f>
        <v>МАЗ 4381</v>
      </c>
      <c r="G692" s="24" t="str">
        <f>"СВ 81-71 ВК"</f>
        <v>СВ 81-71 ВК</v>
      </c>
      <c r="H692" s="24"/>
      <c r="J692" s="13" t="str">
        <f t="shared" si="73"/>
        <v>вул. П. Сагайдачного|</v>
      </c>
      <c r="K692" s="32">
        <f t="shared" si="74"/>
        <v>0.29166666666666669</v>
      </c>
      <c r="L692" s="13" t="str">
        <f>IF($A692="","",IF(COUNTIFS($J$4:$J692,$J692,$E$4:$E692,$E692)=1,$E692,""))</f>
        <v>№5</v>
      </c>
      <c r="M692" s="13" t="str">
        <f>IF($A692="","",IF(COUNTIFS($J$4:$J692,$J692,$F$4:$F692,$F692)=1,$F692,""))</f>
        <v>МАЗ 4381</v>
      </c>
    </row>
    <row r="693" spans="1:13" x14ac:dyDescent="0.35">
      <c r="A693" s="23" t="str">
        <f>IFERROR(М5_МАЗ4381_0592!B54,"")</f>
        <v>вул. Паркова</v>
      </c>
      <c r="B693" s="23" t="str">
        <f>IFERROR(IF(М5_МАЗ4381_0592!C54="","",TEXT(М5_МАЗ4381_0592!C54,"General")),"")</f>
        <v/>
      </c>
      <c r="C693" s="24" t="str">
        <f>"Вівторок"</f>
        <v>Вівторок</v>
      </c>
      <c r="D693" s="24" t="str">
        <f>IFERROR(TEXT(М5_МАЗ4381_0592!D54,"h:mm"),"")</f>
        <v>9:20</v>
      </c>
      <c r="E693" s="24" t="str">
        <f>"№5"</f>
        <v>№5</v>
      </c>
      <c r="F693" s="24" t="str">
        <f>"МАЗ 4381"</f>
        <v>МАЗ 4381</v>
      </c>
      <c r="G693" s="24" t="str">
        <f>"СВ 81-71 ВК"</f>
        <v>СВ 81-71 ВК</v>
      </c>
      <c r="H693" s="24"/>
      <c r="J693" s="13" t="str">
        <f t="shared" si="73"/>
        <v>вул. Паркова|</v>
      </c>
      <c r="K693" s="32">
        <f t="shared" si="74"/>
        <v>0.3888888888888889</v>
      </c>
      <c r="L693" s="13" t="str">
        <f>IF($A693="","",IF(COUNTIFS($J$4:$J693,$J693,$E$4:$E693,$E693)=1,$E693,""))</f>
        <v>№5</v>
      </c>
      <c r="M693" s="13" t="str">
        <f>IF($A693="","",IF(COUNTIFS($J$4:$J693,$J693,$F$4:$F693,$F693)=1,$F693,""))</f>
        <v>МАЗ 4381</v>
      </c>
    </row>
    <row r="694" spans="1:13" x14ac:dyDescent="0.35">
      <c r="A694" s="23" t="str">
        <f>IFERROR(М5_МАЗ4381_0592!B102,"")</f>
        <v>вул. Партизанська</v>
      </c>
      <c r="B694" s="23" t="str">
        <f>IFERROR(IF(М5_МАЗ4381_0592!C102="","",TEXT(М5_МАЗ4381_0592!C102,"General")),"")</f>
        <v/>
      </c>
      <c r="C694" s="24" t="str">
        <f>"Середа"</f>
        <v>Середа</v>
      </c>
      <c r="D694" s="24" t="str">
        <f>IFERROR(TEXT(М5_МАЗ4381_0592!D102,"h:mm"),"")</f>
        <v>13:15</v>
      </c>
      <c r="E694" s="24" t="str">
        <f>"№5"</f>
        <v>№5</v>
      </c>
      <c r="F694" s="24" t="str">
        <f>"МАЗ 4381"</f>
        <v>МАЗ 4381</v>
      </c>
      <c r="G694" s="24" t="str">
        <f>"СВ 81-71 ВК"</f>
        <v>СВ 81-71 ВК</v>
      </c>
      <c r="H694" s="24"/>
      <c r="J694" s="13" t="str">
        <f t="shared" si="73"/>
        <v>вул. Партизанська|</v>
      </c>
      <c r="K694" s="32">
        <f t="shared" si="74"/>
        <v>0.55208333333333337</v>
      </c>
      <c r="L694" s="13" t="str">
        <f>IF($A694="","",IF(COUNTIFS($J$4:$J694,$J694,$E$4:$E694,$E694)=1,$E694,""))</f>
        <v>№5</v>
      </c>
      <c r="M694" s="13" t="str">
        <f>IF($A694="","",IF(COUNTIFS($J$4:$J694,$J694,$F$4:$F694,$F694)=1,$F694,""))</f>
        <v>МАЗ 4381</v>
      </c>
    </row>
    <row r="695" spans="1:13" x14ac:dyDescent="0.35">
      <c r="A695" s="23" t="str">
        <f>IFERROR(М1_КАМАЗ55111_0591!B14,"")</f>
        <v>вул. Партизанська</v>
      </c>
      <c r="B695" s="23" t="str">
        <f>IFERROR(IF(М1_КАМАЗ55111_0591!C14="","",TEXT(М1_КАМАЗ55111_0591!C14,"General")),"")</f>
        <v>санстанція</v>
      </c>
      <c r="C695" s="24" t="str">
        <f>"Понеділок"</f>
        <v>Понеділок</v>
      </c>
      <c r="D695" s="24" t="str">
        <f>IFERROR(TEXT(М1_КАМАЗ55111_0591!D14,"h:mm"),"")</f>
        <v>8:20</v>
      </c>
      <c r="E695" s="24" t="str">
        <f>"№1"</f>
        <v>№1</v>
      </c>
      <c r="F695" s="24" t="str">
        <f>"КАМАЗ 55111"</f>
        <v>КАМАЗ 55111</v>
      </c>
      <c r="G695" s="24" t="str">
        <f>"СВ 50-33 АР"</f>
        <v>СВ 50-33 АР</v>
      </c>
      <c r="H695" s="24">
        <f>IFERROR(М1_КАМАЗ55111_0591!G14,"")</f>
        <v>2</v>
      </c>
      <c r="J695" s="13" t="str">
        <f t="shared" si="73"/>
        <v>вул. Партизанська|санстанція</v>
      </c>
      <c r="K695" s="32">
        <f t="shared" si="74"/>
        <v>0.34722222222222221</v>
      </c>
      <c r="L695" s="13" t="str">
        <f>IF($A695="","",IF(COUNTIFS($J$4:$J695,$J695,$E$4:$E695,$E695)=1,$E695,""))</f>
        <v>№1</v>
      </c>
      <c r="M695" s="13" t="str">
        <f>IF($A695="","",IF(COUNTIFS($J$4:$J695,$J695,$F$4:$F695,$F695)=1,$F695,""))</f>
        <v>КАМАЗ 55111</v>
      </c>
    </row>
    <row r="696" spans="1:13" x14ac:dyDescent="0.35">
      <c r="A696" s="23" t="str">
        <f>IFERROR(М1_КАМАЗ55111_0591!B49,"")</f>
        <v>вул. Партизанська</v>
      </c>
      <c r="B696" s="23" t="str">
        <f>IFERROR(IF(М1_КАМАЗ55111_0591!C49="","",TEXT(М1_КАМАЗ55111_0591!C49,"General")),"")</f>
        <v>санстанція</v>
      </c>
      <c r="C696" s="24" t="str">
        <f>"Вівторок"</f>
        <v>Вівторок</v>
      </c>
      <c r="D696" s="24" t="str">
        <f>IFERROR(TEXT(М1_КАМАЗ55111_0591!D49,"h:mm"),"")</f>
        <v>8:20</v>
      </c>
      <c r="E696" s="24" t="str">
        <f>"№1"</f>
        <v>№1</v>
      </c>
      <c r="F696" s="24" t="str">
        <f>"КАМАЗ 55111"</f>
        <v>КАМАЗ 55111</v>
      </c>
      <c r="G696" s="24" t="str">
        <f>"СВ 50-33 АР"</f>
        <v>СВ 50-33 АР</v>
      </c>
      <c r="H696" s="24">
        <f>IFERROR(М1_КАМАЗ55111_0591!G49,"")</f>
        <v>2</v>
      </c>
      <c r="J696" s="13" t="str">
        <f t="shared" si="73"/>
        <v>вул. Партизанська|санстанція</v>
      </c>
      <c r="K696" s="32">
        <f t="shared" si="74"/>
        <v>0.34722222222222221</v>
      </c>
      <c r="L696" s="13" t="str">
        <f>IF($A696="","",IF(COUNTIFS($J$4:$J696,$J696,$E$4:$E696,$E696)=1,$E696,""))</f>
        <v/>
      </c>
      <c r="M696" s="13" t="str">
        <f>IF($A696="","",IF(COUNTIFS($J$4:$J696,$J696,$F$4:$F696,$F696)=1,$F696,""))</f>
        <v/>
      </c>
    </row>
    <row r="697" spans="1:13" x14ac:dyDescent="0.35">
      <c r="A697" s="23" t="str">
        <f>IFERROR(М1_КАМАЗ55111_0591!B81,"")</f>
        <v>вул. Партизанська</v>
      </c>
      <c r="B697" s="23" t="str">
        <f>IFERROR(IF(М1_КАМАЗ55111_0591!C81="","",TEXT(М1_КАМАЗ55111_0591!C81,"General")),"")</f>
        <v>санстанція</v>
      </c>
      <c r="C697" s="24" t="str">
        <f>"Середа"</f>
        <v>Середа</v>
      </c>
      <c r="D697" s="24" t="str">
        <f>IFERROR(TEXT(М1_КАМАЗ55111_0591!D81,"h:mm"),"")</f>
        <v>8:20</v>
      </c>
      <c r="E697" s="24" t="str">
        <f>"№1"</f>
        <v>№1</v>
      </c>
      <c r="F697" s="24" t="str">
        <f>"КАМАЗ 55111"</f>
        <v>КАМАЗ 55111</v>
      </c>
      <c r="G697" s="24" t="str">
        <f>"СВ 50-33 АР"</f>
        <v>СВ 50-33 АР</v>
      </c>
      <c r="H697" s="24">
        <f>IFERROR(М1_КАМАЗ55111_0591!G81,"")</f>
        <v>2</v>
      </c>
      <c r="J697" s="13" t="str">
        <f t="shared" si="73"/>
        <v>вул. Партизанська|санстанція</v>
      </c>
      <c r="K697" s="32">
        <f t="shared" si="74"/>
        <v>0.34722222222222221</v>
      </c>
      <c r="L697" s="13" t="str">
        <f>IF($A697="","",IF(COUNTIFS($J$4:$J697,$J697,$E$4:$E697,$E697)=1,$E697,""))</f>
        <v/>
      </c>
      <c r="M697" s="13" t="str">
        <f>IF($A697="","",IF(COUNTIFS($J$4:$J697,$J697,$F$4:$F697,$F697)=1,$F697,""))</f>
        <v/>
      </c>
    </row>
    <row r="698" spans="1:13" x14ac:dyDescent="0.35">
      <c r="A698" s="23" t="str">
        <f>IFERROR(М1_КАМАЗ55111_0591!B113,"")</f>
        <v>вул. Партизанська</v>
      </c>
      <c r="B698" s="23" t="str">
        <f>IFERROR(IF(М1_КАМАЗ55111_0591!C113="","",TEXT(М1_КАМАЗ55111_0591!C113,"General")),"")</f>
        <v>санстанція</v>
      </c>
      <c r="C698" s="24" t="str">
        <f>"П'ятниця"</f>
        <v>П'ятниця</v>
      </c>
      <c r="D698" s="24" t="str">
        <f>IFERROR(TEXT(М1_КАМАЗ55111_0591!D113,"h:mm"),"")</f>
        <v>8:20</v>
      </c>
      <c r="E698" s="24" t="str">
        <f>"№1"</f>
        <v>№1</v>
      </c>
      <c r="F698" s="24" t="str">
        <f>"КАМАЗ 55111"</f>
        <v>КАМАЗ 55111</v>
      </c>
      <c r="G698" s="24" t="str">
        <f>"СВ 50-33 АР"</f>
        <v>СВ 50-33 АР</v>
      </c>
      <c r="H698" s="24">
        <f>IFERROR(М1_КАМАЗ55111_0591!G113,"")</f>
        <v>2</v>
      </c>
      <c r="J698" s="13" t="str">
        <f t="shared" si="73"/>
        <v>вул. Партизанська|санстанція</v>
      </c>
      <c r="K698" s="32">
        <f t="shared" si="74"/>
        <v>0.34722222222222221</v>
      </c>
      <c r="L698" s="13" t="str">
        <f>IF($A698="","",IF(COUNTIFS($J$4:$J698,$J698,$E$4:$E698,$E698)=1,$E698,""))</f>
        <v/>
      </c>
      <c r="M698" s="13" t="str">
        <f>IF($A698="","",IF(COUNTIFS($J$4:$J698,$J698,$F$4:$F698,$F698)=1,$F698,""))</f>
        <v/>
      </c>
    </row>
    <row r="699" spans="1:13" x14ac:dyDescent="0.35">
      <c r="A699" s="23" t="str">
        <f>IFERROR(М1_КАМАЗ55111_0591!B148,"")</f>
        <v>вул. Партизанська</v>
      </c>
      <c r="B699" s="23" t="str">
        <f>IFERROR(IF(М1_КАМАЗ55111_0591!C148="","",TEXT(М1_КАМАЗ55111_0591!C148,"General")),"")</f>
        <v>санстанція</v>
      </c>
      <c r="C699" s="24" t="str">
        <f>"Субота"</f>
        <v>Субота</v>
      </c>
      <c r="D699" s="24" t="str">
        <f>IFERROR(TEXT(М1_КАМАЗ55111_0591!D148,"h:mm"),"")</f>
        <v>8:20</v>
      </c>
      <c r="E699" s="24" t="str">
        <f>"№1"</f>
        <v>№1</v>
      </c>
      <c r="F699" s="24" t="str">
        <f>"КАМАЗ 55111"</f>
        <v>КАМАЗ 55111</v>
      </c>
      <c r="G699" s="24" t="str">
        <f>"СВ 50-33 АР"</f>
        <v>СВ 50-33 АР</v>
      </c>
      <c r="H699" s="24">
        <f>IFERROR(М1_КАМАЗ55111_0591!G148,"")</f>
        <v>2</v>
      </c>
      <c r="J699" s="13" t="str">
        <f t="shared" si="73"/>
        <v>вул. Партизанська|санстанція</v>
      </c>
      <c r="K699" s="32">
        <f t="shared" si="74"/>
        <v>0.34722222222222221</v>
      </c>
      <c r="L699" s="13" t="str">
        <f>IF($A699="","",IF(COUNTIFS($J$4:$J699,$J699,$E$4:$E699,$E699)=1,$E699,""))</f>
        <v/>
      </c>
      <c r="M699" s="13" t="str">
        <f>IF($A699="","",IF(COUNTIFS($J$4:$J699,$J699,$F$4:$F699,$F699)=1,$F699,""))</f>
        <v/>
      </c>
    </row>
    <row r="700" spans="1:13" x14ac:dyDescent="0.35">
      <c r="A700" s="23" t="str">
        <f>IFERROR(М6_АТ4021_0586!B109,"")</f>
        <v>вул. Педагогічна</v>
      </c>
      <c r="B700" s="23" t="str">
        <f>IFERROR(IF(М6_АТ4021_0586!C109="","",TEXT(М6_АТ4021_0586!C109,"General")),"")</f>
        <v>57,23</v>
      </c>
      <c r="C700" s="24" t="str">
        <f>"Середа"</f>
        <v>Середа</v>
      </c>
      <c r="D700" s="24" t="str">
        <f>IFERROR(TEXT(М6_АТ4021_0586!D109,"h:mm"),"")</f>
        <v>15:40</v>
      </c>
      <c r="E700" s="24" t="str">
        <f>"№6"</f>
        <v>№6</v>
      </c>
      <c r="F700" s="24" t="str">
        <f>"АТ 4021"</f>
        <v>АТ 4021</v>
      </c>
      <c r="G700" s="24" t="str">
        <f>"СВ 33-16 ЕО"</f>
        <v>СВ 33-16 ЕО</v>
      </c>
      <c r="H700" s="24"/>
      <c r="J700" s="13" t="str">
        <f t="shared" si="73"/>
        <v>вул. Педагогічна|57,23</v>
      </c>
      <c r="K700" s="32">
        <f t="shared" si="74"/>
        <v>0.65277777777777779</v>
      </c>
      <c r="L700" s="13" t="str">
        <f>IF($A700="","",IF(COUNTIFS($J$4:$J700,$J700,$E$4:$E700,$E700)=1,$E700,""))</f>
        <v>№6</v>
      </c>
      <c r="M700" s="13" t="str">
        <f>IF($A700="","",IF(COUNTIFS($J$4:$J700,$J700,$F$4:$F700,$F700)=1,$F700,""))</f>
        <v>АТ 4021</v>
      </c>
    </row>
    <row r="701" spans="1:13" x14ac:dyDescent="0.35">
      <c r="A701" s="23" t="str">
        <f>IFERROR(М5_МАЗ4381_0592!B55,"")</f>
        <v>вул. Перемоги</v>
      </c>
      <c r="B701" s="23" t="str">
        <f>IFERROR(IF(М5_МАЗ4381_0592!C55="","",TEXT(М5_МАЗ4381_0592!C55,"General")),"")</f>
        <v/>
      </c>
      <c r="C701" s="24" t="str">
        <f>"Вівторок"</f>
        <v>Вівторок</v>
      </c>
      <c r="D701" s="24" t="str">
        <f>IFERROR(TEXT(М5_МАЗ4381_0592!D55,"h:mm"),"")</f>
        <v>9:35</v>
      </c>
      <c r="E701" s="24" t="str">
        <f>"№5"</f>
        <v>№5</v>
      </c>
      <c r="F701" s="24" t="str">
        <f>"МАЗ 4381"</f>
        <v>МАЗ 4381</v>
      </c>
      <c r="G701" s="24" t="str">
        <f>"СВ 81-71 ВК"</f>
        <v>СВ 81-71 ВК</v>
      </c>
      <c r="H701" s="24"/>
      <c r="J701" s="13" t="str">
        <f t="shared" si="73"/>
        <v>вул. Перемоги|</v>
      </c>
      <c r="K701" s="32">
        <f t="shared" si="74"/>
        <v>0.39930555555555558</v>
      </c>
      <c r="L701" s="13" t="str">
        <f>IF($A701="","",IF(COUNTIFS($J$4:$J701,$J701,$E$4:$E701,$E701)=1,$E701,""))</f>
        <v>№5</v>
      </c>
      <c r="M701" s="13" t="str">
        <f>IF($A701="","",IF(COUNTIFS($J$4:$J701,$J701,$F$4:$F701,$F701)=1,$F701,""))</f>
        <v>МАЗ 4381</v>
      </c>
    </row>
    <row r="702" spans="1:13" x14ac:dyDescent="0.35">
      <c r="A702" s="23" t="str">
        <f>IFERROR('М3-4_ГАЗ3309_0590'!B142,"")</f>
        <v>вул. Перемоги</v>
      </c>
      <c r="B702" s="23" t="str">
        <f>IFERROR(IF('М3-4_ГАЗ3309_0590'!C142="","",TEXT('М3-4_ГАЗ3309_0590'!C142,"General")),"")</f>
        <v>"Удай"</v>
      </c>
      <c r="C702" s="24" t="str">
        <f>"Понеділок"</f>
        <v>Понеділок</v>
      </c>
      <c r="D702" s="24" t="str">
        <f>IFERROR(TEXT('М3-4_ГАЗ3309_0590'!D142,"h:mm"),"")</f>
        <v>15:15</v>
      </c>
      <c r="E702" s="24" t="str">
        <f>"№3"</f>
        <v>№3</v>
      </c>
      <c r="F702" s="24" t="str">
        <f>"ГАЗ 3309"</f>
        <v>ГАЗ 3309</v>
      </c>
      <c r="G702" s="24" t="str">
        <f>"СВ 17-85 ВН"</f>
        <v>СВ 17-85 ВН</v>
      </c>
      <c r="H702" s="24">
        <f>IFERROR('М3-4_ГАЗ3309_0590'!G142,"")</f>
        <v>2</v>
      </c>
      <c r="J702" s="13" t="str">
        <f t="shared" si="73"/>
        <v>вул. Перемоги|"Удай"</v>
      </c>
      <c r="K702" s="32">
        <f t="shared" si="74"/>
        <v>0.63541666666666663</v>
      </c>
      <c r="L702" s="13" t="str">
        <f>IF($A702="","",IF(COUNTIFS($J$4:$J702,$J702,$E$4:$E702,$E702)=1,$E702,""))</f>
        <v>№3</v>
      </c>
      <c r="M702" s="13" t="str">
        <f>IF($A702="","",IF(COUNTIFS($J$4:$J702,$J702,$F$4:$F702,$F702)=1,$F702,""))</f>
        <v>ГАЗ 3309</v>
      </c>
    </row>
    <row r="703" spans="1:13" x14ac:dyDescent="0.35">
      <c r="A703" s="23" t="str">
        <f>IFERROR(М6_АТ4021_0586!B31,"")</f>
        <v>вул. Перемоги</v>
      </c>
      <c r="B703" s="23" t="str">
        <f>IFERROR(IF(М6_АТ4021_0586!C31="","",TEXT(М6_АТ4021_0586!C31,"General")),"")</f>
        <v>147,107,57</v>
      </c>
      <c r="C703" s="24" t="str">
        <f>"Понеділок"</f>
        <v>Понеділок</v>
      </c>
      <c r="D703" s="24" t="str">
        <f>IFERROR(TEXT(М6_АТ4021_0586!D31,"h:mm"),"")</f>
        <v>13:35</v>
      </c>
      <c r="E703" s="24" t="str">
        <f>"№6"</f>
        <v>№6</v>
      </c>
      <c r="F703" s="24" t="str">
        <f>"АТ 4021"</f>
        <v>АТ 4021</v>
      </c>
      <c r="G703" s="24" t="str">
        <f>"СВ 33-16 ЕО"</f>
        <v>СВ 33-16 ЕО</v>
      </c>
      <c r="H703" s="24"/>
      <c r="J703" s="13" t="str">
        <f t="shared" si="73"/>
        <v>вул. Перемоги|147,107,57</v>
      </c>
      <c r="K703" s="32">
        <f t="shared" si="74"/>
        <v>0.56597222222222221</v>
      </c>
      <c r="L703" s="13" t="str">
        <f>IF($A703="","",IF(COUNTIFS($J$4:$J703,$J703,$E$4:$E703,$E703)=1,$E703,""))</f>
        <v>№6</v>
      </c>
      <c r="M703" s="13" t="str">
        <f>IF($A703="","",IF(COUNTIFS($J$4:$J703,$J703,$F$4:$F703,$F703)=1,$F703,""))</f>
        <v>АТ 4021</v>
      </c>
    </row>
    <row r="704" spans="1:13" x14ac:dyDescent="0.35">
      <c r="A704" s="23" t="str">
        <f>IFERROR(М3_МАЗ4371_0587!B29,"")</f>
        <v>вул. Перемоги</v>
      </c>
      <c r="B704" s="23" t="str">
        <f>IFERROR(IF(М3_МАЗ4371_0587!C29="","",TEXT(М3_МАЗ4371_0587!C29,"General")),"")</f>
        <v>180</v>
      </c>
      <c r="C704" s="24" t="str">
        <f>"Понеділок"</f>
        <v>Понеділок</v>
      </c>
      <c r="D704" s="24" t="str">
        <f>IFERROR(TEXT(М3_МАЗ4371_0587!D29,"h:mm"),"")</f>
        <v>13:25</v>
      </c>
      <c r="E704" s="24" t="str">
        <f>"№3"</f>
        <v>№3</v>
      </c>
      <c r="F704" s="24" t="str">
        <f>"МАЗ-4371"</f>
        <v>МАЗ-4371</v>
      </c>
      <c r="G704" s="24" t="str">
        <f>"СВ 53-06 СА"</f>
        <v>СВ 53-06 СА</v>
      </c>
      <c r="H704" s="24">
        <f>IFERROR(М3_МАЗ4371_0587!G29,"")</f>
        <v>3</v>
      </c>
      <c r="J704" s="13" t="str">
        <f t="shared" si="73"/>
        <v>вул. Перемоги|180</v>
      </c>
      <c r="K704" s="32">
        <f t="shared" si="74"/>
        <v>0.55902777777777779</v>
      </c>
      <c r="L704" s="13" t="str">
        <f>IF($A704="","",IF(COUNTIFS($J$4:$J704,$J704,$E$4:$E704,$E704)=1,$E704,""))</f>
        <v>№3</v>
      </c>
      <c r="M704" s="13" t="str">
        <f>IF($A704="","",IF(COUNTIFS($J$4:$J704,$J704,$F$4:$F704,$F704)=1,$F704,""))</f>
        <v>МАЗ-4371</v>
      </c>
    </row>
    <row r="705" spans="1:13" x14ac:dyDescent="0.35">
      <c r="A705" s="23" t="str">
        <f>IFERROR(М3_МАЗ4371_0587!B51,"")</f>
        <v>вул. Перемоги</v>
      </c>
      <c r="B705" s="23" t="str">
        <f>IFERROR(IF(М3_МАЗ4371_0587!C51="","",TEXT(М3_МАЗ4371_0587!C51,"General")),"")</f>
        <v>180</v>
      </c>
      <c r="C705" s="24" t="str">
        <f>"Вівторок"</f>
        <v>Вівторок</v>
      </c>
      <c r="D705" s="24" t="str">
        <f>IFERROR(TEXT(М3_МАЗ4371_0587!D51,"h:mm"),"")</f>
        <v>8:40</v>
      </c>
      <c r="E705" s="24" t="str">
        <f>"№3"</f>
        <v>№3</v>
      </c>
      <c r="F705" s="24" t="str">
        <f>"МАЗ-4371"</f>
        <v>МАЗ-4371</v>
      </c>
      <c r="G705" s="24" t="str">
        <f>"СВ 53-06 СА"</f>
        <v>СВ 53-06 СА</v>
      </c>
      <c r="H705" s="24">
        <f>IFERROR(М3_МАЗ4371_0587!G51,"")</f>
        <v>3</v>
      </c>
      <c r="J705" s="13" t="str">
        <f t="shared" si="73"/>
        <v>вул. Перемоги|180</v>
      </c>
      <c r="K705" s="32">
        <f t="shared" si="74"/>
        <v>0.3611111111111111</v>
      </c>
      <c r="L705" s="13" t="str">
        <f>IF($A705="","",IF(COUNTIFS($J$4:$J705,$J705,$E$4:$E705,$E705)=1,$E705,""))</f>
        <v/>
      </c>
      <c r="M705" s="13" t="str">
        <f>IF($A705="","",IF(COUNTIFS($J$4:$J705,$J705,$F$4:$F705,$F705)=1,$F705,""))</f>
        <v/>
      </c>
    </row>
    <row r="706" spans="1:13" x14ac:dyDescent="0.35">
      <c r="A706" s="23" t="str">
        <f>IFERROR(М3_МАЗ4371_0587!B96,"")</f>
        <v>вул. Перемоги</v>
      </c>
      <c r="B706" s="23" t="str">
        <f>IFERROR(IF(М3_МАЗ4371_0587!C96="","",TEXT(М3_МАЗ4371_0587!C96,"General")),"")</f>
        <v>180</v>
      </c>
      <c r="C706" s="24" t="str">
        <f>"Середа"</f>
        <v>Середа</v>
      </c>
      <c r="D706" s="24" t="str">
        <f>IFERROR(TEXT(М3_МАЗ4371_0587!D96,"h:mm"),"")</f>
        <v>13:25</v>
      </c>
      <c r="E706" s="24" t="str">
        <f>"№3"</f>
        <v>№3</v>
      </c>
      <c r="F706" s="24" t="str">
        <f>"МАЗ-4371"</f>
        <v>МАЗ-4371</v>
      </c>
      <c r="G706" s="24" t="str">
        <f>"СВ 53-06 СА"</f>
        <v>СВ 53-06 СА</v>
      </c>
      <c r="H706" s="24">
        <f>IFERROR(М3_МАЗ4371_0587!G96,"")</f>
        <v>3</v>
      </c>
      <c r="J706" s="13" t="str">
        <f t="shared" si="73"/>
        <v>вул. Перемоги|180</v>
      </c>
      <c r="K706" s="32">
        <f t="shared" si="74"/>
        <v>0.55902777777777779</v>
      </c>
      <c r="L706" s="13" t="str">
        <f>IF($A706="","",IF(COUNTIFS($J$4:$J706,$J706,$E$4:$E706,$E706)=1,$E706,""))</f>
        <v/>
      </c>
      <c r="M706" s="13" t="str">
        <f>IF($A706="","",IF(COUNTIFS($J$4:$J706,$J706,$F$4:$F706,$F706)=1,$F706,""))</f>
        <v/>
      </c>
    </row>
    <row r="707" spans="1:13" x14ac:dyDescent="0.35">
      <c r="A707" s="23" t="str">
        <f>IFERROR(М3_МАЗ4371_0587!B131,"")</f>
        <v>вул. Перемоги</v>
      </c>
      <c r="B707" s="23" t="str">
        <f>IFERROR(IF(М3_МАЗ4371_0587!C131="","",TEXT(М3_МАЗ4371_0587!C131,"General")),"")</f>
        <v>180</v>
      </c>
      <c r="C707" s="24" t="str">
        <f>"П'ятниця"</f>
        <v>П'ятниця</v>
      </c>
      <c r="D707" s="24" t="str">
        <f>IFERROR(TEXT(М3_МАЗ4371_0587!D131,"h:mm"),"")</f>
        <v>12:15</v>
      </c>
      <c r="E707" s="24" t="str">
        <f>"№3"</f>
        <v>№3</v>
      </c>
      <c r="F707" s="24" t="str">
        <f>"МАЗ-4371"</f>
        <v>МАЗ-4371</v>
      </c>
      <c r="G707" s="24" t="str">
        <f>"СВ 53-06 СА"</f>
        <v>СВ 53-06 СА</v>
      </c>
      <c r="H707" s="24">
        <f>IFERROR(М3_МАЗ4371_0587!G131,"")</f>
        <v>3</v>
      </c>
      <c r="J707" s="13" t="str">
        <f t="shared" si="73"/>
        <v>вул. Перемоги|180</v>
      </c>
      <c r="K707" s="32">
        <f t="shared" si="74"/>
        <v>0.51041666666666663</v>
      </c>
      <c r="L707" s="13" t="str">
        <f>IF($A707="","",IF(COUNTIFS($J$4:$J707,$J707,$E$4:$E707,$E707)=1,$E707,""))</f>
        <v/>
      </c>
      <c r="M707" s="13" t="str">
        <f>IF($A707="","",IF(COUNTIFS($J$4:$J707,$J707,$F$4:$F707,$F707)=1,$F707,""))</f>
        <v/>
      </c>
    </row>
    <row r="708" spans="1:13" x14ac:dyDescent="0.35">
      <c r="A708" s="23" t="str">
        <f>IFERROR(М3_МАЗ4371_0587!B158,"")</f>
        <v>вул. Перемоги</v>
      </c>
      <c r="B708" s="23" t="str">
        <f>IFERROR(IF(М3_МАЗ4371_0587!C158="","",TEXT(М3_МАЗ4371_0587!C158,"General")),"")</f>
        <v>180</v>
      </c>
      <c r="C708" s="24" t="str">
        <f>"Субота"</f>
        <v>Субота</v>
      </c>
      <c r="D708" s="24" t="str">
        <f>IFERROR(TEXT(М3_МАЗ4371_0587!D158,"h:mm"),"")</f>
        <v>8:40</v>
      </c>
      <c r="E708" s="24" t="str">
        <f>"№3"</f>
        <v>№3</v>
      </c>
      <c r="F708" s="24" t="str">
        <f>"МАЗ-4371"</f>
        <v>МАЗ-4371</v>
      </c>
      <c r="G708" s="24" t="str">
        <f>"СВ 53-06 СА"</f>
        <v>СВ 53-06 СА</v>
      </c>
      <c r="H708" s="24">
        <f>IFERROR(М3_МАЗ4371_0587!G158,"")</f>
        <v>3</v>
      </c>
      <c r="J708" s="13" t="str">
        <f t="shared" ref="J708:J771" si="79">IF(A708="","",A708&amp;"|"&amp;B708)</f>
        <v>вул. Перемоги|180</v>
      </c>
      <c r="K708" s="32">
        <f t="shared" ref="K708:K771" si="80">IFERROR(IF(D708="","",IF(D708="×",9.99,TIMEVALUE(D708))),9.99)</f>
        <v>0.3611111111111111</v>
      </c>
      <c r="L708" s="13" t="str">
        <f>IF($A708="","",IF(COUNTIFS($J$4:$J708,$J708,$E$4:$E708,$E708)=1,$E708,""))</f>
        <v/>
      </c>
      <c r="M708" s="13" t="str">
        <f>IF($A708="","",IF(COUNTIFS($J$4:$J708,$J708,$F$4:$F708,$F708)=1,$F708,""))</f>
        <v/>
      </c>
    </row>
    <row r="709" spans="1:13" x14ac:dyDescent="0.35">
      <c r="A709" s="23" t="str">
        <f>IFERROR(М6_АТ4021_0586!B134,"")</f>
        <v>вул. Перемоги</v>
      </c>
      <c r="B709" s="23" t="str">
        <f>IFERROR(IF(М6_АТ4021_0586!C134="","",TEXT(М6_АТ4021_0586!C134,"General")),"")</f>
        <v>210  192  178</v>
      </c>
      <c r="C709" s="24" t="str">
        <f>"Четвер"</f>
        <v>Четвер</v>
      </c>
      <c r="D709" s="24" t="str">
        <f>IFERROR(TEXT(М6_АТ4021_0586!D134,"h:mm"),"")</f>
        <v>12:00</v>
      </c>
      <c r="E709" s="24" t="str">
        <f>"№6"</f>
        <v>№6</v>
      </c>
      <c r="F709" s="24" t="str">
        <f>"АТ 4021"</f>
        <v>АТ 4021</v>
      </c>
      <c r="G709" s="24" t="str">
        <f>"СВ 33-16 ЕО"</f>
        <v>СВ 33-16 ЕО</v>
      </c>
      <c r="H709" s="24"/>
      <c r="J709" s="13" t="str">
        <f t="shared" si="79"/>
        <v>вул. Перемоги|210  192  178</v>
      </c>
      <c r="K709" s="32">
        <f t="shared" si="80"/>
        <v>0.5</v>
      </c>
      <c r="L709" s="13" t="str">
        <f>IF($A709="","",IF(COUNTIFS($J$4:$J709,$J709,$E$4:$E709,$E709)=1,$E709,""))</f>
        <v>№6</v>
      </c>
      <c r="M709" s="13" t="str">
        <f>IF($A709="","",IF(COUNTIFS($J$4:$J709,$J709,$F$4:$F709,$F709)=1,$F709,""))</f>
        <v>АТ 4021</v>
      </c>
    </row>
    <row r="710" spans="1:13" x14ac:dyDescent="0.35">
      <c r="A710" s="23" t="str">
        <f>IFERROR(М4_АТ4042ROD_0584!B80,"")</f>
        <v>вул. Перемоги</v>
      </c>
      <c r="B710" s="23" t="str">
        <f>IFERROR(IF(М4_АТ4042ROD_0584!C80="","",TEXT(М4_АТ4042ROD_0584!C80,"General")),"")</f>
        <v>педколедж</v>
      </c>
      <c r="C710" s="24" t="str">
        <f>"Четвер"</f>
        <v>Четвер</v>
      </c>
      <c r="D710" s="24" t="str">
        <f>IFERROR(TEXT(М4_АТ4042ROD_0584!D80,"h:mm"),"")</f>
        <v>9:55</v>
      </c>
      <c r="E710" s="24" t="str">
        <f>"№4"</f>
        <v>№4</v>
      </c>
      <c r="F710" s="24" t="str">
        <f>"АТ 40-42/ROD21003"</f>
        <v>АТ 40-42/ROD21003</v>
      </c>
      <c r="G710" s="24" t="str">
        <f>"СВ 33-15 ЕО"</f>
        <v>СВ 33-15 ЕО</v>
      </c>
      <c r="H710" s="24">
        <f>IFERROR(М4_АТ4042ROD_0584!G80,"")</f>
        <v>3</v>
      </c>
      <c r="J710" s="13" t="str">
        <f t="shared" si="79"/>
        <v>вул. Перемоги|педколедж</v>
      </c>
      <c r="K710" s="32">
        <f t="shared" si="80"/>
        <v>0.41319444444444442</v>
      </c>
      <c r="L710" s="13" t="str">
        <f>IF($A710="","",IF(COUNTIFS($J$4:$J710,$J710,$E$4:$E710,$E710)=1,$E710,""))</f>
        <v>№4</v>
      </c>
      <c r="M710" s="13" t="str">
        <f>IF($A710="","",IF(COUNTIFS($J$4:$J710,$J710,$F$4:$F710,$F710)=1,$F710,""))</f>
        <v>АТ 40-42/ROD21003</v>
      </c>
    </row>
    <row r="711" spans="1:13" x14ac:dyDescent="0.35">
      <c r="A711" s="23" t="str">
        <f>IFERROR(М3_МАЗ4371_0587!B9,"")</f>
        <v>вул. Переяславська</v>
      </c>
      <c r="B711" s="23" t="str">
        <f>IFERROR(IF(М3_МАЗ4371_0587!C9="","",TEXT(М3_МАЗ4371_0587!C9,"General")),"")</f>
        <v>3</v>
      </c>
      <c r="C711" s="24" t="str">
        <f>"Понеділок"</f>
        <v>Понеділок</v>
      </c>
      <c r="D711" s="24" t="str">
        <f>IFERROR(TEXT(М3_МАЗ4371_0587!D9,"h:mm"),"")</f>
        <v>7:35</v>
      </c>
      <c r="E711" s="24" t="str">
        <f t="shared" ref="E711:E722" si="81">"№3"</f>
        <v>№3</v>
      </c>
      <c r="F711" s="24" t="str">
        <f>"МАЗ-4371"</f>
        <v>МАЗ-4371</v>
      </c>
      <c r="G711" s="24" t="str">
        <f>"СВ 53-06 СА"</f>
        <v>СВ 53-06 СА</v>
      </c>
      <c r="H711" s="24">
        <f>IFERROR(М3_МАЗ4371_0587!G9,"")</f>
        <v>3</v>
      </c>
      <c r="J711" s="13" t="str">
        <f t="shared" si="79"/>
        <v>вул. Переяславська|3</v>
      </c>
      <c r="K711" s="32">
        <f t="shared" si="80"/>
        <v>0.31597222222222221</v>
      </c>
      <c r="L711" s="13" t="str">
        <f>IF($A711="","",IF(COUNTIFS($J$4:$J711,$J711,$E$4:$E711,$E711)=1,$E711,""))</f>
        <v>№3</v>
      </c>
      <c r="M711" s="13" t="str">
        <f>IF($A711="","",IF(COUNTIFS($J$4:$J711,$J711,$F$4:$F711,$F711)=1,$F711,""))</f>
        <v>МАЗ-4371</v>
      </c>
    </row>
    <row r="712" spans="1:13" x14ac:dyDescent="0.35">
      <c r="A712" s="23" t="str">
        <f>IFERROR(М3_МАЗ4371_0587!B37,"")</f>
        <v>вул. Переяславська</v>
      </c>
      <c r="B712" s="23" t="str">
        <f>IFERROR(IF(М3_МАЗ4371_0587!C37="","",TEXT(М3_МАЗ4371_0587!C37,"General")),"")</f>
        <v>3</v>
      </c>
      <c r="C712" s="24" t="str">
        <f>"Понеділок"</f>
        <v>Понеділок</v>
      </c>
      <c r="D712" s="24" t="str">
        <f>IFERROR(TEXT(М3_МАЗ4371_0587!D37,"h:mm"),"")</f>
        <v>15:35</v>
      </c>
      <c r="E712" s="24" t="str">
        <f t="shared" si="81"/>
        <v>№3</v>
      </c>
      <c r="F712" s="24" t="str">
        <f>"МАЗ-4371"</f>
        <v>МАЗ-4371</v>
      </c>
      <c r="G712" s="24" t="str">
        <f>"СВ 53-06 СА"</f>
        <v>СВ 53-06 СА</v>
      </c>
      <c r="H712" s="24">
        <f>IFERROR(М3_МАЗ4371_0587!G37,"")</f>
        <v>3</v>
      </c>
      <c r="J712" s="13" t="str">
        <f t="shared" si="79"/>
        <v>вул. Переяславська|3</v>
      </c>
      <c r="K712" s="32">
        <f t="shared" si="80"/>
        <v>0.64930555555555558</v>
      </c>
      <c r="L712" s="13" t="str">
        <f>IF($A712="","",IF(COUNTIFS($J$4:$J712,$J712,$E$4:$E712,$E712)=1,$E712,""))</f>
        <v/>
      </c>
      <c r="M712" s="13" t="str">
        <f>IF($A712="","",IF(COUNTIFS($J$4:$J712,$J712,$F$4:$F712,$F712)=1,$F712,""))</f>
        <v/>
      </c>
    </row>
    <row r="713" spans="1:13" x14ac:dyDescent="0.35">
      <c r="A713" s="23" t="str">
        <f>IFERROR(М3_МАЗ4371_0587!B48,"")</f>
        <v>вул. Переяславська</v>
      </c>
      <c r="B713" s="23" t="str">
        <f>IFERROR(IF(М3_МАЗ4371_0587!C48="","",TEXT(М3_МАЗ4371_0587!C48,"General")),"")</f>
        <v>3</v>
      </c>
      <c r="C713" s="24" t="str">
        <f>"Вівторок"</f>
        <v>Вівторок</v>
      </c>
      <c r="D713" s="24" t="str">
        <f>IFERROR(TEXT(М3_МАЗ4371_0587!D48,"h:mm"),"")</f>
        <v>7:40</v>
      </c>
      <c r="E713" s="24" t="str">
        <f t="shared" si="81"/>
        <v>№3</v>
      </c>
      <c r="F713" s="24" t="str">
        <f>"МАЗ-4371"</f>
        <v>МАЗ-4371</v>
      </c>
      <c r="G713" s="24" t="str">
        <f>"СВ 53-06 СА"</f>
        <v>СВ 53-06 СА</v>
      </c>
      <c r="H713" s="24">
        <f>IFERROR(М3_МАЗ4371_0587!G48,"")</f>
        <v>3</v>
      </c>
      <c r="J713" s="13" t="str">
        <f t="shared" si="79"/>
        <v>вул. Переяславська|3</v>
      </c>
      <c r="K713" s="32">
        <f t="shared" si="80"/>
        <v>0.31944444444444442</v>
      </c>
      <c r="L713" s="13" t="str">
        <f>IF($A713="","",IF(COUNTIFS($J$4:$J713,$J713,$E$4:$E713,$E713)=1,$E713,""))</f>
        <v/>
      </c>
      <c r="M713" s="13" t="str">
        <f>IF($A713="","",IF(COUNTIFS($J$4:$J713,$J713,$F$4:$F713,$F713)=1,$F713,""))</f>
        <v/>
      </c>
    </row>
    <row r="714" spans="1:13" x14ac:dyDescent="0.35">
      <c r="A714" s="23" t="str">
        <f>IFERROR(М3_МАЗ4371_0587!B78,"")</f>
        <v>вул. Переяславська</v>
      </c>
      <c r="B714" s="23" t="str">
        <f>IFERROR(IF(М3_МАЗ4371_0587!C78="","",TEXT(М3_МАЗ4371_0587!C78,"General")),"")</f>
        <v>3</v>
      </c>
      <c r="C714" s="24" t="str">
        <f>"Середа"</f>
        <v>Середа</v>
      </c>
      <c r="D714" s="24" t="str">
        <f>IFERROR(TEXT(М3_МАЗ4371_0587!D78,"h:mm"),"")</f>
        <v>7:40</v>
      </c>
      <c r="E714" s="24" t="str">
        <f t="shared" si="81"/>
        <v>№3</v>
      </c>
      <c r="F714" s="24" t="str">
        <f>"МАЗ-4371"</f>
        <v>МАЗ-4371</v>
      </c>
      <c r="G714" s="24" t="str">
        <f>"СВ 53-06 СА"</f>
        <v>СВ 53-06 СА</v>
      </c>
      <c r="H714" s="24">
        <f>IFERROR(М3_МАЗ4371_0587!G78,"")</f>
        <v>3</v>
      </c>
      <c r="J714" s="13" t="str">
        <f t="shared" si="79"/>
        <v>вул. Переяславська|3</v>
      </c>
      <c r="K714" s="32">
        <f t="shared" si="80"/>
        <v>0.31944444444444442</v>
      </c>
      <c r="L714" s="13" t="str">
        <f>IF($A714="","",IF(COUNTIFS($J$4:$J714,$J714,$E$4:$E714,$E714)=1,$E714,""))</f>
        <v/>
      </c>
      <c r="M714" s="13" t="str">
        <f>IF($A714="","",IF(COUNTIFS($J$4:$J714,$J714,$F$4:$F714,$F714)=1,$F714,""))</f>
        <v/>
      </c>
    </row>
    <row r="715" spans="1:13" x14ac:dyDescent="0.35">
      <c r="A715" s="23" t="str">
        <f>IFERROR(М3_МАЗ4371_0587!B104,"")</f>
        <v>вул. Переяславська</v>
      </c>
      <c r="B715" s="23" t="str">
        <f>IFERROR(IF(М3_МАЗ4371_0587!C104="","",TEXT(М3_МАЗ4371_0587!C104,"General")),"")</f>
        <v>3</v>
      </c>
      <c r="C715" s="24" t="str">
        <f>"Середа"</f>
        <v>Середа</v>
      </c>
      <c r="D715" s="24" t="str">
        <f>IFERROR(TEXT(М3_МАЗ4371_0587!D104,"h:mm"),"")</f>
        <v>15:35</v>
      </c>
      <c r="E715" s="24" t="str">
        <f t="shared" si="81"/>
        <v>№3</v>
      </c>
      <c r="F715" s="24" t="str">
        <f>"МАЗ-4371"</f>
        <v>МАЗ-4371</v>
      </c>
      <c r="G715" s="24" t="str">
        <f>"СВ 53-06 СА"</f>
        <v>СВ 53-06 СА</v>
      </c>
      <c r="H715" s="24">
        <f>IFERROR(М3_МАЗ4371_0587!G104,"")</f>
        <v>3</v>
      </c>
      <c r="J715" s="13" t="str">
        <f t="shared" si="79"/>
        <v>вул. Переяславська|3</v>
      </c>
      <c r="K715" s="32">
        <f t="shared" si="80"/>
        <v>0.64930555555555558</v>
      </c>
      <c r="L715" s="13" t="str">
        <f>IF($A715="","",IF(COUNTIFS($J$4:$J715,$J715,$E$4:$E715,$E715)=1,$E715,""))</f>
        <v/>
      </c>
      <c r="M715" s="13" t="str">
        <f>IF($A715="","",IF(COUNTIFS($J$4:$J715,$J715,$F$4:$F715,$F715)=1,$F715,""))</f>
        <v/>
      </c>
    </row>
    <row r="716" spans="1:13" x14ac:dyDescent="0.35">
      <c r="A716" s="23" t="str">
        <f>IFERROR('М3-4_ГАЗ3309_0590'!B9,"")</f>
        <v>вул. Переяславська</v>
      </c>
      <c r="B716" s="23" t="str">
        <f>IFERROR(IF('М3-4_ГАЗ3309_0590'!C9="","",TEXT('М3-4_ГАЗ3309_0590'!C9,"General")),"")</f>
        <v>3</v>
      </c>
      <c r="C716" s="24" t="str">
        <f>"Четвер"</f>
        <v>Четвер</v>
      </c>
      <c r="D716" s="24" t="str">
        <f>IFERROR(TEXT('М3-4_ГАЗ3309_0590'!D9,"h:mm"),"")</f>
        <v>7:45</v>
      </c>
      <c r="E716" s="24" t="str">
        <f t="shared" si="81"/>
        <v>№3</v>
      </c>
      <c r="F716" s="24" t="str">
        <f>"ГАЗ 3309"</f>
        <v>ГАЗ 3309</v>
      </c>
      <c r="G716" s="24" t="str">
        <f>"СВ 17-85 ВН"</f>
        <v>СВ 17-85 ВН</v>
      </c>
      <c r="H716" s="24">
        <f>IFERROR('М3-4_ГАЗ3309_0590'!G9,"")</f>
        <v>2</v>
      </c>
      <c r="J716" s="13" t="str">
        <f t="shared" si="79"/>
        <v>вул. Переяславська|3</v>
      </c>
      <c r="K716" s="32">
        <f t="shared" si="80"/>
        <v>0.32291666666666669</v>
      </c>
      <c r="L716" s="13" t="str">
        <f>IF($A716="","",IF(COUNTIFS($J$4:$J716,$J716,$E$4:$E716,$E716)=1,$E716,""))</f>
        <v/>
      </c>
      <c r="M716" s="13" t="str">
        <f>IF($A716="","",IF(COUNTIFS($J$4:$J716,$J716,$F$4:$F716,$F716)=1,$F716,""))</f>
        <v>ГАЗ 3309</v>
      </c>
    </row>
    <row r="717" spans="1:13" x14ac:dyDescent="0.35">
      <c r="A717" s="23" t="str">
        <f>IFERROR('М3-4_ГАЗ3309_0590'!B24,"")</f>
        <v>вул. Переяславська</v>
      </c>
      <c r="B717" s="23" t="str">
        <f>IFERROR(IF('М3-4_ГАЗ3309_0590'!C24="","",TEXT('М3-4_ГАЗ3309_0590'!C24,"General")),"")</f>
        <v>3</v>
      </c>
      <c r="C717" s="24" t="str">
        <f>"Четвер"</f>
        <v>Четвер</v>
      </c>
      <c r="D717" s="24" t="str">
        <f>IFERROR(TEXT('М3-4_ГАЗ3309_0590'!D24,"h:mm"),"")</f>
        <v>13:55</v>
      </c>
      <c r="E717" s="24" t="str">
        <f t="shared" si="81"/>
        <v>№3</v>
      </c>
      <c r="F717" s="24" t="str">
        <f>"ГАЗ 3309"</f>
        <v>ГАЗ 3309</v>
      </c>
      <c r="G717" s="24" t="str">
        <f>"СВ 17-85 ВН"</f>
        <v>СВ 17-85 ВН</v>
      </c>
      <c r="H717" s="24">
        <f>IFERROR('М3-4_ГАЗ3309_0590'!G24,"")</f>
        <v>2</v>
      </c>
      <c r="J717" s="13" t="str">
        <f t="shared" si="79"/>
        <v>вул. Переяславська|3</v>
      </c>
      <c r="K717" s="32">
        <f t="shared" si="80"/>
        <v>0.57986111111111116</v>
      </c>
      <c r="L717" s="13" t="str">
        <f>IF($A717="","",IF(COUNTIFS($J$4:$J717,$J717,$E$4:$E717,$E717)=1,$E717,""))</f>
        <v/>
      </c>
      <c r="M717" s="13" t="str">
        <f>IF($A717="","",IF(COUNTIFS($J$4:$J717,$J717,$F$4:$F717,$F717)=1,$F717,""))</f>
        <v/>
      </c>
    </row>
    <row r="718" spans="1:13" x14ac:dyDescent="0.35">
      <c r="A718" s="23" t="str">
        <f>IFERROR(М3_МАЗ4371_0587!B116,"")</f>
        <v>вул. Переяславська</v>
      </c>
      <c r="B718" s="23" t="str">
        <f>IFERROR(IF(М3_МАЗ4371_0587!C116="","",TEXT(М3_МАЗ4371_0587!C116,"General")),"")</f>
        <v>3</v>
      </c>
      <c r="C718" s="24" t="str">
        <f>"П'ятниця"</f>
        <v>П'ятниця</v>
      </c>
      <c r="D718" s="24" t="str">
        <f>IFERROR(TEXT(М3_МАЗ4371_0587!D116,"h:mm"),"")</f>
        <v>7:50</v>
      </c>
      <c r="E718" s="24" t="str">
        <f t="shared" si="81"/>
        <v>№3</v>
      </c>
      <c r="F718" s="24" t="str">
        <f>"МАЗ-4371"</f>
        <v>МАЗ-4371</v>
      </c>
      <c r="G718" s="24" t="str">
        <f>"СВ 53-06 СА"</f>
        <v>СВ 53-06 СА</v>
      </c>
      <c r="H718" s="24">
        <f>IFERROR(М3_МАЗ4371_0587!G116,"")</f>
        <v>3</v>
      </c>
      <c r="J718" s="13" t="str">
        <f t="shared" si="79"/>
        <v>вул. Переяславська|3</v>
      </c>
      <c r="K718" s="32">
        <f t="shared" si="80"/>
        <v>0.3263888888888889</v>
      </c>
      <c r="L718" s="13" t="str">
        <f>IF($A718="","",IF(COUNTIFS($J$4:$J718,$J718,$E$4:$E718,$E718)=1,$E718,""))</f>
        <v/>
      </c>
      <c r="M718" s="13" t="str">
        <f>IF($A718="","",IF(COUNTIFS($J$4:$J718,$J718,$F$4:$F718,$F718)=1,$F718,""))</f>
        <v/>
      </c>
    </row>
    <row r="719" spans="1:13" x14ac:dyDescent="0.35">
      <c r="A719" s="23" t="str">
        <f>IFERROR(М3_МАЗ4371_0587!B142,"")</f>
        <v>вул. Переяславська</v>
      </c>
      <c r="B719" s="23" t="str">
        <f>IFERROR(IF(М3_МАЗ4371_0587!C142="","",TEXT(М3_МАЗ4371_0587!C142,"General")),"")</f>
        <v>3</v>
      </c>
      <c r="C719" s="24" t="str">
        <f>"П'ятниця"</f>
        <v>П'ятниця</v>
      </c>
      <c r="D719" s="24" t="str">
        <f>IFERROR(TEXT(М3_МАЗ4371_0587!D142,"h:mm"),"")</f>
        <v>14:55</v>
      </c>
      <c r="E719" s="24" t="str">
        <f t="shared" si="81"/>
        <v>№3</v>
      </c>
      <c r="F719" s="24" t="str">
        <f>"МАЗ-4371"</f>
        <v>МАЗ-4371</v>
      </c>
      <c r="G719" s="24" t="str">
        <f>"СВ 53-06 СА"</f>
        <v>СВ 53-06 СА</v>
      </c>
      <c r="H719" s="24">
        <f>IFERROR(М3_МАЗ4371_0587!G142,"")</f>
        <v>3</v>
      </c>
      <c r="J719" s="13" t="str">
        <f t="shared" si="79"/>
        <v>вул. Переяславська|3</v>
      </c>
      <c r="K719" s="32">
        <f t="shared" si="80"/>
        <v>0.62152777777777779</v>
      </c>
      <c r="L719" s="13" t="str">
        <f>IF($A719="","",IF(COUNTIFS($J$4:$J719,$J719,$E$4:$E719,$E719)=1,$E719,""))</f>
        <v/>
      </c>
      <c r="M719" s="13" t="str">
        <f>IF($A719="","",IF(COUNTIFS($J$4:$J719,$J719,$F$4:$F719,$F719)=1,$F719,""))</f>
        <v/>
      </c>
    </row>
    <row r="720" spans="1:13" x14ac:dyDescent="0.35">
      <c r="A720" s="23" t="str">
        <f>IFERROR(М3_МАЗ4371_0587!B154,"")</f>
        <v>вул. Переяславська</v>
      </c>
      <c r="B720" s="23" t="str">
        <f>IFERROR(IF(М3_МАЗ4371_0587!C154="","",TEXT(М3_МАЗ4371_0587!C154,"General")),"")</f>
        <v>3</v>
      </c>
      <c r="C720" s="24" t="str">
        <f>"Субота"</f>
        <v>Субота</v>
      </c>
      <c r="D720" s="24" t="str">
        <f>IFERROR(TEXT(М3_МАЗ4371_0587!D154,"h:mm"),"")</f>
        <v>7:30</v>
      </c>
      <c r="E720" s="24" t="str">
        <f t="shared" si="81"/>
        <v>№3</v>
      </c>
      <c r="F720" s="24" t="str">
        <f>"МАЗ-4371"</f>
        <v>МАЗ-4371</v>
      </c>
      <c r="G720" s="24" t="str">
        <f>"СВ 53-06 СА"</f>
        <v>СВ 53-06 СА</v>
      </c>
      <c r="H720" s="24">
        <f>IFERROR(М3_МАЗ4371_0587!G154,"")</f>
        <v>3</v>
      </c>
      <c r="J720" s="13" t="str">
        <f t="shared" si="79"/>
        <v>вул. Переяславська|3</v>
      </c>
      <c r="K720" s="32">
        <f t="shared" si="80"/>
        <v>0.3125</v>
      </c>
      <c r="L720" s="13" t="str">
        <f>IF($A720="","",IF(COUNTIFS($J$4:$J720,$J720,$E$4:$E720,$E720)=1,$E720,""))</f>
        <v/>
      </c>
      <c r="M720" s="13" t="str">
        <f>IF($A720="","",IF(COUNTIFS($J$4:$J720,$J720,$F$4:$F720,$F720)=1,$F720,""))</f>
        <v/>
      </c>
    </row>
    <row r="721" spans="1:13" x14ac:dyDescent="0.35">
      <c r="A721" s="23" t="str">
        <f>IFERROR('М3-4_ГАЗ3309_0590'!B41,"")</f>
        <v>вул. Переяславська</v>
      </c>
      <c r="B721" s="23" t="str">
        <f>IFERROR(IF('М3-4_ГАЗ3309_0590'!C41="","",TEXT('М3-4_ГАЗ3309_0590'!C41,"General")),"")</f>
        <v>3</v>
      </c>
      <c r="C721" s="24" t="str">
        <f>"Неділя"</f>
        <v>Неділя</v>
      </c>
      <c r="D721" s="24" t="str">
        <f>IFERROR(TEXT('М3-4_ГАЗ3309_0590'!D41,"h:mm"),"")</f>
        <v>7:45</v>
      </c>
      <c r="E721" s="24" t="str">
        <f t="shared" si="81"/>
        <v>№3</v>
      </c>
      <c r="F721" s="24" t="str">
        <f>"ГАЗ 3309"</f>
        <v>ГАЗ 3309</v>
      </c>
      <c r="G721" s="24" t="str">
        <f>"СВ 17-85 ВН"</f>
        <v>СВ 17-85 ВН</v>
      </c>
      <c r="H721" s="24">
        <f>IFERROR('М3-4_ГАЗ3309_0590'!G41,"")</f>
        <v>2</v>
      </c>
      <c r="J721" s="13" t="str">
        <f t="shared" si="79"/>
        <v>вул. Переяславська|3</v>
      </c>
      <c r="K721" s="32">
        <f t="shared" si="80"/>
        <v>0.32291666666666669</v>
      </c>
      <c r="L721" s="13" t="str">
        <f>IF($A721="","",IF(COUNTIFS($J$4:$J721,$J721,$E$4:$E721,$E721)=1,$E721,""))</f>
        <v/>
      </c>
      <c r="M721" s="13" t="str">
        <f>IF($A721="","",IF(COUNTIFS($J$4:$J721,$J721,$F$4:$F721,$F721)=1,$F721,""))</f>
        <v/>
      </c>
    </row>
    <row r="722" spans="1:13" x14ac:dyDescent="0.35">
      <c r="A722" s="23" t="str">
        <f>IFERROR('М3-4_ГАЗ3309_0590'!B56,"")</f>
        <v>вул. Переяславська</v>
      </c>
      <c r="B722" s="23" t="str">
        <f>IFERROR(IF('М3-4_ГАЗ3309_0590'!C56="","",TEXT('М3-4_ГАЗ3309_0590'!C56,"General")),"")</f>
        <v>3</v>
      </c>
      <c r="C722" s="24" t="str">
        <f>"Неділя"</f>
        <v>Неділя</v>
      </c>
      <c r="D722" s="24" t="str">
        <f>IFERROR(TEXT('М3-4_ГАЗ3309_0590'!D56,"h:mm"),"")</f>
        <v>13:55</v>
      </c>
      <c r="E722" s="24" t="str">
        <f t="shared" si="81"/>
        <v>№3</v>
      </c>
      <c r="F722" s="24" t="str">
        <f>"ГАЗ 3309"</f>
        <v>ГАЗ 3309</v>
      </c>
      <c r="G722" s="24" t="str">
        <f>"СВ 17-85 ВН"</f>
        <v>СВ 17-85 ВН</v>
      </c>
      <c r="H722" s="24">
        <f>IFERROR('М3-4_ГАЗ3309_0590'!G56,"")</f>
        <v>2</v>
      </c>
      <c r="J722" s="13" t="str">
        <f t="shared" si="79"/>
        <v>вул. Переяславська|3</v>
      </c>
      <c r="K722" s="32">
        <f t="shared" si="80"/>
        <v>0.57986111111111116</v>
      </c>
      <c r="L722" s="13" t="str">
        <f>IF($A722="","",IF(COUNTIFS($J$4:$J722,$J722,$E$4:$E722,$E722)=1,$E722,""))</f>
        <v/>
      </c>
      <c r="M722" s="13" t="str">
        <f>IF($A722="","",IF(COUNTIFS($J$4:$J722,$J722,$F$4:$F722,$F722)=1,$F722,""))</f>
        <v/>
      </c>
    </row>
    <row r="723" spans="1:13" x14ac:dyDescent="0.35">
      <c r="A723" s="23" t="str">
        <f>IFERROR(М1_КАМАЗ55111_0591!B57,"")</f>
        <v>вул. Переяславська</v>
      </c>
      <c r="B723" s="23" t="str">
        <f>IFERROR(IF(М1_КАМАЗ55111_0591!C57="","",TEXT(М1_КАМАЗ55111_0591!C57,"General")),"")</f>
        <v>72 (ТІМ)</v>
      </c>
      <c r="C723" s="24" t="str">
        <f>"Вівторок"</f>
        <v>Вівторок</v>
      </c>
      <c r="D723" s="24" t="str">
        <f>IFERROR(TEXT(М1_КАМАЗ55111_0591!D57,"h:mm"),"")</f>
        <v>9:50</v>
      </c>
      <c r="E723" s="24" t="str">
        <f>"№1"</f>
        <v>№1</v>
      </c>
      <c r="F723" s="24" t="str">
        <f>"КАМАЗ 55111"</f>
        <v>КАМАЗ 55111</v>
      </c>
      <c r="G723" s="24" t="str">
        <f>"СВ 50-33 АР"</f>
        <v>СВ 50-33 АР</v>
      </c>
      <c r="H723" s="24">
        <f>IFERROR(М1_КАМАЗ55111_0591!G57,"")</f>
        <v>5</v>
      </c>
      <c r="J723" s="13" t="str">
        <f t="shared" si="79"/>
        <v>вул. Переяславська|72 (ТІМ)</v>
      </c>
      <c r="K723" s="32">
        <f t="shared" si="80"/>
        <v>0.40972222222222221</v>
      </c>
      <c r="L723" s="13" t="str">
        <f>IF($A723="","",IF(COUNTIFS($J$4:$J723,$J723,$E$4:$E723,$E723)=1,$E723,""))</f>
        <v>№1</v>
      </c>
      <c r="M723" s="13" t="str">
        <f>IF($A723="","",IF(COUNTIFS($J$4:$J723,$J723,$F$4:$F723,$F723)=1,$F723,""))</f>
        <v>КАМАЗ 55111</v>
      </c>
    </row>
    <row r="724" spans="1:13" x14ac:dyDescent="0.35">
      <c r="A724" s="23" t="str">
        <f>IFERROR('М1-2_АТ4021-1120_0585'!B109,"")</f>
        <v>вул. Переяславська</v>
      </c>
      <c r="B724" s="23" t="str">
        <f>IFERROR(IF('М1-2_АТ4021-1120_0585'!C109="","",TEXT('М1-2_АТ4021-1120_0585'!C109,"General")),"")</f>
        <v>72 (ТІМ)</v>
      </c>
      <c r="C724" s="24" t="str">
        <f>"Четвер"</f>
        <v>Четвер</v>
      </c>
      <c r="D724" s="24" t="str">
        <f>IFERROR(TEXT('М1-2_АТ4021-1120_0585'!D109,"h:mm"),"")</f>
        <v>7:55</v>
      </c>
      <c r="E724" s="24" t="str">
        <f>"№1"</f>
        <v>№1</v>
      </c>
      <c r="F724" s="24" t="str">
        <f>"АТ-4021/1120"</f>
        <v>АТ-4021/1120</v>
      </c>
      <c r="G724" s="24" t="str">
        <f>"СВ 14-65 ЕО"</f>
        <v>СВ 14-65 ЕО</v>
      </c>
      <c r="H724" s="24">
        <f>IFERROR('М1-2_АТ4021-1120_0585'!G109,"")</f>
        <v>6</v>
      </c>
      <c r="J724" s="13" t="str">
        <f t="shared" si="79"/>
        <v>вул. Переяславська|72 (ТІМ)</v>
      </c>
      <c r="K724" s="32">
        <f t="shared" si="80"/>
        <v>0.3298611111111111</v>
      </c>
      <c r="L724" s="13" t="str">
        <f>IF($A724="","",IF(COUNTIFS($J$4:$J724,$J724,$E$4:$E724,$E724)=1,$E724,""))</f>
        <v/>
      </c>
      <c r="M724" s="13" t="str">
        <f>IF($A724="","",IF(COUNTIFS($J$4:$J724,$J724,$F$4:$F724,$F724)=1,$F724,""))</f>
        <v>АТ-4021/1120</v>
      </c>
    </row>
    <row r="725" spans="1:13" x14ac:dyDescent="0.35">
      <c r="A725" s="23" t="str">
        <f>IFERROR(М1_КАМАЗ55111_0591!B156,"")</f>
        <v>вул. Переяславська</v>
      </c>
      <c r="B725" s="23" t="str">
        <f>IFERROR(IF(М1_КАМАЗ55111_0591!C156="","",TEXT(М1_КАМАЗ55111_0591!C156,"General")),"")</f>
        <v>72 (ТІМ)</v>
      </c>
      <c r="C725" s="24" t="str">
        <f>"Субота"</f>
        <v>Субота</v>
      </c>
      <c r="D725" s="24" t="str">
        <f>IFERROR(TEXT(М1_КАМАЗ55111_0591!D156,"h:mm"),"")</f>
        <v>9:50</v>
      </c>
      <c r="E725" s="24" t="str">
        <f>"№1"</f>
        <v>№1</v>
      </c>
      <c r="F725" s="24" t="str">
        <f>"КАМАЗ 55111"</f>
        <v>КАМАЗ 55111</v>
      </c>
      <c r="G725" s="24" t="str">
        <f>"СВ 50-33 АР"</f>
        <v>СВ 50-33 АР</v>
      </c>
      <c r="H725" s="24">
        <f>IFERROR(М1_КАМАЗ55111_0591!G156,"")</f>
        <v>4</v>
      </c>
      <c r="J725" s="13" t="str">
        <f t="shared" si="79"/>
        <v>вул. Переяславська|72 (ТІМ)</v>
      </c>
      <c r="K725" s="32">
        <f t="shared" si="80"/>
        <v>0.40972222222222221</v>
      </c>
      <c r="L725" s="13" t="str">
        <f>IF($A725="","",IF(COUNTIFS($J$4:$J725,$J725,$E$4:$E725,$E725)=1,$E725,""))</f>
        <v/>
      </c>
      <c r="M725" s="13" t="str">
        <f>IF($A725="","",IF(COUNTIFS($J$4:$J725,$J725,$F$4:$F725,$F725)=1,$F725,""))</f>
        <v/>
      </c>
    </row>
    <row r="726" spans="1:13" x14ac:dyDescent="0.35">
      <c r="A726" s="23" t="str">
        <f>IFERROR('М1-2_АТ4021-1120_0585'!B144,"")</f>
        <v>вул. Переяславська</v>
      </c>
      <c r="B726" s="23" t="str">
        <f>IFERROR(IF('М1-2_АТ4021-1120_0585'!C144="","",TEXT('М1-2_АТ4021-1120_0585'!C144,"General")),"")</f>
        <v>72 (ТІМ)</v>
      </c>
      <c r="C726" s="24" t="str">
        <f>"Неділя"</f>
        <v>Неділя</v>
      </c>
      <c r="D726" s="24" t="str">
        <f>IFERROR(TEXT('М1-2_АТ4021-1120_0585'!D144,"h:mm"),"")</f>
        <v>7:55</v>
      </c>
      <c r="E726" s="24" t="str">
        <f>"№1"</f>
        <v>№1</v>
      </c>
      <c r="F726" s="24" t="str">
        <f>"АТ-4021/1120"</f>
        <v>АТ-4021/1120</v>
      </c>
      <c r="G726" s="24" t="str">
        <f>"СВ 14-65 ЕО"</f>
        <v>СВ 14-65 ЕО</v>
      </c>
      <c r="H726" s="24">
        <f>IFERROR('М1-2_АТ4021-1120_0585'!G144,"")</f>
        <v>6</v>
      </c>
      <c r="J726" s="13" t="str">
        <f t="shared" si="79"/>
        <v>вул. Переяславська|72 (ТІМ)</v>
      </c>
      <c r="K726" s="32">
        <f t="shared" si="80"/>
        <v>0.3298611111111111</v>
      </c>
      <c r="L726" s="13" t="str">
        <f>IF($A726="","",IF(COUNTIFS($J$4:$J726,$J726,$E$4:$E726,$E726)=1,$E726,""))</f>
        <v/>
      </c>
      <c r="M726" s="13" t="str">
        <f>IF($A726="","",IF(COUNTIFS($J$4:$J726,$J726,$F$4:$F726,$F726)=1,$F726,""))</f>
        <v/>
      </c>
    </row>
    <row r="727" spans="1:13" x14ac:dyDescent="0.35">
      <c r="A727" s="23" t="str">
        <f>IFERROR(М1_КАМАЗ55111_0591!B123,"")</f>
        <v>вул. Переяславська</v>
      </c>
      <c r="B727" s="23" t="str">
        <f>IFERROR(IF(М1_КАМАЗ55111_0591!C123="","",TEXT(М1_КАМАЗ55111_0591!C123,"General")),"")</f>
        <v>Епіцентр</v>
      </c>
      <c r="C727" s="24" t="str">
        <f>"П'ятниця"</f>
        <v>П'ятниця</v>
      </c>
      <c r="D727" s="24" t="str">
        <f>IFERROR(TEXT(М1_КАМАЗ55111_0591!D123,"h:mm"),"")</f>
        <v>10:15</v>
      </c>
      <c r="E727" s="24" t="str">
        <f>"№1"</f>
        <v>№1</v>
      </c>
      <c r="F727" s="24" t="str">
        <f>"КАМАЗ 55111"</f>
        <v>КАМАЗ 55111</v>
      </c>
      <c r="G727" s="24" t="str">
        <f>"СВ 50-33 АР"</f>
        <v>СВ 50-33 АР</v>
      </c>
      <c r="H727" s="24">
        <f>IFERROR(М1_КАМАЗ55111_0591!G123,"")</f>
        <v>5</v>
      </c>
      <c r="J727" s="13" t="str">
        <f t="shared" si="79"/>
        <v>вул. Переяславська|Епіцентр</v>
      </c>
      <c r="K727" s="32">
        <f t="shared" si="80"/>
        <v>0.42708333333333331</v>
      </c>
      <c r="L727" s="13" t="str">
        <f>IF($A727="","",IF(COUNTIFS($J$4:$J727,$J727,$E$4:$E727,$E727)=1,$E727,""))</f>
        <v>№1</v>
      </c>
      <c r="M727" s="13" t="str">
        <f>IF($A727="","",IF(COUNTIFS($J$4:$J727,$J727,$F$4:$F727,$F727)=1,$F727,""))</f>
        <v>КАМАЗ 55111</v>
      </c>
    </row>
    <row r="728" spans="1:13" x14ac:dyDescent="0.35">
      <c r="A728" s="23" t="str">
        <f>IFERROR('М3-4_ГАЗ3309_0590'!B124,"")</f>
        <v>вул. Переяславська</v>
      </c>
      <c r="B728" s="23" t="str">
        <f>IFERROR(IF('М3-4_ГАЗ3309_0590'!C124="","",TEXT('М3-4_ГАЗ3309_0590'!C124,"General")),"")</f>
        <v>МБК</v>
      </c>
      <c r="C728" s="24" t="str">
        <f>"Понеділок"</f>
        <v>Понеділок</v>
      </c>
      <c r="D728" s="24" t="str">
        <f>IFERROR(TEXT('М3-4_ГАЗ3309_0590'!D124,"h:mm"),"")</f>
        <v>8:25</v>
      </c>
      <c r="E728" s="24" t="str">
        <f>"№3"</f>
        <v>№3</v>
      </c>
      <c r="F728" s="24" t="str">
        <f>"ГАЗ 3309"</f>
        <v>ГАЗ 3309</v>
      </c>
      <c r="G728" s="24" t="str">
        <f>"СВ 17-85 ВН"</f>
        <v>СВ 17-85 ВН</v>
      </c>
      <c r="H728" s="24">
        <f>IFERROR('М3-4_ГАЗ3309_0590'!G124,"")</f>
        <v>4</v>
      </c>
      <c r="J728" s="13" t="str">
        <f t="shared" si="79"/>
        <v>вул. Переяславська|МБК</v>
      </c>
      <c r="K728" s="32">
        <f t="shared" si="80"/>
        <v>0.35069444444444442</v>
      </c>
      <c r="L728" s="13" t="str">
        <f>IF($A728="","",IF(COUNTIFS($J$4:$J728,$J728,$E$4:$E728,$E728)=1,$E728,""))</f>
        <v>№3</v>
      </c>
      <c r="M728" s="13" t="str">
        <f>IF($A728="","",IF(COUNTIFS($J$4:$J728,$J728,$F$4:$F728,$F728)=1,$F728,""))</f>
        <v>ГАЗ 3309</v>
      </c>
    </row>
    <row r="729" spans="1:13" x14ac:dyDescent="0.35">
      <c r="A729" s="23" t="str">
        <f>IFERROR('М1-2_АТ4021-1120_0585'!B20,"")</f>
        <v>вул. Переяславська</v>
      </c>
      <c r="B729" s="23" t="str">
        <f>IFERROR(IF('М1-2_АТ4021-1120_0585'!C20="","",TEXT('М1-2_АТ4021-1120_0585'!C20,"General")),"")</f>
        <v>Престиж</v>
      </c>
      <c r="C729" s="24" t="str">
        <f>"Понеділок"</f>
        <v>Понеділок</v>
      </c>
      <c r="D729" s="24" t="str">
        <f>IFERROR(TEXT('М1-2_АТ4021-1120_0585'!D20,"h:mm"),"")</f>
        <v>12:30</v>
      </c>
      <c r="E729" s="24" t="str">
        <f t="shared" ref="E729:E736" si="82">"№1"</f>
        <v>№1</v>
      </c>
      <c r="F729" s="24" t="str">
        <f>"АТ-4021/1120"</f>
        <v>АТ-4021/1120</v>
      </c>
      <c r="G729" s="24" t="str">
        <f>"СВ 14-65 ЕО"</f>
        <v>СВ 14-65 ЕО</v>
      </c>
      <c r="H729" s="24">
        <f>IFERROR('М1-2_АТ4021-1120_0585'!G20,"")</f>
        <v>2</v>
      </c>
      <c r="J729" s="13" t="str">
        <f t="shared" si="79"/>
        <v>вул. Переяславська|Престиж</v>
      </c>
      <c r="K729" s="32">
        <f t="shared" si="80"/>
        <v>0.52083333333333337</v>
      </c>
      <c r="L729" s="13" t="str">
        <f>IF($A729="","",IF(COUNTIFS($J$4:$J729,$J729,$E$4:$E729,$E729)=1,$E729,""))</f>
        <v>№1</v>
      </c>
      <c r="M729" s="13" t="str">
        <f>IF($A729="","",IF(COUNTIFS($J$4:$J729,$J729,$F$4:$F729,$F729)=1,$F729,""))</f>
        <v>АТ-4021/1120</v>
      </c>
    </row>
    <row r="730" spans="1:13" x14ac:dyDescent="0.35">
      <c r="A730" s="23" t="str">
        <f>IFERROR('М1-2_АТ4021-1120_0585'!B11,"")</f>
        <v>вул. Переяславська</v>
      </c>
      <c r="B730" s="23" t="str">
        <f>IFERROR(IF('М1-2_АТ4021-1120_0585'!C11="","",TEXT('М1-2_АТ4021-1120_0585'!C11,"General")),"")</f>
        <v>Таврія</v>
      </c>
      <c r="C730" s="24" t="str">
        <f>"Понеділок"</f>
        <v>Понеділок</v>
      </c>
      <c r="D730" s="24" t="str">
        <f>IFERROR(TEXT('М1-2_АТ4021-1120_0585'!D11,"h:mm"),"")</f>
        <v>8:40</v>
      </c>
      <c r="E730" s="24" t="str">
        <f t="shared" si="82"/>
        <v>№1</v>
      </c>
      <c r="F730" s="24" t="str">
        <f>"АТ-4021/1120"</f>
        <v>АТ-4021/1120</v>
      </c>
      <c r="G730" s="24" t="str">
        <f>"СВ 14-65 ЕО"</f>
        <v>СВ 14-65 ЕО</v>
      </c>
      <c r="H730" s="24">
        <f>IFERROR('М1-2_АТ4021-1120_0585'!G11,"")</f>
        <v>1</v>
      </c>
      <c r="J730" s="13" t="str">
        <f t="shared" si="79"/>
        <v>вул. Переяславська|Таврія</v>
      </c>
      <c r="K730" s="32">
        <f t="shared" si="80"/>
        <v>0.3611111111111111</v>
      </c>
      <c r="L730" s="13" t="str">
        <f>IF($A730="","",IF(COUNTIFS($J$4:$J730,$J730,$E$4:$E730,$E730)=1,$E730,""))</f>
        <v>№1</v>
      </c>
      <c r="M730" s="13" t="str">
        <f>IF($A730="","",IF(COUNTIFS($J$4:$J730,$J730,$F$4:$F730,$F730)=1,$F730,""))</f>
        <v>АТ-4021/1120</v>
      </c>
    </row>
    <row r="731" spans="1:13" x14ac:dyDescent="0.35">
      <c r="A731" s="23" t="str">
        <f>IFERROR('М1-2_АТ4021-1120_0585'!B21,"")</f>
        <v>вул. Переяславська</v>
      </c>
      <c r="B731" s="23" t="str">
        <f>IFERROR(IF('М1-2_АТ4021-1120_0585'!C21="","",TEXT('М1-2_АТ4021-1120_0585'!C21,"General")),"")</f>
        <v>Укр.ковбаси</v>
      </c>
      <c r="C731" s="24" t="str">
        <f>"Понеділок"</f>
        <v>Понеділок</v>
      </c>
      <c r="D731" s="24" t="str">
        <f>IFERROR(TEXT('М1-2_АТ4021-1120_0585'!D21,"h:mm"),"")</f>
        <v>12:35</v>
      </c>
      <c r="E731" s="24" t="str">
        <f t="shared" si="82"/>
        <v>№1</v>
      </c>
      <c r="F731" s="24" t="str">
        <f>"АТ-4021/1120"</f>
        <v>АТ-4021/1120</v>
      </c>
      <c r="G731" s="24" t="str">
        <f>"СВ 14-65 ЕО"</f>
        <v>СВ 14-65 ЕО</v>
      </c>
      <c r="H731" s="24">
        <f>IFERROR('М1-2_АТ4021-1120_0585'!G21,"")</f>
        <v>1</v>
      </c>
      <c r="J731" s="13" t="str">
        <f t="shared" si="79"/>
        <v>вул. Переяславська|Укр.ковбаси</v>
      </c>
      <c r="K731" s="32">
        <f t="shared" si="80"/>
        <v>0.52430555555555558</v>
      </c>
      <c r="L731" s="13" t="str">
        <f>IF($A731="","",IF(COUNTIFS($J$4:$J731,$J731,$E$4:$E731,$E731)=1,$E731,""))</f>
        <v>№1</v>
      </c>
      <c r="M731" s="13" t="str">
        <f>IF($A731="","",IF(COUNTIFS($J$4:$J731,$J731,$F$4:$F731,$F731)=1,$F731,""))</f>
        <v>АТ-4021/1120</v>
      </c>
    </row>
    <row r="732" spans="1:13" x14ac:dyDescent="0.35">
      <c r="A732" s="23" t="str">
        <f>IFERROR(М1_КАМАЗ55111_0591!B24,"")</f>
        <v>вул. Переяславська</v>
      </c>
      <c r="B732" s="23" t="str">
        <f>IFERROR(IF(М1_КАМАЗ55111_0591!C24="","",TEXT(М1_КАМАЗ55111_0591!C24,"General")),"")</f>
        <v>Фора</v>
      </c>
      <c r="C732" s="24" t="str">
        <f>"Понеділок"</f>
        <v>Понеділок</v>
      </c>
      <c r="D732" s="24" t="str">
        <f>IFERROR(TEXT(М1_КАМАЗ55111_0591!D24,"h:mm"),"")</f>
        <v>10:00</v>
      </c>
      <c r="E732" s="24" t="str">
        <f t="shared" si="82"/>
        <v>№1</v>
      </c>
      <c r="F732" s="24" t="str">
        <f>"КАМАЗ 55111"</f>
        <v>КАМАЗ 55111</v>
      </c>
      <c r="G732" s="24" t="str">
        <f>"СВ 50-33 АР"</f>
        <v>СВ 50-33 АР</v>
      </c>
      <c r="H732" s="24">
        <f>IFERROR(М1_КАМАЗ55111_0591!G24,"")</f>
        <v>3</v>
      </c>
      <c r="J732" s="13" t="str">
        <f t="shared" si="79"/>
        <v>вул. Переяславська|Фора</v>
      </c>
      <c r="K732" s="32">
        <f t="shared" si="80"/>
        <v>0.41666666666666669</v>
      </c>
      <c r="L732" s="13" t="str">
        <f>IF($A732="","",IF(COUNTIFS($J$4:$J732,$J732,$E$4:$E732,$E732)=1,$E732,""))</f>
        <v>№1</v>
      </c>
      <c r="M732" s="13" t="str">
        <f>IF($A732="","",IF(COUNTIFS($J$4:$J732,$J732,$F$4:$F732,$F732)=1,$F732,""))</f>
        <v>КАМАЗ 55111</v>
      </c>
    </row>
    <row r="733" spans="1:13" x14ac:dyDescent="0.35">
      <c r="A733" s="23" t="str">
        <f>IFERROR(М1_КАМАЗ55111_0591!B89,"")</f>
        <v>вул. Переяславська</v>
      </c>
      <c r="B733" s="23" t="str">
        <f>IFERROR(IF(М1_КАМАЗ55111_0591!C89="","",TEXT(М1_КАМАЗ55111_0591!C89,"General")),"")</f>
        <v>Фора</v>
      </c>
      <c r="C733" s="24" t="str">
        <f>"Середа"</f>
        <v>Середа</v>
      </c>
      <c r="D733" s="24" t="str">
        <f>IFERROR(TEXT(М1_КАМАЗ55111_0591!D89,"h:mm"),"")</f>
        <v>9:50</v>
      </c>
      <c r="E733" s="24" t="str">
        <f t="shared" si="82"/>
        <v>№1</v>
      </c>
      <c r="F733" s="24" t="str">
        <f>"КАМАЗ 55111"</f>
        <v>КАМАЗ 55111</v>
      </c>
      <c r="G733" s="24" t="str">
        <f>"СВ 50-33 АР"</f>
        <v>СВ 50-33 АР</v>
      </c>
      <c r="H733" s="24">
        <f>IFERROR(М1_КАМАЗ55111_0591!G89,"")</f>
        <v>3</v>
      </c>
      <c r="J733" s="13" t="str">
        <f t="shared" si="79"/>
        <v>вул. Переяславська|Фора</v>
      </c>
      <c r="K733" s="32">
        <f t="shared" si="80"/>
        <v>0.40972222222222221</v>
      </c>
      <c r="L733" s="13" t="str">
        <f>IF($A733="","",IF(COUNTIFS($J$4:$J733,$J733,$E$4:$E733,$E733)=1,$E733,""))</f>
        <v/>
      </c>
      <c r="M733" s="13" t="str">
        <f>IF($A733="","",IF(COUNTIFS($J$4:$J733,$J733,$F$4:$F733,$F733)=1,$F733,""))</f>
        <v/>
      </c>
    </row>
    <row r="734" spans="1:13" x14ac:dyDescent="0.35">
      <c r="A734" s="23" t="str">
        <f>IFERROR('М1-2_АТ4021-1120_0585'!B120,"")</f>
        <v>вул. Переяславська</v>
      </c>
      <c r="B734" s="23" t="str">
        <f>IFERROR(IF('М1-2_АТ4021-1120_0585'!C120="","",TEXT('М1-2_АТ4021-1120_0585'!C120,"General")),"")</f>
        <v>Фора</v>
      </c>
      <c r="C734" s="24" t="str">
        <f>"Четвер"</f>
        <v>Четвер</v>
      </c>
      <c r="D734" s="24" t="str">
        <f>IFERROR(TEXT('М1-2_АТ4021-1120_0585'!D120,"h:mm"),"")</f>
        <v>12:00</v>
      </c>
      <c r="E734" s="24" t="str">
        <f t="shared" si="82"/>
        <v>№1</v>
      </c>
      <c r="F734" s="24" t="str">
        <f>"АТ-4021/1120"</f>
        <v>АТ-4021/1120</v>
      </c>
      <c r="G734" s="24" t="str">
        <f>"СВ 14-65 ЕО"</f>
        <v>СВ 14-65 ЕО</v>
      </c>
      <c r="H734" s="24">
        <f>IFERROR('М1-2_АТ4021-1120_0585'!G120,"")</f>
        <v>4</v>
      </c>
      <c r="J734" s="13" t="str">
        <f t="shared" si="79"/>
        <v>вул. Переяславська|Фора</v>
      </c>
      <c r="K734" s="32">
        <f t="shared" si="80"/>
        <v>0.5</v>
      </c>
      <c r="L734" s="13" t="str">
        <f>IF($A734="","",IF(COUNTIFS($J$4:$J734,$J734,$E$4:$E734,$E734)=1,$E734,""))</f>
        <v/>
      </c>
      <c r="M734" s="13" t="str">
        <f>IF($A734="","",IF(COUNTIFS($J$4:$J734,$J734,$F$4:$F734,$F734)=1,$F734,""))</f>
        <v>АТ-4021/1120</v>
      </c>
    </row>
    <row r="735" spans="1:13" x14ac:dyDescent="0.35">
      <c r="A735" s="23" t="str">
        <f>IFERROR(М1_КАМАЗ55111_0591!B121,"")</f>
        <v>вул. Переяславська</v>
      </c>
      <c r="B735" s="23" t="str">
        <f>IFERROR(IF(М1_КАМАЗ55111_0591!C121="","",TEXT(М1_КАМАЗ55111_0591!C121,"General")),"")</f>
        <v>Фора</v>
      </c>
      <c r="C735" s="24" t="str">
        <f>"П'ятниця"</f>
        <v>П'ятниця</v>
      </c>
      <c r="D735" s="24" t="str">
        <f>IFERROR(TEXT(М1_КАМАЗ55111_0591!D121,"h:mm"),"")</f>
        <v>9:50</v>
      </c>
      <c r="E735" s="24" t="str">
        <f t="shared" si="82"/>
        <v>№1</v>
      </c>
      <c r="F735" s="24" t="str">
        <f>"КАМАЗ 55111"</f>
        <v>КАМАЗ 55111</v>
      </c>
      <c r="G735" s="24" t="str">
        <f>"СВ 50-33 АР"</f>
        <v>СВ 50-33 АР</v>
      </c>
      <c r="H735" s="24">
        <f>IFERROR(М1_КАМАЗ55111_0591!G121,"")</f>
        <v>3</v>
      </c>
      <c r="J735" s="13" t="str">
        <f t="shared" si="79"/>
        <v>вул. Переяславська|Фора</v>
      </c>
      <c r="K735" s="32">
        <f t="shared" si="80"/>
        <v>0.40972222222222221</v>
      </c>
      <c r="L735" s="13" t="str">
        <f>IF($A735="","",IF(COUNTIFS($J$4:$J735,$J735,$E$4:$E735,$E735)=1,$E735,""))</f>
        <v/>
      </c>
      <c r="M735" s="13" t="str">
        <f>IF($A735="","",IF(COUNTIFS($J$4:$J735,$J735,$F$4:$F735,$F735)=1,$F735,""))</f>
        <v/>
      </c>
    </row>
    <row r="736" spans="1:13" x14ac:dyDescent="0.35">
      <c r="A736" s="23" t="str">
        <f>IFERROR('М1-2_АТ4021-1120_0585'!B153,"")</f>
        <v>вул. Переяславська</v>
      </c>
      <c r="B736" s="23" t="str">
        <f>IFERROR(IF('М1-2_АТ4021-1120_0585'!C153="","",TEXT('М1-2_АТ4021-1120_0585'!C153,"General")),"")</f>
        <v>Фора</v>
      </c>
      <c r="C736" s="24" t="str">
        <f>"Неділя"</f>
        <v>Неділя</v>
      </c>
      <c r="D736" s="24" t="str">
        <f>IFERROR(TEXT('М1-2_АТ4021-1120_0585'!D153,"h:mm"),"")</f>
        <v>10:35</v>
      </c>
      <c r="E736" s="24" t="str">
        <f t="shared" si="82"/>
        <v>№1</v>
      </c>
      <c r="F736" s="24" t="str">
        <f>"АТ-4021/1120"</f>
        <v>АТ-4021/1120</v>
      </c>
      <c r="G736" s="24" t="str">
        <f>"СВ 14-65 ЕО"</f>
        <v>СВ 14-65 ЕО</v>
      </c>
      <c r="H736" s="24">
        <f>IFERROR('М1-2_АТ4021-1120_0585'!G153,"")</f>
        <v>4</v>
      </c>
      <c r="J736" s="13" t="str">
        <f t="shared" si="79"/>
        <v>вул. Переяславська|Фора</v>
      </c>
      <c r="K736" s="32">
        <f t="shared" si="80"/>
        <v>0.44097222222222221</v>
      </c>
      <c r="L736" s="13" t="str">
        <f>IF($A736="","",IF(COUNTIFS($J$4:$J736,$J736,$E$4:$E736,$E736)=1,$E736,""))</f>
        <v/>
      </c>
      <c r="M736" s="13" t="str">
        <f>IF($A736="","",IF(COUNTIFS($J$4:$J736,$J736,$F$4:$F736,$F736)=1,$F736,""))</f>
        <v/>
      </c>
    </row>
    <row r="737" spans="1:13" x14ac:dyDescent="0.35">
      <c r="A737" s="23" t="str">
        <f>IFERROR('М2_АТ4021-1120_0588'!B15,"")</f>
        <v>вул. Переяславська</v>
      </c>
      <c r="B737" s="23" t="str">
        <f>IFERROR(IF('М2_АТ4021-1120_0588'!C15="","",TEXT('М2_АТ4021-1120_0588'!C15,"General")),"")</f>
        <v>буд. 10</v>
      </c>
      <c r="C737" s="24" t="str">
        <f>"Понеділок"</f>
        <v>Понеділок</v>
      </c>
      <c r="D737" s="24" t="str">
        <f>IFERROR(TEXT('М2_АТ4021-1120_0588'!D15,"h:mm"),"")</f>
        <v>10:10</v>
      </c>
      <c r="E737" s="24" t="str">
        <f t="shared" ref="E737:E745" si="83">"№2"</f>
        <v>№2</v>
      </c>
      <c r="F737" s="24" t="str">
        <f>"АТ 4021/1120"</f>
        <v>АТ 4021/1120</v>
      </c>
      <c r="G737" s="24" t="str">
        <f>"СВ 64-11 ЕТ"</f>
        <v>СВ 64-11 ЕТ</v>
      </c>
      <c r="H737" s="24">
        <f>IFERROR('М2_АТ4021-1120_0588'!G15,"")</f>
        <v>3</v>
      </c>
      <c r="J737" s="13" t="str">
        <f t="shared" si="79"/>
        <v>вул. Переяславська|буд. 10</v>
      </c>
      <c r="K737" s="32">
        <f t="shared" si="80"/>
        <v>0.4236111111111111</v>
      </c>
      <c r="L737" s="13" t="str">
        <f>IF($A737="","",IF(COUNTIFS($J$4:$J737,$J737,$E$4:$E737,$E737)=1,$E737,""))</f>
        <v>№2</v>
      </c>
      <c r="M737" s="13" t="str">
        <f>IF($A737="","",IF(COUNTIFS($J$4:$J737,$J737,$F$4:$F737,$F737)=1,$F737,""))</f>
        <v>АТ 4021/1120</v>
      </c>
    </row>
    <row r="738" spans="1:13" x14ac:dyDescent="0.35">
      <c r="A738" s="23" t="str">
        <f>IFERROR('М2_АТ4021-1120_0588'!B46,"")</f>
        <v>вул. Переяславська</v>
      </c>
      <c r="B738" s="23" t="str">
        <f>IFERROR(IF('М2_АТ4021-1120_0588'!C46="","",TEXT('М2_АТ4021-1120_0588'!C46,"General")),"")</f>
        <v>буд. 10</v>
      </c>
      <c r="C738" s="24" t="str">
        <f>"Вівторок"</f>
        <v>Вівторок</v>
      </c>
      <c r="D738" s="24" t="str">
        <f>IFERROR(TEXT('М2_АТ4021-1120_0588'!D46,"h:mm"),"")</f>
        <v>10:10</v>
      </c>
      <c r="E738" s="24" t="str">
        <f t="shared" si="83"/>
        <v>№2</v>
      </c>
      <c r="F738" s="24" t="str">
        <f>"АТ 4021/1120"</f>
        <v>АТ 4021/1120</v>
      </c>
      <c r="G738" s="24" t="str">
        <f>"СВ 64-11 ЕТ"</f>
        <v>СВ 64-11 ЕТ</v>
      </c>
      <c r="H738" s="24">
        <f>IFERROR('М2_АТ4021-1120_0588'!G46,"")</f>
        <v>3</v>
      </c>
      <c r="J738" s="13" t="str">
        <f t="shared" si="79"/>
        <v>вул. Переяславська|буд. 10</v>
      </c>
      <c r="K738" s="32">
        <f t="shared" si="80"/>
        <v>0.4236111111111111</v>
      </c>
      <c r="L738" s="13" t="str">
        <f>IF($A738="","",IF(COUNTIFS($J$4:$J738,$J738,$E$4:$E738,$E738)=1,$E738,""))</f>
        <v/>
      </c>
      <c r="M738" s="13" t="str">
        <f>IF($A738="","",IF(COUNTIFS($J$4:$J738,$J738,$F$4:$F738,$F738)=1,$F738,""))</f>
        <v/>
      </c>
    </row>
    <row r="739" spans="1:13" x14ac:dyDescent="0.35">
      <c r="A739" s="23" t="str">
        <f>IFERROR('М2_АТ4021-1120_0588'!B57,"")</f>
        <v>вул. Переяславська</v>
      </c>
      <c r="B739" s="23" t="str">
        <f>IFERROR(IF('М2_АТ4021-1120_0588'!C57="","",TEXT('М2_АТ4021-1120_0588'!C57,"General")),"")</f>
        <v>буд. 10</v>
      </c>
      <c r="C739" s="24" t="str">
        <f>"Вівторок"</f>
        <v>Вівторок</v>
      </c>
      <c r="D739" s="24" t="str">
        <f>IFERROR(TEXT('М2_АТ4021-1120_0588'!D57,"h:mm"),"")</f>
        <v>15:20</v>
      </c>
      <c r="E739" s="24" t="str">
        <f t="shared" si="83"/>
        <v>№2</v>
      </c>
      <c r="F739" s="24" t="str">
        <f>"АТ 4021/1120"</f>
        <v>АТ 4021/1120</v>
      </c>
      <c r="G739" s="24" t="str">
        <f>"СВ 64-11 ЕТ"</f>
        <v>СВ 64-11 ЕТ</v>
      </c>
      <c r="H739" s="24">
        <f>IFERROR('М2_АТ4021-1120_0588'!G57,"")</f>
        <v>3</v>
      </c>
      <c r="J739" s="13" t="str">
        <f t="shared" si="79"/>
        <v>вул. Переяславська|буд. 10</v>
      </c>
      <c r="K739" s="32">
        <f t="shared" si="80"/>
        <v>0.63888888888888884</v>
      </c>
      <c r="L739" s="13" t="str">
        <f>IF($A739="","",IF(COUNTIFS($J$4:$J739,$J739,$E$4:$E739,$E739)=1,$E739,""))</f>
        <v/>
      </c>
      <c r="M739" s="13" t="str">
        <f>IF($A739="","",IF(COUNTIFS($J$4:$J739,$J739,$F$4:$F739,$F739)=1,$F739,""))</f>
        <v/>
      </c>
    </row>
    <row r="740" spans="1:13" x14ac:dyDescent="0.35">
      <c r="A740" s="23" t="str">
        <f>IFERROR('М1-2_АТ4021-1120_0585'!B52,"")</f>
        <v>вул. Переяславська</v>
      </c>
      <c r="B740" s="23" t="str">
        <f>IFERROR(IF('М1-2_АТ4021-1120_0585'!C52="","",TEXT('М1-2_АТ4021-1120_0585'!C52,"General")),"")</f>
        <v>буд. 10</v>
      </c>
      <c r="C740" s="24" t="str">
        <f>"Середа"</f>
        <v>Середа</v>
      </c>
      <c r="D740" s="24" t="str">
        <f>IFERROR(TEXT('М1-2_АТ4021-1120_0585'!D52,"h:mm"),"")</f>
        <v>8:40</v>
      </c>
      <c r="E740" s="24" t="str">
        <f t="shared" si="83"/>
        <v>№2</v>
      </c>
      <c r="F740" s="24" t="str">
        <f>"АТ-4021/1120"</f>
        <v>АТ-4021/1120</v>
      </c>
      <c r="G740" s="24" t="str">
        <f>"СВ 14-65 ЕО"</f>
        <v>СВ 14-65 ЕО</v>
      </c>
      <c r="H740" s="24">
        <f>IFERROR('М1-2_АТ4021-1120_0585'!G52,"")</f>
        <v>3</v>
      </c>
      <c r="J740" s="13" t="str">
        <f t="shared" si="79"/>
        <v>вул. Переяславська|буд. 10</v>
      </c>
      <c r="K740" s="32">
        <f t="shared" si="80"/>
        <v>0.3611111111111111</v>
      </c>
      <c r="L740" s="13" t="str">
        <f>IF($A740="","",IF(COUNTIFS($J$4:$J740,$J740,$E$4:$E740,$E740)=1,$E740,""))</f>
        <v/>
      </c>
      <c r="M740" s="13" t="str">
        <f>IF($A740="","",IF(COUNTIFS($J$4:$J740,$J740,$F$4:$F740,$F740)=1,$F740,""))</f>
        <v>АТ-4021/1120</v>
      </c>
    </row>
    <row r="741" spans="1:13" x14ac:dyDescent="0.35">
      <c r="A741" s="23" t="str">
        <f>IFERROR('М2_АТ4021-1120_0588'!B77,"")</f>
        <v>вул. Переяславська</v>
      </c>
      <c r="B741" s="23" t="str">
        <f>IFERROR(IF('М2_АТ4021-1120_0588'!C77="","",TEXT('М2_АТ4021-1120_0588'!C77,"General")),"")</f>
        <v>буд. 10</v>
      </c>
      <c r="C741" s="24" t="str">
        <f>"Четвер"</f>
        <v>Четвер</v>
      </c>
      <c r="D741" s="24" t="str">
        <f>IFERROR(TEXT('М2_АТ4021-1120_0588'!D77,"h:mm"),"")</f>
        <v>10:10</v>
      </c>
      <c r="E741" s="24" t="str">
        <f t="shared" si="83"/>
        <v>№2</v>
      </c>
      <c r="F741" s="24" t="str">
        <f>"АТ 4021/1120"</f>
        <v>АТ 4021/1120</v>
      </c>
      <c r="G741" s="24" t="str">
        <f>"СВ 64-11 ЕТ"</f>
        <v>СВ 64-11 ЕТ</v>
      </c>
      <c r="H741" s="24">
        <f>IFERROR('М2_АТ4021-1120_0588'!G77,"")</f>
        <v>3</v>
      </c>
      <c r="J741" s="13" t="str">
        <f t="shared" si="79"/>
        <v>вул. Переяславська|буд. 10</v>
      </c>
      <c r="K741" s="32">
        <f t="shared" si="80"/>
        <v>0.4236111111111111</v>
      </c>
      <c r="L741" s="13" t="str">
        <f>IF($A741="","",IF(COUNTIFS($J$4:$J741,$J741,$E$4:$E741,$E741)=1,$E741,""))</f>
        <v/>
      </c>
      <c r="M741" s="13" t="str">
        <f>IF($A741="","",IF(COUNTIFS($J$4:$J741,$J741,$F$4:$F741,$F741)=1,$F741,""))</f>
        <v/>
      </c>
    </row>
    <row r="742" spans="1:13" x14ac:dyDescent="0.35">
      <c r="A742" s="23" t="str">
        <f>IFERROR('М2_АТ4021-1120_0588'!B107,"")</f>
        <v>вул. Переяславська</v>
      </c>
      <c r="B742" s="23" t="str">
        <f>IFERROR(IF('М2_АТ4021-1120_0588'!C107="","",TEXT('М2_АТ4021-1120_0588'!C107,"General")),"")</f>
        <v>буд. 10</v>
      </c>
      <c r="C742" s="24" t="str">
        <f>"П'ятниця"</f>
        <v>П'ятниця</v>
      </c>
      <c r="D742" s="24" t="str">
        <f>IFERROR(TEXT('М2_АТ4021-1120_0588'!D107,"h:mm"),"")</f>
        <v>10:10</v>
      </c>
      <c r="E742" s="24" t="str">
        <f t="shared" si="83"/>
        <v>№2</v>
      </c>
      <c r="F742" s="24" t="str">
        <f>"АТ 4021/1120"</f>
        <v>АТ 4021/1120</v>
      </c>
      <c r="G742" s="24" t="str">
        <f>"СВ 64-11 ЕТ"</f>
        <v>СВ 64-11 ЕТ</v>
      </c>
      <c r="H742" s="24">
        <f>IFERROR('М2_АТ4021-1120_0588'!G107,"")</f>
        <v>3</v>
      </c>
      <c r="J742" s="13" t="str">
        <f t="shared" si="79"/>
        <v>вул. Переяславська|буд. 10</v>
      </c>
      <c r="K742" s="32">
        <f t="shared" si="80"/>
        <v>0.4236111111111111</v>
      </c>
      <c r="L742" s="13" t="str">
        <f>IF($A742="","",IF(COUNTIFS($J$4:$J742,$J742,$E$4:$E742,$E742)=1,$E742,""))</f>
        <v/>
      </c>
      <c r="M742" s="13" t="str">
        <f>IF($A742="","",IF(COUNTIFS($J$4:$J742,$J742,$F$4:$F742,$F742)=1,$F742,""))</f>
        <v/>
      </c>
    </row>
    <row r="743" spans="1:13" x14ac:dyDescent="0.35">
      <c r="A743" s="23" t="str">
        <f>IFERROR('М1-2_АТ4021-1120_0585'!B81,"")</f>
        <v>вул. Переяславська</v>
      </c>
      <c r="B743" s="23" t="str">
        <f>IFERROR(IF('М1-2_АТ4021-1120_0585'!C81="","",TEXT('М1-2_АТ4021-1120_0585'!C81,"General")),"")</f>
        <v>буд. 10</v>
      </c>
      <c r="C743" s="24" t="str">
        <f>"Субота"</f>
        <v>Субота</v>
      </c>
      <c r="D743" s="24" t="str">
        <f>IFERROR(TEXT('М1-2_АТ4021-1120_0585'!D81,"h:mm"),"")</f>
        <v>8:40</v>
      </c>
      <c r="E743" s="24" t="str">
        <f t="shared" si="83"/>
        <v>№2</v>
      </c>
      <c r="F743" s="24" t="str">
        <f>"АТ-4021/1120"</f>
        <v>АТ-4021/1120</v>
      </c>
      <c r="G743" s="24" t="str">
        <f>"СВ 14-65 ЕО"</f>
        <v>СВ 14-65 ЕО</v>
      </c>
      <c r="H743" s="24">
        <f>IFERROR('М1-2_АТ4021-1120_0585'!G81,"")</f>
        <v>3</v>
      </c>
      <c r="J743" s="13" t="str">
        <f t="shared" si="79"/>
        <v>вул. Переяславська|буд. 10</v>
      </c>
      <c r="K743" s="32">
        <f t="shared" si="80"/>
        <v>0.3611111111111111</v>
      </c>
      <c r="L743" s="13" t="str">
        <f>IF($A743="","",IF(COUNTIFS($J$4:$J743,$J743,$E$4:$E743,$E743)=1,$E743,""))</f>
        <v/>
      </c>
      <c r="M743" s="13" t="str">
        <f>IF($A743="","",IF(COUNTIFS($J$4:$J743,$J743,$F$4:$F743,$F743)=1,$F743,""))</f>
        <v/>
      </c>
    </row>
    <row r="744" spans="1:13" x14ac:dyDescent="0.35">
      <c r="A744" s="23" t="str">
        <f>IFERROR('М2_АТ4021-1120_0588'!B137,"")</f>
        <v>вул. Переяславська</v>
      </c>
      <c r="B744" s="23" t="str">
        <f>IFERROR(IF('М2_АТ4021-1120_0588'!C137="","",TEXT('М2_АТ4021-1120_0588'!C137,"General")),"")</f>
        <v>буд. 10</v>
      </c>
      <c r="C744" s="24" t="str">
        <f>"Неділя"</f>
        <v>Неділя</v>
      </c>
      <c r="D744" s="24" t="str">
        <f>IFERROR(TEXT('М2_АТ4021-1120_0588'!D137,"h:mm"),"")</f>
        <v>10:10</v>
      </c>
      <c r="E744" s="24" t="str">
        <f t="shared" si="83"/>
        <v>№2</v>
      </c>
      <c r="F744" s="24" t="str">
        <f>"АТ 4021/1120"</f>
        <v>АТ 4021/1120</v>
      </c>
      <c r="G744" s="24" t="str">
        <f>"СВ 64-11 ЕТ"</f>
        <v>СВ 64-11 ЕТ</v>
      </c>
      <c r="H744" s="24">
        <f>IFERROR('М2_АТ4021-1120_0588'!G137,"")</f>
        <v>3</v>
      </c>
      <c r="J744" s="13" t="str">
        <f t="shared" si="79"/>
        <v>вул. Переяславська|буд. 10</v>
      </c>
      <c r="K744" s="32">
        <f t="shared" si="80"/>
        <v>0.4236111111111111</v>
      </c>
      <c r="L744" s="13" t="str">
        <f>IF($A744="","",IF(COUNTIFS($J$4:$J744,$J744,$E$4:$E744,$E744)=1,$E744,""))</f>
        <v/>
      </c>
      <c r="M744" s="13" t="str">
        <f>IF($A744="","",IF(COUNTIFS($J$4:$J744,$J744,$F$4:$F744,$F744)=1,$F744,""))</f>
        <v/>
      </c>
    </row>
    <row r="745" spans="1:13" x14ac:dyDescent="0.35">
      <c r="A745" s="23" t="str">
        <f>IFERROR('М2_АТ4021-1120_0588'!B147,"")</f>
        <v>вул. Переяславська</v>
      </c>
      <c r="B745" s="23" t="str">
        <f>IFERROR(IF('М2_АТ4021-1120_0588'!C147="","",TEXT('М2_АТ4021-1120_0588'!C147,"General")),"")</f>
        <v>буд. 10</v>
      </c>
      <c r="C745" s="24" t="str">
        <f>"Неділя"</f>
        <v>Неділя</v>
      </c>
      <c r="D745" s="24" t="str">
        <f>IFERROR(TEXT('М2_АТ4021-1120_0588'!D147,"h:mm"),"")</f>
        <v>14:45</v>
      </c>
      <c r="E745" s="24" t="str">
        <f t="shared" si="83"/>
        <v>№2</v>
      </c>
      <c r="F745" s="24" t="str">
        <f>"АТ 4021/1120"</f>
        <v>АТ 4021/1120</v>
      </c>
      <c r="G745" s="24" t="str">
        <f>"СВ 64-11 ЕТ"</f>
        <v>СВ 64-11 ЕТ</v>
      </c>
      <c r="H745" s="24">
        <f>IFERROR('М2_АТ4021-1120_0588'!G147,"")</f>
        <v>3</v>
      </c>
      <c r="J745" s="13" t="str">
        <f t="shared" si="79"/>
        <v>вул. Переяславська|буд. 10</v>
      </c>
      <c r="K745" s="32">
        <f t="shared" si="80"/>
        <v>0.61458333333333337</v>
      </c>
      <c r="L745" s="13" t="str">
        <f>IF($A745="","",IF(COUNTIFS($J$4:$J745,$J745,$E$4:$E745,$E745)=1,$E745,""))</f>
        <v/>
      </c>
      <c r="M745" s="13" t="str">
        <f>IF($A745="","",IF(COUNTIFS($J$4:$J745,$J745,$F$4:$F745,$F745)=1,$F745,""))</f>
        <v/>
      </c>
    </row>
    <row r="746" spans="1:13" x14ac:dyDescent="0.35">
      <c r="A746" s="23" t="str">
        <f>IFERROR('М1-2_АТ4021-1120_0585'!B129,"")</f>
        <v>вул. Переяславська</v>
      </c>
      <c r="B746" s="23" t="str">
        <f>IFERROR(IF('М1-2_АТ4021-1120_0585'!C129="","",TEXT('М1-2_АТ4021-1120_0585'!C129,"General")),"")</f>
        <v>м-н Епіцентр</v>
      </c>
      <c r="C746" s="24" t="str">
        <f>"Четвер"</f>
        <v>Четвер</v>
      </c>
      <c r="D746" s="24" t="str">
        <f>IFERROR(TEXT('М1-2_АТ4021-1120_0585'!D129,"h:mm"),"")</f>
        <v>14:30</v>
      </c>
      <c r="E746" s="24" t="str">
        <f>"№1"</f>
        <v>№1</v>
      </c>
      <c r="F746" s="24" t="str">
        <f>"АТ-4021/1120"</f>
        <v>АТ-4021/1120</v>
      </c>
      <c r="G746" s="24" t="str">
        <f>"СВ 14-65 ЕО"</f>
        <v>СВ 14-65 ЕО</v>
      </c>
      <c r="H746" s="24">
        <f>IFERROR('М1-2_АТ4021-1120_0585'!G129,"")</f>
        <v>4</v>
      </c>
      <c r="J746" s="13" t="str">
        <f t="shared" si="79"/>
        <v>вул. Переяславська|м-н Епіцентр</v>
      </c>
      <c r="K746" s="32">
        <f t="shared" si="80"/>
        <v>0.60416666666666663</v>
      </c>
      <c r="L746" s="13" t="str">
        <f>IF($A746="","",IF(COUNTIFS($J$4:$J746,$J746,$E$4:$E746,$E746)=1,$E746,""))</f>
        <v>№1</v>
      </c>
      <c r="M746" s="13" t="str">
        <f>IF($A746="","",IF(COUNTIFS($J$4:$J746,$J746,$F$4:$F746,$F746)=1,$F746,""))</f>
        <v>АТ-4021/1120</v>
      </c>
    </row>
    <row r="747" spans="1:13" x14ac:dyDescent="0.35">
      <c r="A747" s="23" t="str">
        <f>IFERROR('М1-2_АТ4021-1120_0585'!B164,"")</f>
        <v>вул. Переяславська</v>
      </c>
      <c r="B747" s="23" t="str">
        <f>IFERROR(IF('М1-2_АТ4021-1120_0585'!C164="","",TEXT('М1-2_АТ4021-1120_0585'!C164,"General")),"")</f>
        <v>м-н Епіцентр</v>
      </c>
      <c r="C747" s="24" t="str">
        <f>"Неділя"</f>
        <v>Неділя</v>
      </c>
      <c r="D747" s="24" t="str">
        <f>IFERROR(TEXT('М1-2_АТ4021-1120_0585'!D164,"h:mm"),"")</f>
        <v>14:30</v>
      </c>
      <c r="E747" s="24" t="str">
        <f>"№1"</f>
        <v>№1</v>
      </c>
      <c r="F747" s="24" t="str">
        <f>"АТ-4021/1120"</f>
        <v>АТ-4021/1120</v>
      </c>
      <c r="G747" s="24" t="str">
        <f>"СВ 14-65 ЕО"</f>
        <v>СВ 14-65 ЕО</v>
      </c>
      <c r="H747" s="24">
        <f>IFERROR('М1-2_АТ4021-1120_0585'!G164,"")</f>
        <v>4</v>
      </c>
      <c r="J747" s="13" t="str">
        <f t="shared" si="79"/>
        <v>вул. Переяславська|м-н Епіцентр</v>
      </c>
      <c r="K747" s="32">
        <f t="shared" si="80"/>
        <v>0.60416666666666663</v>
      </c>
      <c r="L747" s="13" t="str">
        <f>IF($A747="","",IF(COUNTIFS($J$4:$J747,$J747,$E$4:$E747,$E747)=1,$E747,""))</f>
        <v/>
      </c>
      <c r="M747" s="13" t="str">
        <f>IF($A747="","",IF(COUNTIFS($J$4:$J747,$J747,$F$4:$F747,$F747)=1,$F747,""))</f>
        <v/>
      </c>
    </row>
    <row r="748" spans="1:13" x14ac:dyDescent="0.35">
      <c r="A748" s="23" t="str">
        <f>IFERROR(М6_АТ4021_0586!B22,"")</f>
        <v>вул. Пирогівська</v>
      </c>
      <c r="B748" s="23" t="str">
        <f>IFERROR(IF(М6_АТ4021_0586!C22="","",TEXT(М6_АТ4021_0586!C22,"General")),"")</f>
        <v>45,31  21</v>
      </c>
      <c r="C748" s="24" t="str">
        <f>"Понеділок"</f>
        <v>Понеділок</v>
      </c>
      <c r="D748" s="24" t="str">
        <f>IFERROR(TEXT(М6_АТ4021_0586!D22,"h:mm"),"")</f>
        <v>10:35</v>
      </c>
      <c r="E748" s="24" t="str">
        <f>"№6"</f>
        <v>№6</v>
      </c>
      <c r="F748" s="24" t="str">
        <f>"АТ 4021"</f>
        <v>АТ 4021</v>
      </c>
      <c r="G748" s="24" t="str">
        <f>"СВ 33-16 ЕО"</f>
        <v>СВ 33-16 ЕО</v>
      </c>
      <c r="H748" s="24"/>
      <c r="J748" s="13" t="str">
        <f t="shared" si="79"/>
        <v>вул. Пирогівська|45,31  21</v>
      </c>
      <c r="K748" s="32">
        <f t="shared" si="80"/>
        <v>0.44097222222222221</v>
      </c>
      <c r="L748" s="13" t="str">
        <f>IF($A748="","",IF(COUNTIFS($J$4:$J748,$J748,$E$4:$E748,$E748)=1,$E748,""))</f>
        <v>№6</v>
      </c>
      <c r="M748" s="13" t="str">
        <f>IF($A748="","",IF(COUNTIFS($J$4:$J748,$J748,$F$4:$F748,$F748)=1,$F748,""))</f>
        <v>АТ 4021</v>
      </c>
    </row>
    <row r="749" spans="1:13" x14ac:dyDescent="0.35">
      <c r="A749" s="23" t="str">
        <f>IFERROR(М5_МАЗ4381_0592!B120,"")</f>
        <v>вул. Пирятинська</v>
      </c>
      <c r="B749" s="23" t="str">
        <f>IFERROR(IF(М5_МАЗ4381_0592!C120="","",TEXT(М5_МАЗ4381_0592!C120,"General")),"")</f>
        <v/>
      </c>
      <c r="C749" s="24" t="str">
        <f>"Четвер"</f>
        <v>Четвер</v>
      </c>
      <c r="D749" s="24" t="str">
        <f>IFERROR(TEXT(М5_МАЗ4381_0592!D120,"h:mm"),"")</f>
        <v>7:25</v>
      </c>
      <c r="E749" s="24" t="str">
        <f>"№5"</f>
        <v>№5</v>
      </c>
      <c r="F749" s="24" t="str">
        <f>"МАЗ 4381"</f>
        <v>МАЗ 4381</v>
      </c>
      <c r="G749" s="24" t="str">
        <f>"СВ 81-71 ВК"</f>
        <v>СВ 81-71 ВК</v>
      </c>
      <c r="H749" s="24"/>
      <c r="J749" s="13" t="str">
        <f t="shared" si="79"/>
        <v>вул. Пирятинська|</v>
      </c>
      <c r="K749" s="32">
        <f t="shared" si="80"/>
        <v>0.30902777777777779</v>
      </c>
      <c r="L749" s="13" t="str">
        <f>IF($A749="","",IF(COUNTIFS($J$4:$J749,$J749,$E$4:$E749,$E749)=1,$E749,""))</f>
        <v>№5</v>
      </c>
      <c r="M749" s="13" t="str">
        <f>IF($A749="","",IF(COUNTIFS($J$4:$J749,$J749,$F$4:$F749,$F749)=1,$F749,""))</f>
        <v>МАЗ 4381</v>
      </c>
    </row>
    <row r="750" spans="1:13" x14ac:dyDescent="0.35">
      <c r="A750" s="23" t="str">
        <f>IFERROR(М4_АТ4042ROD_0584!B17,"")</f>
        <v>вул. Пирятинська</v>
      </c>
      <c r="B750" s="23" t="str">
        <f>IFERROR(IF(М4_АТ4042ROD_0584!C17="","",TEXT(М4_АТ4042ROD_0584!C17,"General")),"")</f>
        <v>115</v>
      </c>
      <c r="C750" s="24" t="str">
        <f>"Понеділок"</f>
        <v>Понеділок</v>
      </c>
      <c r="D750" s="24" t="str">
        <f>IFERROR(TEXT(М4_АТ4042ROD_0584!D17,"h:mm"),"")</f>
        <v>10:40</v>
      </c>
      <c r="E750" s="24" t="str">
        <f>"№4"</f>
        <v>№4</v>
      </c>
      <c r="F750" s="24" t="str">
        <f>"АТ 40-42/ROD21003"</f>
        <v>АТ 40-42/ROD21003</v>
      </c>
      <c r="G750" s="24" t="str">
        <f>"СВ 33-15 ЕО"</f>
        <v>СВ 33-15 ЕО</v>
      </c>
      <c r="H750" s="24">
        <f>IFERROR(М4_АТ4042ROD_0584!G17,"")</f>
        <v>1</v>
      </c>
      <c r="J750" s="13" t="str">
        <f t="shared" si="79"/>
        <v>вул. Пирятинська|115</v>
      </c>
      <c r="K750" s="32">
        <f t="shared" si="80"/>
        <v>0.44444444444444442</v>
      </c>
      <c r="L750" s="13" t="str">
        <f>IF($A750="","",IF(COUNTIFS($J$4:$J750,$J750,$E$4:$E750,$E750)=1,$E750,""))</f>
        <v>№4</v>
      </c>
      <c r="M750" s="13" t="str">
        <f>IF($A750="","",IF(COUNTIFS($J$4:$J750,$J750,$F$4:$F750,$F750)=1,$F750,""))</f>
        <v>АТ 40-42/ROD21003</v>
      </c>
    </row>
    <row r="751" spans="1:13" x14ac:dyDescent="0.35">
      <c r="A751" s="23" t="str">
        <f>IFERROR(М4_АТ4042ROD_0584!B115,"")</f>
        <v>вул. Пирятинська</v>
      </c>
      <c r="B751" s="23" t="str">
        <f>IFERROR(IF(М4_АТ4042ROD_0584!C115="","",TEXT(М4_АТ4042ROD_0584!C115,"General")),"")</f>
        <v>115</v>
      </c>
      <c r="C751" s="24" t="str">
        <f>"П'ятниця"</f>
        <v>П'ятниця</v>
      </c>
      <c r="D751" s="24" t="str">
        <f>IFERROR(TEXT(М4_АТ4042ROD_0584!D115,"h:mm"),"")</f>
        <v>10:20</v>
      </c>
      <c r="E751" s="24" t="str">
        <f>"№4"</f>
        <v>№4</v>
      </c>
      <c r="F751" s="24" t="str">
        <f>"АТ 40-42/ROD21003"</f>
        <v>АТ 40-42/ROD21003</v>
      </c>
      <c r="G751" s="24" t="str">
        <f>"СВ 33-15 ЕО"</f>
        <v>СВ 33-15 ЕО</v>
      </c>
      <c r="H751" s="24">
        <f>IFERROR(М4_АТ4042ROD_0584!G115,"")</f>
        <v>1</v>
      </c>
      <c r="J751" s="13" t="str">
        <f t="shared" si="79"/>
        <v>вул. Пирятинська|115</v>
      </c>
      <c r="K751" s="32">
        <f t="shared" si="80"/>
        <v>0.43055555555555558</v>
      </c>
      <c r="L751" s="13" t="str">
        <f>IF($A751="","",IF(COUNTIFS($J$4:$J751,$J751,$E$4:$E751,$E751)=1,$E751,""))</f>
        <v/>
      </c>
      <c r="M751" s="13" t="str">
        <f>IF($A751="","",IF(COUNTIFS($J$4:$J751,$J751,$F$4:$F751,$F751)=1,$F751,""))</f>
        <v/>
      </c>
    </row>
    <row r="752" spans="1:13" x14ac:dyDescent="0.35">
      <c r="A752" s="23" t="str">
        <f>IFERROR('М1-2_АТ4021-1120_0585'!B37,"")</f>
        <v>вул. Пирятинська</v>
      </c>
      <c r="B752" s="23" t="str">
        <f>IFERROR(IF('М1-2_АТ4021-1120_0585'!C37="","",TEXT('М1-2_АТ4021-1120_0585'!C37,"General")),"")</f>
        <v>14</v>
      </c>
      <c r="C752" s="24" t="str">
        <f>"Понеділок"</f>
        <v>Понеділок</v>
      </c>
      <c r="D752" s="24" t="str">
        <f>IFERROR(TEXT('М1-2_АТ4021-1120_0585'!D37,"h:mm"),"")</f>
        <v>15:35</v>
      </c>
      <c r="E752" s="24" t="str">
        <f>"№1"</f>
        <v>№1</v>
      </c>
      <c r="F752" s="24" t="str">
        <f>"АТ-4021/1120"</f>
        <v>АТ-4021/1120</v>
      </c>
      <c r="G752" s="24" t="str">
        <f>"СВ 14-65 ЕО"</f>
        <v>СВ 14-65 ЕО</v>
      </c>
      <c r="H752" s="24">
        <f>IFERROR('М1-2_АТ4021-1120_0585'!G37,"")</f>
        <v>3</v>
      </c>
      <c r="J752" s="13" t="str">
        <f t="shared" si="79"/>
        <v>вул. Пирятинська|14</v>
      </c>
      <c r="K752" s="32">
        <f t="shared" si="80"/>
        <v>0.64930555555555558</v>
      </c>
      <c r="L752" s="13" t="str">
        <f>IF($A752="","",IF(COUNTIFS($J$4:$J752,$J752,$E$4:$E752,$E752)=1,$E752,""))</f>
        <v>№1</v>
      </c>
      <c r="M752" s="13" t="str">
        <f>IF($A752="","",IF(COUNTIFS($J$4:$J752,$J752,$F$4:$F752,$F752)=1,$F752,""))</f>
        <v>АТ-4021/1120</v>
      </c>
    </row>
    <row r="753" spans="1:13" x14ac:dyDescent="0.35">
      <c r="A753" s="23" t="str">
        <f>IFERROR('М1-2_АТ4021-1120_0585'!B36,"")</f>
        <v>вул. Пирятинська</v>
      </c>
      <c r="B753" s="23" t="str">
        <f>IFERROR(IF('М1-2_АТ4021-1120_0585'!C36="","",TEXT('М1-2_АТ4021-1120_0585'!C36,"General")),"")</f>
        <v>2</v>
      </c>
      <c r="C753" s="24" t="str">
        <f>"Понеділок"</f>
        <v>Понеділок</v>
      </c>
      <c r="D753" s="24" t="str">
        <f>IFERROR(TEXT('М1-2_АТ4021-1120_0585'!D36,"h:mm"),"")</f>
        <v>15:25</v>
      </c>
      <c r="E753" s="24" t="str">
        <f>"№1"</f>
        <v>№1</v>
      </c>
      <c r="F753" s="24" t="str">
        <f>"АТ-4021/1120"</f>
        <v>АТ-4021/1120</v>
      </c>
      <c r="G753" s="24" t="str">
        <f>"СВ 14-65 ЕО"</f>
        <v>СВ 14-65 ЕО</v>
      </c>
      <c r="H753" s="24">
        <f>IFERROR('М1-2_АТ4021-1120_0585'!G36,"")</f>
        <v>2</v>
      </c>
      <c r="J753" s="13" t="str">
        <f t="shared" si="79"/>
        <v>вул. Пирятинська|2</v>
      </c>
      <c r="K753" s="32">
        <f t="shared" si="80"/>
        <v>0.64236111111111116</v>
      </c>
      <c r="L753" s="13" t="str">
        <f>IF($A753="","",IF(COUNTIFS($J$4:$J753,$J753,$E$4:$E753,$E753)=1,$E753,""))</f>
        <v>№1</v>
      </c>
      <c r="M753" s="13" t="str">
        <f>IF($A753="","",IF(COUNTIFS($J$4:$J753,$J753,$F$4:$F753,$F753)=1,$F753,""))</f>
        <v>АТ-4021/1120</v>
      </c>
    </row>
    <row r="754" spans="1:13" x14ac:dyDescent="0.35">
      <c r="A754" s="23" t="str">
        <f>IFERROR('М1-2_АТ4021-1120_0585'!B40,"")</f>
        <v>вул. Пирятинська</v>
      </c>
      <c r="B754" s="23" t="str">
        <f>IFERROR(IF('М1-2_АТ4021-1120_0585'!C40="","",TEXT('М1-2_АТ4021-1120_0585'!C40,"General")),"")</f>
        <v>98</v>
      </c>
      <c r="C754" s="24" t="str">
        <f>"Понеділок"</f>
        <v>Понеділок</v>
      </c>
      <c r="D754" s="24" t="str">
        <f>IFERROR(TEXT('М1-2_АТ4021-1120_0585'!D40,"h:mm"),"")</f>
        <v>16:00</v>
      </c>
      <c r="E754" s="24" t="str">
        <f>"№1"</f>
        <v>№1</v>
      </c>
      <c r="F754" s="24" t="str">
        <f>"АТ-4021/1120"</f>
        <v>АТ-4021/1120</v>
      </c>
      <c r="G754" s="24" t="str">
        <f>"СВ 14-65 ЕО"</f>
        <v>СВ 14-65 ЕО</v>
      </c>
      <c r="H754" s="24">
        <f>IFERROR('М1-2_АТ4021-1120_0585'!G40,"")</f>
        <v>1</v>
      </c>
      <c r="J754" s="13" t="str">
        <f t="shared" si="79"/>
        <v>вул. Пирятинська|98</v>
      </c>
      <c r="K754" s="32">
        <f t="shared" si="80"/>
        <v>0.66666666666666663</v>
      </c>
      <c r="L754" s="13" t="str">
        <f>IF($A754="","",IF(COUNTIFS($J$4:$J754,$J754,$E$4:$E754,$E754)=1,$E754,""))</f>
        <v>№1</v>
      </c>
      <c r="M754" s="13" t="str">
        <f>IF($A754="","",IF(COUNTIFS($J$4:$J754,$J754,$F$4:$F754,$F754)=1,$F754,""))</f>
        <v>АТ-4021/1120</v>
      </c>
    </row>
    <row r="755" spans="1:13" x14ac:dyDescent="0.35">
      <c r="A755" s="23" t="str">
        <f>IFERROR('М1-2_АТ4021-1120_0585'!B39,"")</f>
        <v>вул. Пирятинська</v>
      </c>
      <c r="B755" s="23" t="str">
        <f>IFERROR(IF('М1-2_АТ4021-1120_0585'!C39="","",TEXT('М1-2_АТ4021-1120_0585'!C39,"General")),"")</f>
        <v>АІР</v>
      </c>
      <c r="C755" s="24" t="str">
        <f>"Понеділок"</f>
        <v>Понеділок</v>
      </c>
      <c r="D755" s="24" t="str">
        <f>IFERROR(TEXT('М1-2_АТ4021-1120_0585'!D39,"h:mm"),"")</f>
        <v>15:55</v>
      </c>
      <c r="E755" s="24" t="str">
        <f>"№1"</f>
        <v>№1</v>
      </c>
      <c r="F755" s="24" t="str">
        <f>"АТ-4021/1120"</f>
        <v>АТ-4021/1120</v>
      </c>
      <c r="G755" s="24" t="str">
        <f>"СВ 14-65 ЕО"</f>
        <v>СВ 14-65 ЕО</v>
      </c>
      <c r="H755" s="24">
        <f>IFERROR('М1-2_АТ4021-1120_0585'!G39,"")</f>
        <v>2</v>
      </c>
      <c r="J755" s="13" t="str">
        <f t="shared" si="79"/>
        <v>вул. Пирятинська|АІР</v>
      </c>
      <c r="K755" s="32">
        <f t="shared" si="80"/>
        <v>0.66319444444444442</v>
      </c>
      <c r="L755" s="13" t="str">
        <f>IF($A755="","",IF(COUNTIFS($J$4:$J755,$J755,$E$4:$E755,$E755)=1,$E755,""))</f>
        <v>№1</v>
      </c>
      <c r="M755" s="13" t="str">
        <f>IF($A755="","",IF(COUNTIFS($J$4:$J755,$J755,$F$4:$F755,$F755)=1,$F755,""))</f>
        <v>АТ-4021/1120</v>
      </c>
    </row>
    <row r="756" spans="1:13" x14ac:dyDescent="0.35">
      <c r="A756" s="23" t="str">
        <f>IFERROR(М4_АТ4042ROD_0584!B39,"")</f>
        <v>вул. Пирятинська</v>
      </c>
      <c r="B756" s="23" t="str">
        <f>IFERROR(IF(М4_АТ4042ROD_0584!C39="","",TEXT(М4_АТ4042ROD_0584!C39,"General")),"")</f>
        <v>ДЕПО</v>
      </c>
      <c r="C756" s="24" t="str">
        <f>"Вівторок"</f>
        <v>Вівторок</v>
      </c>
      <c r="D756" s="24" t="str">
        <f>IFERROR(TEXT(М4_АТ4042ROD_0584!D39,"h:mm"),"")</f>
        <v>7:20</v>
      </c>
      <c r="E756" s="24" t="str">
        <f>"№4"</f>
        <v>№4</v>
      </c>
      <c r="F756" s="24" t="str">
        <f>"АТ 40-42/ROD21003"</f>
        <v>АТ 40-42/ROD21003</v>
      </c>
      <c r="G756" s="24" t="str">
        <f>"СВ 33-15 ЕО"</f>
        <v>СВ 33-15 ЕО</v>
      </c>
      <c r="H756" s="24">
        <f>IFERROR(М4_АТ4042ROD_0584!G39,"")</f>
        <v>2</v>
      </c>
      <c r="J756" s="13" t="str">
        <f t="shared" si="79"/>
        <v>вул. Пирятинська|ДЕПО</v>
      </c>
      <c r="K756" s="32">
        <f t="shared" si="80"/>
        <v>0.30555555555555558</v>
      </c>
      <c r="L756" s="13" t="str">
        <f>IF($A756="","",IF(COUNTIFS($J$4:$J756,$J756,$E$4:$E756,$E756)=1,$E756,""))</f>
        <v>№4</v>
      </c>
      <c r="M756" s="13" t="str">
        <f>IF($A756="","",IF(COUNTIFS($J$4:$J756,$J756,$F$4:$F756,$F756)=1,$F756,""))</f>
        <v>АТ 40-42/ROD21003</v>
      </c>
    </row>
    <row r="757" spans="1:13" x14ac:dyDescent="0.35">
      <c r="A757" s="23" t="str">
        <f>IFERROR(М4_АТ4042ROD_0584!B79,"")</f>
        <v>вул. Пирятинська</v>
      </c>
      <c r="B757" s="23" t="str">
        <f>IFERROR(IF(М4_АТ4042ROD_0584!C79="","",TEXT(М4_АТ4042ROD_0584!C79,"General")),"")</f>
        <v>ДЕПО</v>
      </c>
      <c r="C757" s="24" t="str">
        <f>"Четвер"</f>
        <v>Четвер</v>
      </c>
      <c r="D757" s="24" t="str">
        <f>IFERROR(TEXT(М4_АТ4042ROD_0584!D79,"h:mm"),"")</f>
        <v>9:35</v>
      </c>
      <c r="E757" s="24" t="str">
        <f>"№4"</f>
        <v>№4</v>
      </c>
      <c r="F757" s="24" t="str">
        <f>"АТ 40-42/ROD21003"</f>
        <v>АТ 40-42/ROD21003</v>
      </c>
      <c r="G757" s="24" t="str">
        <f>"СВ 33-15 ЕО"</f>
        <v>СВ 33-15 ЕО</v>
      </c>
      <c r="H757" s="24">
        <f>IFERROR(М4_АТ4042ROD_0584!G79,"")</f>
        <v>2</v>
      </c>
      <c r="J757" s="13" t="str">
        <f t="shared" si="79"/>
        <v>вул. Пирятинська|ДЕПО</v>
      </c>
      <c r="K757" s="32">
        <f t="shared" si="80"/>
        <v>0.39930555555555558</v>
      </c>
      <c r="L757" s="13" t="str">
        <f>IF($A757="","",IF(COUNTIFS($J$4:$J757,$J757,$E$4:$E757,$E757)=1,$E757,""))</f>
        <v/>
      </c>
      <c r="M757" s="13" t="str">
        <f>IF($A757="","",IF(COUNTIFS($J$4:$J757,$J757,$F$4:$F757,$F757)=1,$F757,""))</f>
        <v/>
      </c>
    </row>
    <row r="758" spans="1:13" x14ac:dyDescent="0.35">
      <c r="A758" s="23" t="str">
        <f>IFERROR(М4_АТ4042ROD_0584!B148,"")</f>
        <v>вул. Пирятинська</v>
      </c>
      <c r="B758" s="23" t="str">
        <f>IFERROR(IF(М4_АТ4042ROD_0584!C148="","",TEXT(М4_АТ4042ROD_0584!C148,"General")),"")</f>
        <v>ДЕПО</v>
      </c>
      <c r="C758" s="24" t="str">
        <f>"Неділя"</f>
        <v>Неділя</v>
      </c>
      <c r="D758" s="24" t="str">
        <f>IFERROR(TEXT(М4_АТ4042ROD_0584!D148,"h:mm"),"")</f>
        <v>9:55</v>
      </c>
      <c r="E758" s="24" t="str">
        <f>"№4"</f>
        <v>№4</v>
      </c>
      <c r="F758" s="24" t="str">
        <f>"АТ 40-42/ROD21003"</f>
        <v>АТ 40-42/ROD21003</v>
      </c>
      <c r="G758" s="24" t="str">
        <f>"СВ 33-15 ЕО"</f>
        <v>СВ 33-15 ЕО</v>
      </c>
      <c r="H758" s="24">
        <f>IFERROR(М4_АТ4042ROD_0584!G148,"")</f>
        <v>2</v>
      </c>
      <c r="J758" s="13" t="str">
        <f t="shared" si="79"/>
        <v>вул. Пирятинська|ДЕПО</v>
      </c>
      <c r="K758" s="32">
        <f t="shared" si="80"/>
        <v>0.41319444444444442</v>
      </c>
      <c r="L758" s="13" t="str">
        <f>IF($A758="","",IF(COUNTIFS($J$4:$J758,$J758,$E$4:$E758,$E758)=1,$E758,""))</f>
        <v/>
      </c>
      <c r="M758" s="13" t="str">
        <f>IF($A758="","",IF(COUNTIFS($J$4:$J758,$J758,$F$4:$F758,$F758)=1,$F758,""))</f>
        <v/>
      </c>
    </row>
    <row r="759" spans="1:13" x14ac:dyDescent="0.35">
      <c r="A759" s="23" t="str">
        <f>IFERROR('М1-2_АТ4021-1120_0585'!B38,"")</f>
        <v>вул. Пирятинська</v>
      </c>
      <c r="B759" s="23" t="str">
        <f>IFERROR(IF('М1-2_АТ4021-1120_0585'!C38="","",TEXT('М1-2_АТ4021-1120_0585'!C38,"General")),"")</f>
        <v>ППЗТ</v>
      </c>
      <c r="C759" s="24" t="str">
        <f>"Понеділок"</f>
        <v>Понеділок</v>
      </c>
      <c r="D759" s="24" t="str">
        <f>IFERROR(TEXT('М1-2_АТ4021-1120_0585'!D38,"h:mm"),"")</f>
        <v>15:45</v>
      </c>
      <c r="E759" s="24" t="str">
        <f t="shared" ref="E759:E770" si="84">"№1"</f>
        <v>№1</v>
      </c>
      <c r="F759" s="24" t="str">
        <f>"АТ-4021/1120"</f>
        <v>АТ-4021/1120</v>
      </c>
      <c r="G759" s="24" t="str">
        <f>"СВ 14-65 ЕО"</f>
        <v>СВ 14-65 ЕО</v>
      </c>
      <c r="H759" s="24">
        <f>IFERROR('М1-2_АТ4021-1120_0585'!G38,"")</f>
        <v>1</v>
      </c>
      <c r="J759" s="13" t="str">
        <f t="shared" si="79"/>
        <v>вул. Пирятинська|ППЗТ</v>
      </c>
      <c r="K759" s="32">
        <f t="shared" si="80"/>
        <v>0.65625</v>
      </c>
      <c r="L759" s="13" t="str">
        <f>IF($A759="","",IF(COUNTIFS($J$4:$J759,$J759,$E$4:$E759,$E759)=1,$E759,""))</f>
        <v>№1</v>
      </c>
      <c r="M759" s="13" t="str">
        <f>IF($A759="","",IF(COUNTIFS($J$4:$J759,$J759,$F$4:$F759,$F759)=1,$F759,""))</f>
        <v>АТ-4021/1120</v>
      </c>
    </row>
    <row r="760" spans="1:13" x14ac:dyDescent="0.35">
      <c r="A760" s="23" t="str">
        <f>IFERROR(М1_КАМАЗ55111_0591!B19,"")</f>
        <v>вул. Пирятинська</v>
      </c>
      <c r="B760" s="23" t="str">
        <f>IFERROR(IF(М1_КАМАЗ55111_0591!C19="","",TEXT(М1_КАМАЗ55111_0591!C19,"General")),"")</f>
        <v>автовокзал</v>
      </c>
      <c r="C760" s="24" t="str">
        <f>"Понеділок"</f>
        <v>Понеділок</v>
      </c>
      <c r="D760" s="24" t="str">
        <f>IFERROR(TEXT(М1_КАМАЗ55111_0591!D19,"h:mm"),"")</f>
        <v>9:00</v>
      </c>
      <c r="E760" s="24" t="str">
        <f t="shared" si="84"/>
        <v>№1</v>
      </c>
      <c r="F760" s="24" t="str">
        <f t="shared" ref="F760:F765" si="85">"КАМАЗ 55111"</f>
        <v>КАМАЗ 55111</v>
      </c>
      <c r="G760" s="24" t="str">
        <f t="shared" ref="G760:G765" si="86">"СВ 50-33 АР"</f>
        <v>СВ 50-33 АР</v>
      </c>
      <c r="H760" s="24">
        <f>IFERROR(М1_КАМАЗ55111_0591!G19,"")</f>
        <v>3</v>
      </c>
      <c r="J760" s="13" t="str">
        <f t="shared" si="79"/>
        <v>вул. Пирятинська|автовокзал</v>
      </c>
      <c r="K760" s="32">
        <f t="shared" si="80"/>
        <v>0.375</v>
      </c>
      <c r="L760" s="13" t="str">
        <f>IF($A760="","",IF(COUNTIFS($J$4:$J760,$J760,$E$4:$E760,$E760)=1,$E760,""))</f>
        <v>№1</v>
      </c>
      <c r="M760" s="13" t="str">
        <f>IF($A760="","",IF(COUNTIFS($J$4:$J760,$J760,$F$4:$F760,$F760)=1,$F760,""))</f>
        <v>КАМАЗ 55111</v>
      </c>
    </row>
    <row r="761" spans="1:13" x14ac:dyDescent="0.35">
      <c r="A761" s="23" t="str">
        <f>IFERROR(М1_КАМАЗ55111_0591!B33,"")</f>
        <v>вул. Пирятинська</v>
      </c>
      <c r="B761" s="23" t="str">
        <f>IFERROR(IF(М1_КАМАЗ55111_0591!C33="","",TEXT(М1_КАМАЗ55111_0591!C33,"General")),"")</f>
        <v>автовокзал</v>
      </c>
      <c r="C761" s="24" t="str">
        <f>"Понеділок"</f>
        <v>Понеділок</v>
      </c>
      <c r="D761" s="24" t="str">
        <f>IFERROR(TEXT(М1_КАМАЗ55111_0591!D33,"h:mm"),"")</f>
        <v>11:45</v>
      </c>
      <c r="E761" s="24" t="str">
        <f t="shared" si="84"/>
        <v>№1</v>
      </c>
      <c r="F761" s="24" t="str">
        <f t="shared" si="85"/>
        <v>КАМАЗ 55111</v>
      </c>
      <c r="G761" s="24" t="str">
        <f t="shared" si="86"/>
        <v>СВ 50-33 АР</v>
      </c>
      <c r="H761" s="24">
        <f>IFERROR(М1_КАМАЗ55111_0591!G33,"")</f>
        <v>3</v>
      </c>
      <c r="J761" s="13" t="str">
        <f t="shared" si="79"/>
        <v>вул. Пирятинська|автовокзал</v>
      </c>
      <c r="K761" s="32">
        <f t="shared" si="80"/>
        <v>0.48958333333333331</v>
      </c>
      <c r="L761" s="13" t="str">
        <f>IF($A761="","",IF(COUNTIFS($J$4:$J761,$J761,$E$4:$E761,$E761)=1,$E761,""))</f>
        <v/>
      </c>
      <c r="M761" s="13" t="str">
        <f>IF($A761="","",IF(COUNTIFS($J$4:$J761,$J761,$F$4:$F761,$F761)=1,$F761,""))</f>
        <v/>
      </c>
    </row>
    <row r="762" spans="1:13" x14ac:dyDescent="0.35">
      <c r="A762" s="23" t="str">
        <f>IFERROR(М1_КАМАЗ55111_0591!B54,"")</f>
        <v>вул. Пирятинська</v>
      </c>
      <c r="B762" s="23" t="str">
        <f>IFERROR(IF(М1_КАМАЗ55111_0591!C54="","",TEXT(М1_КАМАЗ55111_0591!C54,"General")),"")</f>
        <v>автовокзал</v>
      </c>
      <c r="C762" s="24" t="str">
        <f>"Вівторок"</f>
        <v>Вівторок</v>
      </c>
      <c r="D762" s="24" t="str">
        <f>IFERROR(TEXT(М1_КАМАЗ55111_0591!D54,"h:mm"),"")</f>
        <v>9:00</v>
      </c>
      <c r="E762" s="24" t="str">
        <f t="shared" si="84"/>
        <v>№1</v>
      </c>
      <c r="F762" s="24" t="str">
        <f t="shared" si="85"/>
        <v>КАМАЗ 55111</v>
      </c>
      <c r="G762" s="24" t="str">
        <f t="shared" si="86"/>
        <v>СВ 50-33 АР</v>
      </c>
      <c r="H762" s="24">
        <f>IFERROR(М1_КАМАЗ55111_0591!G54,"")</f>
        <v>3</v>
      </c>
      <c r="J762" s="13" t="str">
        <f t="shared" si="79"/>
        <v>вул. Пирятинська|автовокзал</v>
      </c>
      <c r="K762" s="32">
        <f t="shared" si="80"/>
        <v>0.375</v>
      </c>
      <c r="L762" s="13" t="str">
        <f>IF($A762="","",IF(COUNTIFS($J$4:$J762,$J762,$E$4:$E762,$E762)=1,$E762,""))</f>
        <v/>
      </c>
      <c r="M762" s="13" t="str">
        <f>IF($A762="","",IF(COUNTIFS($J$4:$J762,$J762,$F$4:$F762,$F762)=1,$F762,""))</f>
        <v/>
      </c>
    </row>
    <row r="763" spans="1:13" x14ac:dyDescent="0.35">
      <c r="A763" s="23" t="str">
        <f>IFERROR(М1_КАМАЗ55111_0591!B64,"")</f>
        <v>вул. Пирятинська</v>
      </c>
      <c r="B763" s="23" t="str">
        <f>IFERROR(IF(М1_КАМАЗ55111_0591!C64="","",TEXT(М1_КАМАЗ55111_0591!C64,"General")),"")</f>
        <v>автовокзал</v>
      </c>
      <c r="C763" s="24" t="str">
        <f>"Вівторок"</f>
        <v>Вівторок</v>
      </c>
      <c r="D763" s="24" t="str">
        <f>IFERROR(TEXT(М1_КАМАЗ55111_0591!D64,"h:mm"),"")</f>
        <v>11:30</v>
      </c>
      <c r="E763" s="24" t="str">
        <f t="shared" si="84"/>
        <v>№1</v>
      </c>
      <c r="F763" s="24" t="str">
        <f t="shared" si="85"/>
        <v>КАМАЗ 55111</v>
      </c>
      <c r="G763" s="24" t="str">
        <f t="shared" si="86"/>
        <v>СВ 50-33 АР</v>
      </c>
      <c r="H763" s="24">
        <f>IFERROR(М1_КАМАЗ55111_0591!G64,"")</f>
        <v>3</v>
      </c>
      <c r="J763" s="13" t="str">
        <f t="shared" si="79"/>
        <v>вул. Пирятинська|автовокзал</v>
      </c>
      <c r="K763" s="32">
        <f t="shared" si="80"/>
        <v>0.47916666666666669</v>
      </c>
      <c r="L763" s="13" t="str">
        <f>IF($A763="","",IF(COUNTIFS($J$4:$J763,$J763,$E$4:$E763,$E763)=1,$E763,""))</f>
        <v/>
      </c>
      <c r="M763" s="13" t="str">
        <f>IF($A763="","",IF(COUNTIFS($J$4:$J763,$J763,$F$4:$F763,$F763)=1,$F763,""))</f>
        <v/>
      </c>
    </row>
    <row r="764" spans="1:13" x14ac:dyDescent="0.35">
      <c r="A764" s="23" t="str">
        <f>IFERROR(М1_КАМАЗ55111_0591!B86,"")</f>
        <v>вул. Пирятинська</v>
      </c>
      <c r="B764" s="23" t="str">
        <f>IFERROR(IF(М1_КАМАЗ55111_0591!C86="","",TEXT(М1_КАМАЗ55111_0591!C86,"General")),"")</f>
        <v>автовокзал</v>
      </c>
      <c r="C764" s="24" t="str">
        <f>"Середа"</f>
        <v>Середа</v>
      </c>
      <c r="D764" s="24" t="str">
        <f>IFERROR(TEXT(М1_КАМАЗ55111_0591!D86,"h:mm"),"")</f>
        <v>9:00</v>
      </c>
      <c r="E764" s="24" t="str">
        <f t="shared" si="84"/>
        <v>№1</v>
      </c>
      <c r="F764" s="24" t="str">
        <f t="shared" si="85"/>
        <v>КАМАЗ 55111</v>
      </c>
      <c r="G764" s="24" t="str">
        <f t="shared" si="86"/>
        <v>СВ 50-33 АР</v>
      </c>
      <c r="H764" s="24">
        <f>IFERROR(М1_КАМАЗ55111_0591!G86,"")</f>
        <v>3</v>
      </c>
      <c r="J764" s="13" t="str">
        <f t="shared" si="79"/>
        <v>вул. Пирятинська|автовокзал</v>
      </c>
      <c r="K764" s="32">
        <f t="shared" si="80"/>
        <v>0.375</v>
      </c>
      <c r="L764" s="13" t="str">
        <f>IF($A764="","",IF(COUNTIFS($J$4:$J764,$J764,$E$4:$E764,$E764)=1,$E764,""))</f>
        <v/>
      </c>
      <c r="M764" s="13" t="str">
        <f>IF($A764="","",IF(COUNTIFS($J$4:$J764,$J764,$F$4:$F764,$F764)=1,$F764,""))</f>
        <v/>
      </c>
    </row>
    <row r="765" spans="1:13" x14ac:dyDescent="0.35">
      <c r="A765" s="23" t="str">
        <f>IFERROR(М1_КАМАЗ55111_0591!B88,"")</f>
        <v>вул. Пирятинська</v>
      </c>
      <c r="B765" s="23" t="str">
        <f>IFERROR(IF(М1_КАМАЗ55111_0591!C88="","",TEXT(М1_КАМАЗ55111_0591!C88,"General")),"")</f>
        <v>автовокзал</v>
      </c>
      <c r="C765" s="24" t="str">
        <f>"Середа"</f>
        <v>Середа</v>
      </c>
      <c r="D765" s="24" t="str">
        <f>IFERROR(TEXT(М1_КАМАЗ55111_0591!D88,"h:mm"),"")</f>
        <v>9:35</v>
      </c>
      <c r="E765" s="24" t="str">
        <f t="shared" si="84"/>
        <v>№1</v>
      </c>
      <c r="F765" s="24" t="str">
        <f t="shared" si="85"/>
        <v>КАМАЗ 55111</v>
      </c>
      <c r="G765" s="24" t="str">
        <f t="shared" si="86"/>
        <v>СВ 50-33 АР</v>
      </c>
      <c r="H765" s="24">
        <f>IFERROR(М1_КАМАЗ55111_0591!G88,"")</f>
        <v>3</v>
      </c>
      <c r="J765" s="13" t="str">
        <f t="shared" si="79"/>
        <v>вул. Пирятинська|автовокзал</v>
      </c>
      <c r="K765" s="32">
        <f t="shared" si="80"/>
        <v>0.39930555555555558</v>
      </c>
      <c r="L765" s="13" t="str">
        <f>IF($A765="","",IF(COUNTIFS($J$4:$J765,$J765,$E$4:$E765,$E765)=1,$E765,""))</f>
        <v/>
      </c>
      <c r="M765" s="13" t="str">
        <f>IF($A765="","",IF(COUNTIFS($J$4:$J765,$J765,$F$4:$F765,$F765)=1,$F765,""))</f>
        <v/>
      </c>
    </row>
    <row r="766" spans="1:13" x14ac:dyDescent="0.35">
      <c r="A766" s="23" t="str">
        <f>IFERROR('М1-2_АТ4021-1120_0585'!B115,"")</f>
        <v>вул. Пирятинська</v>
      </c>
      <c r="B766" s="23" t="str">
        <f>IFERROR(IF('М1-2_АТ4021-1120_0585'!C115="","",TEXT('М1-2_АТ4021-1120_0585'!C115,"General")),"")</f>
        <v>автовокзал</v>
      </c>
      <c r="C766" s="24" t="str">
        <f>"Четвер"</f>
        <v>Четвер</v>
      </c>
      <c r="D766" s="24" t="str">
        <f>IFERROR(TEXT('М1-2_АТ4021-1120_0585'!D115,"h:mm"),"")</f>
        <v>9:45</v>
      </c>
      <c r="E766" s="24" t="str">
        <f t="shared" si="84"/>
        <v>№1</v>
      </c>
      <c r="F766" s="24" t="str">
        <f>"АТ-4021/1120"</f>
        <v>АТ-4021/1120</v>
      </c>
      <c r="G766" s="24" t="str">
        <f>"СВ 14-65 ЕО"</f>
        <v>СВ 14-65 ЕО</v>
      </c>
      <c r="H766" s="24">
        <f>IFERROR('М1-2_АТ4021-1120_0585'!G115,"")</f>
        <v>3</v>
      </c>
      <c r="J766" s="13" t="str">
        <f t="shared" si="79"/>
        <v>вул. Пирятинська|автовокзал</v>
      </c>
      <c r="K766" s="32">
        <f t="shared" si="80"/>
        <v>0.40625</v>
      </c>
      <c r="L766" s="13" t="str">
        <f>IF($A766="","",IF(COUNTIFS($J$4:$J766,$J766,$E$4:$E766,$E766)=1,$E766,""))</f>
        <v/>
      </c>
      <c r="M766" s="13" t="str">
        <f>IF($A766="","",IF(COUNTIFS($J$4:$J766,$J766,$F$4:$F766,$F766)=1,$F766,""))</f>
        <v>АТ-4021/1120</v>
      </c>
    </row>
    <row r="767" spans="1:13" x14ac:dyDescent="0.35">
      <c r="A767" s="23" t="str">
        <f>IFERROR(М1_КАМАЗ55111_0591!B118,"")</f>
        <v>вул. Пирятинська</v>
      </c>
      <c r="B767" s="23" t="str">
        <f>IFERROR(IF(М1_КАМАЗ55111_0591!C118="","",TEXT(М1_КАМАЗ55111_0591!C118,"General")),"")</f>
        <v>автовокзал</v>
      </c>
      <c r="C767" s="24" t="str">
        <f>"П'ятниця"</f>
        <v>П'ятниця</v>
      </c>
      <c r="D767" s="24" t="str">
        <f>IFERROR(TEXT(М1_КАМАЗ55111_0591!D118,"h:mm"),"")</f>
        <v>9:00</v>
      </c>
      <c r="E767" s="24" t="str">
        <f t="shared" si="84"/>
        <v>№1</v>
      </c>
      <c r="F767" s="24" t="str">
        <f>"КАМАЗ 55111"</f>
        <v>КАМАЗ 55111</v>
      </c>
      <c r="G767" s="24" t="str">
        <f>"СВ 50-33 АР"</f>
        <v>СВ 50-33 АР</v>
      </c>
      <c r="H767" s="24">
        <f>IFERROR(М1_КАМАЗ55111_0591!G118,"")</f>
        <v>3</v>
      </c>
      <c r="J767" s="13" t="str">
        <f t="shared" si="79"/>
        <v>вул. Пирятинська|автовокзал</v>
      </c>
      <c r="K767" s="32">
        <f t="shared" si="80"/>
        <v>0.375</v>
      </c>
      <c r="L767" s="13" t="str">
        <f>IF($A767="","",IF(COUNTIFS($J$4:$J767,$J767,$E$4:$E767,$E767)=1,$E767,""))</f>
        <v/>
      </c>
      <c r="M767" s="13" t="str">
        <f>IF($A767="","",IF(COUNTIFS($J$4:$J767,$J767,$F$4:$F767,$F767)=1,$F767,""))</f>
        <v/>
      </c>
    </row>
    <row r="768" spans="1:13" x14ac:dyDescent="0.35">
      <c r="A768" s="23" t="str">
        <f>IFERROR(М1_КАМАЗ55111_0591!B153,"")</f>
        <v>вул. Пирятинська</v>
      </c>
      <c r="B768" s="23" t="str">
        <f>IFERROR(IF(М1_КАМАЗ55111_0591!C153="","",TEXT(М1_КАМАЗ55111_0591!C153,"General")),"")</f>
        <v>автовокзал</v>
      </c>
      <c r="C768" s="24" t="str">
        <f>"Субота"</f>
        <v>Субота</v>
      </c>
      <c r="D768" s="24" t="str">
        <f>IFERROR(TEXT(М1_КАМАЗ55111_0591!D153,"h:mm"),"")</f>
        <v>9:00</v>
      </c>
      <c r="E768" s="24" t="str">
        <f t="shared" si="84"/>
        <v>№1</v>
      </c>
      <c r="F768" s="24" t="str">
        <f>"КАМАЗ 55111"</f>
        <v>КАМАЗ 55111</v>
      </c>
      <c r="G768" s="24" t="str">
        <f>"СВ 50-33 АР"</f>
        <v>СВ 50-33 АР</v>
      </c>
      <c r="H768" s="24">
        <f>IFERROR(М1_КАМАЗ55111_0591!G153,"")</f>
        <v>3</v>
      </c>
      <c r="J768" s="13" t="str">
        <f t="shared" si="79"/>
        <v>вул. Пирятинська|автовокзал</v>
      </c>
      <c r="K768" s="32">
        <f t="shared" si="80"/>
        <v>0.375</v>
      </c>
      <c r="L768" s="13" t="str">
        <f>IF($A768="","",IF(COUNTIFS($J$4:$J768,$J768,$E$4:$E768,$E768)=1,$E768,""))</f>
        <v/>
      </c>
      <c r="M768" s="13" t="str">
        <f>IF($A768="","",IF(COUNTIFS($J$4:$J768,$J768,$F$4:$F768,$F768)=1,$F768,""))</f>
        <v/>
      </c>
    </row>
    <row r="769" spans="1:13" x14ac:dyDescent="0.35">
      <c r="A769" s="23" t="str">
        <f>IFERROR(М1_КАМАЗ55111_0591!B163,"")</f>
        <v>вул. Пирятинська</v>
      </c>
      <c r="B769" s="23" t="str">
        <f>IFERROR(IF(М1_КАМАЗ55111_0591!C163="","",TEXT(М1_КАМАЗ55111_0591!C163,"General")),"")</f>
        <v>автовокзал</v>
      </c>
      <c r="C769" s="24" t="str">
        <f>"Субота"</f>
        <v>Субота</v>
      </c>
      <c r="D769" s="24" t="str">
        <f>IFERROR(TEXT(М1_КАМАЗ55111_0591!D163,"h:mm"),"")</f>
        <v>11:30</v>
      </c>
      <c r="E769" s="24" t="str">
        <f t="shared" si="84"/>
        <v>№1</v>
      </c>
      <c r="F769" s="24" t="str">
        <f>"КАМАЗ 55111"</f>
        <v>КАМАЗ 55111</v>
      </c>
      <c r="G769" s="24" t="str">
        <f>"СВ 50-33 АР"</f>
        <v>СВ 50-33 АР</v>
      </c>
      <c r="H769" s="24">
        <f>IFERROR(М1_КАМАЗ55111_0591!G163,"")</f>
        <v>3</v>
      </c>
      <c r="J769" s="13" t="str">
        <f t="shared" si="79"/>
        <v>вул. Пирятинська|автовокзал</v>
      </c>
      <c r="K769" s="32">
        <f t="shared" si="80"/>
        <v>0.47916666666666669</v>
      </c>
      <c r="L769" s="13" t="str">
        <f>IF($A769="","",IF(COUNTIFS($J$4:$J769,$J769,$E$4:$E769,$E769)=1,$E769,""))</f>
        <v/>
      </c>
      <c r="M769" s="13" t="str">
        <f>IF($A769="","",IF(COUNTIFS($J$4:$J769,$J769,$F$4:$F769,$F769)=1,$F769,""))</f>
        <v/>
      </c>
    </row>
    <row r="770" spans="1:13" x14ac:dyDescent="0.35">
      <c r="A770" s="23" t="str">
        <f>IFERROR('М1-2_АТ4021-1120_0585'!B150,"")</f>
        <v>вул. Пирятинська</v>
      </c>
      <c r="B770" s="23" t="str">
        <f>IFERROR(IF('М1-2_АТ4021-1120_0585'!C150="","",TEXT('М1-2_АТ4021-1120_0585'!C150,"General")),"")</f>
        <v>автовокзал</v>
      </c>
      <c r="C770" s="24" t="str">
        <f>"Неділя"</f>
        <v>Неділя</v>
      </c>
      <c r="D770" s="24" t="str">
        <f>IFERROR(TEXT('М1-2_АТ4021-1120_0585'!D150,"h:mm"),"")</f>
        <v>9:45</v>
      </c>
      <c r="E770" s="24" t="str">
        <f t="shared" si="84"/>
        <v>№1</v>
      </c>
      <c r="F770" s="24" t="str">
        <f>"АТ-4021/1120"</f>
        <v>АТ-4021/1120</v>
      </c>
      <c r="G770" s="24" t="str">
        <f>"СВ 14-65 ЕО"</f>
        <v>СВ 14-65 ЕО</v>
      </c>
      <c r="H770" s="24">
        <f>IFERROR('М1-2_АТ4021-1120_0585'!G150,"")</f>
        <v>3</v>
      </c>
      <c r="J770" s="13" t="str">
        <f t="shared" si="79"/>
        <v>вул. Пирятинська|автовокзал</v>
      </c>
      <c r="K770" s="32">
        <f t="shared" si="80"/>
        <v>0.40625</v>
      </c>
      <c r="L770" s="13" t="str">
        <f>IF($A770="","",IF(COUNTIFS($J$4:$J770,$J770,$E$4:$E770,$E770)=1,$E770,""))</f>
        <v/>
      </c>
      <c r="M770" s="13" t="str">
        <f>IF($A770="","",IF(COUNTIFS($J$4:$J770,$J770,$F$4:$F770,$F770)=1,$F770,""))</f>
        <v/>
      </c>
    </row>
    <row r="771" spans="1:13" x14ac:dyDescent="0.35">
      <c r="A771" s="23" t="str">
        <f>IFERROR(М4_АТ4042ROD_0584!B18,"")</f>
        <v>вул. Пирятинська</v>
      </c>
      <c r="B771" s="23" t="str">
        <f>IFERROR(IF(М4_АТ4042ROD_0584!C18="","",TEXT(М4_АТ4042ROD_0584!C18,"General")),"")</f>
        <v>машинері</v>
      </c>
      <c r="C771" s="24" t="str">
        <f>"Понеділок"</f>
        <v>Понеділок</v>
      </c>
      <c r="D771" s="24" t="str">
        <f>IFERROR(TEXT(М4_АТ4042ROD_0584!D18,"h:mm"),"")</f>
        <v>10:55</v>
      </c>
      <c r="E771" s="24" t="str">
        <f>"№4"</f>
        <v>№4</v>
      </c>
      <c r="F771" s="24" t="str">
        <f>"АТ 40-42/ROD21003"</f>
        <v>АТ 40-42/ROD21003</v>
      </c>
      <c r="G771" s="24" t="str">
        <f>"СВ 33-15 ЕО"</f>
        <v>СВ 33-15 ЕО</v>
      </c>
      <c r="H771" s="24">
        <f>IFERROR(М4_АТ4042ROD_0584!G18,"")</f>
        <v>2</v>
      </c>
      <c r="J771" s="13" t="str">
        <f t="shared" si="79"/>
        <v>вул. Пирятинська|машинері</v>
      </c>
      <c r="K771" s="32">
        <f t="shared" si="80"/>
        <v>0.4548611111111111</v>
      </c>
      <c r="L771" s="13" t="str">
        <f>IF($A771="","",IF(COUNTIFS($J$4:$J771,$J771,$E$4:$E771,$E771)=1,$E771,""))</f>
        <v>№4</v>
      </c>
      <c r="M771" s="13" t="str">
        <f>IF($A771="","",IF(COUNTIFS($J$4:$J771,$J771,$F$4:$F771,$F771)=1,$F771,""))</f>
        <v>АТ 40-42/ROD21003</v>
      </c>
    </row>
    <row r="772" spans="1:13" x14ac:dyDescent="0.35">
      <c r="A772" s="23" t="str">
        <f>IFERROR(М4_АТ4042ROD_0584!B117,"")</f>
        <v>вул. Пирятинська</v>
      </c>
      <c r="B772" s="23" t="str">
        <f>IFERROR(IF(М4_АТ4042ROD_0584!C117="","",TEXT(М4_АТ4042ROD_0584!C117,"General")),"")</f>
        <v>машинері</v>
      </c>
      <c r="C772" s="24" t="str">
        <f t="shared" ref="C772:C777" si="87">"П'ятниця"</f>
        <v>П'ятниця</v>
      </c>
      <c r="D772" s="24" t="str">
        <f>IFERROR(TEXT(М4_АТ4042ROD_0584!D117,"h:mm"),"")</f>
        <v>10:55</v>
      </c>
      <c r="E772" s="24" t="str">
        <f>"№4"</f>
        <v>№4</v>
      </c>
      <c r="F772" s="24" t="str">
        <f>"АТ 40-42/ROD21003"</f>
        <v>АТ 40-42/ROD21003</v>
      </c>
      <c r="G772" s="24" t="str">
        <f>"СВ 33-15 ЕО"</f>
        <v>СВ 33-15 ЕО</v>
      </c>
      <c r="H772" s="24">
        <f>IFERROR(М4_АТ4042ROD_0584!G117,"")</f>
        <v>2</v>
      </c>
      <c r="J772" s="13" t="str">
        <f t="shared" ref="J772:J835" si="88">IF(A772="","",A772&amp;"|"&amp;B772)</f>
        <v>вул. Пирятинська|машинері</v>
      </c>
      <c r="K772" s="32">
        <f t="shared" ref="K772:K835" si="89">IFERROR(IF(D772="","",IF(D772="×",9.99,TIMEVALUE(D772))),9.99)</f>
        <v>0.4548611111111111</v>
      </c>
      <c r="L772" s="13" t="str">
        <f>IF($A772="","",IF(COUNTIFS($J$4:$J772,$J772,$E$4:$E772,$E772)=1,$E772,""))</f>
        <v/>
      </c>
      <c r="M772" s="13" t="str">
        <f>IF($A772="","",IF(COUNTIFS($J$4:$J772,$J772,$F$4:$F772,$F772)=1,$F772,""))</f>
        <v/>
      </c>
    </row>
    <row r="773" spans="1:13" x14ac:dyDescent="0.35">
      <c r="A773" s="23" t="str">
        <f>IFERROR(М6_АТ4021_0586!B184,"")</f>
        <v>вул. Плискунівська</v>
      </c>
      <c r="B773" s="23" t="str">
        <f>IFERROR(IF(М6_АТ4021_0586!C184="","",TEXT(М6_АТ4021_0586!C184,"General")),"")</f>
        <v/>
      </c>
      <c r="C773" s="24" t="str">
        <f t="shared" si="87"/>
        <v>П'ятниця</v>
      </c>
      <c r="D773" s="24" t="str">
        <f>IFERROR(TEXT(М6_АТ4021_0586!D184,"h:mm"),"")</f>
        <v>15:30</v>
      </c>
      <c r="E773" s="24" t="str">
        <f>"№6"</f>
        <v>№6</v>
      </c>
      <c r="F773" s="24" t="str">
        <f>"АТ 4021"</f>
        <v>АТ 4021</v>
      </c>
      <c r="G773" s="24" t="str">
        <f>"СВ 33-16 ЕО"</f>
        <v>СВ 33-16 ЕО</v>
      </c>
      <c r="H773" s="24"/>
      <c r="J773" s="13" t="str">
        <f t="shared" si="88"/>
        <v>вул. Плискунівська|</v>
      </c>
      <c r="K773" s="32">
        <f t="shared" si="89"/>
        <v>0.64583333333333337</v>
      </c>
      <c r="L773" s="13" t="str">
        <f>IF($A773="","",IF(COUNTIFS($J$4:$J773,$J773,$E$4:$E773,$E773)=1,$E773,""))</f>
        <v>№6</v>
      </c>
      <c r="M773" s="13" t="str">
        <f>IF($A773="","",IF(COUNTIFS($J$4:$J773,$J773,$F$4:$F773,$F773)=1,$F773,""))</f>
        <v>АТ 4021</v>
      </c>
    </row>
    <row r="774" spans="1:13" x14ac:dyDescent="0.35">
      <c r="A774" s="23" t="str">
        <f>IFERROR(М5_МАЗ4381_0592!B191,"")</f>
        <v>вул. Половецька</v>
      </c>
      <c r="B774" s="23" t="str">
        <f>IFERROR(IF(М5_МАЗ4381_0592!C191="","",TEXT(М5_МАЗ4381_0592!C191,"General")),"")</f>
        <v/>
      </c>
      <c r="C774" s="24" t="str">
        <f t="shared" si="87"/>
        <v>П'ятниця</v>
      </c>
      <c r="D774" s="24" t="str">
        <f>IFERROR(TEXT(М5_МАЗ4381_0592!D191,"h:mm"),"")</f>
        <v>13:50</v>
      </c>
      <c r="E774" s="24" t="str">
        <f>"№5"</f>
        <v>№5</v>
      </c>
      <c r="F774" s="24" t="str">
        <f>"МАЗ 4381"</f>
        <v>МАЗ 4381</v>
      </c>
      <c r="G774" s="24" t="str">
        <f>"СВ 81-71 ВК"</f>
        <v>СВ 81-71 ВК</v>
      </c>
      <c r="H774" s="24"/>
      <c r="J774" s="13" t="str">
        <f t="shared" si="88"/>
        <v>вул. Половецька|</v>
      </c>
      <c r="K774" s="32">
        <f t="shared" si="89"/>
        <v>0.57638888888888884</v>
      </c>
      <c r="L774" s="13" t="str">
        <f>IF($A774="","",IF(COUNTIFS($J$4:$J774,$J774,$E$4:$E774,$E774)=1,$E774,""))</f>
        <v>№5</v>
      </c>
      <c r="M774" s="13" t="str">
        <f>IF($A774="","",IF(COUNTIFS($J$4:$J774,$J774,$F$4:$F774,$F774)=1,$F774,""))</f>
        <v>МАЗ 4381</v>
      </c>
    </row>
    <row r="775" spans="1:13" x14ac:dyDescent="0.35">
      <c r="A775" s="23" t="str">
        <f>IFERROR(М5_МАЗ4381_0592!B184,"")</f>
        <v>вул. Польова</v>
      </c>
      <c r="B775" s="23" t="str">
        <f>IFERROR(IF(М5_МАЗ4381_0592!C184="","",TEXT(М5_МАЗ4381_0592!C184,"General")),"")</f>
        <v/>
      </c>
      <c r="C775" s="24" t="str">
        <f t="shared" si="87"/>
        <v>П'ятниця</v>
      </c>
      <c r="D775" s="24" t="str">
        <f>IFERROR(TEXT(М5_МАЗ4381_0592!D184,"h:mm"),"")</f>
        <v>12:25</v>
      </c>
      <c r="E775" s="24" t="str">
        <f>"№5"</f>
        <v>№5</v>
      </c>
      <c r="F775" s="24" t="str">
        <f>"МАЗ 4381"</f>
        <v>МАЗ 4381</v>
      </c>
      <c r="G775" s="24" t="str">
        <f>"СВ 81-71 ВК"</f>
        <v>СВ 81-71 ВК</v>
      </c>
      <c r="H775" s="24"/>
      <c r="J775" s="13" t="str">
        <f t="shared" si="88"/>
        <v>вул. Польова|</v>
      </c>
      <c r="K775" s="32">
        <f t="shared" si="89"/>
        <v>0.51736111111111116</v>
      </c>
      <c r="L775" s="13" t="str">
        <f>IF($A775="","",IF(COUNTIFS($J$4:$J775,$J775,$E$4:$E775,$E775)=1,$E775,""))</f>
        <v>№5</v>
      </c>
      <c r="M775" s="13" t="str">
        <f>IF($A775="","",IF(COUNTIFS($J$4:$J775,$J775,$F$4:$F775,$F775)=1,$F775,""))</f>
        <v>МАЗ 4381</v>
      </c>
    </row>
    <row r="776" spans="1:13" x14ac:dyDescent="0.35">
      <c r="A776" s="23" t="str">
        <f>IFERROR(М5_МАЗ4381_0592!B186,"")</f>
        <v>вул. Польова</v>
      </c>
      <c r="B776" s="23" t="str">
        <f>IFERROR(IF(М5_МАЗ4381_0592!C186="","",TEXT(М5_МАЗ4381_0592!C186,"General")),"")</f>
        <v/>
      </c>
      <c r="C776" s="24" t="str">
        <f t="shared" si="87"/>
        <v>П'ятниця</v>
      </c>
      <c r="D776" s="24" t="str">
        <f>IFERROR(TEXT(М5_МАЗ4381_0592!D186,"h:mm"),"")</f>
        <v>12:45</v>
      </c>
      <c r="E776" s="24" t="str">
        <f>"№5"</f>
        <v>№5</v>
      </c>
      <c r="F776" s="24" t="str">
        <f>"МАЗ 4381"</f>
        <v>МАЗ 4381</v>
      </c>
      <c r="G776" s="24" t="str">
        <f>"СВ 81-71 ВК"</f>
        <v>СВ 81-71 ВК</v>
      </c>
      <c r="H776" s="24"/>
      <c r="J776" s="13" t="str">
        <f t="shared" si="88"/>
        <v>вул. Польова|</v>
      </c>
      <c r="K776" s="32">
        <f t="shared" si="89"/>
        <v>0.53125</v>
      </c>
      <c r="L776" s="13" t="str">
        <f>IF($A776="","",IF(COUNTIFS($J$4:$J776,$J776,$E$4:$E776,$E776)=1,$E776,""))</f>
        <v/>
      </c>
      <c r="M776" s="13" t="str">
        <f>IF($A776="","",IF(COUNTIFS($J$4:$J776,$J776,$F$4:$F776,$F776)=1,$F776,""))</f>
        <v/>
      </c>
    </row>
    <row r="777" spans="1:13" x14ac:dyDescent="0.35">
      <c r="A777" s="23" t="str">
        <f>IFERROR(М5_МАЗ4381_0592!B189,"")</f>
        <v>вул. Польова</v>
      </c>
      <c r="B777" s="23" t="str">
        <f>IFERROR(IF(М5_МАЗ4381_0592!C189="","",TEXT(М5_МАЗ4381_0592!C189,"General")),"")</f>
        <v/>
      </c>
      <c r="C777" s="24" t="str">
        <f t="shared" si="87"/>
        <v>П'ятниця</v>
      </c>
      <c r="D777" s="24" t="str">
        <f>IFERROR(TEXT(М5_МАЗ4381_0592!D189,"h:mm"),"")</f>
        <v>13:30</v>
      </c>
      <c r="E777" s="24" t="str">
        <f>"№5"</f>
        <v>№5</v>
      </c>
      <c r="F777" s="24" t="str">
        <f>"МАЗ 4381"</f>
        <v>МАЗ 4381</v>
      </c>
      <c r="G777" s="24" t="str">
        <f>"СВ 81-71 ВК"</f>
        <v>СВ 81-71 ВК</v>
      </c>
      <c r="H777" s="24"/>
      <c r="J777" s="13" t="str">
        <f t="shared" si="88"/>
        <v>вул. Польова|</v>
      </c>
      <c r="K777" s="32">
        <f t="shared" si="89"/>
        <v>0.5625</v>
      </c>
      <c r="L777" s="13" t="str">
        <f>IF($A777="","",IF(COUNTIFS($J$4:$J777,$J777,$E$4:$E777,$E777)=1,$E777,""))</f>
        <v/>
      </c>
      <c r="M777" s="13" t="str">
        <f>IF($A777="","",IF(COUNTIFS($J$4:$J777,$J777,$F$4:$F777,$F777)=1,$F777,""))</f>
        <v/>
      </c>
    </row>
    <row r="778" spans="1:13" x14ac:dyDescent="0.35">
      <c r="A778" s="23" t="str">
        <f>IFERROR('М1-2_АТ4021-1120_0585'!B32,"")</f>
        <v>вул. Польова</v>
      </c>
      <c r="B778" s="23" t="str">
        <f>IFERROR(IF('М1-2_АТ4021-1120_0585'!C32="","",TEXT('М1-2_АТ4021-1120_0585'!C32,"General")),"")</f>
        <v>"Траш"</v>
      </c>
      <c r="C778" s="24" t="str">
        <f>"Понеділок"</f>
        <v>Понеділок</v>
      </c>
      <c r="D778" s="24" t="str">
        <f>IFERROR(TEXT('М1-2_АТ4021-1120_0585'!D32,"h:mm"),"")</f>
        <v>14:45</v>
      </c>
      <c r="E778" s="24" t="str">
        <f>"№1"</f>
        <v>№1</v>
      </c>
      <c r="F778" s="24" t="str">
        <f>"АТ-4021/1120"</f>
        <v>АТ-4021/1120</v>
      </c>
      <c r="G778" s="24" t="str">
        <f>"СВ 14-65 ЕО"</f>
        <v>СВ 14-65 ЕО</v>
      </c>
      <c r="H778" s="24">
        <f>IFERROR('М1-2_АТ4021-1120_0585'!G32,"")</f>
        <v>1</v>
      </c>
      <c r="J778" s="13" t="str">
        <f t="shared" si="88"/>
        <v>вул. Польова|"Траш"</v>
      </c>
      <c r="K778" s="32">
        <f t="shared" si="89"/>
        <v>0.61458333333333337</v>
      </c>
      <c r="L778" s="13" t="str">
        <f>IF($A778="","",IF(COUNTIFS($J$4:$J778,$J778,$E$4:$E778,$E778)=1,$E778,""))</f>
        <v>№1</v>
      </c>
      <c r="M778" s="13" t="str">
        <f>IF($A778="","",IF(COUNTIFS($J$4:$J778,$J778,$F$4:$F778,$F778)=1,$F778,""))</f>
        <v>АТ-4021/1120</v>
      </c>
    </row>
    <row r="779" spans="1:13" x14ac:dyDescent="0.35">
      <c r="A779" s="23" t="str">
        <f>IFERROR(М4_АТ4042ROD_0584!B16,"")</f>
        <v>вул. Польова</v>
      </c>
      <c r="B779" s="23" t="str">
        <f>IFERROR(IF(М4_АТ4042ROD_0584!C16="","",TEXT(М4_АТ4042ROD_0584!C16,"General")),"")</f>
        <v>110</v>
      </c>
      <c r="C779" s="24" t="str">
        <f>"Понеділок"</f>
        <v>Понеділок</v>
      </c>
      <c r="D779" s="24" t="str">
        <f>IFERROR(TEXT(М4_АТ4042ROD_0584!D16,"h:mm"),"")</f>
        <v>10:20</v>
      </c>
      <c r="E779" s="24" t="str">
        <f t="shared" ref="E779:E785" si="90">"№4"</f>
        <v>№4</v>
      </c>
      <c r="F779" s="24" t="str">
        <f>"АТ 40-42/ROD21003"</f>
        <v>АТ 40-42/ROD21003</v>
      </c>
      <c r="G779" s="24" t="str">
        <f>"СВ 33-15 ЕО"</f>
        <v>СВ 33-15 ЕО</v>
      </c>
      <c r="H779" s="24">
        <f>IFERROR(М4_АТ4042ROD_0584!G16,"")</f>
        <v>4</v>
      </c>
      <c r="J779" s="13" t="str">
        <f t="shared" si="88"/>
        <v>вул. Польова|110</v>
      </c>
      <c r="K779" s="32">
        <f t="shared" si="89"/>
        <v>0.43055555555555558</v>
      </c>
      <c r="L779" s="13" t="str">
        <f>IF($A779="","",IF(COUNTIFS($J$4:$J779,$J779,$E$4:$E779,$E779)=1,$E779,""))</f>
        <v>№4</v>
      </c>
      <c r="M779" s="13" t="str">
        <f>IF($A779="","",IF(COUNTIFS($J$4:$J779,$J779,$F$4:$F779,$F779)=1,$F779,""))</f>
        <v>АТ 40-42/ROD21003</v>
      </c>
    </row>
    <row r="780" spans="1:13" x14ac:dyDescent="0.35">
      <c r="A780" s="23" t="str">
        <f>IFERROR(М4_АТ4042ROD_0584!B49,"")</f>
        <v>вул. Польова</v>
      </c>
      <c r="B780" s="23" t="str">
        <f>IFERROR(IF(М4_АТ4042ROD_0584!C49="","",TEXT(М4_АТ4042ROD_0584!C49,"General")),"")</f>
        <v>110</v>
      </c>
      <c r="C780" s="24" t="str">
        <f>"Вівторок"</f>
        <v>Вівторок</v>
      </c>
      <c r="D780" s="24" t="str">
        <f>IFERROR(TEXT(М4_АТ4042ROD_0584!D49,"h:mm"),"")</f>
        <v>10:20</v>
      </c>
      <c r="E780" s="24" t="str">
        <f t="shared" si="90"/>
        <v>№4</v>
      </c>
      <c r="F780" s="24" t="str">
        <f>"АТ 40-42/ROD21003"</f>
        <v>АТ 40-42/ROD21003</v>
      </c>
      <c r="G780" s="24" t="str">
        <f>"СВ 33-15 ЕО"</f>
        <v>СВ 33-15 ЕО</v>
      </c>
      <c r="H780" s="24">
        <f>IFERROR(М4_АТ4042ROD_0584!G49,"")</f>
        <v>4</v>
      </c>
      <c r="J780" s="13" t="str">
        <f t="shared" si="88"/>
        <v>вул. Польова|110</v>
      </c>
      <c r="K780" s="32">
        <f t="shared" si="89"/>
        <v>0.43055555555555558</v>
      </c>
      <c r="L780" s="13" t="str">
        <f>IF($A780="","",IF(COUNTIFS($J$4:$J780,$J780,$E$4:$E780,$E780)=1,$E780,""))</f>
        <v/>
      </c>
      <c r="M780" s="13" t="str">
        <f>IF($A780="","",IF(COUNTIFS($J$4:$J780,$J780,$F$4:$F780,$F780)=1,$F780,""))</f>
        <v/>
      </c>
    </row>
    <row r="781" spans="1:13" x14ac:dyDescent="0.35">
      <c r="A781" s="23" t="str">
        <f>IFERROR('М3-4_ГАЗ3309_0590'!B75,"")</f>
        <v>вул. Польова</v>
      </c>
      <c r="B781" s="23" t="str">
        <f>IFERROR(IF('М3-4_ГАЗ3309_0590'!C75="","",TEXT('М3-4_ГАЗ3309_0590'!C75,"General")),"")</f>
        <v>110</v>
      </c>
      <c r="C781" s="24" t="str">
        <f>"Середа"</f>
        <v>Середа</v>
      </c>
      <c r="D781" s="24" t="str">
        <f>IFERROR(TEXT('М3-4_ГАЗ3309_0590'!D75,"h:mm"),"")</f>
        <v>8:45</v>
      </c>
      <c r="E781" s="24" t="str">
        <f t="shared" si="90"/>
        <v>№4</v>
      </c>
      <c r="F781" s="24" t="str">
        <f>"ГАЗ 3309"</f>
        <v>ГАЗ 3309</v>
      </c>
      <c r="G781" s="24" t="str">
        <f>"СВ 17-85 ВН"</f>
        <v>СВ 17-85 ВН</v>
      </c>
      <c r="H781" s="24">
        <f>IFERROR('М3-4_ГАЗ3309_0590'!G75,"")</f>
        <v>2</v>
      </c>
      <c r="J781" s="13" t="str">
        <f t="shared" si="88"/>
        <v>вул. Польова|110</v>
      </c>
      <c r="K781" s="32">
        <f t="shared" si="89"/>
        <v>0.36458333333333331</v>
      </c>
      <c r="L781" s="13" t="str">
        <f>IF($A781="","",IF(COUNTIFS($J$4:$J781,$J781,$E$4:$E781,$E781)=1,$E781,""))</f>
        <v/>
      </c>
      <c r="M781" s="13" t="str">
        <f>IF($A781="","",IF(COUNTIFS($J$4:$J781,$J781,$F$4:$F781,$F781)=1,$F781,""))</f>
        <v>ГАЗ 3309</v>
      </c>
    </row>
    <row r="782" spans="1:13" x14ac:dyDescent="0.35">
      <c r="A782" s="23" t="str">
        <f>IFERROR(М4_АТ4042ROD_0584!B81,"")</f>
        <v>вул. Польова</v>
      </c>
      <c r="B782" s="23" t="str">
        <f>IFERROR(IF(М4_АТ4042ROD_0584!C81="","",TEXT(М4_АТ4042ROD_0584!C81,"General")),"")</f>
        <v>110</v>
      </c>
      <c r="C782" s="24" t="str">
        <f>"Четвер"</f>
        <v>Четвер</v>
      </c>
      <c r="D782" s="24" t="str">
        <f>IFERROR(TEXT(М4_АТ4042ROD_0584!D81,"h:mm"),"")</f>
        <v>10:20</v>
      </c>
      <c r="E782" s="24" t="str">
        <f t="shared" si="90"/>
        <v>№4</v>
      </c>
      <c r="F782" s="24" t="str">
        <f>"АТ 40-42/ROD21003"</f>
        <v>АТ 40-42/ROD21003</v>
      </c>
      <c r="G782" s="24" t="str">
        <f>"СВ 33-15 ЕО"</f>
        <v>СВ 33-15 ЕО</v>
      </c>
      <c r="H782" s="24">
        <f>IFERROR(М4_АТ4042ROD_0584!G81,"")</f>
        <v>4</v>
      </c>
      <c r="J782" s="13" t="str">
        <f t="shared" si="88"/>
        <v>вул. Польова|110</v>
      </c>
      <c r="K782" s="32">
        <f t="shared" si="89"/>
        <v>0.43055555555555558</v>
      </c>
      <c r="L782" s="13" t="str">
        <f>IF($A782="","",IF(COUNTIFS($J$4:$J782,$J782,$E$4:$E782,$E782)=1,$E782,""))</f>
        <v/>
      </c>
      <c r="M782" s="13" t="str">
        <f>IF($A782="","",IF(COUNTIFS($J$4:$J782,$J782,$F$4:$F782,$F782)=1,$F782,""))</f>
        <v/>
      </c>
    </row>
    <row r="783" spans="1:13" x14ac:dyDescent="0.35">
      <c r="A783" s="23" t="str">
        <f>IFERROR(М4_АТ4042ROD_0584!B116,"")</f>
        <v>вул. Польова</v>
      </c>
      <c r="B783" s="23" t="str">
        <f>IFERROR(IF(М4_АТ4042ROD_0584!C116="","",TEXT(М4_АТ4042ROD_0584!C116,"General")),"")</f>
        <v>110</v>
      </c>
      <c r="C783" s="24" t="str">
        <f>"П'ятниця"</f>
        <v>П'ятниця</v>
      </c>
      <c r="D783" s="24" t="str">
        <f>IFERROR(TEXT(М4_АТ4042ROD_0584!D116,"h:mm"),"")</f>
        <v>10:40</v>
      </c>
      <c r="E783" s="24" t="str">
        <f t="shared" si="90"/>
        <v>№4</v>
      </c>
      <c r="F783" s="24" t="str">
        <f>"АТ 40-42/ROD21003"</f>
        <v>АТ 40-42/ROD21003</v>
      </c>
      <c r="G783" s="24" t="str">
        <f>"СВ 33-15 ЕО"</f>
        <v>СВ 33-15 ЕО</v>
      </c>
      <c r="H783" s="24">
        <f>IFERROR(М4_АТ4042ROD_0584!G116,"")</f>
        <v>4</v>
      </c>
      <c r="J783" s="13" t="str">
        <f t="shared" si="88"/>
        <v>вул. Польова|110</v>
      </c>
      <c r="K783" s="32">
        <f t="shared" si="89"/>
        <v>0.44444444444444442</v>
      </c>
      <c r="L783" s="13" t="str">
        <f>IF($A783="","",IF(COUNTIFS($J$4:$J783,$J783,$E$4:$E783,$E783)=1,$E783,""))</f>
        <v/>
      </c>
      <c r="M783" s="13" t="str">
        <f>IF($A783="","",IF(COUNTIFS($J$4:$J783,$J783,$F$4:$F783,$F783)=1,$F783,""))</f>
        <v/>
      </c>
    </row>
    <row r="784" spans="1:13" x14ac:dyDescent="0.35">
      <c r="A784" s="23" t="str">
        <f>IFERROR('М3-4_ГАЗ3309_0590'!B100,"")</f>
        <v>вул. Польова</v>
      </c>
      <c r="B784" s="23" t="str">
        <f>IFERROR(IF('М3-4_ГАЗ3309_0590'!C100="","",TEXT('М3-4_ГАЗ3309_0590'!C100,"General")),"")</f>
        <v>110</v>
      </c>
      <c r="C784" s="24" t="str">
        <f>"Субота"</f>
        <v>Субота</v>
      </c>
      <c r="D784" s="24" t="str">
        <f>IFERROR(TEXT('М3-4_ГАЗ3309_0590'!D100,"h:mm"),"")</f>
        <v>8:45</v>
      </c>
      <c r="E784" s="24" t="str">
        <f t="shared" si="90"/>
        <v>№4</v>
      </c>
      <c r="F784" s="24" t="str">
        <f>"ГАЗ 3309"</f>
        <v>ГАЗ 3309</v>
      </c>
      <c r="G784" s="24" t="str">
        <f>"СВ 17-85 ВН"</f>
        <v>СВ 17-85 ВН</v>
      </c>
      <c r="H784" s="24">
        <f>IFERROR('М3-4_ГАЗ3309_0590'!G100,"")</f>
        <v>3</v>
      </c>
      <c r="J784" s="13" t="str">
        <f t="shared" si="88"/>
        <v>вул. Польова|110</v>
      </c>
      <c r="K784" s="32">
        <f t="shared" si="89"/>
        <v>0.36458333333333331</v>
      </c>
      <c r="L784" s="13" t="str">
        <f>IF($A784="","",IF(COUNTIFS($J$4:$J784,$J784,$E$4:$E784,$E784)=1,$E784,""))</f>
        <v/>
      </c>
      <c r="M784" s="13" t="str">
        <f>IF($A784="","",IF(COUNTIFS($J$4:$J784,$J784,$F$4:$F784,$F784)=1,$F784,""))</f>
        <v/>
      </c>
    </row>
    <row r="785" spans="1:13" x14ac:dyDescent="0.35">
      <c r="A785" s="23" t="str">
        <f>IFERROR(М4_АТ4042ROD_0584!B149,"")</f>
        <v>вул. Польова</v>
      </c>
      <c r="B785" s="23" t="str">
        <f>IFERROR(IF(М4_АТ4042ROD_0584!C149="","",TEXT(М4_АТ4042ROD_0584!C149,"General")),"")</f>
        <v>110</v>
      </c>
      <c r="C785" s="24" t="str">
        <f>"Неділя"</f>
        <v>Неділя</v>
      </c>
      <c r="D785" s="24" t="str">
        <f>IFERROR(TEXT(М4_АТ4042ROD_0584!D149,"h:mm"),"")</f>
        <v>10:20</v>
      </c>
      <c r="E785" s="24" t="str">
        <f t="shared" si="90"/>
        <v>№4</v>
      </c>
      <c r="F785" s="24" t="str">
        <f>"АТ 40-42/ROD21003"</f>
        <v>АТ 40-42/ROD21003</v>
      </c>
      <c r="G785" s="24" t="str">
        <f>"СВ 33-15 ЕО"</f>
        <v>СВ 33-15 ЕО</v>
      </c>
      <c r="H785" s="24">
        <f>IFERROR(М4_АТ4042ROD_0584!G149,"")</f>
        <v>4</v>
      </c>
      <c r="J785" s="13" t="str">
        <f t="shared" si="88"/>
        <v>вул. Польова|110</v>
      </c>
      <c r="K785" s="32">
        <f t="shared" si="89"/>
        <v>0.43055555555555558</v>
      </c>
      <c r="L785" s="13" t="str">
        <f>IF($A785="","",IF(COUNTIFS($J$4:$J785,$J785,$E$4:$E785,$E785)=1,$E785,""))</f>
        <v/>
      </c>
      <c r="M785" s="13" t="str">
        <f>IF($A785="","",IF(COUNTIFS($J$4:$J785,$J785,$F$4:$F785,$F785)=1,$F785,""))</f>
        <v/>
      </c>
    </row>
    <row r="786" spans="1:13" x14ac:dyDescent="0.35">
      <c r="A786" s="23" t="str">
        <f>IFERROR(М1_КАМАЗ55111_0591!B21,"")</f>
        <v>вул. Польова</v>
      </c>
      <c r="B786" s="23" t="str">
        <f>IFERROR(IF(М1_КАМАЗ55111_0591!C21="","",TEXT(М1_КАМАЗ55111_0591!C21,"General")),"")</f>
        <v>БАМ</v>
      </c>
      <c r="C786" s="24" t="str">
        <f>"Понеділок"</f>
        <v>Понеділок</v>
      </c>
      <c r="D786" s="24" t="str">
        <f>IFERROR(TEXT(М1_КАМАЗ55111_0591!D21,"h:mm"),"")</f>
        <v>9:30</v>
      </c>
      <c r="E786" s="24" t="str">
        <f t="shared" ref="E786:E792" si="91">"№1"</f>
        <v>№1</v>
      </c>
      <c r="F786" s="24" t="str">
        <f>"КАМАЗ 55111"</f>
        <v>КАМАЗ 55111</v>
      </c>
      <c r="G786" s="24" t="str">
        <f>"СВ 50-33 АР"</f>
        <v>СВ 50-33 АР</v>
      </c>
      <c r="H786" s="24">
        <f>IFERROR(М1_КАМАЗ55111_0591!G21,"")</f>
        <v>4</v>
      </c>
      <c r="J786" s="13" t="str">
        <f t="shared" si="88"/>
        <v>вул. Польова|БАМ</v>
      </c>
      <c r="K786" s="32">
        <f t="shared" si="89"/>
        <v>0.39583333333333331</v>
      </c>
      <c r="L786" s="13" t="str">
        <f>IF($A786="","",IF(COUNTIFS($J$4:$J786,$J786,$E$4:$E786,$E786)=1,$E786,""))</f>
        <v>№1</v>
      </c>
      <c r="M786" s="13" t="str">
        <f>IF($A786="","",IF(COUNTIFS($J$4:$J786,$J786,$F$4:$F786,$F786)=1,$F786,""))</f>
        <v>КАМАЗ 55111</v>
      </c>
    </row>
    <row r="787" spans="1:13" x14ac:dyDescent="0.35">
      <c r="A787" s="23" t="str">
        <f>IFERROR(М1_КАМАЗ55111_0591!B65,"")</f>
        <v>вул. Польова</v>
      </c>
      <c r="B787" s="23" t="str">
        <f>IFERROR(IF(М1_КАМАЗ55111_0591!C65="","",TEXT(М1_КАМАЗ55111_0591!C65,"General")),"")</f>
        <v>БАМ</v>
      </c>
      <c r="C787" s="24" t="str">
        <f>"Вівторок"</f>
        <v>Вівторок</v>
      </c>
      <c r="D787" s="24" t="str">
        <f>IFERROR(TEXT(М1_КАМАЗ55111_0591!D65,"h:mm"),"")</f>
        <v>11:45</v>
      </c>
      <c r="E787" s="24" t="str">
        <f t="shared" si="91"/>
        <v>№1</v>
      </c>
      <c r="F787" s="24" t="str">
        <f>"КАМАЗ 55111"</f>
        <v>КАМАЗ 55111</v>
      </c>
      <c r="G787" s="24" t="str">
        <f>"СВ 50-33 АР"</f>
        <v>СВ 50-33 АР</v>
      </c>
      <c r="H787" s="24">
        <f>IFERROR(М1_КАМАЗ55111_0591!G65,"")</f>
        <v>4</v>
      </c>
      <c r="J787" s="13" t="str">
        <f t="shared" si="88"/>
        <v>вул. Польова|БАМ</v>
      </c>
      <c r="K787" s="32">
        <f t="shared" si="89"/>
        <v>0.48958333333333331</v>
      </c>
      <c r="L787" s="13" t="str">
        <f>IF($A787="","",IF(COUNTIFS($J$4:$J787,$J787,$E$4:$E787,$E787)=1,$E787,""))</f>
        <v/>
      </c>
      <c r="M787" s="13" t="str">
        <f>IF($A787="","",IF(COUNTIFS($J$4:$J787,$J787,$F$4:$F787,$F787)=1,$F787,""))</f>
        <v/>
      </c>
    </row>
    <row r="788" spans="1:13" x14ac:dyDescent="0.35">
      <c r="A788" s="23" t="str">
        <f>IFERROR(М1_КАМАЗ55111_0591!B97,"")</f>
        <v>вул. Польова</v>
      </c>
      <c r="B788" s="23" t="str">
        <f>IFERROR(IF(М1_КАМАЗ55111_0591!C97="","",TEXT(М1_КАМАЗ55111_0591!C97,"General")),"")</f>
        <v>БАМ</v>
      </c>
      <c r="C788" s="24" t="str">
        <f>"Середа"</f>
        <v>Середа</v>
      </c>
      <c r="D788" s="24" t="str">
        <f>IFERROR(TEXT(М1_КАМАЗ55111_0591!D97,"h:mm"),"")</f>
        <v>11:50</v>
      </c>
      <c r="E788" s="24" t="str">
        <f t="shared" si="91"/>
        <v>№1</v>
      </c>
      <c r="F788" s="24" t="str">
        <f>"КАМАЗ 55111"</f>
        <v>КАМАЗ 55111</v>
      </c>
      <c r="G788" s="24" t="str">
        <f>"СВ 50-33 АР"</f>
        <v>СВ 50-33 АР</v>
      </c>
      <c r="H788" s="24">
        <f>IFERROR(М1_КАМАЗ55111_0591!G97,"")</f>
        <v>5</v>
      </c>
      <c r="J788" s="13" t="str">
        <f t="shared" si="88"/>
        <v>вул. Польова|БАМ</v>
      </c>
      <c r="K788" s="32">
        <f t="shared" si="89"/>
        <v>0.49305555555555558</v>
      </c>
      <c r="L788" s="13" t="str">
        <f>IF($A788="","",IF(COUNTIFS($J$4:$J788,$J788,$E$4:$E788,$E788)=1,$E788,""))</f>
        <v/>
      </c>
      <c r="M788" s="13" t="str">
        <f>IF($A788="","",IF(COUNTIFS($J$4:$J788,$J788,$F$4:$F788,$F788)=1,$F788,""))</f>
        <v/>
      </c>
    </row>
    <row r="789" spans="1:13" x14ac:dyDescent="0.35">
      <c r="A789" s="23" t="str">
        <f>IFERROR('М1-2_АТ4021-1120_0585'!B121,"")</f>
        <v>вул. Польова</v>
      </c>
      <c r="B789" s="23" t="str">
        <f>IFERROR(IF('М1-2_АТ4021-1120_0585'!C121="","",TEXT('М1-2_АТ4021-1120_0585'!C121,"General")),"")</f>
        <v>БАМ</v>
      </c>
      <c r="C789" s="24" t="str">
        <f>"Четвер"</f>
        <v>Четвер</v>
      </c>
      <c r="D789" s="24" t="str">
        <f>IFERROR(TEXT('М1-2_АТ4021-1120_0585'!D121,"h:mm"),"")</f>
        <v>12:25</v>
      </c>
      <c r="E789" s="24" t="str">
        <f t="shared" si="91"/>
        <v>№1</v>
      </c>
      <c r="F789" s="24" t="str">
        <f>"АТ-4021/1120"</f>
        <v>АТ-4021/1120</v>
      </c>
      <c r="G789" s="24" t="str">
        <f>"СВ 14-65 ЕО"</f>
        <v>СВ 14-65 ЕО</v>
      </c>
      <c r="H789" s="24">
        <f>IFERROR('М1-2_АТ4021-1120_0585'!G121,"")</f>
        <v>5</v>
      </c>
      <c r="J789" s="13" t="str">
        <f t="shared" si="88"/>
        <v>вул. Польова|БАМ</v>
      </c>
      <c r="K789" s="32">
        <f t="shared" si="89"/>
        <v>0.51736111111111116</v>
      </c>
      <c r="L789" s="13" t="str">
        <f>IF($A789="","",IF(COUNTIFS($J$4:$J789,$J789,$E$4:$E789,$E789)=1,$E789,""))</f>
        <v/>
      </c>
      <c r="M789" s="13" t="str">
        <f>IF($A789="","",IF(COUNTIFS($J$4:$J789,$J789,$F$4:$F789,$F789)=1,$F789,""))</f>
        <v>АТ-4021/1120</v>
      </c>
    </row>
    <row r="790" spans="1:13" x14ac:dyDescent="0.35">
      <c r="A790" s="23" t="str">
        <f>IFERROR(М1_КАМАЗ55111_0591!B132,"")</f>
        <v>вул. Польова</v>
      </c>
      <c r="B790" s="23" t="str">
        <f>IFERROR(IF(М1_КАМАЗ55111_0591!C132="","",TEXT(М1_КАМАЗ55111_0591!C132,"General")),"")</f>
        <v>БАМ</v>
      </c>
      <c r="C790" s="24" t="str">
        <f>"П'ятниця"</f>
        <v>П'ятниця</v>
      </c>
      <c r="D790" s="24" t="str">
        <f>IFERROR(TEXT(М1_КАМАЗ55111_0591!D132,"h:mm"),"")</f>
        <v>12:10</v>
      </c>
      <c r="E790" s="24" t="str">
        <f t="shared" si="91"/>
        <v>№1</v>
      </c>
      <c r="F790" s="24" t="str">
        <f>"КАМАЗ 55111"</f>
        <v>КАМАЗ 55111</v>
      </c>
      <c r="G790" s="24" t="str">
        <f>"СВ 50-33 АР"</f>
        <v>СВ 50-33 АР</v>
      </c>
      <c r="H790" s="24">
        <f>IFERROR(М1_КАМАЗ55111_0591!G132,"")</f>
        <v>4</v>
      </c>
      <c r="J790" s="13" t="str">
        <f t="shared" si="88"/>
        <v>вул. Польова|БАМ</v>
      </c>
      <c r="K790" s="32">
        <f t="shared" si="89"/>
        <v>0.50694444444444442</v>
      </c>
      <c r="L790" s="13" t="str">
        <f>IF($A790="","",IF(COUNTIFS($J$4:$J790,$J790,$E$4:$E790,$E790)=1,$E790,""))</f>
        <v/>
      </c>
      <c r="M790" s="13" t="str">
        <f>IF($A790="","",IF(COUNTIFS($J$4:$J790,$J790,$F$4:$F790,$F790)=1,$F790,""))</f>
        <v/>
      </c>
    </row>
    <row r="791" spans="1:13" x14ac:dyDescent="0.35">
      <c r="A791" s="23" t="str">
        <f>IFERROR(М1_КАМАЗ55111_0591!B164,"")</f>
        <v>вул. Польова</v>
      </c>
      <c r="B791" s="23" t="str">
        <f>IFERROR(IF(М1_КАМАЗ55111_0591!C164="","",TEXT(М1_КАМАЗ55111_0591!C164,"General")),"")</f>
        <v>БАМ</v>
      </c>
      <c r="C791" s="24" t="str">
        <f>"Субота"</f>
        <v>Субота</v>
      </c>
      <c r="D791" s="24" t="str">
        <f>IFERROR(TEXT(М1_КАМАЗ55111_0591!D164,"h:mm"),"")</f>
        <v>11:45</v>
      </c>
      <c r="E791" s="24" t="str">
        <f t="shared" si="91"/>
        <v>№1</v>
      </c>
      <c r="F791" s="24" t="str">
        <f>"КАМАЗ 55111"</f>
        <v>КАМАЗ 55111</v>
      </c>
      <c r="G791" s="24" t="str">
        <f>"СВ 50-33 АР"</f>
        <v>СВ 50-33 АР</v>
      </c>
      <c r="H791" s="24">
        <f>IFERROR(М1_КАМАЗ55111_0591!G164,"")</f>
        <v>5</v>
      </c>
      <c r="J791" s="13" t="str">
        <f t="shared" si="88"/>
        <v>вул. Польова|БАМ</v>
      </c>
      <c r="K791" s="32">
        <f t="shared" si="89"/>
        <v>0.48958333333333331</v>
      </c>
      <c r="L791" s="13" t="str">
        <f>IF($A791="","",IF(COUNTIFS($J$4:$J791,$J791,$E$4:$E791,$E791)=1,$E791,""))</f>
        <v/>
      </c>
      <c r="M791" s="13" t="str">
        <f>IF($A791="","",IF(COUNTIFS($J$4:$J791,$J791,$F$4:$F791,$F791)=1,$F791,""))</f>
        <v/>
      </c>
    </row>
    <row r="792" spans="1:13" x14ac:dyDescent="0.35">
      <c r="A792" s="23" t="str">
        <f>IFERROR('М1-2_АТ4021-1120_0585'!B156,"")</f>
        <v>вул. Польова</v>
      </c>
      <c r="B792" s="23" t="str">
        <f>IFERROR(IF('М1-2_АТ4021-1120_0585'!C156="","",TEXT('М1-2_АТ4021-1120_0585'!C156,"General")),"")</f>
        <v>БАМ</v>
      </c>
      <c r="C792" s="24" t="str">
        <f>"Неділя"</f>
        <v>Неділя</v>
      </c>
      <c r="D792" s="24" t="str">
        <f>IFERROR(TEXT('М1-2_АТ4021-1120_0585'!D156,"h:mm"),"")</f>
        <v>12:25</v>
      </c>
      <c r="E792" s="24" t="str">
        <f t="shared" si="91"/>
        <v>№1</v>
      </c>
      <c r="F792" s="24" t="str">
        <f>"АТ-4021/1120"</f>
        <v>АТ-4021/1120</v>
      </c>
      <c r="G792" s="24" t="str">
        <f>"СВ 14-65 ЕО"</f>
        <v>СВ 14-65 ЕО</v>
      </c>
      <c r="H792" s="24">
        <f>IFERROR('М1-2_АТ4021-1120_0585'!G156,"")</f>
        <v>5</v>
      </c>
      <c r="J792" s="13" t="str">
        <f t="shared" si="88"/>
        <v>вул. Польова|БАМ</v>
      </c>
      <c r="K792" s="32">
        <f t="shared" si="89"/>
        <v>0.51736111111111116</v>
      </c>
      <c r="L792" s="13" t="str">
        <f>IF($A792="","",IF(COUNTIFS($J$4:$J792,$J792,$E$4:$E792,$E792)=1,$E792,""))</f>
        <v/>
      </c>
      <c r="M792" s="13" t="str">
        <f>IF($A792="","",IF(COUNTIFS($J$4:$J792,$J792,$F$4:$F792,$F792)=1,$F792,""))</f>
        <v/>
      </c>
    </row>
    <row r="793" spans="1:13" x14ac:dyDescent="0.35">
      <c r="A793" s="23" t="str">
        <f>IFERROR(М5_МАЗ4381_0592!B22,"")</f>
        <v>вул. Південна</v>
      </c>
      <c r="B793" s="23" t="str">
        <f>IFERROR(IF(М5_МАЗ4381_0592!C22="","",TEXT(М5_МАЗ4381_0592!C22,"General")),"")</f>
        <v/>
      </c>
      <c r="C793" s="24" t="str">
        <f>"Понеділок"</f>
        <v>Понеділок</v>
      </c>
      <c r="D793" s="24" t="str">
        <f>IFERROR(TEXT(М5_МАЗ4381_0592!D22,"h:mm"),"")</f>
        <v>10:30</v>
      </c>
      <c r="E793" s="24" t="str">
        <f>"№5"</f>
        <v>№5</v>
      </c>
      <c r="F793" s="24" t="str">
        <f>"МАЗ 4381"</f>
        <v>МАЗ 4381</v>
      </c>
      <c r="G793" s="24" t="str">
        <f>"СВ 81-71 ВК"</f>
        <v>СВ 81-71 ВК</v>
      </c>
      <c r="H793" s="24"/>
      <c r="J793" s="13" t="str">
        <f t="shared" si="88"/>
        <v>вул. Південна|</v>
      </c>
      <c r="K793" s="32">
        <f t="shared" si="89"/>
        <v>0.4375</v>
      </c>
      <c r="L793" s="13" t="str">
        <f>IF($A793="","",IF(COUNTIFS($J$4:$J793,$J793,$E$4:$E793,$E793)=1,$E793,""))</f>
        <v>№5</v>
      </c>
      <c r="M793" s="13" t="str">
        <f>IF($A793="","",IF(COUNTIFS($J$4:$J793,$J793,$F$4:$F793,$F793)=1,$F793,""))</f>
        <v>МАЗ 4381</v>
      </c>
    </row>
    <row r="794" spans="1:13" x14ac:dyDescent="0.35">
      <c r="A794" s="23" t="str">
        <f>IFERROR(М6_АТ4021_0586!B9,"")</f>
        <v>вул. Піщана</v>
      </c>
      <c r="B794" s="23" t="str">
        <f>IFERROR(IF(М6_АТ4021_0586!C9="","",TEXT(М6_АТ4021_0586!C9,"General")),"")</f>
        <v>30,36  20,5</v>
      </c>
      <c r="C794" s="24" t="str">
        <f>"Понеділок"</f>
        <v>Понеділок</v>
      </c>
      <c r="D794" s="24" t="str">
        <f>IFERROR(TEXT(М6_АТ4021_0586!D9,"h:mm"),"")</f>
        <v>7:30</v>
      </c>
      <c r="E794" s="24" t="str">
        <f>"№6"</f>
        <v>№6</v>
      </c>
      <c r="F794" s="24" t="str">
        <f>"АТ 4021"</f>
        <v>АТ 4021</v>
      </c>
      <c r="G794" s="24" t="str">
        <f>"СВ 33-16 ЕО"</f>
        <v>СВ 33-16 ЕО</v>
      </c>
      <c r="H794" s="24"/>
      <c r="J794" s="13" t="str">
        <f t="shared" si="88"/>
        <v>вул. Піщана|30,36  20,5</v>
      </c>
      <c r="K794" s="32">
        <f t="shared" si="89"/>
        <v>0.3125</v>
      </c>
      <c r="L794" s="13" t="str">
        <f>IF($A794="","",IF(COUNTIFS($J$4:$J794,$J794,$E$4:$E794,$E794)=1,$E794,""))</f>
        <v>№6</v>
      </c>
      <c r="M794" s="13" t="str">
        <f>IF($A794="","",IF(COUNTIFS($J$4:$J794,$J794,$F$4:$F794,$F794)=1,$F794,""))</f>
        <v>АТ 4021</v>
      </c>
    </row>
    <row r="795" spans="1:13" x14ac:dyDescent="0.35">
      <c r="A795" s="23" t="str">
        <f>IFERROR(М4_АТ4042ROD_0584!B6,"")</f>
        <v>вул. Ракітна, П. Комуни</v>
      </c>
      <c r="B795" s="23" t="str">
        <f>IFERROR(IF(М4_АТ4042ROD_0584!C6="","",TEXT(М4_АТ4042ROD_0584!C6,"General")),"")</f>
        <v>2</v>
      </c>
      <c r="C795" s="24" t="str">
        <f>"Понеділок"</f>
        <v>Понеділок</v>
      </c>
      <c r="D795" s="24" t="str">
        <f>IFERROR(TEXT(М4_АТ4042ROD_0584!D6,"h:mm"),"")</f>
        <v>7:20</v>
      </c>
      <c r="E795" s="24" t="str">
        <f>"№4"</f>
        <v>№4</v>
      </c>
      <c r="F795" s="24" t="str">
        <f>"АТ 40-42/ROD21003"</f>
        <v>АТ 40-42/ROD21003</v>
      </c>
      <c r="G795" s="24" t="str">
        <f>"СВ 33-15 ЕО"</f>
        <v>СВ 33-15 ЕО</v>
      </c>
      <c r="H795" s="24">
        <f>IFERROR(М4_АТ4042ROD_0584!G6,"")</f>
        <v>4</v>
      </c>
      <c r="J795" s="13" t="str">
        <f t="shared" si="88"/>
        <v>вул. Ракітна, П. Комуни|2</v>
      </c>
      <c r="K795" s="32">
        <f t="shared" si="89"/>
        <v>0.30555555555555558</v>
      </c>
      <c r="L795" s="13" t="str">
        <f>IF($A795="","",IF(COUNTIFS($J$4:$J795,$J795,$E$4:$E795,$E795)=1,$E795,""))</f>
        <v>№4</v>
      </c>
      <c r="M795" s="13" t="str">
        <f>IF($A795="","",IF(COUNTIFS($J$4:$J795,$J795,$F$4:$F795,$F795)=1,$F795,""))</f>
        <v>АТ 40-42/ROD21003</v>
      </c>
    </row>
    <row r="796" spans="1:13" x14ac:dyDescent="0.35">
      <c r="A796" s="23" t="str">
        <f>IFERROR(М4_АТ4042ROD_0584!B40,"")</f>
        <v>вул. Ракітна, П. Комуни</v>
      </c>
      <c r="B796" s="23" t="str">
        <f>IFERROR(IF(М4_АТ4042ROD_0584!C40="","",TEXT(М4_АТ4042ROD_0584!C40,"General")),"")</f>
        <v>2</v>
      </c>
      <c r="C796" s="24" t="str">
        <f>"Вівторок"</f>
        <v>Вівторок</v>
      </c>
      <c r="D796" s="24" t="str">
        <f>IFERROR(TEXT(М4_АТ4042ROD_0584!D40,"h:mm"),"")</f>
        <v>7:45</v>
      </c>
      <c r="E796" s="24" t="str">
        <f>"№4"</f>
        <v>№4</v>
      </c>
      <c r="F796" s="24" t="str">
        <f>"АТ 40-42/ROD21003"</f>
        <v>АТ 40-42/ROD21003</v>
      </c>
      <c r="G796" s="24" t="str">
        <f>"СВ 33-15 ЕО"</f>
        <v>СВ 33-15 ЕО</v>
      </c>
      <c r="H796" s="24">
        <f>IFERROR(М4_АТ4042ROD_0584!G40,"")</f>
        <v>5</v>
      </c>
      <c r="J796" s="13" t="str">
        <f t="shared" si="88"/>
        <v>вул. Ракітна, П. Комуни|2</v>
      </c>
      <c r="K796" s="32">
        <f t="shared" si="89"/>
        <v>0.32291666666666669</v>
      </c>
      <c r="L796" s="13" t="str">
        <f>IF($A796="","",IF(COUNTIFS($J$4:$J796,$J796,$E$4:$E796,$E796)=1,$E796,""))</f>
        <v/>
      </c>
      <c r="M796" s="13" t="str">
        <f>IF($A796="","",IF(COUNTIFS($J$4:$J796,$J796,$F$4:$F796,$F796)=1,$F796,""))</f>
        <v/>
      </c>
    </row>
    <row r="797" spans="1:13" x14ac:dyDescent="0.35">
      <c r="A797" s="23" t="str">
        <f>IFERROR(М4_АТ4042ROD_0584!B71,"")</f>
        <v>вул. Ракітна, П. Комуни</v>
      </c>
      <c r="B797" s="23" t="str">
        <f>IFERROR(IF(М4_АТ4042ROD_0584!C71="","",TEXT(М4_АТ4042ROD_0584!C71,"General")),"")</f>
        <v>2</v>
      </c>
      <c r="C797" s="24" t="str">
        <f>"Четвер"</f>
        <v>Четвер</v>
      </c>
      <c r="D797" s="24" t="str">
        <f>IFERROR(TEXT(М4_АТ4042ROD_0584!D71,"h:mm"),"")</f>
        <v>7:20</v>
      </c>
      <c r="E797" s="24" t="str">
        <f>"№4"</f>
        <v>№4</v>
      </c>
      <c r="F797" s="24" t="str">
        <f>"АТ 40-42/ROD21003"</f>
        <v>АТ 40-42/ROD21003</v>
      </c>
      <c r="G797" s="24" t="str">
        <f>"СВ 33-15 ЕО"</f>
        <v>СВ 33-15 ЕО</v>
      </c>
      <c r="H797" s="24">
        <f>IFERROR(М4_АТ4042ROD_0584!G71,"")</f>
        <v>4</v>
      </c>
      <c r="J797" s="13" t="str">
        <f t="shared" si="88"/>
        <v>вул. Ракітна, П. Комуни|2</v>
      </c>
      <c r="K797" s="32">
        <f t="shared" si="89"/>
        <v>0.30555555555555558</v>
      </c>
      <c r="L797" s="13" t="str">
        <f>IF($A797="","",IF(COUNTIFS($J$4:$J797,$J797,$E$4:$E797,$E797)=1,$E797,""))</f>
        <v/>
      </c>
      <c r="M797" s="13" t="str">
        <f>IF($A797="","",IF(COUNTIFS($J$4:$J797,$J797,$F$4:$F797,$F797)=1,$F797,""))</f>
        <v/>
      </c>
    </row>
    <row r="798" spans="1:13" x14ac:dyDescent="0.35">
      <c r="A798" s="23" t="str">
        <f>IFERROR(М4_АТ4042ROD_0584!B105,"")</f>
        <v>вул. Ракітна, П. Комуни</v>
      </c>
      <c r="B798" s="23" t="str">
        <f>IFERROR(IF(М4_АТ4042ROD_0584!C105="","",TEXT(М4_АТ4042ROD_0584!C105,"General")),"")</f>
        <v>2</v>
      </c>
      <c r="C798" s="24" t="str">
        <f>"П'ятниця"</f>
        <v>П'ятниця</v>
      </c>
      <c r="D798" s="24" t="str">
        <f>IFERROR(TEXT(М4_АТ4042ROD_0584!D105,"h:mm"),"")</f>
        <v>7:20</v>
      </c>
      <c r="E798" s="24" t="str">
        <f>"№4"</f>
        <v>№4</v>
      </c>
      <c r="F798" s="24" t="str">
        <f>"АТ 40-42/ROD21003"</f>
        <v>АТ 40-42/ROD21003</v>
      </c>
      <c r="G798" s="24" t="str">
        <f>"СВ 33-15 ЕО"</f>
        <v>СВ 33-15 ЕО</v>
      </c>
      <c r="H798" s="24">
        <f>IFERROR(М4_АТ4042ROD_0584!G105,"")</f>
        <v>4</v>
      </c>
      <c r="J798" s="13" t="str">
        <f t="shared" si="88"/>
        <v>вул. Ракітна, П. Комуни|2</v>
      </c>
      <c r="K798" s="32">
        <f t="shared" si="89"/>
        <v>0.30555555555555558</v>
      </c>
      <c r="L798" s="13" t="str">
        <f>IF($A798="","",IF(COUNTIFS($J$4:$J798,$J798,$E$4:$E798,$E798)=1,$E798,""))</f>
        <v/>
      </c>
      <c r="M798" s="13" t="str">
        <f>IF($A798="","",IF(COUNTIFS($J$4:$J798,$J798,$F$4:$F798,$F798)=1,$F798,""))</f>
        <v/>
      </c>
    </row>
    <row r="799" spans="1:13" x14ac:dyDescent="0.35">
      <c r="A799" s="23" t="str">
        <f>IFERROR(М4_АТ4042ROD_0584!B140,"")</f>
        <v>вул. Ракітна, П. Комуни</v>
      </c>
      <c r="B799" s="23" t="str">
        <f>IFERROR(IF(М4_АТ4042ROD_0584!C140="","",TEXT(М4_АТ4042ROD_0584!C140,"General")),"")</f>
        <v>2</v>
      </c>
      <c r="C799" s="24" t="str">
        <f>"Неділя"</f>
        <v>Неділя</v>
      </c>
      <c r="D799" s="24" t="str">
        <f>IFERROR(TEXT(М4_АТ4042ROD_0584!D140,"h:mm"),"")</f>
        <v>7:45</v>
      </c>
      <c r="E799" s="24" t="str">
        <f>"№4"</f>
        <v>№4</v>
      </c>
      <c r="F799" s="24" t="str">
        <f>"АТ 40-42/ROD21003"</f>
        <v>АТ 40-42/ROD21003</v>
      </c>
      <c r="G799" s="24" t="str">
        <f>"СВ 33-15 ЕО"</f>
        <v>СВ 33-15 ЕО</v>
      </c>
      <c r="H799" s="24">
        <f>IFERROR(М4_АТ4042ROD_0584!G140,"")</f>
        <v>4</v>
      </c>
      <c r="J799" s="13" t="str">
        <f t="shared" si="88"/>
        <v>вул. Ракітна, П. Комуни|2</v>
      </c>
      <c r="K799" s="32">
        <f t="shared" si="89"/>
        <v>0.32291666666666669</v>
      </c>
      <c r="L799" s="13" t="str">
        <f>IF($A799="","",IF(COUNTIFS($J$4:$J799,$J799,$E$4:$E799,$E799)=1,$E799,""))</f>
        <v/>
      </c>
      <c r="M799" s="13" t="str">
        <f>IF($A799="","",IF(COUNTIFS($J$4:$J799,$J799,$F$4:$F799,$F799)=1,$F799,""))</f>
        <v/>
      </c>
    </row>
    <row r="800" spans="1:13" x14ac:dyDescent="0.35">
      <c r="A800" s="23" t="str">
        <f>IFERROR(М6_АТ4021_0586!B178,"")</f>
        <v>вул. Раскова</v>
      </c>
      <c r="B800" s="23" t="str">
        <f>IFERROR(IF(М6_АТ4021_0586!C178="","",TEXT(М6_АТ4021_0586!C178,"General")),"")</f>
        <v/>
      </c>
      <c r="C800" s="24" t="str">
        <f>"П'ятниця"</f>
        <v>П'ятниця</v>
      </c>
      <c r="D800" s="24" t="str">
        <f>IFERROR(TEXT(М6_АТ4021_0586!D178,"h:mm"),"")</f>
        <v>13:00</v>
      </c>
      <c r="E800" s="24" t="str">
        <f>"№6"</f>
        <v>№6</v>
      </c>
      <c r="F800" s="24" t="str">
        <f>"АТ 4021"</f>
        <v>АТ 4021</v>
      </c>
      <c r="G800" s="24" t="str">
        <f>"СВ 33-16 ЕО"</f>
        <v>СВ 33-16 ЕО</v>
      </c>
      <c r="H800" s="24"/>
      <c r="J800" s="13" t="str">
        <f t="shared" si="88"/>
        <v>вул. Раскова|</v>
      </c>
      <c r="K800" s="32">
        <f t="shared" si="89"/>
        <v>0.54166666666666663</v>
      </c>
      <c r="L800" s="13" t="str">
        <f>IF($A800="","",IF(COUNTIFS($J$4:$J800,$J800,$E$4:$E800,$E800)=1,$E800,""))</f>
        <v>№6</v>
      </c>
      <c r="M800" s="13" t="str">
        <f>IF($A800="","",IF(COUNTIFS($J$4:$J800,$J800,$F$4:$F800,$F800)=1,$F800,""))</f>
        <v>АТ 4021</v>
      </c>
    </row>
    <row r="801" spans="1:13" x14ac:dyDescent="0.35">
      <c r="A801" s="23" t="str">
        <f>IFERROR(М6_АТ4021_0586!B20,"")</f>
        <v>вул. Родини Горленків</v>
      </c>
      <c r="B801" s="23" t="str">
        <f>IFERROR(IF(М6_АТ4021_0586!C20="","",TEXT(М6_АТ4021_0586!C20,"General")),"")</f>
        <v>7,12  22,18</v>
      </c>
      <c r="C801" s="24" t="str">
        <f>"Понеділок"</f>
        <v>Понеділок</v>
      </c>
      <c r="D801" s="24" t="str">
        <f>IFERROR(TEXT(М6_АТ4021_0586!D20,"h:mm"),"")</f>
        <v>10:10</v>
      </c>
      <c r="E801" s="24" t="str">
        <f>"№6"</f>
        <v>№6</v>
      </c>
      <c r="F801" s="24" t="str">
        <f>"АТ 4021"</f>
        <v>АТ 4021</v>
      </c>
      <c r="G801" s="24" t="str">
        <f>"СВ 33-16 ЕО"</f>
        <v>СВ 33-16 ЕО</v>
      </c>
      <c r="H801" s="24"/>
      <c r="J801" s="13" t="str">
        <f t="shared" si="88"/>
        <v>вул. Родини Горленків|7,12  22,18</v>
      </c>
      <c r="K801" s="32">
        <f t="shared" si="89"/>
        <v>0.4236111111111111</v>
      </c>
      <c r="L801" s="13" t="str">
        <f>IF($A801="","",IF(COUNTIFS($J$4:$J801,$J801,$E$4:$E801,$E801)=1,$E801,""))</f>
        <v>№6</v>
      </c>
      <c r="M801" s="13" t="str">
        <f>IF($A801="","",IF(COUNTIFS($J$4:$J801,$J801,$F$4:$F801,$F801)=1,$F801,""))</f>
        <v>АТ 4021</v>
      </c>
    </row>
    <row r="802" spans="1:13" x14ac:dyDescent="0.35">
      <c r="A802" s="23" t="str">
        <f>IFERROR(М5_МАЗ4381_0592!B130,"")</f>
        <v>вул. Рокітна</v>
      </c>
      <c r="B802" s="23" t="str">
        <f>IFERROR(IF(М5_МАЗ4381_0592!C130="","",TEXT(М5_МАЗ4381_0592!C130,"General")),"")</f>
        <v/>
      </c>
      <c r="C802" s="24" t="str">
        <f>"Четвер"</f>
        <v>Четвер</v>
      </c>
      <c r="D802" s="24" t="str">
        <f>IFERROR(TEXT(М5_МАЗ4381_0592!D130,"h:mm"),"")</f>
        <v>9:55</v>
      </c>
      <c r="E802" s="24" t="str">
        <f>"№5"</f>
        <v>№5</v>
      </c>
      <c r="F802" s="24" t="str">
        <f>"МАЗ 4381"</f>
        <v>МАЗ 4381</v>
      </c>
      <c r="G802" s="24" t="str">
        <f>"СВ 81-71 ВК"</f>
        <v>СВ 81-71 ВК</v>
      </c>
      <c r="H802" s="24"/>
      <c r="J802" s="13" t="str">
        <f t="shared" si="88"/>
        <v>вул. Рокітна|</v>
      </c>
      <c r="K802" s="32">
        <f t="shared" si="89"/>
        <v>0.41319444444444442</v>
      </c>
      <c r="L802" s="13" t="str">
        <f>IF($A802="","",IF(COUNTIFS($J$4:$J802,$J802,$E$4:$E802,$E802)=1,$E802,""))</f>
        <v>№5</v>
      </c>
      <c r="M802" s="13" t="str">
        <f>IF($A802="","",IF(COUNTIFS($J$4:$J802,$J802,$F$4:$F802,$F802)=1,$F802,""))</f>
        <v>МАЗ 4381</v>
      </c>
    </row>
    <row r="803" spans="1:13" x14ac:dyDescent="0.35">
      <c r="A803" s="23" t="str">
        <f>IFERROR(М5_МАЗ4381_0592!B143,"")</f>
        <v>вул. С. Величка</v>
      </c>
      <c r="B803" s="23" t="str">
        <f>IFERROR(IF(М5_МАЗ4381_0592!C143="","",TEXT(М5_МАЗ4381_0592!C143,"General")),"")</f>
        <v/>
      </c>
      <c r="C803" s="24" t="str">
        <f>"Четвер"</f>
        <v>Четвер</v>
      </c>
      <c r="D803" s="24" t="str">
        <f>IFERROR(TEXT(М5_МАЗ4381_0592!D143,"h:mm"),"")</f>
        <v>13:05</v>
      </c>
      <c r="E803" s="24" t="str">
        <f>"№5"</f>
        <v>№5</v>
      </c>
      <c r="F803" s="24" t="str">
        <f>"МАЗ 4381"</f>
        <v>МАЗ 4381</v>
      </c>
      <c r="G803" s="24" t="str">
        <f>"СВ 81-71 ВК"</f>
        <v>СВ 81-71 ВК</v>
      </c>
      <c r="H803" s="24"/>
      <c r="J803" s="13" t="str">
        <f t="shared" si="88"/>
        <v>вул. С. Величка|</v>
      </c>
      <c r="K803" s="32">
        <f t="shared" si="89"/>
        <v>0.54513888888888884</v>
      </c>
      <c r="L803" s="13" t="str">
        <f>IF($A803="","",IF(COUNTIFS($J$4:$J803,$J803,$E$4:$E803,$E803)=1,$E803,""))</f>
        <v>№5</v>
      </c>
      <c r="M803" s="13" t="str">
        <f>IF($A803="","",IF(COUNTIFS($J$4:$J803,$J803,$F$4:$F803,$F803)=1,$F803,""))</f>
        <v>МАЗ 4381</v>
      </c>
    </row>
    <row r="804" spans="1:13" x14ac:dyDescent="0.35">
      <c r="A804" s="23" t="str">
        <f>IFERROR(М4_АТ4042ROD_0584!B114,"")</f>
        <v>вул. Сагайдачного</v>
      </c>
      <c r="B804" s="23" t="str">
        <f>IFERROR(IF(М4_АТ4042ROD_0584!C114="","",TEXT(М4_АТ4042ROD_0584!C114,"General")),"")</f>
        <v>РЕМ</v>
      </c>
      <c r="C804" s="24" t="str">
        <f>"П'ятниця"</f>
        <v>П'ятниця</v>
      </c>
      <c r="D804" s="24" t="str">
        <f>IFERROR(TEXT(М4_АТ4042ROD_0584!D114,"h:mm"),"")</f>
        <v>9:55</v>
      </c>
      <c r="E804" s="24" t="str">
        <f>"№4"</f>
        <v>№4</v>
      </c>
      <c r="F804" s="24" t="str">
        <f>"АТ 40-42/ROD21003"</f>
        <v>АТ 40-42/ROD21003</v>
      </c>
      <c r="G804" s="24" t="str">
        <f>"СВ 33-15 ЕО"</f>
        <v>СВ 33-15 ЕО</v>
      </c>
      <c r="H804" s="24">
        <f>IFERROR(М4_АТ4042ROD_0584!G114,"")</f>
        <v>2</v>
      </c>
      <c r="J804" s="13" t="str">
        <f t="shared" si="88"/>
        <v>вул. Сагайдачного|РЕМ</v>
      </c>
      <c r="K804" s="32">
        <f t="shared" si="89"/>
        <v>0.41319444444444442</v>
      </c>
      <c r="L804" s="13" t="str">
        <f>IF($A804="","",IF(COUNTIFS($J$4:$J804,$J804,$E$4:$E804,$E804)=1,$E804,""))</f>
        <v>№4</v>
      </c>
      <c r="M804" s="13" t="str">
        <f>IF($A804="","",IF(COUNTIFS($J$4:$J804,$J804,$F$4:$F804,$F804)=1,$F804,""))</f>
        <v>АТ 40-42/ROD21003</v>
      </c>
    </row>
    <row r="805" spans="1:13" x14ac:dyDescent="0.35">
      <c r="A805" s="23" t="str">
        <f>IFERROR(М6_АТ4021_0586!B135,"")</f>
        <v>вул. Садова</v>
      </c>
      <c r="B805" s="23" t="str">
        <f>IFERROR(IF(М6_АТ4021_0586!C135="","",TEXT(М6_АТ4021_0586!C135,"General")),"")</f>
        <v>3,23  49,55</v>
      </c>
      <c r="C805" s="24" t="str">
        <f>"Четвер"</f>
        <v>Четвер</v>
      </c>
      <c r="D805" s="24" t="str">
        <f>IFERROR(TEXT(М6_АТ4021_0586!D135,"h:mm"),"")</f>
        <v>12:20</v>
      </c>
      <c r="E805" s="24" t="str">
        <f>"№6"</f>
        <v>№6</v>
      </c>
      <c r="F805" s="24" t="str">
        <f>"АТ 4021"</f>
        <v>АТ 4021</v>
      </c>
      <c r="G805" s="24" t="str">
        <f>"СВ 33-16 ЕО"</f>
        <v>СВ 33-16 ЕО</v>
      </c>
      <c r="H805" s="24"/>
      <c r="J805" s="13" t="str">
        <f t="shared" si="88"/>
        <v>вул. Садова|3,23  49,55</v>
      </c>
      <c r="K805" s="32">
        <f t="shared" si="89"/>
        <v>0.51388888888888884</v>
      </c>
      <c r="L805" s="13" t="str">
        <f>IF($A805="","",IF(COUNTIFS($J$4:$J805,$J805,$E$4:$E805,$E805)=1,$E805,""))</f>
        <v>№6</v>
      </c>
      <c r="M805" s="13" t="str">
        <f>IF($A805="","",IF(COUNTIFS($J$4:$J805,$J805,$F$4:$F805,$F805)=1,$F805,""))</f>
        <v>АТ 4021</v>
      </c>
    </row>
    <row r="806" spans="1:13" x14ac:dyDescent="0.35">
      <c r="A806" s="23" t="str">
        <f>IFERROR('М2_АТ4021-1120_0588'!B19,"")</f>
        <v>вул. Садова</v>
      </c>
      <c r="B806" s="23" t="str">
        <f>IFERROR(IF('М2_АТ4021-1120_0588'!C19="","",TEXT('М2_АТ4021-1120_0588'!C19,"General")),"")</f>
        <v>64</v>
      </c>
      <c r="C806" s="24" t="str">
        <f>"Понеділок"</f>
        <v>Понеділок</v>
      </c>
      <c r="D806" s="24" t="str">
        <f>IFERROR(TEXT('М2_АТ4021-1120_0588'!D19,"h:mm"),"")</f>
        <v>12:50</v>
      </c>
      <c r="E806" s="24" t="str">
        <f t="shared" ref="E806:E823" si="92">"№2"</f>
        <v>№2</v>
      </c>
      <c r="F806" s="24" t="str">
        <f>"АТ 4021/1120"</f>
        <v>АТ 4021/1120</v>
      </c>
      <c r="G806" s="24" t="str">
        <f>"СВ 64-11 ЕТ"</f>
        <v>СВ 64-11 ЕТ</v>
      </c>
      <c r="H806" s="24">
        <f>IFERROR('М2_АТ4021-1120_0588'!G19,"")</f>
        <v>4</v>
      </c>
      <c r="J806" s="13" t="str">
        <f t="shared" si="88"/>
        <v>вул. Садова|64</v>
      </c>
      <c r="K806" s="32">
        <f t="shared" si="89"/>
        <v>0.53472222222222221</v>
      </c>
      <c r="L806" s="13" t="str">
        <f>IF($A806="","",IF(COUNTIFS($J$4:$J806,$J806,$E$4:$E806,$E806)=1,$E806,""))</f>
        <v>№2</v>
      </c>
      <c r="M806" s="13" t="str">
        <f>IF($A806="","",IF(COUNTIFS($J$4:$J806,$J806,$F$4:$F806,$F806)=1,$F806,""))</f>
        <v>АТ 4021/1120</v>
      </c>
    </row>
    <row r="807" spans="1:13" x14ac:dyDescent="0.35">
      <c r="A807" s="23" t="str">
        <f>IFERROR('М2_АТ4021-1120_0588'!B50,"")</f>
        <v>вул. Садова</v>
      </c>
      <c r="B807" s="23" t="str">
        <f>IFERROR(IF('М2_АТ4021-1120_0588'!C50="","",TEXT('М2_АТ4021-1120_0588'!C50,"General")),"")</f>
        <v>64</v>
      </c>
      <c r="C807" s="24" t="str">
        <f>"Вівторок"</f>
        <v>Вівторок</v>
      </c>
      <c r="D807" s="24" t="str">
        <f>IFERROR(TEXT('М2_АТ4021-1120_0588'!D50,"h:mm"),"")</f>
        <v>12:50</v>
      </c>
      <c r="E807" s="24" t="str">
        <f t="shared" si="92"/>
        <v>№2</v>
      </c>
      <c r="F807" s="24" t="str">
        <f>"АТ 4021/1120"</f>
        <v>АТ 4021/1120</v>
      </c>
      <c r="G807" s="24" t="str">
        <f>"СВ 64-11 ЕТ"</f>
        <v>СВ 64-11 ЕТ</v>
      </c>
      <c r="H807" s="24">
        <f>IFERROR('М2_АТ4021-1120_0588'!G50,"")</f>
        <v>3</v>
      </c>
      <c r="J807" s="13" t="str">
        <f t="shared" si="88"/>
        <v>вул. Садова|64</v>
      </c>
      <c r="K807" s="32">
        <f t="shared" si="89"/>
        <v>0.53472222222222221</v>
      </c>
      <c r="L807" s="13" t="str">
        <f>IF($A807="","",IF(COUNTIFS($J$4:$J807,$J807,$E$4:$E807,$E807)=1,$E807,""))</f>
        <v/>
      </c>
      <c r="M807" s="13" t="str">
        <f>IF($A807="","",IF(COUNTIFS($J$4:$J807,$J807,$F$4:$F807,$F807)=1,$F807,""))</f>
        <v/>
      </c>
    </row>
    <row r="808" spans="1:13" x14ac:dyDescent="0.35">
      <c r="A808" s="23" t="str">
        <f>IFERROR('М1-2_АТ4021-1120_0585'!B65,"")</f>
        <v>вул. Садова</v>
      </c>
      <c r="B808" s="23" t="str">
        <f>IFERROR(IF('М1-2_АТ4021-1120_0585'!C65="","",TEXT('М1-2_АТ4021-1120_0585'!C65,"General")),"")</f>
        <v>64</v>
      </c>
      <c r="C808" s="24" t="str">
        <f>"Середа"</f>
        <v>Середа</v>
      </c>
      <c r="D808" s="24" t="str">
        <f>IFERROR(TEXT('М1-2_АТ4021-1120_0585'!D65,"h:mm"),"")</f>
        <v>14:10</v>
      </c>
      <c r="E808" s="24" t="str">
        <f t="shared" si="92"/>
        <v>№2</v>
      </c>
      <c r="F808" s="24" t="str">
        <f>"АТ-4021/1120"</f>
        <v>АТ-4021/1120</v>
      </c>
      <c r="G808" s="24" t="str">
        <f>"СВ 14-65 ЕО"</f>
        <v>СВ 14-65 ЕО</v>
      </c>
      <c r="H808" s="24">
        <f>IFERROR('М1-2_АТ4021-1120_0585'!G65,"")</f>
        <v>3</v>
      </c>
      <c r="J808" s="13" t="str">
        <f t="shared" si="88"/>
        <v>вул. Садова|64</v>
      </c>
      <c r="K808" s="32">
        <f t="shared" si="89"/>
        <v>0.59027777777777779</v>
      </c>
      <c r="L808" s="13" t="str">
        <f>IF($A808="","",IF(COUNTIFS($J$4:$J808,$J808,$E$4:$E808,$E808)=1,$E808,""))</f>
        <v/>
      </c>
      <c r="M808" s="13" t="str">
        <f>IF($A808="","",IF(COUNTIFS($J$4:$J808,$J808,$F$4:$F808,$F808)=1,$F808,""))</f>
        <v>АТ-4021/1120</v>
      </c>
    </row>
    <row r="809" spans="1:13" x14ac:dyDescent="0.35">
      <c r="A809" s="23" t="str">
        <f>IFERROR('М2_АТ4021-1120_0588'!B81,"")</f>
        <v>вул. Садова</v>
      </c>
      <c r="B809" s="23" t="str">
        <f>IFERROR(IF('М2_АТ4021-1120_0588'!C81="","",TEXT('М2_АТ4021-1120_0588'!C81,"General")),"")</f>
        <v>64</v>
      </c>
      <c r="C809" s="24" t="str">
        <f>"Четвер"</f>
        <v>Четвер</v>
      </c>
      <c r="D809" s="24" t="str">
        <f>IFERROR(TEXT('М2_АТ4021-1120_0588'!D81,"h:mm"),"")</f>
        <v>12:50</v>
      </c>
      <c r="E809" s="24" t="str">
        <f t="shared" si="92"/>
        <v>№2</v>
      </c>
      <c r="F809" s="24" t="str">
        <f>"АТ 4021/1120"</f>
        <v>АТ 4021/1120</v>
      </c>
      <c r="G809" s="24" t="str">
        <f>"СВ 64-11 ЕТ"</f>
        <v>СВ 64-11 ЕТ</v>
      </c>
      <c r="H809" s="24">
        <f>IFERROR('М2_АТ4021-1120_0588'!G81,"")</f>
        <v>3</v>
      </c>
      <c r="J809" s="13" t="str">
        <f t="shared" si="88"/>
        <v>вул. Садова|64</v>
      </c>
      <c r="K809" s="32">
        <f t="shared" si="89"/>
        <v>0.53472222222222221</v>
      </c>
      <c r="L809" s="13" t="str">
        <f>IF($A809="","",IF(COUNTIFS($J$4:$J809,$J809,$E$4:$E809,$E809)=1,$E809,""))</f>
        <v/>
      </c>
      <c r="M809" s="13" t="str">
        <f>IF($A809="","",IF(COUNTIFS($J$4:$J809,$J809,$F$4:$F809,$F809)=1,$F809,""))</f>
        <v/>
      </c>
    </row>
    <row r="810" spans="1:13" x14ac:dyDescent="0.35">
      <c r="A810" s="23" t="str">
        <f>IFERROR('М2_АТ4021-1120_0588'!B111,"")</f>
        <v>вул. Садова</v>
      </c>
      <c r="B810" s="23" t="str">
        <f>IFERROR(IF('М2_АТ4021-1120_0588'!C111="","",TEXT('М2_АТ4021-1120_0588'!C111,"General")),"")</f>
        <v>64</v>
      </c>
      <c r="C810" s="24" t="str">
        <f>"П'ятниця"</f>
        <v>П'ятниця</v>
      </c>
      <c r="D810" s="24" t="str">
        <f>IFERROR(TEXT('М2_АТ4021-1120_0588'!D111,"h:mm"),"")</f>
        <v>12:50</v>
      </c>
      <c r="E810" s="24" t="str">
        <f t="shared" si="92"/>
        <v>№2</v>
      </c>
      <c r="F810" s="24" t="str">
        <f>"АТ 4021/1120"</f>
        <v>АТ 4021/1120</v>
      </c>
      <c r="G810" s="24" t="str">
        <f>"СВ 64-11 ЕТ"</f>
        <v>СВ 64-11 ЕТ</v>
      </c>
      <c r="H810" s="24">
        <f>IFERROR('М2_АТ4021-1120_0588'!G111,"")</f>
        <v>3</v>
      </c>
      <c r="J810" s="13" t="str">
        <f t="shared" si="88"/>
        <v>вул. Садова|64</v>
      </c>
      <c r="K810" s="32">
        <f t="shared" si="89"/>
        <v>0.53472222222222221</v>
      </c>
      <c r="L810" s="13" t="str">
        <f>IF($A810="","",IF(COUNTIFS($J$4:$J810,$J810,$E$4:$E810,$E810)=1,$E810,""))</f>
        <v/>
      </c>
      <c r="M810" s="13" t="str">
        <f>IF($A810="","",IF(COUNTIFS($J$4:$J810,$J810,$F$4:$F810,$F810)=1,$F810,""))</f>
        <v/>
      </c>
    </row>
    <row r="811" spans="1:13" x14ac:dyDescent="0.35">
      <c r="A811" s="23" t="str">
        <f>IFERROR('М1-2_АТ4021-1120_0585'!B94,"")</f>
        <v>вул. Садова</v>
      </c>
      <c r="B811" s="23" t="str">
        <f>IFERROR(IF('М1-2_АТ4021-1120_0585'!C94="","",TEXT('М1-2_АТ4021-1120_0585'!C94,"General")),"")</f>
        <v>64</v>
      </c>
      <c r="C811" s="24" t="str">
        <f>"Субота"</f>
        <v>Субота</v>
      </c>
      <c r="D811" s="24" t="str">
        <f>IFERROR(TEXT('М1-2_АТ4021-1120_0585'!D94,"h:mm"),"")</f>
        <v>14:10</v>
      </c>
      <c r="E811" s="24" t="str">
        <f t="shared" si="92"/>
        <v>№2</v>
      </c>
      <c r="F811" s="24" t="str">
        <f>"АТ-4021/1120"</f>
        <v>АТ-4021/1120</v>
      </c>
      <c r="G811" s="24" t="str">
        <f>"СВ 14-65 ЕО"</f>
        <v>СВ 14-65 ЕО</v>
      </c>
      <c r="H811" s="24">
        <f>IFERROR('М1-2_АТ4021-1120_0585'!G94,"")</f>
        <v>3</v>
      </c>
      <c r="J811" s="13" t="str">
        <f t="shared" si="88"/>
        <v>вул. Садова|64</v>
      </c>
      <c r="K811" s="32">
        <f t="shared" si="89"/>
        <v>0.59027777777777779</v>
      </c>
      <c r="L811" s="13" t="str">
        <f>IF($A811="","",IF(COUNTIFS($J$4:$J811,$J811,$E$4:$E811,$E811)=1,$E811,""))</f>
        <v/>
      </c>
      <c r="M811" s="13" t="str">
        <f>IF($A811="","",IF(COUNTIFS($J$4:$J811,$J811,$F$4:$F811,$F811)=1,$F811,""))</f>
        <v/>
      </c>
    </row>
    <row r="812" spans="1:13" x14ac:dyDescent="0.35">
      <c r="A812" s="23" t="str">
        <f>IFERROR('М2_АТ4021-1120_0588'!B141,"")</f>
        <v>вул. Садова</v>
      </c>
      <c r="B812" s="23" t="str">
        <f>IFERROR(IF('М2_АТ4021-1120_0588'!C141="","",TEXT('М2_АТ4021-1120_0588'!C141,"General")),"")</f>
        <v>64</v>
      </c>
      <c r="C812" s="24" t="str">
        <f>"Неділя"</f>
        <v>Неділя</v>
      </c>
      <c r="D812" s="24" t="str">
        <f>IFERROR(TEXT('М2_АТ4021-1120_0588'!D141,"h:mm"),"")</f>
        <v>12:50</v>
      </c>
      <c r="E812" s="24" t="str">
        <f t="shared" si="92"/>
        <v>№2</v>
      </c>
      <c r="F812" s="24" t="str">
        <f>"АТ 4021/1120"</f>
        <v>АТ 4021/1120</v>
      </c>
      <c r="G812" s="24" t="str">
        <f>"СВ 64-11 ЕТ"</f>
        <v>СВ 64-11 ЕТ</v>
      </c>
      <c r="H812" s="24">
        <f>IFERROR('М2_АТ4021-1120_0588'!G141,"")</f>
        <v>3</v>
      </c>
      <c r="J812" s="13" t="str">
        <f t="shared" si="88"/>
        <v>вул. Садова|64</v>
      </c>
      <c r="K812" s="32">
        <f t="shared" si="89"/>
        <v>0.53472222222222221</v>
      </c>
      <c r="L812" s="13" t="str">
        <f>IF($A812="","",IF(COUNTIFS($J$4:$J812,$J812,$E$4:$E812,$E812)=1,$E812,""))</f>
        <v/>
      </c>
      <c r="M812" s="13" t="str">
        <f>IF($A812="","",IF(COUNTIFS($J$4:$J812,$J812,$F$4:$F812,$F812)=1,$F812,""))</f>
        <v/>
      </c>
    </row>
    <row r="813" spans="1:13" x14ac:dyDescent="0.35">
      <c r="A813" s="23" t="str">
        <f>IFERROR('М2_АТ4021-1120_0588'!B8,"")</f>
        <v>вул. Садова</v>
      </c>
      <c r="B813" s="23" t="str">
        <f>IFERROR(IF('М2_АТ4021-1120_0588'!C8="","",TEXT('М2_АТ4021-1120_0588'!C8,"General")),"")</f>
        <v>Нова пошта</v>
      </c>
      <c r="C813" s="24" t="str">
        <f>"Понеділок"</f>
        <v>Понеділок</v>
      </c>
      <c r="D813" s="24" t="str">
        <f>IFERROR(TEXT('М2_АТ4021-1120_0588'!D8,"h:mm"),"")</f>
        <v>7:45</v>
      </c>
      <c r="E813" s="24" t="str">
        <f t="shared" si="92"/>
        <v>№2</v>
      </c>
      <c r="F813" s="24" t="str">
        <f>"АТ 4021/1120"</f>
        <v>АТ 4021/1120</v>
      </c>
      <c r="G813" s="24" t="str">
        <f>"СВ 64-11 ЕТ"</f>
        <v>СВ 64-11 ЕТ</v>
      </c>
      <c r="H813" s="24">
        <f>IFERROR('М2_АТ4021-1120_0588'!G8,"")</f>
        <v>2</v>
      </c>
      <c r="J813" s="13" t="str">
        <f t="shared" si="88"/>
        <v>вул. Садова|Нова пошта</v>
      </c>
      <c r="K813" s="32">
        <f t="shared" si="89"/>
        <v>0.32291666666666669</v>
      </c>
      <c r="L813" s="13" t="str">
        <f>IF($A813="","",IF(COUNTIFS($J$4:$J813,$J813,$E$4:$E813,$E813)=1,$E813,""))</f>
        <v>№2</v>
      </c>
      <c r="M813" s="13" t="str">
        <f>IF($A813="","",IF(COUNTIFS($J$4:$J813,$J813,$F$4:$F813,$F813)=1,$F813,""))</f>
        <v>АТ 4021/1120</v>
      </c>
    </row>
    <row r="814" spans="1:13" x14ac:dyDescent="0.35">
      <c r="A814" s="23" t="str">
        <f>IFERROR('М2_АТ4021-1120_0588'!B39,"")</f>
        <v>вул. Садова</v>
      </c>
      <c r="B814" s="23" t="str">
        <f>IFERROR(IF('М2_АТ4021-1120_0588'!C39="","",TEXT('М2_АТ4021-1120_0588'!C39,"General")),"")</f>
        <v>Нова пошта</v>
      </c>
      <c r="C814" s="24" t="str">
        <f>"Вівторок"</f>
        <v>Вівторок</v>
      </c>
      <c r="D814" s="24" t="str">
        <f>IFERROR(TEXT('М2_АТ4021-1120_0588'!D39,"h:mm"),"")</f>
        <v>7:45</v>
      </c>
      <c r="E814" s="24" t="str">
        <f t="shared" si="92"/>
        <v>№2</v>
      </c>
      <c r="F814" s="24" t="str">
        <f>"АТ 4021/1120"</f>
        <v>АТ 4021/1120</v>
      </c>
      <c r="G814" s="24" t="str">
        <f>"СВ 64-11 ЕТ"</f>
        <v>СВ 64-11 ЕТ</v>
      </c>
      <c r="H814" s="24">
        <f>IFERROR('М2_АТ4021-1120_0588'!G39,"")</f>
        <v>2</v>
      </c>
      <c r="J814" s="13" t="str">
        <f t="shared" si="88"/>
        <v>вул. Садова|Нова пошта</v>
      </c>
      <c r="K814" s="32">
        <f t="shared" si="89"/>
        <v>0.32291666666666669</v>
      </c>
      <c r="L814" s="13" t="str">
        <f>IF($A814="","",IF(COUNTIFS($J$4:$J814,$J814,$E$4:$E814,$E814)=1,$E814,""))</f>
        <v/>
      </c>
      <c r="M814" s="13" t="str">
        <f>IF($A814="","",IF(COUNTIFS($J$4:$J814,$J814,$F$4:$F814,$F814)=1,$F814,""))</f>
        <v/>
      </c>
    </row>
    <row r="815" spans="1:13" x14ac:dyDescent="0.35">
      <c r="A815" s="23" t="str">
        <f>IFERROR('М2_АТ4021-1120_0588'!B59,"")</f>
        <v>вул. Садова</v>
      </c>
      <c r="B815" s="23" t="str">
        <f>IFERROR(IF('М2_АТ4021-1120_0588'!C59="","",TEXT('М2_АТ4021-1120_0588'!C59,"General")),"")</f>
        <v>Нова пошта</v>
      </c>
      <c r="C815" s="24" t="str">
        <f>"Вівторок"</f>
        <v>Вівторок</v>
      </c>
      <c r="D815" s="24" t="str">
        <f>IFERROR(TEXT('М2_АТ4021-1120_0588'!D59,"h:mm"),"")</f>
        <v>15:35</v>
      </c>
      <c r="E815" s="24" t="str">
        <f t="shared" si="92"/>
        <v>№2</v>
      </c>
      <c r="F815" s="24" t="str">
        <f>"АТ 4021/1120"</f>
        <v>АТ 4021/1120</v>
      </c>
      <c r="G815" s="24" t="str">
        <f>"СВ 64-11 ЕТ"</f>
        <v>СВ 64-11 ЕТ</v>
      </c>
      <c r="H815" s="24">
        <f>IFERROR('М2_АТ4021-1120_0588'!G59,"")</f>
        <v>1</v>
      </c>
      <c r="J815" s="13" t="str">
        <f t="shared" si="88"/>
        <v>вул. Садова|Нова пошта</v>
      </c>
      <c r="K815" s="32">
        <f t="shared" si="89"/>
        <v>0.64930555555555558</v>
      </c>
      <c r="L815" s="13" t="str">
        <f>IF($A815="","",IF(COUNTIFS($J$4:$J815,$J815,$E$4:$E815,$E815)=1,$E815,""))</f>
        <v/>
      </c>
      <c r="M815" s="13" t="str">
        <f>IF($A815="","",IF(COUNTIFS($J$4:$J815,$J815,$F$4:$F815,$F815)=1,$F815,""))</f>
        <v/>
      </c>
    </row>
    <row r="816" spans="1:13" x14ac:dyDescent="0.35">
      <c r="A816" s="23" t="str">
        <f>IFERROR('М1-2_АТ4021-1120_0585'!B50,"")</f>
        <v>вул. Садова</v>
      </c>
      <c r="B816" s="23" t="str">
        <f>IFERROR(IF('М1-2_АТ4021-1120_0585'!C50="","",TEXT('М1-2_АТ4021-1120_0585'!C50,"General")),"")</f>
        <v>Нова пошта</v>
      </c>
      <c r="C816" s="24" t="str">
        <f>"Середа"</f>
        <v>Середа</v>
      </c>
      <c r="D816" s="24" t="str">
        <f>IFERROR(TEXT('М1-2_АТ4021-1120_0585'!D50,"h:mm"),"")</f>
        <v>8:00</v>
      </c>
      <c r="E816" s="24" t="str">
        <f t="shared" si="92"/>
        <v>№2</v>
      </c>
      <c r="F816" s="24" t="str">
        <f>"АТ-4021/1120"</f>
        <v>АТ-4021/1120</v>
      </c>
      <c r="G816" s="24" t="str">
        <f>"СВ 14-65 ЕО"</f>
        <v>СВ 14-65 ЕО</v>
      </c>
      <c r="H816" s="24">
        <f>IFERROR('М1-2_АТ4021-1120_0585'!G50,"")</f>
        <v>2</v>
      </c>
      <c r="J816" s="13" t="str">
        <f t="shared" si="88"/>
        <v>вул. Садова|Нова пошта</v>
      </c>
      <c r="K816" s="32">
        <f t="shared" si="89"/>
        <v>0.33333333333333331</v>
      </c>
      <c r="L816" s="13" t="str">
        <f>IF($A816="","",IF(COUNTIFS($J$4:$J816,$J816,$E$4:$E816,$E816)=1,$E816,""))</f>
        <v/>
      </c>
      <c r="M816" s="13" t="str">
        <f>IF($A816="","",IF(COUNTIFS($J$4:$J816,$J816,$F$4:$F816,$F816)=1,$F816,""))</f>
        <v>АТ-4021/1120</v>
      </c>
    </row>
    <row r="817" spans="1:13" x14ac:dyDescent="0.35">
      <c r="A817" s="23" t="str">
        <f>IFERROR('М1-2_АТ4021-1120_0585'!B66,"")</f>
        <v>вул. Садова</v>
      </c>
      <c r="B817" s="23" t="str">
        <f>IFERROR(IF('М1-2_АТ4021-1120_0585'!C66="","",TEXT('М1-2_АТ4021-1120_0585'!C66,"General")),"")</f>
        <v>Нова пошта</v>
      </c>
      <c r="C817" s="24" t="str">
        <f>"Середа"</f>
        <v>Середа</v>
      </c>
      <c r="D817" s="24" t="str">
        <f>IFERROR(TEXT('М1-2_АТ4021-1120_0585'!D66,"h:mm"),"")</f>
        <v>14:30</v>
      </c>
      <c r="E817" s="24" t="str">
        <f t="shared" si="92"/>
        <v>№2</v>
      </c>
      <c r="F817" s="24" t="str">
        <f>"АТ-4021/1120"</f>
        <v>АТ-4021/1120</v>
      </c>
      <c r="G817" s="24" t="str">
        <f>"СВ 14-65 ЕО"</f>
        <v>СВ 14-65 ЕО</v>
      </c>
      <c r="H817" s="24">
        <f>IFERROR('М1-2_АТ4021-1120_0585'!G66,"")</f>
        <v>3</v>
      </c>
      <c r="J817" s="13" t="str">
        <f t="shared" si="88"/>
        <v>вул. Садова|Нова пошта</v>
      </c>
      <c r="K817" s="32">
        <f t="shared" si="89"/>
        <v>0.60416666666666663</v>
      </c>
      <c r="L817" s="13" t="str">
        <f>IF($A817="","",IF(COUNTIFS($J$4:$J817,$J817,$E$4:$E817,$E817)=1,$E817,""))</f>
        <v/>
      </c>
      <c r="M817" s="13" t="str">
        <f>IF($A817="","",IF(COUNTIFS($J$4:$J817,$J817,$F$4:$F817,$F817)=1,$F817,""))</f>
        <v/>
      </c>
    </row>
    <row r="818" spans="1:13" x14ac:dyDescent="0.35">
      <c r="A818" s="23" t="str">
        <f>IFERROR('М2_АТ4021-1120_0588'!B70,"")</f>
        <v>вул. Садова</v>
      </c>
      <c r="B818" s="23" t="str">
        <f>IFERROR(IF('М2_АТ4021-1120_0588'!C70="","",TEXT('М2_АТ4021-1120_0588'!C70,"General")),"")</f>
        <v>Нова пошта</v>
      </c>
      <c r="C818" s="24" t="str">
        <f>"Четвер"</f>
        <v>Четвер</v>
      </c>
      <c r="D818" s="24" t="str">
        <f>IFERROR(TEXT('М2_АТ4021-1120_0588'!D70,"h:mm"),"")</f>
        <v>7:45</v>
      </c>
      <c r="E818" s="24" t="str">
        <f t="shared" si="92"/>
        <v>№2</v>
      </c>
      <c r="F818" s="24" t="str">
        <f>"АТ 4021/1120"</f>
        <v>АТ 4021/1120</v>
      </c>
      <c r="G818" s="24" t="str">
        <f>"СВ 64-11 ЕТ"</f>
        <v>СВ 64-11 ЕТ</v>
      </c>
      <c r="H818" s="24">
        <f>IFERROR('М2_АТ4021-1120_0588'!G70,"")</f>
        <v>2</v>
      </c>
      <c r="J818" s="13" t="str">
        <f t="shared" si="88"/>
        <v>вул. Садова|Нова пошта</v>
      </c>
      <c r="K818" s="32">
        <f t="shared" si="89"/>
        <v>0.32291666666666669</v>
      </c>
      <c r="L818" s="13" t="str">
        <f>IF($A818="","",IF(COUNTIFS($J$4:$J818,$J818,$E$4:$E818,$E818)=1,$E818,""))</f>
        <v/>
      </c>
      <c r="M818" s="13" t="str">
        <f>IF($A818="","",IF(COUNTIFS($J$4:$J818,$J818,$F$4:$F818,$F818)=1,$F818,""))</f>
        <v/>
      </c>
    </row>
    <row r="819" spans="1:13" x14ac:dyDescent="0.35">
      <c r="A819" s="23" t="str">
        <f>IFERROR('М2_АТ4021-1120_0588'!B100,"")</f>
        <v>вул. Садова</v>
      </c>
      <c r="B819" s="23" t="str">
        <f>IFERROR(IF('М2_АТ4021-1120_0588'!C100="","",TEXT('М2_АТ4021-1120_0588'!C100,"General")),"")</f>
        <v>Нова пошта</v>
      </c>
      <c r="C819" s="24" t="str">
        <f>"П'ятниця"</f>
        <v>П'ятниця</v>
      </c>
      <c r="D819" s="24" t="str">
        <f>IFERROR(TEXT('М2_АТ4021-1120_0588'!D100,"h:mm"),"")</f>
        <v>7:45</v>
      </c>
      <c r="E819" s="24" t="str">
        <f t="shared" si="92"/>
        <v>№2</v>
      </c>
      <c r="F819" s="24" t="str">
        <f>"АТ 4021/1120"</f>
        <v>АТ 4021/1120</v>
      </c>
      <c r="G819" s="24" t="str">
        <f>"СВ 64-11 ЕТ"</f>
        <v>СВ 64-11 ЕТ</v>
      </c>
      <c r="H819" s="24">
        <f>IFERROR('М2_АТ4021-1120_0588'!G100,"")</f>
        <v>2</v>
      </c>
      <c r="J819" s="13" t="str">
        <f t="shared" si="88"/>
        <v>вул. Садова|Нова пошта</v>
      </c>
      <c r="K819" s="32">
        <f t="shared" si="89"/>
        <v>0.32291666666666669</v>
      </c>
      <c r="L819" s="13" t="str">
        <f>IF($A819="","",IF(COUNTIFS($J$4:$J819,$J819,$E$4:$E819,$E819)=1,$E819,""))</f>
        <v/>
      </c>
      <c r="M819" s="13" t="str">
        <f>IF($A819="","",IF(COUNTIFS($J$4:$J819,$J819,$F$4:$F819,$F819)=1,$F819,""))</f>
        <v/>
      </c>
    </row>
    <row r="820" spans="1:13" x14ac:dyDescent="0.35">
      <c r="A820" s="23" t="str">
        <f>IFERROR('М1-2_АТ4021-1120_0585'!B79,"")</f>
        <v>вул. Садова</v>
      </c>
      <c r="B820" s="23" t="str">
        <f>IFERROR(IF('М1-2_АТ4021-1120_0585'!C79="","",TEXT('М1-2_АТ4021-1120_0585'!C79,"General")),"")</f>
        <v>Нова пошта</v>
      </c>
      <c r="C820" s="24" t="str">
        <f>"Субота"</f>
        <v>Субота</v>
      </c>
      <c r="D820" s="24" t="str">
        <f>IFERROR(TEXT('М1-2_АТ4021-1120_0585'!D79,"h:mm"),"")</f>
        <v>8:00</v>
      </c>
      <c r="E820" s="24" t="str">
        <f t="shared" si="92"/>
        <v>№2</v>
      </c>
      <c r="F820" s="24" t="str">
        <f>"АТ-4021/1120"</f>
        <v>АТ-4021/1120</v>
      </c>
      <c r="G820" s="24" t="str">
        <f>"СВ 14-65 ЕО"</f>
        <v>СВ 14-65 ЕО</v>
      </c>
      <c r="H820" s="24">
        <f>IFERROR('М1-2_АТ4021-1120_0585'!G79,"")</f>
        <v>2</v>
      </c>
      <c r="J820" s="13" t="str">
        <f t="shared" si="88"/>
        <v>вул. Садова|Нова пошта</v>
      </c>
      <c r="K820" s="32">
        <f t="shared" si="89"/>
        <v>0.33333333333333331</v>
      </c>
      <c r="L820" s="13" t="str">
        <f>IF($A820="","",IF(COUNTIFS($J$4:$J820,$J820,$E$4:$E820,$E820)=1,$E820,""))</f>
        <v/>
      </c>
      <c r="M820" s="13" t="str">
        <f>IF($A820="","",IF(COUNTIFS($J$4:$J820,$J820,$F$4:$F820,$F820)=1,$F820,""))</f>
        <v/>
      </c>
    </row>
    <row r="821" spans="1:13" x14ac:dyDescent="0.35">
      <c r="A821" s="23" t="str">
        <f>IFERROR('М1-2_АТ4021-1120_0585'!B95,"")</f>
        <v>вул. Садова</v>
      </c>
      <c r="B821" s="23" t="str">
        <f>IFERROR(IF('М1-2_АТ4021-1120_0585'!C95="","",TEXT('М1-2_АТ4021-1120_0585'!C95,"General")),"")</f>
        <v>Нова пошта</v>
      </c>
      <c r="C821" s="24" t="str">
        <f>"Субота"</f>
        <v>Субота</v>
      </c>
      <c r="D821" s="24" t="str">
        <f>IFERROR(TEXT('М1-2_АТ4021-1120_0585'!D95,"h:mm"),"")</f>
        <v>14:30</v>
      </c>
      <c r="E821" s="24" t="str">
        <f t="shared" si="92"/>
        <v>№2</v>
      </c>
      <c r="F821" s="24" t="str">
        <f>"АТ-4021/1120"</f>
        <v>АТ-4021/1120</v>
      </c>
      <c r="G821" s="24" t="str">
        <f>"СВ 14-65 ЕО"</f>
        <v>СВ 14-65 ЕО</v>
      </c>
      <c r="H821" s="24">
        <f>IFERROR('М1-2_АТ4021-1120_0585'!G95,"")</f>
        <v>3</v>
      </c>
      <c r="J821" s="13" t="str">
        <f t="shared" si="88"/>
        <v>вул. Садова|Нова пошта</v>
      </c>
      <c r="K821" s="32">
        <f t="shared" si="89"/>
        <v>0.60416666666666663</v>
      </c>
      <c r="L821" s="13" t="str">
        <f>IF($A821="","",IF(COUNTIFS($J$4:$J821,$J821,$E$4:$E821,$E821)=1,$E821,""))</f>
        <v/>
      </c>
      <c r="M821" s="13" t="str">
        <f>IF($A821="","",IF(COUNTIFS($J$4:$J821,$J821,$F$4:$F821,$F821)=1,$F821,""))</f>
        <v/>
      </c>
    </row>
    <row r="822" spans="1:13" x14ac:dyDescent="0.35">
      <c r="A822" s="23" t="str">
        <f>IFERROR('М2_АТ4021-1120_0588'!B130,"")</f>
        <v>вул. Садова</v>
      </c>
      <c r="B822" s="23" t="str">
        <f>IFERROR(IF('М2_АТ4021-1120_0588'!C130="","",TEXT('М2_АТ4021-1120_0588'!C130,"General")),"")</f>
        <v>Нова пошта</v>
      </c>
      <c r="C822" s="24" t="str">
        <f>"Неділя"</f>
        <v>Неділя</v>
      </c>
      <c r="D822" s="24" t="str">
        <f>IFERROR(TEXT('М2_АТ4021-1120_0588'!D130,"h:mm"),"")</f>
        <v>7:45</v>
      </c>
      <c r="E822" s="24" t="str">
        <f t="shared" si="92"/>
        <v>№2</v>
      </c>
      <c r="F822" s="24" t="str">
        <f>"АТ 4021/1120"</f>
        <v>АТ 4021/1120</v>
      </c>
      <c r="G822" s="24" t="str">
        <f>"СВ 64-11 ЕТ"</f>
        <v>СВ 64-11 ЕТ</v>
      </c>
      <c r="H822" s="24">
        <f>IFERROR('М2_АТ4021-1120_0588'!G130,"")</f>
        <v>2</v>
      </c>
      <c r="J822" s="13" t="str">
        <f t="shared" si="88"/>
        <v>вул. Садова|Нова пошта</v>
      </c>
      <c r="K822" s="32">
        <f t="shared" si="89"/>
        <v>0.32291666666666669</v>
      </c>
      <c r="L822" s="13" t="str">
        <f>IF($A822="","",IF(COUNTIFS($J$4:$J822,$J822,$E$4:$E822,$E822)=1,$E822,""))</f>
        <v/>
      </c>
      <c r="M822" s="13" t="str">
        <f>IF($A822="","",IF(COUNTIFS($J$4:$J822,$J822,$F$4:$F822,$F822)=1,$F822,""))</f>
        <v/>
      </c>
    </row>
    <row r="823" spans="1:13" x14ac:dyDescent="0.35">
      <c r="A823" s="23" t="str">
        <f>IFERROR('М2_АТ4021-1120_0588'!B149,"")</f>
        <v>вул. Садова</v>
      </c>
      <c r="B823" s="23" t="str">
        <f>IFERROR(IF('М2_АТ4021-1120_0588'!C149="","",TEXT('М2_АТ4021-1120_0588'!C149,"General")),"")</f>
        <v>Нова пошта</v>
      </c>
      <c r="C823" s="24" t="str">
        <f>"Неділя"</f>
        <v>Неділя</v>
      </c>
      <c r="D823" s="24" t="str">
        <f>IFERROR(TEXT('М2_АТ4021-1120_0588'!D149,"h:mm"),"")</f>
        <v>15:15</v>
      </c>
      <c r="E823" s="24" t="str">
        <f t="shared" si="92"/>
        <v>№2</v>
      </c>
      <c r="F823" s="24" t="str">
        <f>"АТ 4021/1120"</f>
        <v>АТ 4021/1120</v>
      </c>
      <c r="G823" s="24" t="str">
        <f>"СВ 64-11 ЕТ"</f>
        <v>СВ 64-11 ЕТ</v>
      </c>
      <c r="H823" s="24">
        <f>IFERROR('М2_АТ4021-1120_0588'!G149,"")</f>
        <v>2</v>
      </c>
      <c r="J823" s="13" t="str">
        <f t="shared" si="88"/>
        <v>вул. Садова|Нова пошта</v>
      </c>
      <c r="K823" s="32">
        <f t="shared" si="89"/>
        <v>0.63541666666666663</v>
      </c>
      <c r="L823" s="13" t="str">
        <f>IF($A823="","",IF(COUNTIFS($J$4:$J823,$J823,$E$4:$E823,$E823)=1,$E823,""))</f>
        <v/>
      </c>
      <c r="M823" s="13" t="str">
        <f>IF($A823="","",IF(COUNTIFS($J$4:$J823,$J823,$F$4:$F823,$F823)=1,$F823,""))</f>
        <v/>
      </c>
    </row>
    <row r="824" spans="1:13" x14ac:dyDescent="0.35">
      <c r="A824" s="23" t="str">
        <f>IFERROR('М1-2_АТ4021-1120_0585'!B22,"")</f>
        <v>вул. Садова</v>
      </c>
      <c r="B824" s="23" t="str">
        <f>IFERROR(IF('М1-2_АТ4021-1120_0585'!C22="","",TEXT('М1-2_АТ4021-1120_0585'!C22,"General")),"")</f>
        <v>УПО</v>
      </c>
      <c r="C824" s="24" t="str">
        <f>"Понеділок"</f>
        <v>Понеділок</v>
      </c>
      <c r="D824" s="24" t="str">
        <f>IFERROR(TEXT('М1-2_АТ4021-1120_0585'!D22,"h:mm"),"")</f>
        <v>12:45</v>
      </c>
      <c r="E824" s="24" t="str">
        <f>"№1"</f>
        <v>№1</v>
      </c>
      <c r="F824" s="24" t="str">
        <f>"АТ-4021/1120"</f>
        <v>АТ-4021/1120</v>
      </c>
      <c r="G824" s="24" t="str">
        <f>"СВ 14-65 ЕО"</f>
        <v>СВ 14-65 ЕО</v>
      </c>
      <c r="H824" s="24">
        <f>IFERROR('М1-2_АТ4021-1120_0585'!G22,"")</f>
        <v>1</v>
      </c>
      <c r="J824" s="13" t="str">
        <f t="shared" si="88"/>
        <v>вул. Садова|УПО</v>
      </c>
      <c r="K824" s="32">
        <f t="shared" si="89"/>
        <v>0.53125</v>
      </c>
      <c r="L824" s="13" t="str">
        <f>IF($A824="","",IF(COUNTIFS($J$4:$J824,$J824,$E$4:$E824,$E824)=1,$E824,""))</f>
        <v>№1</v>
      </c>
      <c r="M824" s="13" t="str">
        <f>IF($A824="","",IF(COUNTIFS($J$4:$J824,$J824,$F$4:$F824,$F824)=1,$F824,""))</f>
        <v>АТ-4021/1120</v>
      </c>
    </row>
    <row r="825" spans="1:13" x14ac:dyDescent="0.35">
      <c r="A825" s="23" t="str">
        <f>IFERROR(М1_КАМАЗ55111_0591!B23,"")</f>
        <v>вул. Садова</v>
      </c>
      <c r="B825" s="23" t="str">
        <f>IFERROR(IF(М1_КАМАЗ55111_0591!C23="","",TEXT(М1_КАМАЗ55111_0591!C23,"General")),"")</f>
        <v>м-н М'ясний край</v>
      </c>
      <c r="C825" s="24" t="str">
        <f>"Понеділок"</f>
        <v>Понеділок</v>
      </c>
      <c r="D825" s="24" t="str">
        <f>IFERROR(TEXT(М1_КАМАЗ55111_0591!D23,"h:mm"),"")</f>
        <v>9:50</v>
      </c>
      <c r="E825" s="24" t="str">
        <f>"№1"</f>
        <v>№1</v>
      </c>
      <c r="F825" s="24" t="str">
        <f>"КАМАЗ 55111"</f>
        <v>КАМАЗ 55111</v>
      </c>
      <c r="G825" s="24" t="str">
        <f>"СВ 50-33 АР"</f>
        <v>СВ 50-33 АР</v>
      </c>
      <c r="H825" s="24">
        <f>IFERROR(М1_КАМАЗ55111_0591!G23,"")</f>
        <v>1</v>
      </c>
      <c r="J825" s="13" t="str">
        <f t="shared" si="88"/>
        <v>вул. Садова|м-н М'ясний край</v>
      </c>
      <c r="K825" s="32">
        <f t="shared" si="89"/>
        <v>0.40972222222222221</v>
      </c>
      <c r="L825" s="13" t="str">
        <f>IF($A825="","",IF(COUNTIFS($J$4:$J825,$J825,$E$4:$E825,$E825)=1,$E825,""))</f>
        <v>№1</v>
      </c>
      <c r="M825" s="13" t="str">
        <f>IF($A825="","",IF(COUNTIFS($J$4:$J825,$J825,$F$4:$F825,$F825)=1,$F825,""))</f>
        <v>КАМАЗ 55111</v>
      </c>
    </row>
    <row r="826" spans="1:13" x14ac:dyDescent="0.35">
      <c r="A826" s="23" t="str">
        <f>IFERROR(М1_КАМАЗ55111_0591!B120,"")</f>
        <v>вул. Садова</v>
      </c>
      <c r="B826" s="23" t="str">
        <f>IFERROR(IF(М1_КАМАЗ55111_0591!C120="","",TEXT(М1_КАМАЗ55111_0591!C120,"General")),"")</f>
        <v>м-н М'ясний край</v>
      </c>
      <c r="C826" s="24" t="str">
        <f>"П'ятниця"</f>
        <v>П'ятниця</v>
      </c>
      <c r="D826" s="24" t="str">
        <f>IFERROR(TEXT(М1_КАМАЗ55111_0591!D120,"h:mm"),"")</f>
        <v>9:40</v>
      </c>
      <c r="E826" s="24" t="str">
        <f>"№1"</f>
        <v>№1</v>
      </c>
      <c r="F826" s="24" t="str">
        <f>"КАМАЗ 55111"</f>
        <v>КАМАЗ 55111</v>
      </c>
      <c r="G826" s="24" t="str">
        <f>"СВ 50-33 АР"</f>
        <v>СВ 50-33 АР</v>
      </c>
      <c r="H826" s="24">
        <f>IFERROR(М1_КАМАЗ55111_0591!G120,"")</f>
        <v>1</v>
      </c>
      <c r="J826" s="13" t="str">
        <f t="shared" si="88"/>
        <v>вул. Садова|м-н М'ясний край</v>
      </c>
      <c r="K826" s="32">
        <f t="shared" si="89"/>
        <v>0.40277777777777779</v>
      </c>
      <c r="L826" s="13" t="str">
        <f>IF($A826="","",IF(COUNTIFS($J$4:$J826,$J826,$E$4:$E826,$E826)=1,$E826,""))</f>
        <v/>
      </c>
      <c r="M826" s="13" t="str">
        <f>IF($A826="","",IF(COUNTIFS($J$4:$J826,$J826,$F$4:$F826,$F826)=1,$F826,""))</f>
        <v/>
      </c>
    </row>
    <row r="827" spans="1:13" x14ac:dyDescent="0.35">
      <c r="A827" s="23" t="str">
        <f>IFERROR('М3-4_ГАЗ3309_0590'!B71,"")</f>
        <v>вул. Саксаганського</v>
      </c>
      <c r="B827" s="23" t="str">
        <f>IFERROR(IF('М3-4_ГАЗ3309_0590'!C71="","",TEXT('М3-4_ГАЗ3309_0590'!C71,"General")),"")</f>
        <v>1</v>
      </c>
      <c r="C827" s="24" t="str">
        <f>"Середа"</f>
        <v>Середа</v>
      </c>
      <c r="D827" s="24" t="str">
        <f>IFERROR(TEXT('М3-4_ГАЗ3309_0590'!D71,"h:mm"),"")</f>
        <v>7:25</v>
      </c>
      <c r="E827" s="24" t="str">
        <f>"№4"</f>
        <v>№4</v>
      </c>
      <c r="F827" s="24" t="str">
        <f>"ГАЗ 3309"</f>
        <v>ГАЗ 3309</v>
      </c>
      <c r="G827" s="24" t="str">
        <f>"СВ 17-85 ВН"</f>
        <v>СВ 17-85 ВН</v>
      </c>
      <c r="H827" s="24">
        <f>IFERROR('М3-4_ГАЗ3309_0590'!G71,"")</f>
        <v>3</v>
      </c>
      <c r="J827" s="13" t="str">
        <f t="shared" si="88"/>
        <v>вул. Саксаганського|1</v>
      </c>
      <c r="K827" s="32">
        <f t="shared" si="89"/>
        <v>0.30902777777777779</v>
      </c>
      <c r="L827" s="13" t="str">
        <f>IF($A827="","",IF(COUNTIFS($J$4:$J827,$J827,$E$4:$E827,$E827)=1,$E827,""))</f>
        <v>№4</v>
      </c>
      <c r="M827" s="13" t="str">
        <f>IF($A827="","",IF(COUNTIFS($J$4:$J827,$J827,$F$4:$F827,$F827)=1,$F827,""))</f>
        <v>ГАЗ 3309</v>
      </c>
    </row>
    <row r="828" spans="1:13" x14ac:dyDescent="0.35">
      <c r="A828" s="23" t="str">
        <f>IFERROR('М3-4_ГАЗ3309_0590'!B96,"")</f>
        <v>вул. Саксаганського</v>
      </c>
      <c r="B828" s="23" t="str">
        <f>IFERROR(IF('М3-4_ГАЗ3309_0590'!C96="","",TEXT('М3-4_ГАЗ3309_0590'!C96,"General")),"")</f>
        <v>1</v>
      </c>
      <c r="C828" s="24" t="str">
        <f>"Субота"</f>
        <v>Субота</v>
      </c>
      <c r="D828" s="24" t="str">
        <f>IFERROR(TEXT('М3-4_ГАЗ3309_0590'!D96,"h:mm"),"")</f>
        <v>7:25</v>
      </c>
      <c r="E828" s="24" t="str">
        <f>"№4"</f>
        <v>№4</v>
      </c>
      <c r="F828" s="24" t="str">
        <f>"ГАЗ 3309"</f>
        <v>ГАЗ 3309</v>
      </c>
      <c r="G828" s="24" t="str">
        <f>"СВ 17-85 ВН"</f>
        <v>СВ 17-85 ВН</v>
      </c>
      <c r="H828" s="24">
        <f>IFERROR('М3-4_ГАЗ3309_0590'!G96,"")</f>
        <v>3</v>
      </c>
      <c r="J828" s="13" t="str">
        <f t="shared" si="88"/>
        <v>вул. Саксаганського|1</v>
      </c>
      <c r="K828" s="32">
        <f t="shared" si="89"/>
        <v>0.30902777777777779</v>
      </c>
      <c r="L828" s="13" t="str">
        <f>IF($A828="","",IF(COUNTIFS($J$4:$J828,$J828,$E$4:$E828,$E828)=1,$E828,""))</f>
        <v/>
      </c>
      <c r="M828" s="13" t="str">
        <f>IF($A828="","",IF(COUNTIFS($J$4:$J828,$J828,$F$4:$F828,$F828)=1,$F828,""))</f>
        <v/>
      </c>
    </row>
    <row r="829" spans="1:13" x14ac:dyDescent="0.35">
      <c r="A829" s="23" t="str">
        <f>IFERROR(М1_КАМАЗ55111_0591!B30,"")</f>
        <v>вул. Саксаганського</v>
      </c>
      <c r="B829" s="23" t="str">
        <f>IFERROR(IF(М1_КАМАЗ55111_0591!C30="","",TEXT(М1_КАМАЗ55111_0591!C30,"General")),"")</f>
        <v>20</v>
      </c>
      <c r="C829" s="24" t="str">
        <f>"Понеділок"</f>
        <v>Понеділок</v>
      </c>
      <c r="D829" s="24" t="str">
        <f>IFERROR(TEXT(М1_КАМАЗ55111_0591!D30,"h:mm"),"")</f>
        <v>11:15</v>
      </c>
      <c r="E829" s="24" t="str">
        <f t="shared" ref="E829:E835" si="93">"№1"</f>
        <v>№1</v>
      </c>
      <c r="F829" s="24" t="str">
        <f>"КАМАЗ 55111"</f>
        <v>КАМАЗ 55111</v>
      </c>
      <c r="G829" s="24" t="str">
        <f>"СВ 50-33 АР"</f>
        <v>СВ 50-33 АР</v>
      </c>
      <c r="H829" s="24">
        <f>IFERROR(М1_КАМАЗ55111_0591!G30,"")</f>
        <v>5</v>
      </c>
      <c r="J829" s="13" t="str">
        <f t="shared" si="88"/>
        <v>вул. Саксаганського|20</v>
      </c>
      <c r="K829" s="32">
        <f t="shared" si="89"/>
        <v>0.46875</v>
      </c>
      <c r="L829" s="13" t="str">
        <f>IF($A829="","",IF(COUNTIFS($J$4:$J829,$J829,$E$4:$E829,$E829)=1,$E829,""))</f>
        <v>№1</v>
      </c>
      <c r="M829" s="13" t="str">
        <f>IF($A829="","",IF(COUNTIFS($J$4:$J829,$J829,$F$4:$F829,$F829)=1,$F829,""))</f>
        <v>КАМАЗ 55111</v>
      </c>
    </row>
    <row r="830" spans="1:13" x14ac:dyDescent="0.35">
      <c r="A830" s="23" t="str">
        <f>IFERROR(М1_КАМАЗ55111_0591!B56,"")</f>
        <v>вул. Саксаганського</v>
      </c>
      <c r="B830" s="23" t="str">
        <f>IFERROR(IF(М1_КАМАЗ55111_0591!C56="","",TEXT(М1_КАМАЗ55111_0591!C56,"General")),"")</f>
        <v>20</v>
      </c>
      <c r="C830" s="24" t="str">
        <f>"Вівторок"</f>
        <v>Вівторок</v>
      </c>
      <c r="D830" s="24" t="str">
        <f>IFERROR(TEXT(М1_КАМАЗ55111_0591!D56,"h:mm"),"")</f>
        <v>9:40</v>
      </c>
      <c r="E830" s="24" t="str">
        <f t="shared" si="93"/>
        <v>№1</v>
      </c>
      <c r="F830" s="24" t="str">
        <f>"КАМАЗ 55111"</f>
        <v>КАМАЗ 55111</v>
      </c>
      <c r="G830" s="24" t="str">
        <f>"СВ 50-33 АР"</f>
        <v>СВ 50-33 АР</v>
      </c>
      <c r="H830" s="24">
        <f>IFERROR(М1_КАМАЗ55111_0591!G56,"")</f>
        <v>5</v>
      </c>
      <c r="J830" s="13" t="str">
        <f t="shared" si="88"/>
        <v>вул. Саксаганського|20</v>
      </c>
      <c r="K830" s="32">
        <f t="shared" si="89"/>
        <v>0.40277777777777779</v>
      </c>
      <c r="L830" s="13" t="str">
        <f>IF($A830="","",IF(COUNTIFS($J$4:$J830,$J830,$E$4:$E830,$E830)=1,$E830,""))</f>
        <v/>
      </c>
      <c r="M830" s="13" t="str">
        <f>IF($A830="","",IF(COUNTIFS($J$4:$J830,$J830,$F$4:$F830,$F830)=1,$F830,""))</f>
        <v/>
      </c>
    </row>
    <row r="831" spans="1:13" x14ac:dyDescent="0.35">
      <c r="A831" s="23" t="str">
        <f>IFERROR(М1_КАМАЗ55111_0591!B90,"")</f>
        <v>вул. Саксаганського</v>
      </c>
      <c r="B831" s="23" t="str">
        <f>IFERROR(IF(М1_КАМАЗ55111_0591!C90="","",TEXT(М1_КАМАЗ55111_0591!C90,"General")),"")</f>
        <v>20</v>
      </c>
      <c r="C831" s="24" t="str">
        <f>"Середа"</f>
        <v>Середа</v>
      </c>
      <c r="D831" s="24" t="str">
        <f>IFERROR(TEXT(М1_КАМАЗ55111_0591!D90,"h:mm"),"")</f>
        <v>10:00</v>
      </c>
      <c r="E831" s="24" t="str">
        <f t="shared" si="93"/>
        <v>№1</v>
      </c>
      <c r="F831" s="24" t="str">
        <f>"КАМАЗ 55111"</f>
        <v>КАМАЗ 55111</v>
      </c>
      <c r="G831" s="24" t="str">
        <f>"СВ 50-33 АР"</f>
        <v>СВ 50-33 АР</v>
      </c>
      <c r="H831" s="24">
        <f>IFERROR(М1_КАМАЗ55111_0591!G90,"")</f>
        <v>5</v>
      </c>
      <c r="J831" s="13" t="str">
        <f t="shared" si="88"/>
        <v>вул. Саксаганського|20</v>
      </c>
      <c r="K831" s="32">
        <f t="shared" si="89"/>
        <v>0.41666666666666669</v>
      </c>
      <c r="L831" s="13" t="str">
        <f>IF($A831="","",IF(COUNTIFS($J$4:$J831,$J831,$E$4:$E831,$E831)=1,$E831,""))</f>
        <v/>
      </c>
      <c r="M831" s="13" t="str">
        <f>IF($A831="","",IF(COUNTIFS($J$4:$J831,$J831,$F$4:$F831,$F831)=1,$F831,""))</f>
        <v/>
      </c>
    </row>
    <row r="832" spans="1:13" x14ac:dyDescent="0.35">
      <c r="A832" s="23" t="str">
        <f>IFERROR('М1-2_АТ4021-1120_0585'!B131,"")</f>
        <v>вул. Саксаганського</v>
      </c>
      <c r="B832" s="23" t="str">
        <f>IFERROR(IF('М1-2_АТ4021-1120_0585'!C131="","",TEXT('М1-2_АТ4021-1120_0585'!C131,"General")),"")</f>
        <v>20</v>
      </c>
      <c r="C832" s="24" t="str">
        <f>"Четвер"</f>
        <v>Четвер</v>
      </c>
      <c r="D832" s="24" t="str">
        <f>IFERROR(TEXT('М1-2_АТ4021-1120_0585'!D131,"h:mm"),"")</f>
        <v>15:10</v>
      </c>
      <c r="E832" s="24" t="str">
        <f t="shared" si="93"/>
        <v>№1</v>
      </c>
      <c r="F832" s="24" t="str">
        <f>"АТ-4021/1120"</f>
        <v>АТ-4021/1120</v>
      </c>
      <c r="G832" s="24" t="str">
        <f>"СВ 14-65 ЕО"</f>
        <v>СВ 14-65 ЕО</v>
      </c>
      <c r="H832" s="24">
        <f>IFERROR('М1-2_АТ4021-1120_0585'!G131,"")</f>
        <v>6</v>
      </c>
      <c r="J832" s="13" t="str">
        <f t="shared" si="88"/>
        <v>вул. Саксаганського|20</v>
      </c>
      <c r="K832" s="32">
        <f t="shared" si="89"/>
        <v>0.63194444444444442</v>
      </c>
      <c r="L832" s="13" t="str">
        <f>IF($A832="","",IF(COUNTIFS($J$4:$J832,$J832,$E$4:$E832,$E832)=1,$E832,""))</f>
        <v/>
      </c>
      <c r="M832" s="13" t="str">
        <f>IF($A832="","",IF(COUNTIFS($J$4:$J832,$J832,$F$4:$F832,$F832)=1,$F832,""))</f>
        <v>АТ-4021/1120</v>
      </c>
    </row>
    <row r="833" spans="1:13" x14ac:dyDescent="0.35">
      <c r="A833" s="23" t="str">
        <f>IFERROR(М1_КАМАЗ55111_0591!B124,"")</f>
        <v>вул. Саксаганського</v>
      </c>
      <c r="B833" s="23" t="str">
        <f>IFERROR(IF(М1_КАМАЗ55111_0591!C124="","",TEXT(М1_КАМАЗ55111_0591!C124,"General")),"")</f>
        <v>20</v>
      </c>
      <c r="C833" s="24" t="str">
        <f>"П'ятниця"</f>
        <v>П'ятниця</v>
      </c>
      <c r="D833" s="24" t="str">
        <f>IFERROR(TEXT(М1_КАМАЗ55111_0591!D124,"h:mm"),"")</f>
        <v>10:35</v>
      </c>
      <c r="E833" s="24" t="str">
        <f t="shared" si="93"/>
        <v>№1</v>
      </c>
      <c r="F833" s="24" t="str">
        <f>"КАМАЗ 55111"</f>
        <v>КАМАЗ 55111</v>
      </c>
      <c r="G833" s="24" t="str">
        <f>"СВ 50-33 АР"</f>
        <v>СВ 50-33 АР</v>
      </c>
      <c r="H833" s="24">
        <f>IFERROR(М1_КАМАЗ55111_0591!G124,"")</f>
        <v>5</v>
      </c>
      <c r="J833" s="13" t="str">
        <f t="shared" si="88"/>
        <v>вул. Саксаганського|20</v>
      </c>
      <c r="K833" s="32">
        <f t="shared" si="89"/>
        <v>0.44097222222222221</v>
      </c>
      <c r="L833" s="13" t="str">
        <f>IF($A833="","",IF(COUNTIFS($J$4:$J833,$J833,$E$4:$E833,$E833)=1,$E833,""))</f>
        <v/>
      </c>
      <c r="M833" s="13" t="str">
        <f>IF($A833="","",IF(COUNTIFS($J$4:$J833,$J833,$F$4:$F833,$F833)=1,$F833,""))</f>
        <v/>
      </c>
    </row>
    <row r="834" spans="1:13" x14ac:dyDescent="0.35">
      <c r="A834" s="23" t="str">
        <f>IFERROR(М1_КАМАЗ55111_0591!B155,"")</f>
        <v>вул. Саксаганського</v>
      </c>
      <c r="B834" s="23" t="str">
        <f>IFERROR(IF(М1_КАМАЗ55111_0591!C155="","",TEXT(М1_КАМАЗ55111_0591!C155,"General")),"")</f>
        <v>20</v>
      </c>
      <c r="C834" s="24" t="str">
        <f>"Субота"</f>
        <v>Субота</v>
      </c>
      <c r="D834" s="24" t="str">
        <f>IFERROR(TEXT(М1_КАМАЗ55111_0591!D155,"h:mm"),"")</f>
        <v>9:40</v>
      </c>
      <c r="E834" s="24" t="str">
        <f t="shared" si="93"/>
        <v>№1</v>
      </c>
      <c r="F834" s="24" t="str">
        <f>"КАМАЗ 55111"</f>
        <v>КАМАЗ 55111</v>
      </c>
      <c r="G834" s="24" t="str">
        <f>"СВ 50-33 АР"</f>
        <v>СВ 50-33 АР</v>
      </c>
      <c r="H834" s="24">
        <f>IFERROR(М1_КАМАЗ55111_0591!G155,"")</f>
        <v>5</v>
      </c>
      <c r="J834" s="13" t="str">
        <f t="shared" si="88"/>
        <v>вул. Саксаганського|20</v>
      </c>
      <c r="K834" s="32">
        <f t="shared" si="89"/>
        <v>0.40277777777777779</v>
      </c>
      <c r="L834" s="13" t="str">
        <f>IF($A834="","",IF(COUNTIFS($J$4:$J834,$J834,$E$4:$E834,$E834)=1,$E834,""))</f>
        <v/>
      </c>
      <c r="M834" s="13" t="str">
        <f>IF($A834="","",IF(COUNTIFS($J$4:$J834,$J834,$F$4:$F834,$F834)=1,$F834,""))</f>
        <v/>
      </c>
    </row>
    <row r="835" spans="1:13" x14ac:dyDescent="0.35">
      <c r="A835" s="23" t="str">
        <f>IFERROR('М1-2_АТ4021-1120_0585'!B166,"")</f>
        <v>вул. Саксаганського</v>
      </c>
      <c r="B835" s="23" t="str">
        <f>IFERROR(IF('М1-2_АТ4021-1120_0585'!C166="","",TEXT('М1-2_АТ4021-1120_0585'!C166,"General")),"")</f>
        <v>20</v>
      </c>
      <c r="C835" s="24" t="str">
        <f>"Неділя"</f>
        <v>Неділя</v>
      </c>
      <c r="D835" s="24" t="str">
        <f>IFERROR(TEXT('М1-2_АТ4021-1120_0585'!D166,"h:mm"),"")</f>
        <v>15:10</v>
      </c>
      <c r="E835" s="24" t="str">
        <f t="shared" si="93"/>
        <v>№1</v>
      </c>
      <c r="F835" s="24" t="str">
        <f>"АТ-4021/1120"</f>
        <v>АТ-4021/1120</v>
      </c>
      <c r="G835" s="24" t="str">
        <f>"СВ 14-65 ЕО"</f>
        <v>СВ 14-65 ЕО</v>
      </c>
      <c r="H835" s="24">
        <f>IFERROR('М1-2_АТ4021-1120_0585'!G166,"")</f>
        <v>6</v>
      </c>
      <c r="J835" s="13" t="str">
        <f t="shared" si="88"/>
        <v>вул. Саксаганського|20</v>
      </c>
      <c r="K835" s="32">
        <f t="shared" si="89"/>
        <v>0.63194444444444442</v>
      </c>
      <c r="L835" s="13" t="str">
        <f>IF($A835="","",IF(COUNTIFS($J$4:$J835,$J835,$E$4:$E835,$E835)=1,$E835,""))</f>
        <v/>
      </c>
      <c r="M835" s="13" t="str">
        <f>IF($A835="","",IF(COUNTIFS($J$4:$J835,$J835,$F$4:$F835,$F835)=1,$F835,""))</f>
        <v/>
      </c>
    </row>
    <row r="836" spans="1:13" x14ac:dyDescent="0.35">
      <c r="A836" s="23" t="str">
        <f>IFERROR(М2_ВГВ_РеноЛендер_0589!B6,"")</f>
        <v>вул. Саксаганського</v>
      </c>
      <c r="B836" s="23" t="str">
        <f>IFERROR(IF(М2_ВГВ_РеноЛендер_0589!C6="","",TEXT(М2_ВГВ_РеноЛендер_0589!C6,"General")),"")</f>
        <v>52</v>
      </c>
      <c r="C836" s="24" t="str">
        <f>IFERROR(М2_ВГВ_РеноЛендер_0589!D6,"")</f>
        <v>Вівторок</v>
      </c>
      <c r="D836" s="24" t="str">
        <f>"×"</f>
        <v>×</v>
      </c>
      <c r="E836" s="24" t="str">
        <f>"№2 (ВГВ)"</f>
        <v>№2 (ВГВ)</v>
      </c>
      <c r="F836" s="24" t="str">
        <f>"Рено Лендер"</f>
        <v>Рено Лендер</v>
      </c>
      <c r="G836" s="24" t="str">
        <f>"СВ 52-62 СА"</f>
        <v>СВ 52-62 СА</v>
      </c>
      <c r="H836" s="24"/>
      <c r="J836" s="13" t="str">
        <f t="shared" ref="J836:J899" si="94">IF(A836="","",A836&amp;"|"&amp;B836)</f>
        <v>вул. Саксаганського|52</v>
      </c>
      <c r="K836" s="32">
        <f t="shared" ref="K836:K899" si="95">IFERROR(IF(D836="","",IF(D836="×",9.99,TIMEVALUE(D836))),9.99)</f>
        <v>9.99</v>
      </c>
      <c r="L836" s="13" t="str">
        <f>IF($A836="","",IF(COUNTIFS($J$4:$J836,$J836,$E$4:$E836,$E836)=1,$E836,""))</f>
        <v>№2 (ВГВ)</v>
      </c>
      <c r="M836" s="13" t="str">
        <f>IF($A836="","",IF(COUNTIFS($J$4:$J836,$J836,$F$4:$F836,$F836)=1,$F836,""))</f>
        <v>Рено Лендер</v>
      </c>
    </row>
    <row r="837" spans="1:13" x14ac:dyDescent="0.35">
      <c r="A837" s="23" t="str">
        <f>IFERROR(М5_МАЗ4381_0592!B49,"")</f>
        <v>вул. Світанкова</v>
      </c>
      <c r="B837" s="23" t="str">
        <f>IFERROR(IF(М5_МАЗ4381_0592!C49="","",TEXT(М5_МАЗ4381_0592!C49,"General")),"")</f>
        <v/>
      </c>
      <c r="C837" s="24" t="str">
        <f>"Вівторок"</f>
        <v>Вівторок</v>
      </c>
      <c r="D837" s="24" t="str">
        <f>IFERROR(TEXT(М5_МАЗ4381_0592!D49,"h:mm"),"")</f>
        <v>7:50</v>
      </c>
      <c r="E837" s="24" t="str">
        <f>"№5"</f>
        <v>№5</v>
      </c>
      <c r="F837" s="24" t="str">
        <f>"МАЗ 4381"</f>
        <v>МАЗ 4381</v>
      </c>
      <c r="G837" s="24" t="str">
        <f>"СВ 81-71 ВК"</f>
        <v>СВ 81-71 ВК</v>
      </c>
      <c r="H837" s="24"/>
      <c r="J837" s="13" t="str">
        <f t="shared" si="94"/>
        <v>вул. Світанкова|</v>
      </c>
      <c r="K837" s="32">
        <f t="shared" si="95"/>
        <v>0.3263888888888889</v>
      </c>
      <c r="L837" s="13" t="str">
        <f>IF($A837="","",IF(COUNTIFS($J$4:$J837,$J837,$E$4:$E837,$E837)=1,$E837,""))</f>
        <v>№5</v>
      </c>
      <c r="M837" s="13" t="str">
        <f>IF($A837="","",IF(COUNTIFS($J$4:$J837,$J837,$F$4:$F837,$F837)=1,$F837,""))</f>
        <v>МАЗ 4381</v>
      </c>
    </row>
    <row r="838" spans="1:13" x14ac:dyDescent="0.35">
      <c r="A838" s="23" t="str">
        <f>IFERROR(М5_МАЗ4381_0592!B107,"")</f>
        <v>вул. Сковороди</v>
      </c>
      <c r="B838" s="23" t="str">
        <f>IFERROR(IF(М5_МАЗ4381_0592!C107="","",TEXT(М5_МАЗ4381_0592!C107,"General")),"")</f>
        <v/>
      </c>
      <c r="C838" s="24" t="str">
        <f>"Середа"</f>
        <v>Середа</v>
      </c>
      <c r="D838" s="24" t="str">
        <f>IFERROR(TEXT(М5_МАЗ4381_0592!D107,"h:mm"),"")</f>
        <v>14:30</v>
      </c>
      <c r="E838" s="24" t="str">
        <f>"№5"</f>
        <v>№5</v>
      </c>
      <c r="F838" s="24" t="str">
        <f>"МАЗ 4381"</f>
        <v>МАЗ 4381</v>
      </c>
      <c r="G838" s="24" t="str">
        <f>"СВ 81-71 ВК"</f>
        <v>СВ 81-71 ВК</v>
      </c>
      <c r="H838" s="24"/>
      <c r="J838" s="13" t="str">
        <f t="shared" si="94"/>
        <v>вул. Сковороди|</v>
      </c>
      <c r="K838" s="32">
        <f t="shared" si="95"/>
        <v>0.60416666666666663</v>
      </c>
      <c r="L838" s="13" t="str">
        <f>IF($A838="","",IF(COUNTIFS($J$4:$J838,$J838,$E$4:$E838,$E838)=1,$E838,""))</f>
        <v>№5</v>
      </c>
      <c r="M838" s="13" t="str">
        <f>IF($A838="","",IF(COUNTIFS($J$4:$J838,$J838,$F$4:$F838,$F838)=1,$F838,""))</f>
        <v>МАЗ 4381</v>
      </c>
    </row>
    <row r="839" spans="1:13" x14ac:dyDescent="0.35">
      <c r="A839" s="23" t="str">
        <f>IFERROR(М5_МАЗ4381_0592!B74,"")</f>
        <v>вул. Скоропадського</v>
      </c>
      <c r="B839" s="23" t="str">
        <f>IFERROR(IF(М5_МАЗ4381_0592!C74="","",TEXT(М5_МАЗ4381_0592!C74,"General")),"")</f>
        <v/>
      </c>
      <c r="C839" s="24" t="str">
        <f>"Вівторок"</f>
        <v>Вівторок</v>
      </c>
      <c r="D839" s="24" t="str">
        <f>IFERROR(TEXT(М5_МАЗ4381_0592!D74,"h:mm"),"")</f>
        <v>15:00</v>
      </c>
      <c r="E839" s="24" t="str">
        <f>"№5"</f>
        <v>№5</v>
      </c>
      <c r="F839" s="24" t="str">
        <f>"МАЗ 4381"</f>
        <v>МАЗ 4381</v>
      </c>
      <c r="G839" s="24" t="str">
        <f>"СВ 81-71 ВК"</f>
        <v>СВ 81-71 ВК</v>
      </c>
      <c r="H839" s="24"/>
      <c r="J839" s="13" t="str">
        <f t="shared" si="94"/>
        <v>вул. Скоропадського|</v>
      </c>
      <c r="K839" s="32">
        <f t="shared" si="95"/>
        <v>0.625</v>
      </c>
      <c r="L839" s="13" t="str">
        <f>IF($A839="","",IF(COUNTIFS($J$4:$J839,$J839,$E$4:$E839,$E839)=1,$E839,""))</f>
        <v>№5</v>
      </c>
      <c r="M839" s="13" t="str">
        <f>IF($A839="","",IF(COUNTIFS($J$4:$J839,$J839,$F$4:$F839,$F839)=1,$F839,""))</f>
        <v>МАЗ 4381</v>
      </c>
    </row>
    <row r="840" spans="1:13" x14ac:dyDescent="0.35">
      <c r="A840" s="23" t="str">
        <f>IFERROR(М5_МАЗ4381_0592!B98,"")</f>
        <v>вул. Скоропадського</v>
      </c>
      <c r="B840" s="23" t="str">
        <f>IFERROR(IF(М5_МАЗ4381_0592!C98="","",TEXT(М5_МАЗ4381_0592!C98,"General")),"")</f>
        <v/>
      </c>
      <c r="C840" s="24" t="str">
        <f>"Середа"</f>
        <v>Середа</v>
      </c>
      <c r="D840" s="24" t="str">
        <f>IFERROR(TEXT(М5_МАЗ4381_0592!D98,"h:mm"),"")</f>
        <v>12:10</v>
      </c>
      <c r="E840" s="24" t="str">
        <f>"№5"</f>
        <v>№5</v>
      </c>
      <c r="F840" s="24" t="str">
        <f>"МАЗ 4381"</f>
        <v>МАЗ 4381</v>
      </c>
      <c r="G840" s="24" t="str">
        <f>"СВ 81-71 ВК"</f>
        <v>СВ 81-71 ВК</v>
      </c>
      <c r="H840" s="24"/>
      <c r="J840" s="13" t="str">
        <f t="shared" si="94"/>
        <v>вул. Скоропадського|</v>
      </c>
      <c r="K840" s="32">
        <f t="shared" si="95"/>
        <v>0.50694444444444442</v>
      </c>
      <c r="L840" s="13" t="str">
        <f>IF($A840="","",IF(COUNTIFS($J$4:$J840,$J840,$E$4:$E840,$E840)=1,$E840,""))</f>
        <v/>
      </c>
      <c r="M840" s="13" t="str">
        <f>IF($A840="","",IF(COUNTIFS($J$4:$J840,$J840,$F$4:$F840,$F840)=1,$F840,""))</f>
        <v/>
      </c>
    </row>
    <row r="841" spans="1:13" x14ac:dyDescent="0.35">
      <c r="A841" s="23" t="str">
        <f>IFERROR(М3_МАЗ4371_0587!B10,"")</f>
        <v>вул. Скоропадського</v>
      </c>
      <c r="B841" s="23" t="str">
        <f>IFERROR(IF(М3_МАЗ4371_0587!C10="","",TEXT(М3_МАЗ4371_0587!C10,"General")),"")</f>
        <v>108</v>
      </c>
      <c r="C841" s="24" t="str">
        <f>"Понеділок"</f>
        <v>Понеділок</v>
      </c>
      <c r="D841" s="24" t="str">
        <f>IFERROR(TEXT(М3_МАЗ4371_0587!D10,"h:mm"),"")</f>
        <v>7:50</v>
      </c>
      <c r="E841" s="24" t="str">
        <f t="shared" ref="E841:E851" si="96">"№3"</f>
        <v>№3</v>
      </c>
      <c r="F841" s="24" t="str">
        <f>"МАЗ-4371"</f>
        <v>МАЗ-4371</v>
      </c>
      <c r="G841" s="24" t="str">
        <f>"СВ 53-06 СА"</f>
        <v>СВ 53-06 СА</v>
      </c>
      <c r="H841" s="24">
        <f>IFERROR(М3_МАЗ4371_0587!G10,"")</f>
        <v>4</v>
      </c>
      <c r="J841" s="13" t="str">
        <f t="shared" si="94"/>
        <v>вул. Скоропадського|108</v>
      </c>
      <c r="K841" s="32">
        <f t="shared" si="95"/>
        <v>0.3263888888888889</v>
      </c>
      <c r="L841" s="13" t="str">
        <f>IF($A841="","",IF(COUNTIFS($J$4:$J841,$J841,$E$4:$E841,$E841)=1,$E841,""))</f>
        <v>№3</v>
      </c>
      <c r="M841" s="13" t="str">
        <f>IF($A841="","",IF(COUNTIFS($J$4:$J841,$J841,$F$4:$F841,$F841)=1,$F841,""))</f>
        <v>МАЗ-4371</v>
      </c>
    </row>
    <row r="842" spans="1:13" x14ac:dyDescent="0.35">
      <c r="A842" s="23" t="str">
        <f>IFERROR(М3_МАЗ4371_0587!B49,"")</f>
        <v>вул. Скоропадського</v>
      </c>
      <c r="B842" s="23" t="str">
        <f>IFERROR(IF(М3_МАЗ4371_0587!C49="","",TEXT(М3_МАЗ4371_0587!C49,"General")),"")</f>
        <v>108</v>
      </c>
      <c r="C842" s="24" t="str">
        <f>"Вівторок"</f>
        <v>Вівторок</v>
      </c>
      <c r="D842" s="24" t="str">
        <f>IFERROR(TEXT(М3_МАЗ4371_0587!D49,"h:mm"),"")</f>
        <v>8:00</v>
      </c>
      <c r="E842" s="24" t="str">
        <f t="shared" si="96"/>
        <v>№3</v>
      </c>
      <c r="F842" s="24" t="str">
        <f>"МАЗ-4371"</f>
        <v>МАЗ-4371</v>
      </c>
      <c r="G842" s="24" t="str">
        <f>"СВ 53-06 СА"</f>
        <v>СВ 53-06 СА</v>
      </c>
      <c r="H842" s="24">
        <f>IFERROR(М3_МАЗ4371_0587!G49,"")</f>
        <v>4</v>
      </c>
      <c r="J842" s="13" t="str">
        <f t="shared" si="94"/>
        <v>вул. Скоропадського|108</v>
      </c>
      <c r="K842" s="32">
        <f t="shared" si="95"/>
        <v>0.33333333333333331</v>
      </c>
      <c r="L842" s="13" t="str">
        <f>IF($A842="","",IF(COUNTIFS($J$4:$J842,$J842,$E$4:$E842,$E842)=1,$E842,""))</f>
        <v/>
      </c>
      <c r="M842" s="13" t="str">
        <f>IF($A842="","",IF(COUNTIFS($J$4:$J842,$J842,$F$4:$F842,$F842)=1,$F842,""))</f>
        <v/>
      </c>
    </row>
    <row r="843" spans="1:13" x14ac:dyDescent="0.35">
      <c r="A843" s="23" t="str">
        <f>IFERROR(М3_МАЗ4371_0587!B79,"")</f>
        <v>вул. Скоропадського</v>
      </c>
      <c r="B843" s="23" t="str">
        <f>IFERROR(IF(М3_МАЗ4371_0587!C79="","",TEXT(М3_МАЗ4371_0587!C79,"General")),"")</f>
        <v>108</v>
      </c>
      <c r="C843" s="24" t="str">
        <f>"Середа"</f>
        <v>Середа</v>
      </c>
      <c r="D843" s="24" t="str">
        <f>IFERROR(TEXT(М3_МАЗ4371_0587!D79,"h:mm"),"")</f>
        <v>8:00</v>
      </c>
      <c r="E843" s="24" t="str">
        <f t="shared" si="96"/>
        <v>№3</v>
      </c>
      <c r="F843" s="24" t="str">
        <f>"МАЗ-4371"</f>
        <v>МАЗ-4371</v>
      </c>
      <c r="G843" s="24" t="str">
        <f>"СВ 53-06 СА"</f>
        <v>СВ 53-06 СА</v>
      </c>
      <c r="H843" s="24">
        <f>IFERROR(М3_МАЗ4371_0587!G79,"")</f>
        <v>4</v>
      </c>
      <c r="J843" s="13" t="str">
        <f t="shared" si="94"/>
        <v>вул. Скоропадського|108</v>
      </c>
      <c r="K843" s="32">
        <f t="shared" si="95"/>
        <v>0.33333333333333331</v>
      </c>
      <c r="L843" s="13" t="str">
        <f>IF($A843="","",IF(COUNTIFS($J$4:$J843,$J843,$E$4:$E843,$E843)=1,$E843,""))</f>
        <v/>
      </c>
      <c r="M843" s="13" t="str">
        <f>IF($A843="","",IF(COUNTIFS($J$4:$J843,$J843,$F$4:$F843,$F843)=1,$F843,""))</f>
        <v/>
      </c>
    </row>
    <row r="844" spans="1:13" x14ac:dyDescent="0.35">
      <c r="A844" s="23" t="str">
        <f>IFERROR(М3_МАЗ4371_0587!B99,"")</f>
        <v>вул. Скоропадського</v>
      </c>
      <c r="B844" s="23" t="str">
        <f>IFERROR(IF(М3_МАЗ4371_0587!C99="","",TEXT(М3_МАЗ4371_0587!C99,"General")),"")</f>
        <v>108</v>
      </c>
      <c r="C844" s="24" t="str">
        <f>"Середа"</f>
        <v>Середа</v>
      </c>
      <c r="D844" s="24" t="str">
        <f>IFERROR(TEXT(М3_МАЗ4371_0587!D99,"h:mm"),"")</f>
        <v>14:15</v>
      </c>
      <c r="E844" s="24" t="str">
        <f t="shared" si="96"/>
        <v>№3</v>
      </c>
      <c r="F844" s="24" t="str">
        <f>"МАЗ-4371"</f>
        <v>МАЗ-4371</v>
      </c>
      <c r="G844" s="24" t="str">
        <f>"СВ 53-06 СА"</f>
        <v>СВ 53-06 СА</v>
      </c>
      <c r="H844" s="24">
        <f>IFERROR(М3_МАЗ4371_0587!G99,"")</f>
        <v>4</v>
      </c>
      <c r="J844" s="13" t="str">
        <f t="shared" si="94"/>
        <v>вул. Скоропадського|108</v>
      </c>
      <c r="K844" s="32">
        <f t="shared" si="95"/>
        <v>0.59375</v>
      </c>
      <c r="L844" s="13" t="str">
        <f>IF($A844="","",IF(COUNTIFS($J$4:$J844,$J844,$E$4:$E844,$E844)=1,$E844,""))</f>
        <v/>
      </c>
      <c r="M844" s="13" t="str">
        <f>IF($A844="","",IF(COUNTIFS($J$4:$J844,$J844,$F$4:$F844,$F844)=1,$F844,""))</f>
        <v/>
      </c>
    </row>
    <row r="845" spans="1:13" x14ac:dyDescent="0.35">
      <c r="A845" s="23" t="str">
        <f>IFERROR('М3-4_ГАЗ3309_0590'!B10,"")</f>
        <v>вул. Скоропадського</v>
      </c>
      <c r="B845" s="23" t="str">
        <f>IFERROR(IF('М3-4_ГАЗ3309_0590'!C10="","",TEXT('М3-4_ГАЗ3309_0590'!C10,"General")),"")</f>
        <v>108</v>
      </c>
      <c r="C845" s="24" t="str">
        <f>"Четвер"</f>
        <v>Четвер</v>
      </c>
      <c r="D845" s="24" t="str">
        <f>IFERROR(TEXT('М3-4_ГАЗ3309_0590'!D10,"h:mm"),"")</f>
        <v>7:55</v>
      </c>
      <c r="E845" s="24" t="str">
        <f t="shared" si="96"/>
        <v>№3</v>
      </c>
      <c r="F845" s="24" t="str">
        <f>"ГАЗ 3309"</f>
        <v>ГАЗ 3309</v>
      </c>
      <c r="G845" s="24" t="str">
        <f>"СВ 17-85 ВН"</f>
        <v>СВ 17-85 ВН</v>
      </c>
      <c r="H845" s="24">
        <f>IFERROR('М3-4_ГАЗ3309_0590'!G10,"")</f>
        <v>3</v>
      </c>
      <c r="J845" s="13" t="str">
        <f t="shared" si="94"/>
        <v>вул. Скоропадського|108</v>
      </c>
      <c r="K845" s="32">
        <f t="shared" si="95"/>
        <v>0.3298611111111111</v>
      </c>
      <c r="L845" s="13" t="str">
        <f>IF($A845="","",IF(COUNTIFS($J$4:$J845,$J845,$E$4:$E845,$E845)=1,$E845,""))</f>
        <v/>
      </c>
      <c r="M845" s="13" t="str">
        <f>IF($A845="","",IF(COUNTIFS($J$4:$J845,$J845,$F$4:$F845,$F845)=1,$F845,""))</f>
        <v>ГАЗ 3309</v>
      </c>
    </row>
    <row r="846" spans="1:13" x14ac:dyDescent="0.35">
      <c r="A846" s="23" t="str">
        <f>IFERROR('М3-4_ГАЗ3309_0590'!B30,"")</f>
        <v>вул. Скоропадського</v>
      </c>
      <c r="B846" s="23" t="str">
        <f>IFERROR(IF('М3-4_ГАЗ3309_0590'!C30="","",TEXT('М3-4_ГАЗ3309_0590'!C30,"General")),"")</f>
        <v>108</v>
      </c>
      <c r="C846" s="24" t="str">
        <f>"Четвер"</f>
        <v>Четвер</v>
      </c>
      <c r="D846" s="24" t="str">
        <f>IFERROR(TEXT('М3-4_ГАЗ3309_0590'!D30,"h:mm"),"")</f>
        <v>15:35</v>
      </c>
      <c r="E846" s="24" t="str">
        <f t="shared" si="96"/>
        <v>№3</v>
      </c>
      <c r="F846" s="24" t="str">
        <f>"ГАЗ 3309"</f>
        <v>ГАЗ 3309</v>
      </c>
      <c r="G846" s="24" t="str">
        <f>"СВ 17-85 ВН"</f>
        <v>СВ 17-85 ВН</v>
      </c>
      <c r="H846" s="24">
        <f>IFERROR('М3-4_ГАЗ3309_0590'!G30,"")</f>
        <v>2</v>
      </c>
      <c r="J846" s="13" t="str">
        <f t="shared" si="94"/>
        <v>вул. Скоропадського|108</v>
      </c>
      <c r="K846" s="32">
        <f t="shared" si="95"/>
        <v>0.64930555555555558</v>
      </c>
      <c r="L846" s="13" t="str">
        <f>IF($A846="","",IF(COUNTIFS($J$4:$J846,$J846,$E$4:$E846,$E846)=1,$E846,""))</f>
        <v/>
      </c>
      <c r="M846" s="13" t="str">
        <f>IF($A846="","",IF(COUNTIFS($J$4:$J846,$J846,$F$4:$F846,$F846)=1,$F846,""))</f>
        <v/>
      </c>
    </row>
    <row r="847" spans="1:13" x14ac:dyDescent="0.35">
      <c r="A847" s="23" t="str">
        <f>IFERROR(М3_МАЗ4371_0587!B117,"")</f>
        <v>вул. Скоропадського</v>
      </c>
      <c r="B847" s="23" t="str">
        <f>IFERROR(IF(М3_МАЗ4371_0587!C117="","",TEXT(М3_МАЗ4371_0587!C117,"General")),"")</f>
        <v>108</v>
      </c>
      <c r="C847" s="24" t="str">
        <f>"П'ятниця"</f>
        <v>П'ятниця</v>
      </c>
      <c r="D847" s="24" t="str">
        <f>IFERROR(TEXT(М3_МАЗ4371_0587!D117,"h:mm"),"")</f>
        <v>8:10</v>
      </c>
      <c r="E847" s="24" t="str">
        <f t="shared" si="96"/>
        <v>№3</v>
      </c>
      <c r="F847" s="24" t="str">
        <f>"МАЗ-4371"</f>
        <v>МАЗ-4371</v>
      </c>
      <c r="G847" s="24" t="str">
        <f>"СВ 53-06 СА"</f>
        <v>СВ 53-06 СА</v>
      </c>
      <c r="H847" s="24">
        <f>IFERROR(М3_МАЗ4371_0587!G117,"")</f>
        <v>4</v>
      </c>
      <c r="J847" s="13" t="str">
        <f t="shared" si="94"/>
        <v>вул. Скоропадського|108</v>
      </c>
      <c r="K847" s="32">
        <f t="shared" si="95"/>
        <v>0.34027777777777779</v>
      </c>
      <c r="L847" s="13" t="str">
        <f>IF($A847="","",IF(COUNTIFS($J$4:$J847,$J847,$E$4:$E847,$E847)=1,$E847,""))</f>
        <v/>
      </c>
      <c r="M847" s="13" t="str">
        <f>IF($A847="","",IF(COUNTIFS($J$4:$J847,$J847,$F$4:$F847,$F847)=1,$F847,""))</f>
        <v/>
      </c>
    </row>
    <row r="848" spans="1:13" x14ac:dyDescent="0.35">
      <c r="A848" s="23" t="str">
        <f>IFERROR(М3_МАЗ4371_0587!B139,"")</f>
        <v>вул. Скоропадського</v>
      </c>
      <c r="B848" s="23" t="str">
        <f>IFERROR(IF(М3_МАЗ4371_0587!C139="","",TEXT(М3_МАЗ4371_0587!C139,"General")),"")</f>
        <v>108</v>
      </c>
      <c r="C848" s="24" t="str">
        <f>"П'ятниця"</f>
        <v>П'ятниця</v>
      </c>
      <c r="D848" s="24" t="str">
        <f>IFERROR(TEXT(М3_МАЗ4371_0587!D139,"h:mm"),"")</f>
        <v>14:15</v>
      </c>
      <c r="E848" s="24" t="str">
        <f t="shared" si="96"/>
        <v>№3</v>
      </c>
      <c r="F848" s="24" t="str">
        <f>"МАЗ-4371"</f>
        <v>МАЗ-4371</v>
      </c>
      <c r="G848" s="24" t="str">
        <f>"СВ 53-06 СА"</f>
        <v>СВ 53-06 СА</v>
      </c>
      <c r="H848" s="24">
        <f>IFERROR(М3_МАЗ4371_0587!G139,"")</f>
        <v>4</v>
      </c>
      <c r="J848" s="13" t="str">
        <f t="shared" si="94"/>
        <v>вул. Скоропадського|108</v>
      </c>
      <c r="K848" s="32">
        <f t="shared" si="95"/>
        <v>0.59375</v>
      </c>
      <c r="L848" s="13" t="str">
        <f>IF($A848="","",IF(COUNTIFS($J$4:$J848,$J848,$E$4:$E848,$E848)=1,$E848,""))</f>
        <v/>
      </c>
      <c r="M848" s="13" t="str">
        <f>IF($A848="","",IF(COUNTIFS($J$4:$J848,$J848,$F$4:$F848,$F848)=1,$F848,""))</f>
        <v/>
      </c>
    </row>
    <row r="849" spans="1:13" x14ac:dyDescent="0.35">
      <c r="A849" s="23" t="str">
        <f>IFERROR(М3_МАЗ4371_0587!B155,"")</f>
        <v>вул. Скоропадського</v>
      </c>
      <c r="B849" s="23" t="str">
        <f>IFERROR(IF(М3_МАЗ4371_0587!C155="","",TEXT(М3_МАЗ4371_0587!C155,"General")),"")</f>
        <v>108</v>
      </c>
      <c r="C849" s="24" t="str">
        <f>"Субота"</f>
        <v>Субота</v>
      </c>
      <c r="D849" s="24" t="str">
        <f>IFERROR(TEXT(М3_МАЗ4371_0587!D155,"h:mm"),"")</f>
        <v>7:40</v>
      </c>
      <c r="E849" s="24" t="str">
        <f t="shared" si="96"/>
        <v>№3</v>
      </c>
      <c r="F849" s="24" t="str">
        <f>"МАЗ-4371"</f>
        <v>МАЗ-4371</v>
      </c>
      <c r="G849" s="24" t="str">
        <f>"СВ 53-06 СА"</f>
        <v>СВ 53-06 СА</v>
      </c>
      <c r="H849" s="24">
        <f>IFERROR(М3_МАЗ4371_0587!G155,"")</f>
        <v>4</v>
      </c>
      <c r="J849" s="13" t="str">
        <f t="shared" si="94"/>
        <v>вул. Скоропадського|108</v>
      </c>
      <c r="K849" s="32">
        <f t="shared" si="95"/>
        <v>0.31944444444444442</v>
      </c>
      <c r="L849" s="13" t="str">
        <f>IF($A849="","",IF(COUNTIFS($J$4:$J849,$J849,$E$4:$E849,$E849)=1,$E849,""))</f>
        <v/>
      </c>
      <c r="M849" s="13" t="str">
        <f>IF($A849="","",IF(COUNTIFS($J$4:$J849,$J849,$F$4:$F849,$F849)=1,$F849,""))</f>
        <v/>
      </c>
    </row>
    <row r="850" spans="1:13" x14ac:dyDescent="0.35">
      <c r="A850" s="23" t="str">
        <f>IFERROR('М3-4_ГАЗ3309_0590'!B42,"")</f>
        <v>вул. Скоропадського</v>
      </c>
      <c r="B850" s="23" t="str">
        <f>IFERROR(IF('М3-4_ГАЗ3309_0590'!C42="","",TEXT('М3-4_ГАЗ3309_0590'!C42,"General")),"")</f>
        <v>108</v>
      </c>
      <c r="C850" s="24" t="str">
        <f>"Неділя"</f>
        <v>Неділя</v>
      </c>
      <c r="D850" s="24" t="str">
        <f>IFERROR(TEXT('М3-4_ГАЗ3309_0590'!D42,"h:mm"),"")</f>
        <v>7:55</v>
      </c>
      <c r="E850" s="24" t="str">
        <f t="shared" si="96"/>
        <v>№3</v>
      </c>
      <c r="F850" s="24" t="str">
        <f>"ГАЗ 3309"</f>
        <v>ГАЗ 3309</v>
      </c>
      <c r="G850" s="24" t="str">
        <f>"СВ 17-85 ВН"</f>
        <v>СВ 17-85 ВН</v>
      </c>
      <c r="H850" s="24">
        <f>IFERROR('М3-4_ГАЗ3309_0590'!G42,"")</f>
        <v>3</v>
      </c>
      <c r="J850" s="13" t="str">
        <f t="shared" si="94"/>
        <v>вул. Скоропадського|108</v>
      </c>
      <c r="K850" s="32">
        <f t="shared" si="95"/>
        <v>0.3298611111111111</v>
      </c>
      <c r="L850" s="13" t="str">
        <f>IF($A850="","",IF(COUNTIFS($J$4:$J850,$J850,$E$4:$E850,$E850)=1,$E850,""))</f>
        <v/>
      </c>
      <c r="M850" s="13" t="str">
        <f>IF($A850="","",IF(COUNTIFS($J$4:$J850,$J850,$F$4:$F850,$F850)=1,$F850,""))</f>
        <v/>
      </c>
    </row>
    <row r="851" spans="1:13" x14ac:dyDescent="0.35">
      <c r="A851" s="23" t="str">
        <f>IFERROR('М3-4_ГАЗ3309_0590'!B62,"")</f>
        <v>вул. Скоропадського</v>
      </c>
      <c r="B851" s="23" t="str">
        <f>IFERROR(IF('М3-4_ГАЗ3309_0590'!C62="","",TEXT('М3-4_ГАЗ3309_0590'!C62,"General")),"")</f>
        <v>108</v>
      </c>
      <c r="C851" s="24" t="str">
        <f>"Неділя"</f>
        <v>Неділя</v>
      </c>
      <c r="D851" s="24" t="str">
        <f>IFERROR(TEXT('М3-4_ГАЗ3309_0590'!D62,"h:mm"),"")</f>
        <v>15:35</v>
      </c>
      <c r="E851" s="24" t="str">
        <f t="shared" si="96"/>
        <v>№3</v>
      </c>
      <c r="F851" s="24" t="str">
        <f>"ГАЗ 3309"</f>
        <v>ГАЗ 3309</v>
      </c>
      <c r="G851" s="24" t="str">
        <f>"СВ 17-85 ВН"</f>
        <v>СВ 17-85 ВН</v>
      </c>
      <c r="H851" s="24">
        <f>IFERROR('М3-4_ГАЗ3309_0590'!G62,"")</f>
        <v>2</v>
      </c>
      <c r="J851" s="13" t="str">
        <f t="shared" si="94"/>
        <v>вул. Скоропадського|108</v>
      </c>
      <c r="K851" s="32">
        <f t="shared" si="95"/>
        <v>0.64930555555555558</v>
      </c>
      <c r="L851" s="13" t="str">
        <f>IF($A851="","",IF(COUNTIFS($J$4:$J851,$J851,$E$4:$E851,$E851)=1,$E851,""))</f>
        <v/>
      </c>
      <c r="M851" s="13" t="str">
        <f>IF($A851="","",IF(COUNTIFS($J$4:$J851,$J851,$F$4:$F851,$F851)=1,$F851,""))</f>
        <v/>
      </c>
    </row>
    <row r="852" spans="1:13" x14ac:dyDescent="0.35">
      <c r="A852" s="23" t="str">
        <f>IFERROR('М2_АТ4021-1120_0588'!B119,"")</f>
        <v>вул. Соборна</v>
      </c>
      <c r="B852" s="23" t="str">
        <f>IFERROR(IF('М2_АТ4021-1120_0588'!C119="","",TEXT('М2_АТ4021-1120_0588'!C119,"General")),"")</f>
        <v>"Дача"</v>
      </c>
      <c r="C852" s="24" t="str">
        <f>"П'ятниця"</f>
        <v>П'ятниця</v>
      </c>
      <c r="D852" s="24" t="str">
        <f>IFERROR(TEXT('М2_АТ4021-1120_0588'!D119,"h:mm"),"")</f>
        <v>15:30</v>
      </c>
      <c r="E852" s="24" t="str">
        <f>"№2"</f>
        <v>№2</v>
      </c>
      <c r="F852" s="24" t="str">
        <f>"АТ 4021/1120"</f>
        <v>АТ 4021/1120</v>
      </c>
      <c r="G852" s="24" t="str">
        <f>"СВ 64-11 ЕТ"</f>
        <v>СВ 64-11 ЕТ</v>
      </c>
      <c r="H852" s="24">
        <f>IFERROR('М2_АТ4021-1120_0588'!G119,"")</f>
        <v>2</v>
      </c>
      <c r="J852" s="13" t="str">
        <f t="shared" si="94"/>
        <v>вул. Соборна|"Дача"</v>
      </c>
      <c r="K852" s="32">
        <f t="shared" si="95"/>
        <v>0.64583333333333337</v>
      </c>
      <c r="L852" s="13" t="str">
        <f>IF($A852="","",IF(COUNTIFS($J$4:$J852,$J852,$E$4:$E852,$E852)=1,$E852,""))</f>
        <v>№2</v>
      </c>
      <c r="M852" s="13" t="str">
        <f>IF($A852="","",IF(COUNTIFS($J$4:$J852,$J852,$F$4:$F852,$F852)=1,$F852,""))</f>
        <v>АТ 4021/1120</v>
      </c>
    </row>
    <row r="853" spans="1:13" x14ac:dyDescent="0.35">
      <c r="A853" s="23" t="str">
        <f>IFERROR(М4_АТ4042ROD_0584!B11,"")</f>
        <v>вул. Соборна</v>
      </c>
      <c r="B853" s="23" t="str">
        <f>IFERROR(IF(М4_АТ4042ROD_0584!C11="","",TEXT(М4_АТ4042ROD_0584!C11,"General")),"")</f>
        <v>125</v>
      </c>
      <c r="C853" s="24" t="str">
        <f>"Понеділок"</f>
        <v>Понеділок</v>
      </c>
      <c r="D853" s="24" t="str">
        <f>IFERROR(TEXT(М4_АТ4042ROD_0584!D11,"h:mm"),"")</f>
        <v>8:40</v>
      </c>
      <c r="E853" s="24" t="str">
        <f t="shared" ref="E853:E859" si="97">"№4"</f>
        <v>№4</v>
      </c>
      <c r="F853" s="24" t="str">
        <f>"АТ 40-42/ROD21003"</f>
        <v>АТ 40-42/ROD21003</v>
      </c>
      <c r="G853" s="24" t="str">
        <f>"СВ 33-15 ЕО"</f>
        <v>СВ 33-15 ЕО</v>
      </c>
      <c r="H853" s="24">
        <f>IFERROR(М4_АТ4042ROD_0584!G11,"")</f>
        <v>4</v>
      </c>
      <c r="J853" s="13" t="str">
        <f t="shared" si="94"/>
        <v>вул. Соборна|125</v>
      </c>
      <c r="K853" s="32">
        <f t="shared" si="95"/>
        <v>0.3611111111111111</v>
      </c>
      <c r="L853" s="13" t="str">
        <f>IF($A853="","",IF(COUNTIFS($J$4:$J853,$J853,$E$4:$E853,$E853)=1,$E853,""))</f>
        <v>№4</v>
      </c>
      <c r="M853" s="13" t="str">
        <f>IF($A853="","",IF(COUNTIFS($J$4:$J853,$J853,$F$4:$F853,$F853)=1,$F853,""))</f>
        <v>АТ 40-42/ROD21003</v>
      </c>
    </row>
    <row r="854" spans="1:13" x14ac:dyDescent="0.35">
      <c r="A854" s="23" t="str">
        <f>IFERROR(М4_АТ4042ROD_0584!B48,"")</f>
        <v>вул. Соборна</v>
      </c>
      <c r="B854" s="23" t="str">
        <f>IFERROR(IF(М4_АТ4042ROD_0584!C48="","",TEXT(М4_АТ4042ROD_0584!C48,"General")),"")</f>
        <v>125</v>
      </c>
      <c r="C854" s="24" t="str">
        <f>"Вівторок"</f>
        <v>Вівторок</v>
      </c>
      <c r="D854" s="24" t="str">
        <f>IFERROR(TEXT(М4_АТ4042ROD_0584!D48,"h:mm"),"")</f>
        <v>9:55</v>
      </c>
      <c r="E854" s="24" t="str">
        <f t="shared" si="97"/>
        <v>№4</v>
      </c>
      <c r="F854" s="24" t="str">
        <f>"АТ 40-42/ROD21003"</f>
        <v>АТ 40-42/ROD21003</v>
      </c>
      <c r="G854" s="24" t="str">
        <f>"СВ 33-15 ЕО"</f>
        <v>СВ 33-15 ЕО</v>
      </c>
      <c r="H854" s="24">
        <f>IFERROR(М4_АТ4042ROD_0584!G48,"")</f>
        <v>4</v>
      </c>
      <c r="J854" s="13" t="str">
        <f t="shared" si="94"/>
        <v>вул. Соборна|125</v>
      </c>
      <c r="K854" s="32">
        <f t="shared" si="95"/>
        <v>0.41319444444444442</v>
      </c>
      <c r="L854" s="13" t="str">
        <f>IF($A854="","",IF(COUNTIFS($J$4:$J854,$J854,$E$4:$E854,$E854)=1,$E854,""))</f>
        <v/>
      </c>
      <c r="M854" s="13" t="str">
        <f>IF($A854="","",IF(COUNTIFS($J$4:$J854,$J854,$F$4:$F854,$F854)=1,$F854,""))</f>
        <v/>
      </c>
    </row>
    <row r="855" spans="1:13" x14ac:dyDescent="0.35">
      <c r="A855" s="23" t="str">
        <f>IFERROR('М3-4_ГАЗ3309_0590'!B77,"")</f>
        <v>вул. Соборна</v>
      </c>
      <c r="B855" s="23" t="str">
        <f>IFERROR(IF('М3-4_ГАЗ3309_0590'!C77="","",TEXT('М3-4_ГАЗ3309_0590'!C77,"General")),"")</f>
        <v>125</v>
      </c>
      <c r="C855" s="24" t="str">
        <f>"Середа"</f>
        <v>Середа</v>
      </c>
      <c r="D855" s="24" t="str">
        <f>IFERROR(TEXT('М3-4_ГАЗ3309_0590'!D77,"h:mm"),"")</f>
        <v>9:40</v>
      </c>
      <c r="E855" s="24" t="str">
        <f t="shared" si="97"/>
        <v>№4</v>
      </c>
      <c r="F855" s="24" t="str">
        <f>"ГАЗ 3309"</f>
        <v>ГАЗ 3309</v>
      </c>
      <c r="G855" s="24" t="str">
        <f>"СВ 17-85 ВН"</f>
        <v>СВ 17-85 ВН</v>
      </c>
      <c r="H855" s="24">
        <f>IFERROR('М3-4_ГАЗ3309_0590'!G77,"")</f>
        <v>4</v>
      </c>
      <c r="J855" s="13" t="str">
        <f t="shared" si="94"/>
        <v>вул. Соборна|125</v>
      </c>
      <c r="K855" s="32">
        <f t="shared" si="95"/>
        <v>0.40277777777777779</v>
      </c>
      <c r="L855" s="13" t="str">
        <f>IF($A855="","",IF(COUNTIFS($J$4:$J855,$J855,$E$4:$E855,$E855)=1,$E855,""))</f>
        <v/>
      </c>
      <c r="M855" s="13" t="str">
        <f>IF($A855="","",IF(COUNTIFS($J$4:$J855,$J855,$F$4:$F855,$F855)=1,$F855,""))</f>
        <v>ГАЗ 3309</v>
      </c>
    </row>
    <row r="856" spans="1:13" x14ac:dyDescent="0.35">
      <c r="A856" s="23" t="str">
        <f>IFERROR(М4_АТ4042ROD_0584!B75,"")</f>
        <v>вул. Соборна</v>
      </c>
      <c r="B856" s="23" t="str">
        <f>IFERROR(IF(М4_АТ4042ROD_0584!C75="","",TEXT(М4_АТ4042ROD_0584!C75,"General")),"")</f>
        <v>125</v>
      </c>
      <c r="C856" s="24" t="str">
        <f>"Четвер"</f>
        <v>Четвер</v>
      </c>
      <c r="D856" s="24" t="str">
        <f>IFERROR(TEXT(М4_АТ4042ROD_0584!D75,"h:mm"),"")</f>
        <v>8:25</v>
      </c>
      <c r="E856" s="24" t="str">
        <f t="shared" si="97"/>
        <v>№4</v>
      </c>
      <c r="F856" s="24" t="str">
        <f>"АТ 40-42/ROD21003"</f>
        <v>АТ 40-42/ROD21003</v>
      </c>
      <c r="G856" s="24" t="str">
        <f>"СВ 33-15 ЕО"</f>
        <v>СВ 33-15 ЕО</v>
      </c>
      <c r="H856" s="24">
        <f>IFERROR(М4_АТ4042ROD_0584!G75,"")</f>
        <v>4</v>
      </c>
      <c r="J856" s="13" t="str">
        <f t="shared" si="94"/>
        <v>вул. Соборна|125</v>
      </c>
      <c r="K856" s="32">
        <f t="shared" si="95"/>
        <v>0.35069444444444442</v>
      </c>
      <c r="L856" s="13" t="str">
        <f>IF($A856="","",IF(COUNTIFS($J$4:$J856,$J856,$E$4:$E856,$E856)=1,$E856,""))</f>
        <v/>
      </c>
      <c r="M856" s="13" t="str">
        <f>IF($A856="","",IF(COUNTIFS($J$4:$J856,$J856,$F$4:$F856,$F856)=1,$F856,""))</f>
        <v/>
      </c>
    </row>
    <row r="857" spans="1:13" x14ac:dyDescent="0.35">
      <c r="A857" s="23" t="str">
        <f>IFERROR(М4_АТ4042ROD_0584!B110,"")</f>
        <v>вул. Соборна</v>
      </c>
      <c r="B857" s="23" t="str">
        <f>IFERROR(IF(М4_АТ4042ROD_0584!C110="","",TEXT(М4_АТ4042ROD_0584!C110,"General")),"")</f>
        <v>125</v>
      </c>
      <c r="C857" s="24" t="str">
        <f>"П'ятниця"</f>
        <v>П'ятниця</v>
      </c>
      <c r="D857" s="24" t="str">
        <f>IFERROR(TEXT(М4_АТ4042ROD_0584!D110,"h:mm"),"")</f>
        <v>8:40</v>
      </c>
      <c r="E857" s="24" t="str">
        <f t="shared" si="97"/>
        <v>№4</v>
      </c>
      <c r="F857" s="24" t="str">
        <f>"АТ 40-42/ROD21003"</f>
        <v>АТ 40-42/ROD21003</v>
      </c>
      <c r="G857" s="24" t="str">
        <f>"СВ 33-15 ЕО"</f>
        <v>СВ 33-15 ЕО</v>
      </c>
      <c r="H857" s="24">
        <f>IFERROR(М4_АТ4042ROD_0584!G110,"")</f>
        <v>4</v>
      </c>
      <c r="J857" s="13" t="str">
        <f t="shared" si="94"/>
        <v>вул. Соборна|125</v>
      </c>
      <c r="K857" s="32">
        <f t="shared" si="95"/>
        <v>0.3611111111111111</v>
      </c>
      <c r="L857" s="13" t="str">
        <f>IF($A857="","",IF(COUNTIFS($J$4:$J857,$J857,$E$4:$E857,$E857)=1,$E857,""))</f>
        <v/>
      </c>
      <c r="M857" s="13" t="str">
        <f>IF($A857="","",IF(COUNTIFS($J$4:$J857,$J857,$F$4:$F857,$F857)=1,$F857,""))</f>
        <v/>
      </c>
    </row>
    <row r="858" spans="1:13" x14ac:dyDescent="0.35">
      <c r="A858" s="23" t="str">
        <f>IFERROR('М3-4_ГАЗ3309_0590'!B102,"")</f>
        <v>вул. Соборна</v>
      </c>
      <c r="B858" s="23" t="str">
        <f>IFERROR(IF('М3-4_ГАЗ3309_0590'!C102="","",TEXT('М3-4_ГАЗ3309_0590'!C102,"General")),"")</f>
        <v>125</v>
      </c>
      <c r="C858" s="24" t="str">
        <f>"Субота"</f>
        <v>Субота</v>
      </c>
      <c r="D858" s="24" t="str">
        <f>IFERROR(TEXT('М3-4_ГАЗ3309_0590'!D102,"h:mm"),"")</f>
        <v>9:40</v>
      </c>
      <c r="E858" s="24" t="str">
        <f t="shared" si="97"/>
        <v>№4</v>
      </c>
      <c r="F858" s="24" t="str">
        <f>"ГАЗ 3309"</f>
        <v>ГАЗ 3309</v>
      </c>
      <c r="G858" s="24" t="str">
        <f>"СВ 17-85 ВН"</f>
        <v>СВ 17-85 ВН</v>
      </c>
      <c r="H858" s="24">
        <f>IFERROR('М3-4_ГАЗ3309_0590'!G102,"")</f>
        <v>3</v>
      </c>
      <c r="J858" s="13" t="str">
        <f t="shared" si="94"/>
        <v>вул. Соборна|125</v>
      </c>
      <c r="K858" s="32">
        <f t="shared" si="95"/>
        <v>0.40277777777777779</v>
      </c>
      <c r="L858" s="13" t="str">
        <f>IF($A858="","",IF(COUNTIFS($J$4:$J858,$J858,$E$4:$E858,$E858)=1,$E858,""))</f>
        <v/>
      </c>
      <c r="M858" s="13" t="str">
        <f>IF($A858="","",IF(COUNTIFS($J$4:$J858,$J858,$F$4:$F858,$F858)=1,$F858,""))</f>
        <v/>
      </c>
    </row>
    <row r="859" spans="1:13" x14ac:dyDescent="0.35">
      <c r="A859" s="23" t="str">
        <f>IFERROR(М4_АТ4042ROD_0584!B145,"")</f>
        <v>вул. Соборна</v>
      </c>
      <c r="B859" s="23" t="str">
        <f>IFERROR(IF(М4_АТ4042ROD_0584!C145="","",TEXT(М4_АТ4042ROD_0584!C145,"General")),"")</f>
        <v>125</v>
      </c>
      <c r="C859" s="24" t="str">
        <f>"Неділя"</f>
        <v>Неділя</v>
      </c>
      <c r="D859" s="24" t="str">
        <f>IFERROR(TEXT(М4_АТ4042ROD_0584!D145,"h:mm"),"")</f>
        <v>9:10</v>
      </c>
      <c r="E859" s="24" t="str">
        <f t="shared" si="97"/>
        <v>№4</v>
      </c>
      <c r="F859" s="24" t="str">
        <f>"АТ 40-42/ROD21003"</f>
        <v>АТ 40-42/ROD21003</v>
      </c>
      <c r="G859" s="24" t="str">
        <f>"СВ 33-15 ЕО"</f>
        <v>СВ 33-15 ЕО</v>
      </c>
      <c r="H859" s="24">
        <f>IFERROR(М4_АТ4042ROD_0584!G145,"")</f>
        <v>4</v>
      </c>
      <c r="J859" s="13" t="str">
        <f t="shared" si="94"/>
        <v>вул. Соборна|125</v>
      </c>
      <c r="K859" s="32">
        <f t="shared" si="95"/>
        <v>0.38194444444444442</v>
      </c>
      <c r="L859" s="13" t="str">
        <f>IF($A859="","",IF(COUNTIFS($J$4:$J859,$J859,$E$4:$E859,$E859)=1,$E859,""))</f>
        <v/>
      </c>
      <c r="M859" s="13" t="str">
        <f>IF($A859="","",IF(COUNTIFS($J$4:$J859,$J859,$F$4:$F859,$F859)=1,$F859,""))</f>
        <v/>
      </c>
    </row>
    <row r="860" spans="1:13" x14ac:dyDescent="0.35">
      <c r="A860" s="23" t="str">
        <f>IFERROR(М6_АТ4021_0586!B32,"")</f>
        <v>вул. Соборна</v>
      </c>
      <c r="B860" s="23" t="str">
        <f>IFERROR(IF(М6_АТ4021_0586!C32="","",TEXT(М6_АТ4021_0586!C32,"General")),"")</f>
        <v>161,157,145</v>
      </c>
      <c r="C860" s="24" t="str">
        <f>"Понеділок"</f>
        <v>Понеділок</v>
      </c>
      <c r="D860" s="24" t="str">
        <f>IFERROR(TEXT(М6_АТ4021_0586!D32,"h:mm"),"")</f>
        <v>13:55</v>
      </c>
      <c r="E860" s="24" t="str">
        <f>"№6"</f>
        <v>№6</v>
      </c>
      <c r="F860" s="24" t="str">
        <f>"АТ 4021"</f>
        <v>АТ 4021</v>
      </c>
      <c r="G860" s="24" t="str">
        <f>"СВ 33-16 ЕО"</f>
        <v>СВ 33-16 ЕО</v>
      </c>
      <c r="H860" s="24"/>
      <c r="J860" s="13" t="str">
        <f t="shared" si="94"/>
        <v>вул. Соборна|161,157,145</v>
      </c>
      <c r="K860" s="32">
        <f t="shared" si="95"/>
        <v>0.57986111111111116</v>
      </c>
      <c r="L860" s="13" t="str">
        <f>IF($A860="","",IF(COUNTIFS($J$4:$J860,$J860,$E$4:$E860,$E860)=1,$E860,""))</f>
        <v>№6</v>
      </c>
      <c r="M860" s="13" t="str">
        <f>IF($A860="","",IF(COUNTIFS($J$4:$J860,$J860,$F$4:$F860,$F860)=1,$F860,""))</f>
        <v>АТ 4021</v>
      </c>
    </row>
    <row r="861" spans="1:13" x14ac:dyDescent="0.35">
      <c r="A861" s="23" t="str">
        <f>IFERROR(М6_АТ4021_0586!B95,"")</f>
        <v>вул. Соборна</v>
      </c>
      <c r="B861" s="23" t="str">
        <f>IFERROR(IF(М6_АТ4021_0586!C95="","",TEXT(М6_АТ4021_0586!C95,"General")),"")</f>
        <v>30,28  19,17</v>
      </c>
      <c r="C861" s="24" t="str">
        <f>"Середа"</f>
        <v>Середа</v>
      </c>
      <c r="D861" s="24" t="str">
        <f>IFERROR(TEXT(М6_АТ4021_0586!D95,"h:mm"),"")</f>
        <v>11:35</v>
      </c>
      <c r="E861" s="24" t="str">
        <f>"№6"</f>
        <v>№6</v>
      </c>
      <c r="F861" s="24" t="str">
        <f>"АТ 4021"</f>
        <v>АТ 4021</v>
      </c>
      <c r="G861" s="24" t="str">
        <f>"СВ 33-16 ЕО"</f>
        <v>СВ 33-16 ЕО</v>
      </c>
      <c r="H861" s="24"/>
      <c r="J861" s="13" t="str">
        <f t="shared" si="94"/>
        <v>вул. Соборна|30,28  19,17</v>
      </c>
      <c r="K861" s="32">
        <f t="shared" si="95"/>
        <v>0.4826388888888889</v>
      </c>
      <c r="L861" s="13" t="str">
        <f>IF($A861="","",IF(COUNTIFS($J$4:$J861,$J861,$E$4:$E861,$E861)=1,$E861,""))</f>
        <v>№6</v>
      </c>
      <c r="M861" s="13" t="str">
        <f>IF($A861="","",IF(COUNTIFS($J$4:$J861,$J861,$F$4:$F861,$F861)=1,$F861,""))</f>
        <v>АТ 4021</v>
      </c>
    </row>
    <row r="862" spans="1:13" x14ac:dyDescent="0.35">
      <c r="A862" s="23" t="str">
        <f>IFERROR(М6_АТ4021_0586!B56,"")</f>
        <v>вул. Соборна</v>
      </c>
      <c r="B862" s="23" t="str">
        <f>IFERROR(IF(М6_АТ4021_0586!C56="","",TEXT(М6_АТ4021_0586!C56,"General")),"")</f>
        <v>80,64  94  103</v>
      </c>
      <c r="C862" s="24" t="str">
        <f>"Вівторок"</f>
        <v>Вівторок</v>
      </c>
      <c r="D862" s="24" t="str">
        <f>IFERROR(TEXT(М6_АТ4021_0586!D56,"h:mm"),"")</f>
        <v>10:40</v>
      </c>
      <c r="E862" s="24" t="str">
        <f>"№6"</f>
        <v>№6</v>
      </c>
      <c r="F862" s="24" t="str">
        <f>"АТ 4021"</f>
        <v>АТ 4021</v>
      </c>
      <c r="G862" s="24" t="str">
        <f>"СВ 33-16 ЕО"</f>
        <v>СВ 33-16 ЕО</v>
      </c>
      <c r="H862" s="24"/>
      <c r="J862" s="13" t="str">
        <f t="shared" si="94"/>
        <v>вул. Соборна|80,64  94  103</v>
      </c>
      <c r="K862" s="32">
        <f t="shared" si="95"/>
        <v>0.44444444444444442</v>
      </c>
      <c r="L862" s="13" t="str">
        <f>IF($A862="","",IF(COUNTIFS($J$4:$J862,$J862,$E$4:$E862,$E862)=1,$E862,""))</f>
        <v>№6</v>
      </c>
      <c r="M862" s="13" t="str">
        <f>IF($A862="","",IF(COUNTIFS($J$4:$J862,$J862,$F$4:$F862,$F862)=1,$F862,""))</f>
        <v>АТ 4021</v>
      </c>
    </row>
    <row r="863" spans="1:13" x14ac:dyDescent="0.35">
      <c r="A863" s="23" t="str">
        <f>IFERROR('М1-2_АТ4021-1120_0585'!B24,"")</f>
        <v>вул. Соборна</v>
      </c>
      <c r="B863" s="23" t="str">
        <f>IFERROR(IF('М1-2_АТ4021-1120_0585'!C24="","",TEXT('М1-2_АТ4021-1120_0585'!C24,"General")),"")</f>
        <v>Д/с 8</v>
      </c>
      <c r="C863" s="24" t="str">
        <f>"Понеділок"</f>
        <v>Понеділок</v>
      </c>
      <c r="D863" s="24" t="str">
        <f>IFERROR(TEXT('М1-2_АТ4021-1120_0585'!D24,"h:mm"),"")</f>
        <v>13:05</v>
      </c>
      <c r="E863" s="24" t="str">
        <f>"№1"</f>
        <v>№1</v>
      </c>
      <c r="F863" s="24" t="str">
        <f>"АТ-4021/1120"</f>
        <v>АТ-4021/1120</v>
      </c>
      <c r="G863" s="24" t="str">
        <f>"СВ 14-65 ЕО"</f>
        <v>СВ 14-65 ЕО</v>
      </c>
      <c r="H863" s="24">
        <f>IFERROR('М1-2_АТ4021-1120_0585'!G24,"")</f>
        <v>1</v>
      </c>
      <c r="J863" s="13" t="str">
        <f t="shared" si="94"/>
        <v>вул. Соборна|Д/с 8</v>
      </c>
      <c r="K863" s="32">
        <f t="shared" si="95"/>
        <v>0.54513888888888884</v>
      </c>
      <c r="L863" s="13" t="str">
        <f>IF($A863="","",IF(COUNTIFS($J$4:$J863,$J863,$E$4:$E863,$E863)=1,$E863,""))</f>
        <v>№1</v>
      </c>
      <c r="M863" s="13" t="str">
        <f>IF($A863="","",IF(COUNTIFS($J$4:$J863,$J863,$F$4:$F863,$F863)=1,$F863,""))</f>
        <v>АТ-4021/1120</v>
      </c>
    </row>
    <row r="864" spans="1:13" x14ac:dyDescent="0.35">
      <c r="A864" s="23" t="str">
        <f>IFERROR(М6_АТ4021_0586!B118,"")</f>
        <v>вул. Сорочинська</v>
      </c>
      <c r="B864" s="23" t="str">
        <f>IFERROR(IF(М6_АТ4021_0586!C118="","",TEXT(М6_АТ4021_0586!C118,"General")),"")</f>
        <v>145,150  152</v>
      </c>
      <c r="C864" s="24" t="str">
        <f>"Четвер"</f>
        <v>Четвер</v>
      </c>
      <c r="D864" s="24" t="str">
        <f>IFERROR(TEXT(М6_АТ4021_0586!D118,"h:mm"),"")</f>
        <v>7:30</v>
      </c>
      <c r="E864" s="24" t="str">
        <f>"№6"</f>
        <v>№6</v>
      </c>
      <c r="F864" s="24" t="str">
        <f>"АТ 4021"</f>
        <v>АТ 4021</v>
      </c>
      <c r="G864" s="24" t="str">
        <f>"СВ 33-16 ЕО"</f>
        <v>СВ 33-16 ЕО</v>
      </c>
      <c r="H864" s="24"/>
      <c r="J864" s="13" t="str">
        <f t="shared" si="94"/>
        <v>вул. Сорочинська|145,150  152</v>
      </c>
      <c r="K864" s="32">
        <f t="shared" si="95"/>
        <v>0.3125</v>
      </c>
      <c r="L864" s="13" t="str">
        <f>IF($A864="","",IF(COUNTIFS($J$4:$J864,$J864,$E$4:$E864,$E864)=1,$E864,""))</f>
        <v>№6</v>
      </c>
      <c r="M864" s="13" t="str">
        <f>IF($A864="","",IF(COUNTIFS($J$4:$J864,$J864,$F$4:$F864,$F864)=1,$F864,""))</f>
        <v>АТ 4021</v>
      </c>
    </row>
    <row r="865" spans="1:13" x14ac:dyDescent="0.35">
      <c r="A865" s="23" t="str">
        <f>IFERROR(М6_АТ4021_0586!B78,"")</f>
        <v>вул. Сорочинська</v>
      </c>
      <c r="B865" s="23" t="str">
        <f>IFERROR(IF(М6_АТ4021_0586!C78="","",TEXT(М6_АТ4021_0586!C78,"General")),"")</f>
        <v>4</v>
      </c>
      <c r="C865" s="24" t="str">
        <f>"Середа"</f>
        <v>Середа</v>
      </c>
      <c r="D865" s="24" t="str">
        <f>IFERROR(TEXT(М6_АТ4021_0586!D78,"h:mm"),"")</f>
        <v>7:00</v>
      </c>
      <c r="E865" s="24" t="str">
        <f>"№6"</f>
        <v>№6</v>
      </c>
      <c r="F865" s="24" t="str">
        <f>"АТ 4021"</f>
        <v>АТ 4021</v>
      </c>
      <c r="G865" s="24" t="str">
        <f>"СВ 33-16 ЕО"</f>
        <v>СВ 33-16 ЕО</v>
      </c>
      <c r="H865" s="24"/>
      <c r="J865" s="13" t="str">
        <f t="shared" si="94"/>
        <v>вул. Сорочинська|4</v>
      </c>
      <c r="K865" s="32">
        <f t="shared" si="95"/>
        <v>0.29166666666666669</v>
      </c>
      <c r="L865" s="13" t="str">
        <f>IF($A865="","",IF(COUNTIFS($J$4:$J865,$J865,$E$4:$E865,$E865)=1,$E865,""))</f>
        <v>№6</v>
      </c>
      <c r="M865" s="13" t="str">
        <f>IF($A865="","",IF(COUNTIFS($J$4:$J865,$J865,$F$4:$F865,$F865)=1,$F865,""))</f>
        <v>АТ 4021</v>
      </c>
    </row>
    <row r="866" spans="1:13" x14ac:dyDescent="0.35">
      <c r="A866" s="23" t="str">
        <f>IFERROR(М6_АТ4021_0586!B10,"")</f>
        <v>вул. Сорочинська</v>
      </c>
      <c r="B866" s="23" t="str">
        <f>IFERROR(IF(М6_АТ4021_0586!C10="","",TEXT(М6_АТ4021_0586!C10,"General")),"")</f>
        <v>5</v>
      </c>
      <c r="C866" s="24" t="str">
        <f>"Понеділок"</f>
        <v>Понеділок</v>
      </c>
      <c r="D866" s="24" t="str">
        <f>IFERROR(TEXT(М6_АТ4021_0586!D10,"h:mm"),"")</f>
        <v>7:45</v>
      </c>
      <c r="E866" s="24" t="str">
        <f>"№6"</f>
        <v>№6</v>
      </c>
      <c r="F866" s="24" t="str">
        <f>"АТ 4021"</f>
        <v>АТ 4021</v>
      </c>
      <c r="G866" s="24" t="str">
        <f>"СВ 33-16 ЕО"</f>
        <v>СВ 33-16 ЕО</v>
      </c>
      <c r="H866" s="24"/>
      <c r="J866" s="13" t="str">
        <f t="shared" si="94"/>
        <v>вул. Сорочинська|5</v>
      </c>
      <c r="K866" s="32">
        <f t="shared" si="95"/>
        <v>0.32291666666666669</v>
      </c>
      <c r="L866" s="13" t="str">
        <f>IF($A866="","",IF(COUNTIFS($J$4:$J866,$J866,$E$4:$E866,$E866)=1,$E866,""))</f>
        <v>№6</v>
      </c>
      <c r="M866" s="13" t="str">
        <f>IF($A866="","",IF(COUNTIFS($J$4:$J866,$J866,$F$4:$F866,$F866)=1,$F866,""))</f>
        <v>АТ 4021</v>
      </c>
    </row>
    <row r="867" spans="1:13" x14ac:dyDescent="0.35">
      <c r="A867" s="23" t="str">
        <f>IFERROR(М6_АТ4021_0586!B45,"")</f>
        <v>вул. Сорочинська</v>
      </c>
      <c r="B867" s="23" t="str">
        <f>IFERROR(IF(М6_АТ4021_0586!C45="","",TEXT(М6_АТ4021_0586!C45,"General")),"")</f>
        <v>87,69  27,20</v>
      </c>
      <c r="C867" s="24" t="str">
        <f>"Вівторок"</f>
        <v>Вівторок</v>
      </c>
      <c r="D867" s="24" t="str">
        <f>IFERROR(TEXT(М6_АТ4021_0586!D45,"h:mm"),"")</f>
        <v>7:00</v>
      </c>
      <c r="E867" s="24" t="str">
        <f>"№6"</f>
        <v>№6</v>
      </c>
      <c r="F867" s="24" t="str">
        <f>"АТ 4021"</f>
        <v>АТ 4021</v>
      </c>
      <c r="G867" s="24" t="str">
        <f>"СВ 33-16 ЕО"</f>
        <v>СВ 33-16 ЕО</v>
      </c>
      <c r="H867" s="24"/>
      <c r="J867" s="13" t="str">
        <f t="shared" si="94"/>
        <v>вул. Сорочинська|87,69  27,20</v>
      </c>
      <c r="K867" s="32">
        <f t="shared" si="95"/>
        <v>0.29166666666666669</v>
      </c>
      <c r="L867" s="13" t="str">
        <f>IF($A867="","",IF(COUNTIFS($J$4:$J867,$J867,$E$4:$E867,$E867)=1,$E867,""))</f>
        <v>№6</v>
      </c>
      <c r="M867" s="13" t="str">
        <f>IF($A867="","",IF(COUNTIFS($J$4:$J867,$J867,$F$4:$F867,$F867)=1,$F867,""))</f>
        <v>АТ 4021</v>
      </c>
    </row>
    <row r="868" spans="1:13" x14ac:dyDescent="0.35">
      <c r="A868" s="23" t="str">
        <f>IFERROR('М2_АТ4021-1120_0588'!B56,"")</f>
        <v>вул. Сорочинська</v>
      </c>
      <c r="B868" s="23" t="str">
        <f>IFERROR(IF('М2_АТ4021-1120_0588'!C56="","",TEXT('М2_АТ4021-1120_0588'!C56,"General")),"")</f>
        <v>ФОП Лупоненко</v>
      </c>
      <c r="C868" s="24" t="str">
        <f>"Вівторок"</f>
        <v>Вівторок</v>
      </c>
      <c r="D868" s="24" t="str">
        <f>IFERROR(TEXT('М2_АТ4021-1120_0588'!D56,"h:mm"),"")</f>
        <v>15:05</v>
      </c>
      <c r="E868" s="24" t="str">
        <f>"№2"</f>
        <v>№2</v>
      </c>
      <c r="F868" s="24" t="str">
        <f>"АТ 4021/1120"</f>
        <v>АТ 4021/1120</v>
      </c>
      <c r="G868" s="24" t="str">
        <f>"СВ 64-11 ЕТ"</f>
        <v>СВ 64-11 ЕТ</v>
      </c>
      <c r="H868" s="24">
        <f>IFERROR('М2_АТ4021-1120_0588'!G56,"")</f>
        <v>1</v>
      </c>
      <c r="J868" s="13" t="str">
        <f t="shared" si="94"/>
        <v>вул. Сорочинська|ФОП Лупоненко</v>
      </c>
      <c r="K868" s="32">
        <f t="shared" si="95"/>
        <v>0.62847222222222221</v>
      </c>
      <c r="L868" s="13" t="str">
        <f>IF($A868="","",IF(COUNTIFS($J$4:$J868,$J868,$E$4:$E868,$E868)=1,$E868,""))</f>
        <v>№2</v>
      </c>
      <c r="M868" s="13" t="str">
        <f>IF($A868="","",IF(COUNTIFS($J$4:$J868,$J868,$F$4:$F868,$F868)=1,$F868,""))</f>
        <v>АТ 4021/1120</v>
      </c>
    </row>
    <row r="869" spans="1:13" x14ac:dyDescent="0.35">
      <c r="A869" s="23" t="str">
        <f>IFERROR('М3-4_ГАЗ3309_0590'!B121,"")</f>
        <v>вул. Сорочинська</v>
      </c>
      <c r="B869" s="23" t="str">
        <f>IFERROR(IF('М3-4_ГАЗ3309_0590'!C121="","",TEXT('М3-4_ГАЗ3309_0590'!C121,"General")),"")</f>
        <v>шк. 13</v>
      </c>
      <c r="C869" s="24" t="str">
        <f>"Понеділок"</f>
        <v>Понеділок</v>
      </c>
      <c r="D869" s="24" t="str">
        <f>IFERROR(TEXT('М3-4_ГАЗ3309_0590'!D121,"h:mm"),"")</f>
        <v>7:25</v>
      </c>
      <c r="E869" s="24" t="str">
        <f>"№3"</f>
        <v>№3</v>
      </c>
      <c r="F869" s="24" t="str">
        <f>"ГАЗ 3309"</f>
        <v>ГАЗ 3309</v>
      </c>
      <c r="G869" s="24" t="str">
        <f>"СВ 17-85 ВН"</f>
        <v>СВ 17-85 ВН</v>
      </c>
      <c r="H869" s="24">
        <f>IFERROR('М3-4_ГАЗ3309_0590'!G121,"")</f>
        <v>3</v>
      </c>
      <c r="J869" s="13" t="str">
        <f t="shared" si="94"/>
        <v>вул. Сорочинська|шк. 13</v>
      </c>
      <c r="K869" s="32">
        <f t="shared" si="95"/>
        <v>0.30902777777777779</v>
      </c>
      <c r="L869" s="13" t="str">
        <f>IF($A869="","",IF(COUNTIFS($J$4:$J869,$J869,$E$4:$E869,$E869)=1,$E869,""))</f>
        <v>№3</v>
      </c>
      <c r="M869" s="13" t="str">
        <f>IF($A869="","",IF(COUNTIFS($J$4:$J869,$J869,$F$4:$F869,$F869)=1,$F869,""))</f>
        <v>ГАЗ 3309</v>
      </c>
    </row>
    <row r="870" spans="1:13" x14ac:dyDescent="0.35">
      <c r="A870" s="23" t="str">
        <f>IFERROR(М6_АТ4021_0586!B145,"")</f>
        <v>вул. Степова</v>
      </c>
      <c r="B870" s="23" t="str">
        <f>IFERROR(IF(М6_АТ4021_0586!C145="","",TEXT(М6_АТ4021_0586!C145,"General")),"")</f>
        <v>8,13</v>
      </c>
      <c r="C870" s="24" t="str">
        <f>"Четвер"</f>
        <v>Четвер</v>
      </c>
      <c r="D870" s="24" t="str">
        <f>IFERROR(TEXT(М6_АТ4021_0586!D145,"h:mm"),"")</f>
        <v>15:10</v>
      </c>
      <c r="E870" s="24" t="str">
        <f>"№6"</f>
        <v>№6</v>
      </c>
      <c r="F870" s="24" t="str">
        <f>"АТ 4021"</f>
        <v>АТ 4021</v>
      </c>
      <c r="G870" s="24" t="str">
        <f>"СВ 33-16 ЕО"</f>
        <v>СВ 33-16 ЕО</v>
      </c>
      <c r="H870" s="24"/>
      <c r="J870" s="13" t="str">
        <f t="shared" si="94"/>
        <v>вул. Степова|8,13</v>
      </c>
      <c r="K870" s="32">
        <f t="shared" si="95"/>
        <v>0.63194444444444442</v>
      </c>
      <c r="L870" s="13" t="str">
        <f>IF($A870="","",IF(COUNTIFS($J$4:$J870,$J870,$E$4:$E870,$E870)=1,$E870,""))</f>
        <v>№6</v>
      </c>
      <c r="M870" s="13" t="str">
        <f>IF($A870="","",IF(COUNTIFS($J$4:$J870,$J870,$F$4:$F870,$F870)=1,$F870,""))</f>
        <v>АТ 4021</v>
      </c>
    </row>
    <row r="871" spans="1:13" x14ac:dyDescent="0.35">
      <c r="A871" s="23" t="str">
        <f>IFERROR(М5_МАЗ4381_0592!B45,"")</f>
        <v>вул. Січових Стрільців</v>
      </c>
      <c r="B871" s="23" t="str">
        <f>IFERROR(IF(М5_МАЗ4381_0592!C45="","",TEXT(М5_МАЗ4381_0592!C45,"General")),"")</f>
        <v/>
      </c>
      <c r="C871" s="24" t="str">
        <f>"Вівторок"</f>
        <v>Вівторок</v>
      </c>
      <c r="D871" s="24" t="str">
        <f>IFERROR(TEXT(М5_МАЗ4381_0592!D45,"h:mm"),"")</f>
        <v>7:10</v>
      </c>
      <c r="E871" s="24" t="str">
        <f>"№5"</f>
        <v>№5</v>
      </c>
      <c r="F871" s="24" t="str">
        <f>"МАЗ 4381"</f>
        <v>МАЗ 4381</v>
      </c>
      <c r="G871" s="24" t="str">
        <f>"СВ 81-71 ВК"</f>
        <v>СВ 81-71 ВК</v>
      </c>
      <c r="H871" s="24"/>
      <c r="J871" s="13" t="str">
        <f t="shared" si="94"/>
        <v>вул. Січових Стрільців|</v>
      </c>
      <c r="K871" s="32">
        <f t="shared" si="95"/>
        <v>0.2986111111111111</v>
      </c>
      <c r="L871" s="13" t="str">
        <f>IF($A871="","",IF(COUNTIFS($J$4:$J871,$J871,$E$4:$E871,$E871)=1,$E871,""))</f>
        <v>№5</v>
      </c>
      <c r="M871" s="13" t="str">
        <f>IF($A871="","",IF(COUNTIFS($J$4:$J871,$J871,$F$4:$F871,$F871)=1,$F871,""))</f>
        <v>МАЗ 4381</v>
      </c>
    </row>
    <row r="872" spans="1:13" x14ac:dyDescent="0.35">
      <c r="A872" s="23" t="str">
        <f>IFERROR(М5_МАЗ4381_0592!B66,"")</f>
        <v>вул. Трубарівська</v>
      </c>
      <c r="B872" s="23" t="str">
        <f>IFERROR(IF(М5_МАЗ4381_0592!C66="","",TEXT(М5_МАЗ4381_0592!C66,"General")),"")</f>
        <v/>
      </c>
      <c r="C872" s="24" t="str">
        <f>"Вівторок"</f>
        <v>Вівторок</v>
      </c>
      <c r="D872" s="24" t="str">
        <f>IFERROR(TEXT(М5_МАЗ4381_0592!D66,"h:mm"),"")</f>
        <v>12:50</v>
      </c>
      <c r="E872" s="24" t="str">
        <f>"№5"</f>
        <v>№5</v>
      </c>
      <c r="F872" s="24" t="str">
        <f>"МАЗ 4381"</f>
        <v>МАЗ 4381</v>
      </c>
      <c r="G872" s="24" t="str">
        <f>"СВ 81-71 ВК"</f>
        <v>СВ 81-71 ВК</v>
      </c>
      <c r="H872" s="24"/>
      <c r="J872" s="13" t="str">
        <f t="shared" si="94"/>
        <v>вул. Трубарівська|</v>
      </c>
      <c r="K872" s="32">
        <f t="shared" si="95"/>
        <v>0.53472222222222221</v>
      </c>
      <c r="L872" s="13" t="str">
        <f>IF($A872="","",IF(COUNTIFS($J$4:$J872,$J872,$E$4:$E872,$E872)=1,$E872,""))</f>
        <v>№5</v>
      </c>
      <c r="M872" s="13" t="str">
        <f>IF($A872="","",IF(COUNTIFS($J$4:$J872,$J872,$F$4:$F872,$F872)=1,$F872,""))</f>
        <v>МАЗ 4381</v>
      </c>
    </row>
    <row r="873" spans="1:13" x14ac:dyDescent="0.35">
      <c r="A873" s="23" t="str">
        <f>IFERROR(М5_МАЗ4381_0592!B167,"")</f>
        <v>вул. Трубарівська</v>
      </c>
      <c r="B873" s="23" t="str">
        <f>IFERROR(IF(М5_МАЗ4381_0592!C167="","",TEXT(М5_МАЗ4381_0592!C167,"General")),"")</f>
        <v/>
      </c>
      <c r="C873" s="24" t="str">
        <f>"П'ятниця"</f>
        <v>П'ятниця</v>
      </c>
      <c r="D873" s="24" t="str">
        <f>IFERROR(TEXT(М5_МАЗ4381_0592!D167,"h:mm"),"")</f>
        <v>8:25</v>
      </c>
      <c r="E873" s="24" t="str">
        <f>"№5"</f>
        <v>№5</v>
      </c>
      <c r="F873" s="24" t="str">
        <f>"МАЗ 4381"</f>
        <v>МАЗ 4381</v>
      </c>
      <c r="G873" s="24" t="str">
        <f>"СВ 81-71 ВК"</f>
        <v>СВ 81-71 ВК</v>
      </c>
      <c r="H873" s="24"/>
      <c r="J873" s="13" t="str">
        <f t="shared" si="94"/>
        <v>вул. Трубарівська|</v>
      </c>
      <c r="K873" s="32">
        <f t="shared" si="95"/>
        <v>0.35069444444444442</v>
      </c>
      <c r="L873" s="13" t="str">
        <f>IF($A873="","",IF(COUNTIFS($J$4:$J873,$J873,$E$4:$E873,$E873)=1,$E873,""))</f>
        <v/>
      </c>
      <c r="M873" s="13" t="str">
        <f>IF($A873="","",IF(COUNTIFS($J$4:$J873,$J873,$F$4:$F873,$F873)=1,$F873,""))</f>
        <v/>
      </c>
    </row>
    <row r="874" spans="1:13" x14ac:dyDescent="0.35">
      <c r="A874" s="23" t="str">
        <f>IFERROR(М6_АТ4021_0586!B19,"")</f>
        <v>вул. Фабрична</v>
      </c>
      <c r="B874" s="23" t="str">
        <f>IFERROR(IF(М6_АТ4021_0586!C19="","",TEXT(М6_АТ4021_0586!C19,"General")),"")</f>
        <v>46,30  22,12</v>
      </c>
      <c r="C874" s="24" t="str">
        <f>"Понеділок"</f>
        <v>Понеділок</v>
      </c>
      <c r="D874" s="24" t="str">
        <f>IFERROR(TEXT(М6_АТ4021_0586!D19,"h:mm"),"")</f>
        <v>9:55</v>
      </c>
      <c r="E874" s="24" t="str">
        <f>"№6"</f>
        <v>№6</v>
      </c>
      <c r="F874" s="24" t="str">
        <f>"АТ 4021"</f>
        <v>АТ 4021</v>
      </c>
      <c r="G874" s="24" t="str">
        <f>"СВ 33-16 ЕО"</f>
        <v>СВ 33-16 ЕО</v>
      </c>
      <c r="H874" s="24"/>
      <c r="J874" s="13" t="str">
        <f t="shared" si="94"/>
        <v>вул. Фабрична|46,30  22,12</v>
      </c>
      <c r="K874" s="32">
        <f t="shared" si="95"/>
        <v>0.41319444444444442</v>
      </c>
      <c r="L874" s="13" t="str">
        <f>IF($A874="","",IF(COUNTIFS($J$4:$J874,$J874,$E$4:$E874,$E874)=1,$E874,""))</f>
        <v>№6</v>
      </c>
      <c r="M874" s="13" t="str">
        <f>IF($A874="","",IF(COUNTIFS($J$4:$J874,$J874,$F$4:$F874,$F874)=1,$F874,""))</f>
        <v>АТ 4021</v>
      </c>
    </row>
    <row r="875" spans="1:13" x14ac:dyDescent="0.35">
      <c r="A875" s="23" t="str">
        <f>IFERROR(М6_АТ4021_0586!B81,"")</f>
        <v>вул. Фабрична</v>
      </c>
      <c r="B875" s="23" t="str">
        <f>IFERROR(IF(М6_АТ4021_0586!C81="","",TEXT(М6_АТ4021_0586!C81,"General")),"")</f>
        <v>62,94  101,120</v>
      </c>
      <c r="C875" s="24" t="str">
        <f>"Середа"</f>
        <v>Середа</v>
      </c>
      <c r="D875" s="24" t="str">
        <f>IFERROR(TEXT(М6_АТ4021_0586!D81,"h:mm"),"")</f>
        <v>7:45</v>
      </c>
      <c r="E875" s="24" t="str">
        <f>"№6"</f>
        <v>№6</v>
      </c>
      <c r="F875" s="24" t="str">
        <f>"АТ 4021"</f>
        <v>АТ 4021</v>
      </c>
      <c r="G875" s="24" t="str">
        <f>"СВ 33-16 ЕО"</f>
        <v>СВ 33-16 ЕО</v>
      </c>
      <c r="H875" s="24"/>
      <c r="J875" s="13" t="str">
        <f t="shared" si="94"/>
        <v>вул. Фабрична|62,94  101,120</v>
      </c>
      <c r="K875" s="32">
        <f t="shared" si="95"/>
        <v>0.32291666666666669</v>
      </c>
      <c r="L875" s="13" t="str">
        <f>IF($A875="","",IF(COUNTIFS($J$4:$J875,$J875,$E$4:$E875,$E875)=1,$E875,""))</f>
        <v>№6</v>
      </c>
      <c r="M875" s="13" t="str">
        <f>IF($A875="","",IF(COUNTIFS($J$4:$J875,$J875,$F$4:$F875,$F875)=1,$F875,""))</f>
        <v>АТ 4021</v>
      </c>
    </row>
    <row r="876" spans="1:13" x14ac:dyDescent="0.35">
      <c r="A876" s="23" t="str">
        <f>IFERROR(М6_АТ4021_0586!B13,"")</f>
        <v>вул. Фабрична</v>
      </c>
      <c r="B876" s="23" t="str">
        <f>IFERROR(IF(М6_АТ4021_0586!C13="","",TEXT(М6_АТ4021_0586!C13,"General")),"")</f>
        <v>69,79  59,86</v>
      </c>
      <c r="C876" s="24" t="str">
        <f>"Понеділок"</f>
        <v>Понеділок</v>
      </c>
      <c r="D876" s="24" t="str">
        <f>IFERROR(TEXT(М6_АТ4021_0586!D13,"h:mm"),"")</f>
        <v>8:30</v>
      </c>
      <c r="E876" s="24" t="str">
        <f>"№6"</f>
        <v>№6</v>
      </c>
      <c r="F876" s="24" t="str">
        <f>"АТ 4021"</f>
        <v>АТ 4021</v>
      </c>
      <c r="G876" s="24" t="str">
        <f>"СВ 33-16 ЕО"</f>
        <v>СВ 33-16 ЕО</v>
      </c>
      <c r="H876" s="24"/>
      <c r="J876" s="13" t="str">
        <f t="shared" si="94"/>
        <v>вул. Фабрична|69,79  59,86</v>
      </c>
      <c r="K876" s="32">
        <f t="shared" si="95"/>
        <v>0.35416666666666669</v>
      </c>
      <c r="L876" s="13" t="str">
        <f>IF($A876="","",IF(COUNTIFS($J$4:$J876,$J876,$E$4:$E876,$E876)=1,$E876,""))</f>
        <v>№6</v>
      </c>
      <c r="M876" s="13" t="str">
        <f>IF($A876="","",IF(COUNTIFS($J$4:$J876,$J876,$F$4:$F876,$F876)=1,$F876,""))</f>
        <v>АТ 4021</v>
      </c>
    </row>
    <row r="877" spans="1:13" x14ac:dyDescent="0.35">
      <c r="A877" s="23" t="str">
        <f>IFERROR(М6_АТ4021_0586!B123,"")</f>
        <v>вул. Фабрична</v>
      </c>
      <c r="B877" s="23" t="str">
        <f>IFERROR(IF(М6_АТ4021_0586!C123="","",TEXT(М6_АТ4021_0586!C123,"General")),"")</f>
        <v>м-н "Оазис"</v>
      </c>
      <c r="C877" s="24" t="str">
        <f>"Четвер"</f>
        <v>Четвер</v>
      </c>
      <c r="D877" s="24" t="str">
        <f>IFERROR(TEXT(М6_АТ4021_0586!D123,"h:mm"),"")</f>
        <v>8:45</v>
      </c>
      <c r="E877" s="24" t="str">
        <f>"№6"</f>
        <v>№6</v>
      </c>
      <c r="F877" s="24" t="str">
        <f>"АТ 4021"</f>
        <v>АТ 4021</v>
      </c>
      <c r="G877" s="24" t="str">
        <f>"СВ 33-16 ЕО"</f>
        <v>СВ 33-16 ЕО</v>
      </c>
      <c r="H877" s="24"/>
      <c r="J877" s="13" t="str">
        <f t="shared" si="94"/>
        <v>вул. Фабрична|м-н "Оазис"</v>
      </c>
      <c r="K877" s="32">
        <f t="shared" si="95"/>
        <v>0.36458333333333331</v>
      </c>
      <c r="L877" s="13" t="str">
        <f>IF($A877="","",IF(COUNTIFS($J$4:$J877,$J877,$E$4:$E877,$E877)=1,$E877,""))</f>
        <v>№6</v>
      </c>
      <c r="M877" s="13" t="str">
        <f>IF($A877="","",IF(COUNTIFS($J$4:$J877,$J877,$F$4:$F877,$F877)=1,$F877,""))</f>
        <v>АТ 4021</v>
      </c>
    </row>
    <row r="878" spans="1:13" x14ac:dyDescent="0.35">
      <c r="A878" s="23" t="str">
        <f>IFERROR(М6_АТ4021_0586!B160,"")</f>
        <v>вул. Фабрична</v>
      </c>
      <c r="B878" s="23" t="str">
        <f>IFERROR(IF(М6_АТ4021_0586!C160="","",TEXT(М6_АТ4021_0586!C160,"General")),"")</f>
        <v>м-н "Оазис"</v>
      </c>
      <c r="C878" s="24" t="str">
        <f>"П'ятниця"</f>
        <v>П'ятниця</v>
      </c>
      <c r="D878" s="24" t="str">
        <f>IFERROR(TEXT(М6_АТ4021_0586!D160,"h:mm"),"")</f>
        <v>8:20</v>
      </c>
      <c r="E878" s="24" t="str">
        <f>"№6"</f>
        <v>№6</v>
      </c>
      <c r="F878" s="24" t="str">
        <f>"АТ 4021"</f>
        <v>АТ 4021</v>
      </c>
      <c r="G878" s="24" t="str">
        <f>"СВ 33-16 ЕО"</f>
        <v>СВ 33-16 ЕО</v>
      </c>
      <c r="H878" s="24"/>
      <c r="J878" s="13" t="str">
        <f t="shared" si="94"/>
        <v>вул. Фабрична|м-н "Оазис"</v>
      </c>
      <c r="K878" s="32">
        <f t="shared" si="95"/>
        <v>0.34722222222222221</v>
      </c>
      <c r="L878" s="13" t="str">
        <f>IF($A878="","",IF(COUNTIFS($J$4:$J878,$J878,$E$4:$E878,$E878)=1,$E878,""))</f>
        <v/>
      </c>
      <c r="M878" s="13" t="str">
        <f>IF($A878="","",IF(COUNTIFS($J$4:$J878,$J878,$F$4:$F878,$F878)=1,$F878,""))</f>
        <v/>
      </c>
    </row>
    <row r="879" spans="1:13" x14ac:dyDescent="0.35">
      <c r="A879" s="23" t="str">
        <f>IFERROR(М5_МАЗ4381_0592!B109,"")</f>
        <v>вул. Червона Рута</v>
      </c>
      <c r="B879" s="23" t="str">
        <f>IFERROR(IF(М5_МАЗ4381_0592!C109="","",TEXT(М5_МАЗ4381_0592!C109,"General")),"")</f>
        <v/>
      </c>
      <c r="C879" s="24" t="str">
        <f>"Середа"</f>
        <v>Середа</v>
      </c>
      <c r="D879" s="24" t="str">
        <f>IFERROR(TEXT(М5_МАЗ4381_0592!D109,"h:mm"),"")</f>
        <v>15:00</v>
      </c>
      <c r="E879" s="24" t="str">
        <f>"№5"</f>
        <v>№5</v>
      </c>
      <c r="F879" s="24" t="str">
        <f>"МАЗ 4381"</f>
        <v>МАЗ 4381</v>
      </c>
      <c r="G879" s="24" t="str">
        <f>"СВ 81-71 ВК"</f>
        <v>СВ 81-71 ВК</v>
      </c>
      <c r="H879" s="24"/>
      <c r="J879" s="13" t="str">
        <f t="shared" si="94"/>
        <v>вул. Червона Рута|</v>
      </c>
      <c r="K879" s="32">
        <f t="shared" si="95"/>
        <v>0.625</v>
      </c>
      <c r="L879" s="13" t="str">
        <f>IF($A879="","",IF(COUNTIFS($J$4:$J879,$J879,$E$4:$E879,$E879)=1,$E879,""))</f>
        <v>№5</v>
      </c>
      <c r="M879" s="13" t="str">
        <f>IF($A879="","",IF(COUNTIFS($J$4:$J879,$J879,$F$4:$F879,$F879)=1,$F879,""))</f>
        <v>МАЗ 4381</v>
      </c>
    </row>
    <row r="880" spans="1:13" x14ac:dyDescent="0.35">
      <c r="A880" s="23" t="str">
        <f>IFERROR(М4_АТ4042ROD_0584!B21,"")</f>
        <v>вул. Чернігівська</v>
      </c>
      <c r="B880" s="23" t="str">
        <f>IFERROR(IF(М4_АТ4042ROD_0584!C21="","",TEXT(М4_АТ4042ROD_0584!C21,"General")),"")</f>
        <v>стадіон</v>
      </c>
      <c r="C880" s="24" t="str">
        <f>"Понеділок"</f>
        <v>Понеділок</v>
      </c>
      <c r="D880" s="24" t="str">
        <f>IFERROR(TEXT(М4_АТ4042ROD_0584!D21,"h:mm"),"")</f>
        <v>13:10</v>
      </c>
      <c r="E880" s="24" t="str">
        <f t="shared" ref="E880:E886" si="98">"№4"</f>
        <v>№4</v>
      </c>
      <c r="F880" s="24" t="str">
        <f>"АТ 40-42/ROD21003"</f>
        <v>АТ 40-42/ROD21003</v>
      </c>
      <c r="G880" s="24" t="str">
        <f>"СВ 33-15 ЕО"</f>
        <v>СВ 33-15 ЕО</v>
      </c>
      <c r="H880" s="24">
        <f>IFERROR(М4_АТ4042ROD_0584!G21,"")</f>
        <v>2</v>
      </c>
      <c r="J880" s="13" t="str">
        <f t="shared" si="94"/>
        <v>вул. Чернігівська|стадіон</v>
      </c>
      <c r="K880" s="32">
        <f t="shared" si="95"/>
        <v>0.54861111111111116</v>
      </c>
      <c r="L880" s="13" t="str">
        <f>IF($A880="","",IF(COUNTIFS($J$4:$J880,$J880,$E$4:$E880,$E880)=1,$E880,""))</f>
        <v>№4</v>
      </c>
      <c r="M880" s="13" t="str">
        <f>IF($A880="","",IF(COUNTIFS($J$4:$J880,$J880,$F$4:$F880,$F880)=1,$F880,""))</f>
        <v>АТ 40-42/ROD21003</v>
      </c>
    </row>
    <row r="881" spans="1:13" x14ac:dyDescent="0.35">
      <c r="A881" s="23" t="str">
        <f>IFERROR(М4_АТ4042ROD_0584!B52,"")</f>
        <v>вул. Чернігівська</v>
      </c>
      <c r="B881" s="23" t="str">
        <f>IFERROR(IF(М4_АТ4042ROD_0584!C52="","",TEXT(М4_АТ4042ROD_0584!C52,"General")),"")</f>
        <v>стадіон</v>
      </c>
      <c r="C881" s="24" t="str">
        <f>"Вівторок"</f>
        <v>Вівторок</v>
      </c>
      <c r="D881" s="24" t="str">
        <f>IFERROR(TEXT(М4_АТ4042ROD_0584!D52,"h:mm"),"")</f>
        <v>12:50</v>
      </c>
      <c r="E881" s="24" t="str">
        <f t="shared" si="98"/>
        <v>№4</v>
      </c>
      <c r="F881" s="24" t="str">
        <f>"АТ 40-42/ROD21003"</f>
        <v>АТ 40-42/ROD21003</v>
      </c>
      <c r="G881" s="24" t="str">
        <f>"СВ 33-15 ЕО"</f>
        <v>СВ 33-15 ЕО</v>
      </c>
      <c r="H881" s="24">
        <f>IFERROR(М4_АТ4042ROD_0584!G52,"")</f>
        <v>2</v>
      </c>
      <c r="J881" s="13" t="str">
        <f t="shared" si="94"/>
        <v>вул. Чернігівська|стадіон</v>
      </c>
      <c r="K881" s="32">
        <f t="shared" si="95"/>
        <v>0.53472222222222221</v>
      </c>
      <c r="L881" s="13" t="str">
        <f>IF($A881="","",IF(COUNTIFS($J$4:$J881,$J881,$E$4:$E881,$E881)=1,$E881,""))</f>
        <v/>
      </c>
      <c r="M881" s="13" t="str">
        <f>IF($A881="","",IF(COUNTIFS($J$4:$J881,$J881,$F$4:$F881,$F881)=1,$F881,""))</f>
        <v/>
      </c>
    </row>
    <row r="882" spans="1:13" x14ac:dyDescent="0.35">
      <c r="A882" s="23" t="str">
        <f>IFERROR('М3-4_ГАЗ3309_0590'!B79,"")</f>
        <v>вул. Чернігівська</v>
      </c>
      <c r="B882" s="23" t="str">
        <f>IFERROR(IF('М3-4_ГАЗ3309_0590'!C79="","",TEXT('М3-4_ГАЗ3309_0590'!C79,"General")),"")</f>
        <v>стадіон</v>
      </c>
      <c r="C882" s="24" t="str">
        <f>"Середа"</f>
        <v>Середа</v>
      </c>
      <c r="D882" s="24" t="str">
        <f>IFERROR(TEXT('М3-4_ГАЗ3309_0590'!D79,"h:mm"),"")</f>
        <v>10:35</v>
      </c>
      <c r="E882" s="24" t="str">
        <f t="shared" si="98"/>
        <v>№4</v>
      </c>
      <c r="F882" s="24" t="str">
        <f>"ГАЗ 3309"</f>
        <v>ГАЗ 3309</v>
      </c>
      <c r="G882" s="24" t="str">
        <f>"СВ 17-85 ВН"</f>
        <v>СВ 17-85 ВН</v>
      </c>
      <c r="H882" s="24">
        <f>IFERROR('М3-4_ГАЗ3309_0590'!G79,"")</f>
        <v>1</v>
      </c>
      <c r="J882" s="13" t="str">
        <f t="shared" si="94"/>
        <v>вул. Чернігівська|стадіон</v>
      </c>
      <c r="K882" s="32">
        <f t="shared" si="95"/>
        <v>0.44097222222222221</v>
      </c>
      <c r="L882" s="13" t="str">
        <f>IF($A882="","",IF(COUNTIFS($J$4:$J882,$J882,$E$4:$E882,$E882)=1,$E882,""))</f>
        <v/>
      </c>
      <c r="M882" s="13" t="str">
        <f>IF($A882="","",IF(COUNTIFS($J$4:$J882,$J882,$F$4:$F882,$F882)=1,$F882,""))</f>
        <v>ГАЗ 3309</v>
      </c>
    </row>
    <row r="883" spans="1:13" x14ac:dyDescent="0.35">
      <c r="A883" s="23" t="str">
        <f>IFERROR(М4_АТ4042ROD_0584!B85,"")</f>
        <v>вул. Чернігівська</v>
      </c>
      <c r="B883" s="23" t="str">
        <f>IFERROR(IF(М4_АТ4042ROD_0584!C85="","",TEXT(М4_АТ4042ROD_0584!C85,"General")),"")</f>
        <v>стадіон</v>
      </c>
      <c r="C883" s="24" t="str">
        <f>"Четвер"</f>
        <v>Четвер</v>
      </c>
      <c r="D883" s="24" t="str">
        <f>IFERROR(TEXT(М4_АТ4042ROD_0584!D85,"h:mm"),"")</f>
        <v>12:50</v>
      </c>
      <c r="E883" s="24" t="str">
        <f t="shared" si="98"/>
        <v>№4</v>
      </c>
      <c r="F883" s="24" t="str">
        <f>"АТ 40-42/ROD21003"</f>
        <v>АТ 40-42/ROD21003</v>
      </c>
      <c r="G883" s="24" t="str">
        <f>"СВ 33-15 ЕО"</f>
        <v>СВ 33-15 ЕО</v>
      </c>
      <c r="H883" s="24">
        <f>IFERROR(М4_АТ4042ROD_0584!G85,"")</f>
        <v>2</v>
      </c>
      <c r="J883" s="13" t="str">
        <f t="shared" si="94"/>
        <v>вул. Чернігівська|стадіон</v>
      </c>
      <c r="K883" s="32">
        <f t="shared" si="95"/>
        <v>0.53472222222222221</v>
      </c>
      <c r="L883" s="13" t="str">
        <f>IF($A883="","",IF(COUNTIFS($J$4:$J883,$J883,$E$4:$E883,$E883)=1,$E883,""))</f>
        <v/>
      </c>
      <c r="M883" s="13" t="str">
        <f>IF($A883="","",IF(COUNTIFS($J$4:$J883,$J883,$F$4:$F883,$F883)=1,$F883,""))</f>
        <v/>
      </c>
    </row>
    <row r="884" spans="1:13" x14ac:dyDescent="0.35">
      <c r="A884" s="23" t="str">
        <f>IFERROR(М4_АТ4042ROD_0584!B120,"")</f>
        <v>вул. Чернігівська</v>
      </c>
      <c r="B884" s="23" t="str">
        <f>IFERROR(IF(М4_АТ4042ROD_0584!C120="","",TEXT(М4_АТ4042ROD_0584!C120,"General")),"")</f>
        <v>стадіон</v>
      </c>
      <c r="C884" s="24" t="str">
        <f>"П'ятниця"</f>
        <v>П'ятниця</v>
      </c>
      <c r="D884" s="24" t="str">
        <f>IFERROR(TEXT(М4_АТ4042ROD_0584!D120,"h:mm"),"")</f>
        <v>13:10</v>
      </c>
      <c r="E884" s="24" t="str">
        <f t="shared" si="98"/>
        <v>№4</v>
      </c>
      <c r="F884" s="24" t="str">
        <f>"АТ 40-42/ROD21003"</f>
        <v>АТ 40-42/ROD21003</v>
      </c>
      <c r="G884" s="24" t="str">
        <f>"СВ 33-15 ЕО"</f>
        <v>СВ 33-15 ЕО</v>
      </c>
      <c r="H884" s="24">
        <f>IFERROR(М4_АТ4042ROD_0584!G120,"")</f>
        <v>2</v>
      </c>
      <c r="J884" s="13" t="str">
        <f t="shared" si="94"/>
        <v>вул. Чернігівська|стадіон</v>
      </c>
      <c r="K884" s="32">
        <f t="shared" si="95"/>
        <v>0.54861111111111116</v>
      </c>
      <c r="L884" s="13" t="str">
        <f>IF($A884="","",IF(COUNTIFS($J$4:$J884,$J884,$E$4:$E884,$E884)=1,$E884,""))</f>
        <v/>
      </c>
      <c r="M884" s="13" t="str">
        <f>IF($A884="","",IF(COUNTIFS($J$4:$J884,$J884,$F$4:$F884,$F884)=1,$F884,""))</f>
        <v/>
      </c>
    </row>
    <row r="885" spans="1:13" x14ac:dyDescent="0.35">
      <c r="A885" s="23" t="str">
        <f>IFERROR('М3-4_ГАЗ3309_0590'!B104,"")</f>
        <v>вул. Чернігівська</v>
      </c>
      <c r="B885" s="23" t="str">
        <f>IFERROR(IF('М3-4_ГАЗ3309_0590'!C104="","",TEXT('М3-4_ГАЗ3309_0590'!C104,"General")),"")</f>
        <v>стадіон</v>
      </c>
      <c r="C885" s="24" t="str">
        <f>"Субота"</f>
        <v>Субота</v>
      </c>
      <c r="D885" s="24" t="str">
        <f>IFERROR(TEXT('М3-4_ГАЗ3309_0590'!D104,"h:mm"),"")</f>
        <v>10:35</v>
      </c>
      <c r="E885" s="24" t="str">
        <f t="shared" si="98"/>
        <v>№4</v>
      </c>
      <c r="F885" s="24" t="str">
        <f>"ГАЗ 3309"</f>
        <v>ГАЗ 3309</v>
      </c>
      <c r="G885" s="24" t="str">
        <f>"СВ 17-85 ВН"</f>
        <v>СВ 17-85 ВН</v>
      </c>
      <c r="H885" s="24">
        <f>IFERROR('М3-4_ГАЗ3309_0590'!G104,"")</f>
        <v>2</v>
      </c>
      <c r="J885" s="13" t="str">
        <f t="shared" si="94"/>
        <v>вул. Чернігівська|стадіон</v>
      </c>
      <c r="K885" s="32">
        <f t="shared" si="95"/>
        <v>0.44097222222222221</v>
      </c>
      <c r="L885" s="13" t="str">
        <f>IF($A885="","",IF(COUNTIFS($J$4:$J885,$J885,$E$4:$E885,$E885)=1,$E885,""))</f>
        <v/>
      </c>
      <c r="M885" s="13" t="str">
        <f>IF($A885="","",IF(COUNTIFS($J$4:$J885,$J885,$F$4:$F885,$F885)=1,$F885,""))</f>
        <v/>
      </c>
    </row>
    <row r="886" spans="1:13" x14ac:dyDescent="0.35">
      <c r="A886" s="23" t="str">
        <f>IFERROR(М4_АТ4042ROD_0584!B153,"")</f>
        <v>вул. Чернігівська</v>
      </c>
      <c r="B886" s="23" t="str">
        <f>IFERROR(IF(М4_АТ4042ROD_0584!C153="","",TEXT(М4_АТ4042ROD_0584!C153,"General")),"")</f>
        <v>стадіон</v>
      </c>
      <c r="C886" s="24" t="str">
        <f>"Неділя"</f>
        <v>Неділя</v>
      </c>
      <c r="D886" s="24" t="str">
        <f>IFERROR(TEXT(М4_АТ4042ROD_0584!D153,"h:mm"),"")</f>
        <v>13:35</v>
      </c>
      <c r="E886" s="24" t="str">
        <f t="shared" si="98"/>
        <v>№4</v>
      </c>
      <c r="F886" s="24" t="str">
        <f>"АТ 40-42/ROD21003"</f>
        <v>АТ 40-42/ROD21003</v>
      </c>
      <c r="G886" s="24" t="str">
        <f>"СВ 33-15 ЕО"</f>
        <v>СВ 33-15 ЕО</v>
      </c>
      <c r="H886" s="24">
        <f>IFERROR(М4_АТ4042ROD_0584!G153,"")</f>
        <v>2</v>
      </c>
      <c r="J886" s="13" t="str">
        <f t="shared" si="94"/>
        <v>вул. Чернігівська|стадіон</v>
      </c>
      <c r="K886" s="32">
        <f t="shared" si="95"/>
        <v>0.56597222222222221</v>
      </c>
      <c r="L886" s="13" t="str">
        <f>IF($A886="","",IF(COUNTIFS($J$4:$J886,$J886,$E$4:$E886,$E886)=1,$E886,""))</f>
        <v/>
      </c>
      <c r="M886" s="13" t="str">
        <f>IF($A886="","",IF(COUNTIFS($J$4:$J886,$J886,$F$4:$F886,$F886)=1,$F886,""))</f>
        <v/>
      </c>
    </row>
    <row r="887" spans="1:13" x14ac:dyDescent="0.35">
      <c r="A887" s="23" t="str">
        <f>IFERROR('М1-2_АТ4021-1120_0585'!B35,"")</f>
        <v>вул. Чорновола</v>
      </c>
      <c r="B887" s="23" t="str">
        <f>IFERROR(IF('М1-2_АТ4021-1120_0585'!C35="","",TEXT('М1-2_АТ4021-1120_0585'!C35,"General")),"")</f>
        <v>133</v>
      </c>
      <c r="C887" s="24" t="str">
        <f>"Понеділок"</f>
        <v>Понеділок</v>
      </c>
      <c r="D887" s="24" t="str">
        <f>IFERROR(TEXT('М1-2_АТ4021-1120_0585'!D35,"h:mm"),"")</f>
        <v>15:10</v>
      </c>
      <c r="E887" s="24" t="str">
        <f>"№1"</f>
        <v>№1</v>
      </c>
      <c r="F887" s="24" t="str">
        <f>"АТ-4021/1120"</f>
        <v>АТ-4021/1120</v>
      </c>
      <c r="G887" s="24" t="str">
        <f>"СВ 14-65 ЕО"</f>
        <v>СВ 14-65 ЕО</v>
      </c>
      <c r="H887" s="24">
        <f>IFERROR('М1-2_АТ4021-1120_0585'!G35,"")</f>
        <v>3</v>
      </c>
      <c r="J887" s="13" t="str">
        <f t="shared" si="94"/>
        <v>вул. Чорновола|133</v>
      </c>
      <c r="K887" s="32">
        <f t="shared" si="95"/>
        <v>0.63194444444444442</v>
      </c>
      <c r="L887" s="13" t="str">
        <f>IF($A887="","",IF(COUNTIFS($J$4:$J887,$J887,$E$4:$E887,$E887)=1,$E887,""))</f>
        <v>№1</v>
      </c>
      <c r="M887" s="13" t="str">
        <f>IF($A887="","",IF(COUNTIFS($J$4:$J887,$J887,$F$4:$F887,$F887)=1,$F887,""))</f>
        <v>АТ-4021/1120</v>
      </c>
    </row>
    <row r="888" spans="1:13" x14ac:dyDescent="0.35">
      <c r="A888" s="23" t="str">
        <f>IFERROR('М3-4_ГАЗ3309_0590'!B125,"")</f>
        <v>вул. Чорновола</v>
      </c>
      <c r="B888" s="23" t="str">
        <f>IFERROR(IF('М3-4_ГАЗ3309_0590'!C125="","",TEXT('М3-4_ГАЗ3309_0590'!C125,"General")),"")</f>
        <v>ЦТДЮ</v>
      </c>
      <c r="C888" s="24" t="str">
        <f>"Понеділок"</f>
        <v>Понеділок</v>
      </c>
      <c r="D888" s="24" t="str">
        <f>IFERROR(TEXT('М3-4_ГАЗ3309_0590'!D125,"h:mm"),"")</f>
        <v>8:55</v>
      </c>
      <c r="E888" s="24" t="str">
        <f>"№3"</f>
        <v>№3</v>
      </c>
      <c r="F888" s="24" t="str">
        <f>"ГАЗ 3309"</f>
        <v>ГАЗ 3309</v>
      </c>
      <c r="G888" s="24" t="str">
        <f>"СВ 17-85 ВН"</f>
        <v>СВ 17-85 ВН</v>
      </c>
      <c r="H888" s="24">
        <f>IFERROR('М3-4_ГАЗ3309_0590'!G125,"")</f>
        <v>2</v>
      </c>
      <c r="J888" s="13" t="str">
        <f t="shared" si="94"/>
        <v>вул. Чорновола|ЦТДЮ</v>
      </c>
      <c r="K888" s="32">
        <f t="shared" si="95"/>
        <v>0.37152777777777779</v>
      </c>
      <c r="L888" s="13" t="str">
        <f>IF($A888="","",IF(COUNTIFS($J$4:$J888,$J888,$E$4:$E888,$E888)=1,$E888,""))</f>
        <v>№3</v>
      </c>
      <c r="M888" s="13" t="str">
        <f>IF($A888="","",IF(COUNTIFS($J$4:$J888,$J888,$F$4:$F888,$F888)=1,$F888,""))</f>
        <v>ГАЗ 3309</v>
      </c>
    </row>
    <row r="889" spans="1:13" x14ac:dyDescent="0.35">
      <c r="A889" s="23" t="str">
        <f>IFERROR(М6_АТ4021_0586!B65,"")</f>
        <v>вул. Шарапівська</v>
      </c>
      <c r="B889" s="23" t="str">
        <f>IFERROR(IF(М6_АТ4021_0586!C65="","",TEXT(М6_АТ4021_0586!C65,"General")),"")</f>
        <v>56,31  25,15</v>
      </c>
      <c r="C889" s="24" t="str">
        <f>"Вівторок"</f>
        <v>Вівторок</v>
      </c>
      <c r="D889" s="24" t="str">
        <f>IFERROR(TEXT(М6_АТ4021_0586!D65,"h:mm"),"")</f>
        <v>14:10</v>
      </c>
      <c r="E889" s="24" t="str">
        <f>"№6"</f>
        <v>№6</v>
      </c>
      <c r="F889" s="24" t="str">
        <f>"АТ 4021"</f>
        <v>АТ 4021</v>
      </c>
      <c r="G889" s="24" t="str">
        <f>"СВ 33-16 ЕО"</f>
        <v>СВ 33-16 ЕО</v>
      </c>
      <c r="H889" s="24"/>
      <c r="J889" s="13" t="str">
        <f t="shared" si="94"/>
        <v>вул. Шарапівська|56,31  25,15</v>
      </c>
      <c r="K889" s="32">
        <f t="shared" si="95"/>
        <v>0.59027777777777779</v>
      </c>
      <c r="L889" s="13" t="str">
        <f>IF($A889="","",IF(COUNTIFS($J$4:$J889,$J889,$E$4:$E889,$E889)=1,$E889,""))</f>
        <v>№6</v>
      </c>
      <c r="M889" s="13" t="str">
        <f>IF($A889="","",IF(COUNTIFS($J$4:$J889,$J889,$F$4:$F889,$F889)=1,$F889,""))</f>
        <v>АТ 4021</v>
      </c>
    </row>
    <row r="890" spans="1:13" x14ac:dyDescent="0.35">
      <c r="A890" s="23" t="str">
        <f>IFERROR(М6_АТ4021_0586!B136,"")</f>
        <v>вул. Шевченка</v>
      </c>
      <c r="B890" s="23" t="str">
        <f>IFERROR(IF(М6_АТ4021_0586!C136="","",TEXT(М6_АТ4021_0586!C136,"General")),"")</f>
        <v>1,5  11,15</v>
      </c>
      <c r="C890" s="24" t="str">
        <f>"Четвер"</f>
        <v>Четвер</v>
      </c>
      <c r="D890" s="24" t="str">
        <f>IFERROR(TEXT(М6_АТ4021_0586!D136,"h:mm"),"")</f>
        <v>12:35</v>
      </c>
      <c r="E890" s="24" t="str">
        <f>"№6"</f>
        <v>№6</v>
      </c>
      <c r="F890" s="24" t="str">
        <f>"АТ 4021"</f>
        <v>АТ 4021</v>
      </c>
      <c r="G890" s="24" t="str">
        <f>"СВ 33-16 ЕО"</f>
        <v>СВ 33-16 ЕО</v>
      </c>
      <c r="H890" s="24"/>
      <c r="J890" s="13" t="str">
        <f t="shared" si="94"/>
        <v>вул. Шевченка|1,5  11,15</v>
      </c>
      <c r="K890" s="32">
        <f t="shared" si="95"/>
        <v>0.52430555555555558</v>
      </c>
      <c r="L890" s="13" t="str">
        <f>IF($A890="","",IF(COUNTIFS($J$4:$J890,$J890,$E$4:$E890,$E890)=1,$E890,""))</f>
        <v>№6</v>
      </c>
      <c r="M890" s="13" t="str">
        <f>IF($A890="","",IF(COUNTIFS($J$4:$J890,$J890,$F$4:$F890,$F890)=1,$F890,""))</f>
        <v>АТ 4021</v>
      </c>
    </row>
    <row r="891" spans="1:13" x14ac:dyDescent="0.35">
      <c r="A891" s="23" t="str">
        <f>IFERROR(М2_ВГВ_РеноЛендер_0589!B13,"")</f>
        <v>вул. Шевченка</v>
      </c>
      <c r="B891" s="23" t="str">
        <f>IFERROR(IF(М2_ВГВ_РеноЛендер_0589!C13="","",TEXT(М2_ВГВ_РеноЛендер_0589!C13,"General")),"")</f>
        <v>107</v>
      </c>
      <c r="C891" s="24" t="str">
        <f>IFERROR(М2_ВГВ_РеноЛендер_0589!D13,"")</f>
        <v>П'ятниця</v>
      </c>
      <c r="D891" s="24" t="str">
        <f>"×"</f>
        <v>×</v>
      </c>
      <c r="E891" s="24" t="str">
        <f>"№2 (ВГВ)"</f>
        <v>№2 (ВГВ)</v>
      </c>
      <c r="F891" s="24" t="str">
        <f>"Рено Лендер"</f>
        <v>Рено Лендер</v>
      </c>
      <c r="G891" s="24" t="str">
        <f>"СВ 52-62 СА"</f>
        <v>СВ 52-62 СА</v>
      </c>
      <c r="H891" s="24"/>
      <c r="J891" s="13" t="str">
        <f t="shared" si="94"/>
        <v>вул. Шевченка|107</v>
      </c>
      <c r="K891" s="32">
        <f t="shared" si="95"/>
        <v>9.99</v>
      </c>
      <c r="L891" s="13" t="str">
        <f>IF($A891="","",IF(COUNTIFS($J$4:$J891,$J891,$E$4:$E891,$E891)=1,$E891,""))</f>
        <v>№2 (ВГВ)</v>
      </c>
      <c r="M891" s="13" t="str">
        <f>IF($A891="","",IF(COUNTIFS($J$4:$J891,$J891,$F$4:$F891,$F891)=1,$F891,""))</f>
        <v>Рено Лендер</v>
      </c>
    </row>
    <row r="892" spans="1:13" x14ac:dyDescent="0.35">
      <c r="A892" s="23" t="str">
        <f>IFERROR(М6_АТ4021_0586!B34,"")</f>
        <v>вул. Шевченка</v>
      </c>
      <c r="B892" s="23" t="str">
        <f>IFERROR(IF(М6_АТ4021_0586!C34="","",TEXT(М6_АТ4021_0586!C34,"General")),"")</f>
        <v>14,10  3,1</v>
      </c>
      <c r="C892" s="24" t="str">
        <f>"Понеділок"</f>
        <v>Понеділок</v>
      </c>
      <c r="D892" s="24" t="str">
        <f>IFERROR(TEXT(М6_АТ4021_0586!D34,"h:mm"),"")</f>
        <v>14:40</v>
      </c>
      <c r="E892" s="24" t="str">
        <f>"№6"</f>
        <v>№6</v>
      </c>
      <c r="F892" s="24" t="str">
        <f>"АТ 4021"</f>
        <v>АТ 4021</v>
      </c>
      <c r="G892" s="24" t="str">
        <f>"СВ 33-16 ЕО"</f>
        <v>СВ 33-16 ЕО</v>
      </c>
      <c r="H892" s="24"/>
      <c r="J892" s="13" t="str">
        <f t="shared" si="94"/>
        <v>вул. Шевченка|14,10  3,1</v>
      </c>
      <c r="K892" s="32">
        <f t="shared" si="95"/>
        <v>0.61111111111111116</v>
      </c>
      <c r="L892" s="13" t="str">
        <f>IF($A892="","",IF(COUNTIFS($J$4:$J892,$J892,$E$4:$E892,$E892)=1,$E892,""))</f>
        <v>№6</v>
      </c>
      <c r="M892" s="13" t="str">
        <f>IF($A892="","",IF(COUNTIFS($J$4:$J892,$J892,$F$4:$F892,$F892)=1,$F892,""))</f>
        <v>АТ 4021</v>
      </c>
    </row>
    <row r="893" spans="1:13" x14ac:dyDescent="0.35">
      <c r="A893" s="23" t="str">
        <f>IFERROR(М6_АТ4021_0586!B55,"")</f>
        <v>вул. Шевченка</v>
      </c>
      <c r="B893" s="23" t="str">
        <f>IFERROR(IF(М6_АТ4021_0586!C55="","",TEXT(М6_АТ4021_0586!C55,"General")),"")</f>
        <v>37,80  163  193</v>
      </c>
      <c r="C893" s="24" t="str">
        <f>"Вівторок"</f>
        <v>Вівторок</v>
      </c>
      <c r="D893" s="24" t="str">
        <f>IFERROR(TEXT(М6_АТ4021_0586!D55,"h:mm"),"")</f>
        <v>10:20</v>
      </c>
      <c r="E893" s="24" t="str">
        <f>"№6"</f>
        <v>№6</v>
      </c>
      <c r="F893" s="24" t="str">
        <f>"АТ 4021"</f>
        <v>АТ 4021</v>
      </c>
      <c r="G893" s="24" t="str">
        <f>"СВ 33-16 ЕО"</f>
        <v>СВ 33-16 ЕО</v>
      </c>
      <c r="H893" s="24"/>
      <c r="J893" s="13" t="str">
        <f t="shared" si="94"/>
        <v>вул. Шевченка|37,80  163  193</v>
      </c>
      <c r="K893" s="32">
        <f t="shared" si="95"/>
        <v>0.43055555555555558</v>
      </c>
      <c r="L893" s="13" t="str">
        <f>IF($A893="","",IF(COUNTIFS($J$4:$J893,$J893,$E$4:$E893,$E893)=1,$E893,""))</f>
        <v>№6</v>
      </c>
      <c r="M893" s="13" t="str">
        <f>IF($A893="","",IF(COUNTIFS($J$4:$J893,$J893,$F$4:$F893,$F893)=1,$F893,""))</f>
        <v>АТ 4021</v>
      </c>
    </row>
    <row r="894" spans="1:13" x14ac:dyDescent="0.35">
      <c r="A894" s="23" t="str">
        <f>IFERROR(М3_МАЗ4371_0587!B31,"")</f>
        <v>вул. Шевченка</v>
      </c>
      <c r="B894" s="23" t="str">
        <f>IFERROR(IF(М3_МАЗ4371_0587!C31="","",TEXT(М3_МАЗ4371_0587!C31,"General")),"")</f>
        <v>Профілакторій</v>
      </c>
      <c r="C894" s="24" t="str">
        <f>"Понеділок"</f>
        <v>Понеділок</v>
      </c>
      <c r="D894" s="24" t="str">
        <f>IFERROR(TEXT(М3_МАЗ4371_0587!D31,"h:mm"),"")</f>
        <v>14:00</v>
      </c>
      <c r="E894" s="24" t="str">
        <f t="shared" ref="E894:E900" si="99">"№3"</f>
        <v>№3</v>
      </c>
      <c r="F894" s="24" t="str">
        <f>"МАЗ-4371"</f>
        <v>МАЗ-4371</v>
      </c>
      <c r="G894" s="24" t="str">
        <f>"СВ 53-06 СА"</f>
        <v>СВ 53-06 СА</v>
      </c>
      <c r="H894" s="24">
        <f>IFERROR(М3_МАЗ4371_0587!G31,"")</f>
        <v>3</v>
      </c>
      <c r="J894" s="13" t="str">
        <f t="shared" si="94"/>
        <v>вул. Шевченка|Профілакторій</v>
      </c>
      <c r="K894" s="32">
        <f t="shared" si="95"/>
        <v>0.58333333333333337</v>
      </c>
      <c r="L894" s="13" t="str">
        <f>IF($A894="","",IF(COUNTIFS($J$4:$J894,$J894,$E$4:$E894,$E894)=1,$E894,""))</f>
        <v>№3</v>
      </c>
      <c r="M894" s="13" t="str">
        <f>IF($A894="","",IF(COUNTIFS($J$4:$J894,$J894,$F$4:$F894,$F894)=1,$F894,""))</f>
        <v>МАЗ-4371</v>
      </c>
    </row>
    <row r="895" spans="1:13" x14ac:dyDescent="0.35">
      <c r="A895" s="23" t="str">
        <f>IFERROR(М3_МАЗ4371_0587!B57,"")</f>
        <v>вул. Шевченка</v>
      </c>
      <c r="B895" s="23" t="str">
        <f>IFERROR(IF(М3_МАЗ4371_0587!C57="","",TEXT(М3_МАЗ4371_0587!C57,"General")),"")</f>
        <v>Профілакторій</v>
      </c>
      <c r="C895" s="24" t="str">
        <f>"Вівторок"</f>
        <v>Вівторок</v>
      </c>
      <c r="D895" s="24" t="str">
        <f>IFERROR(TEXT(М3_МАЗ4371_0587!D57,"h:mm"),"")</f>
        <v>10:35</v>
      </c>
      <c r="E895" s="24" t="str">
        <f t="shared" si="99"/>
        <v>№3</v>
      </c>
      <c r="F895" s="24" t="str">
        <f>"МАЗ-4371"</f>
        <v>МАЗ-4371</v>
      </c>
      <c r="G895" s="24" t="str">
        <f>"СВ 53-06 СА"</f>
        <v>СВ 53-06 СА</v>
      </c>
      <c r="H895" s="24">
        <f>IFERROR(М3_МАЗ4371_0587!G57,"")</f>
        <v>3</v>
      </c>
      <c r="J895" s="13" t="str">
        <f t="shared" si="94"/>
        <v>вул. Шевченка|Профілакторій</v>
      </c>
      <c r="K895" s="32">
        <f t="shared" si="95"/>
        <v>0.44097222222222221</v>
      </c>
      <c r="L895" s="13" t="str">
        <f>IF($A895="","",IF(COUNTIFS($J$4:$J895,$J895,$E$4:$E895,$E895)=1,$E895,""))</f>
        <v/>
      </c>
      <c r="M895" s="13" t="str">
        <f>IF($A895="","",IF(COUNTIFS($J$4:$J895,$J895,$F$4:$F895,$F895)=1,$F895,""))</f>
        <v/>
      </c>
    </row>
    <row r="896" spans="1:13" x14ac:dyDescent="0.35">
      <c r="A896" s="23" t="str">
        <f>IFERROR(М3_МАЗ4371_0587!B95,"")</f>
        <v>вул. Шевченка</v>
      </c>
      <c r="B896" s="23" t="str">
        <f>IFERROR(IF(М3_МАЗ4371_0587!C95="","",TEXT(М3_МАЗ4371_0587!C95,"General")),"")</f>
        <v>Профілакторій</v>
      </c>
      <c r="C896" s="24" t="str">
        <f>"Середа"</f>
        <v>Середа</v>
      </c>
      <c r="D896" s="24" t="str">
        <f>IFERROR(TEXT(М3_МАЗ4371_0587!D95,"h:mm"),"")</f>
        <v>13:10</v>
      </c>
      <c r="E896" s="24" t="str">
        <f t="shared" si="99"/>
        <v>№3</v>
      </c>
      <c r="F896" s="24" t="str">
        <f>"МАЗ-4371"</f>
        <v>МАЗ-4371</v>
      </c>
      <c r="G896" s="24" t="str">
        <f>"СВ 53-06 СА"</f>
        <v>СВ 53-06 СА</v>
      </c>
      <c r="H896" s="24">
        <f>IFERROR(М3_МАЗ4371_0587!G95,"")</f>
        <v>3</v>
      </c>
      <c r="J896" s="13" t="str">
        <f t="shared" si="94"/>
        <v>вул. Шевченка|Профілакторій</v>
      </c>
      <c r="K896" s="32">
        <f t="shared" si="95"/>
        <v>0.54861111111111116</v>
      </c>
      <c r="L896" s="13" t="str">
        <f>IF($A896="","",IF(COUNTIFS($J$4:$J896,$J896,$E$4:$E896,$E896)=1,$E896,""))</f>
        <v/>
      </c>
      <c r="M896" s="13" t="str">
        <f>IF($A896="","",IF(COUNTIFS($J$4:$J896,$J896,$F$4:$F896,$F896)=1,$F896,""))</f>
        <v/>
      </c>
    </row>
    <row r="897" spans="1:13" x14ac:dyDescent="0.35">
      <c r="A897" s="23" t="str">
        <f>IFERROR('М3-4_ГАЗ3309_0590'!B17,"")</f>
        <v>вул. Шевченка</v>
      </c>
      <c r="B897" s="23" t="str">
        <f>IFERROR(IF('М3-4_ГАЗ3309_0590'!C17="","",TEXT('М3-4_ГАЗ3309_0590'!C17,"General")),"")</f>
        <v>Профілакторій</v>
      </c>
      <c r="C897" s="24" t="str">
        <f>"Четвер"</f>
        <v>Четвер</v>
      </c>
      <c r="D897" s="24" t="str">
        <f>IFERROR(TEXT('М3-4_ГАЗ3309_0590'!D17,"h:mm"),"")</f>
        <v>10:10</v>
      </c>
      <c r="E897" s="24" t="str">
        <f t="shared" si="99"/>
        <v>№3</v>
      </c>
      <c r="F897" s="24" t="str">
        <f>"ГАЗ 3309"</f>
        <v>ГАЗ 3309</v>
      </c>
      <c r="G897" s="24" t="str">
        <f>"СВ 17-85 ВН"</f>
        <v>СВ 17-85 ВН</v>
      </c>
      <c r="H897" s="24">
        <f>IFERROR('М3-4_ГАЗ3309_0590'!G17,"")</f>
        <v>2</v>
      </c>
      <c r="J897" s="13" t="str">
        <f t="shared" si="94"/>
        <v>вул. Шевченка|Профілакторій</v>
      </c>
      <c r="K897" s="32">
        <f t="shared" si="95"/>
        <v>0.4236111111111111</v>
      </c>
      <c r="L897" s="13" t="str">
        <f>IF($A897="","",IF(COUNTIFS($J$4:$J897,$J897,$E$4:$E897,$E897)=1,$E897,""))</f>
        <v/>
      </c>
      <c r="M897" s="13" t="str">
        <f>IF($A897="","",IF(COUNTIFS($J$4:$J897,$J897,$F$4:$F897,$F897)=1,$F897,""))</f>
        <v>ГАЗ 3309</v>
      </c>
    </row>
    <row r="898" spans="1:13" x14ac:dyDescent="0.35">
      <c r="A898" s="23" t="str">
        <f>IFERROR(М3_МАЗ4371_0587!B125,"")</f>
        <v>вул. Шевченка</v>
      </c>
      <c r="B898" s="23" t="str">
        <f>IFERROR(IF(М3_МАЗ4371_0587!C125="","",TEXT(М3_МАЗ4371_0587!C125,"General")),"")</f>
        <v>Профілакторій</v>
      </c>
      <c r="C898" s="24" t="str">
        <f>"П'ятниця"</f>
        <v>П'ятниця</v>
      </c>
      <c r="D898" s="24" t="str">
        <f>IFERROR(TEXT(М3_МАЗ4371_0587!D125,"h:mm"),"")</f>
        <v>9:45</v>
      </c>
      <c r="E898" s="24" t="str">
        <f t="shared" si="99"/>
        <v>№3</v>
      </c>
      <c r="F898" s="24" t="str">
        <f>"МАЗ-4371"</f>
        <v>МАЗ-4371</v>
      </c>
      <c r="G898" s="24" t="str">
        <f>"СВ 53-06 СА"</f>
        <v>СВ 53-06 СА</v>
      </c>
      <c r="H898" s="24">
        <f>IFERROR(М3_МАЗ4371_0587!G125,"")</f>
        <v>3</v>
      </c>
      <c r="J898" s="13" t="str">
        <f t="shared" si="94"/>
        <v>вул. Шевченка|Профілакторій</v>
      </c>
      <c r="K898" s="32">
        <f t="shared" si="95"/>
        <v>0.40625</v>
      </c>
      <c r="L898" s="13" t="str">
        <f>IF($A898="","",IF(COUNTIFS($J$4:$J898,$J898,$E$4:$E898,$E898)=1,$E898,""))</f>
        <v/>
      </c>
      <c r="M898" s="13" t="str">
        <f>IF($A898="","",IF(COUNTIFS($J$4:$J898,$J898,$F$4:$F898,$F898)=1,$F898,""))</f>
        <v/>
      </c>
    </row>
    <row r="899" spans="1:13" x14ac:dyDescent="0.35">
      <c r="A899" s="23" t="str">
        <f>IFERROR(М3_МАЗ4371_0587!B164,"")</f>
        <v>вул. Шевченка</v>
      </c>
      <c r="B899" s="23" t="str">
        <f>IFERROR(IF(М3_МАЗ4371_0587!C164="","",TEXT(М3_МАЗ4371_0587!C164,"General")),"")</f>
        <v>Профілакторій</v>
      </c>
      <c r="C899" s="24" t="str">
        <f>"Субота"</f>
        <v>Субота</v>
      </c>
      <c r="D899" s="24" t="str">
        <f>IFERROR(TEXT(М3_МАЗ4371_0587!D164,"h:mm"),"")</f>
        <v>10:35</v>
      </c>
      <c r="E899" s="24" t="str">
        <f t="shared" si="99"/>
        <v>№3</v>
      </c>
      <c r="F899" s="24" t="str">
        <f>"МАЗ-4371"</f>
        <v>МАЗ-4371</v>
      </c>
      <c r="G899" s="24" t="str">
        <f>"СВ 53-06 СА"</f>
        <v>СВ 53-06 СА</v>
      </c>
      <c r="H899" s="24">
        <f>IFERROR(М3_МАЗ4371_0587!G164,"")</f>
        <v>3</v>
      </c>
      <c r="J899" s="13" t="str">
        <f t="shared" si="94"/>
        <v>вул. Шевченка|Профілакторій</v>
      </c>
      <c r="K899" s="32">
        <f t="shared" si="95"/>
        <v>0.44097222222222221</v>
      </c>
      <c r="L899" s="13" t="str">
        <f>IF($A899="","",IF(COUNTIFS($J$4:$J899,$J899,$E$4:$E899,$E899)=1,$E899,""))</f>
        <v/>
      </c>
      <c r="M899" s="13" t="str">
        <f>IF($A899="","",IF(COUNTIFS($J$4:$J899,$J899,$F$4:$F899,$F899)=1,$F899,""))</f>
        <v/>
      </c>
    </row>
    <row r="900" spans="1:13" x14ac:dyDescent="0.35">
      <c r="A900" s="23" t="str">
        <f>IFERROR('М3-4_ГАЗ3309_0590'!B49,"")</f>
        <v>вул. Шевченка</v>
      </c>
      <c r="B900" s="23" t="str">
        <f>IFERROR(IF('М3-4_ГАЗ3309_0590'!C49="","",TEXT('М3-4_ГАЗ3309_0590'!C49,"General")),"")</f>
        <v>Профілакторій</v>
      </c>
      <c r="C900" s="24" t="str">
        <f>"Неділя"</f>
        <v>Неділя</v>
      </c>
      <c r="D900" s="24" t="str">
        <f>IFERROR(TEXT('М3-4_ГАЗ3309_0590'!D49,"h:mm"),"")</f>
        <v>10:10</v>
      </c>
      <c r="E900" s="24" t="str">
        <f t="shared" si="99"/>
        <v>№3</v>
      </c>
      <c r="F900" s="24" t="str">
        <f>"ГАЗ 3309"</f>
        <v>ГАЗ 3309</v>
      </c>
      <c r="G900" s="24" t="str">
        <f>"СВ 17-85 ВН"</f>
        <v>СВ 17-85 ВН</v>
      </c>
      <c r="H900" s="24">
        <f>IFERROR('М3-4_ГАЗ3309_0590'!G49,"")</f>
        <v>3</v>
      </c>
      <c r="J900" s="13" t="str">
        <f t="shared" ref="J900:J963" si="100">IF(A900="","",A900&amp;"|"&amp;B900)</f>
        <v>вул. Шевченка|Профілакторій</v>
      </c>
      <c r="K900" s="32">
        <f t="shared" ref="K900:K963" si="101">IFERROR(IF(D900="","",IF(D900="×",9.99,TIMEVALUE(D900))),9.99)</f>
        <v>0.4236111111111111</v>
      </c>
      <c r="L900" s="13" t="str">
        <f>IF($A900="","",IF(COUNTIFS($J$4:$J900,$J900,$E$4:$E900,$E900)=1,$E900,""))</f>
        <v/>
      </c>
      <c r="M900" s="13" t="str">
        <f>IF($A900="","",IF(COUNTIFS($J$4:$J900,$J900,$F$4:$F900,$F900)=1,$F900,""))</f>
        <v/>
      </c>
    </row>
    <row r="901" spans="1:13" x14ac:dyDescent="0.35">
      <c r="A901" s="23" t="str">
        <f>IFERROR(М5_МАЗ4381_0592!B103,"")</f>
        <v>вул. Шкоропада</v>
      </c>
      <c r="B901" s="23" t="str">
        <f>IFERROR(IF(М5_МАЗ4381_0592!C103="","",TEXT(М5_МАЗ4381_0592!C103,"General")),"")</f>
        <v/>
      </c>
      <c r="C901" s="24" t="str">
        <f>"Середа"</f>
        <v>Середа</v>
      </c>
      <c r="D901" s="24" t="str">
        <f>IFERROR(TEXT(М5_МАЗ4381_0592!D103,"h:mm"),"")</f>
        <v>13:30</v>
      </c>
      <c r="E901" s="24" t="str">
        <f>"№5"</f>
        <v>№5</v>
      </c>
      <c r="F901" s="24" t="str">
        <f>"МАЗ 4381"</f>
        <v>МАЗ 4381</v>
      </c>
      <c r="G901" s="24" t="str">
        <f>"СВ 81-71 ВК"</f>
        <v>СВ 81-71 ВК</v>
      </c>
      <c r="H901" s="24"/>
      <c r="J901" s="13" t="str">
        <f t="shared" si="100"/>
        <v>вул. Шкоропада|</v>
      </c>
      <c r="K901" s="32">
        <f t="shared" si="101"/>
        <v>0.5625</v>
      </c>
      <c r="L901" s="13" t="str">
        <f>IF($A901="","",IF(COUNTIFS($J$4:$J901,$J901,$E$4:$E901,$E901)=1,$E901,""))</f>
        <v>№5</v>
      </c>
      <c r="M901" s="13" t="str">
        <f>IF($A901="","",IF(COUNTIFS($J$4:$J901,$J901,$F$4:$F901,$F901)=1,$F901,""))</f>
        <v>МАЗ 4381</v>
      </c>
    </row>
    <row r="902" spans="1:13" x14ac:dyDescent="0.35">
      <c r="A902" s="23" t="str">
        <f>IFERROR('М3-4_ГАЗ3309_0590'!B50,"")</f>
        <v>вул. Шкільна</v>
      </c>
      <c r="B902" s="23" t="str">
        <f>IFERROR(IF('М3-4_ГАЗ3309_0590'!C50="","",TEXT('М3-4_ГАЗ3309_0590'!C50,"General")),"")</f>
        <v>2</v>
      </c>
      <c r="C902" s="24" t="str">
        <f>"Неділя"</f>
        <v>Неділя</v>
      </c>
      <c r="D902" s="24" t="str">
        <f>IFERROR(TEXT('М3-4_ГАЗ3309_0590'!D50,"h:mm"),"")</f>
        <v>10:35</v>
      </c>
      <c r="E902" s="24" t="str">
        <f>"№3"</f>
        <v>№3</v>
      </c>
      <c r="F902" s="24" t="str">
        <f>"ГАЗ 3309"</f>
        <v>ГАЗ 3309</v>
      </c>
      <c r="G902" s="24" t="str">
        <f>"СВ 17-85 ВН"</f>
        <v>СВ 17-85 ВН</v>
      </c>
      <c r="H902" s="24">
        <f>IFERROR('М3-4_ГАЗ3309_0590'!G50,"")</f>
        <v>1</v>
      </c>
      <c r="J902" s="13" t="str">
        <f t="shared" si="100"/>
        <v>вул. Шкільна|2</v>
      </c>
      <c r="K902" s="32">
        <f t="shared" si="101"/>
        <v>0.44097222222222221</v>
      </c>
      <c r="L902" s="13" t="str">
        <f>IF($A902="","",IF(COUNTIFS($J$4:$J902,$J902,$E$4:$E902,$E902)=1,$E902,""))</f>
        <v>№3</v>
      </c>
      <c r="M902" s="13" t="str">
        <f>IF($A902="","",IF(COUNTIFS($J$4:$J902,$J902,$F$4:$F902,$F902)=1,$F902,""))</f>
        <v>ГАЗ 3309</v>
      </c>
    </row>
    <row r="903" spans="1:13" x14ac:dyDescent="0.35">
      <c r="A903" s="23" t="str">
        <f>IFERROR(М6_АТ4021_0586!B163,"")</f>
        <v>вул. Шкільна</v>
      </c>
      <c r="B903" s="23" t="str">
        <f>IFERROR(IF(М6_АТ4021_0586!C163="","",TEXT(М6_АТ4021_0586!C163,"General")),"")</f>
        <v>23,31  39,45</v>
      </c>
      <c r="C903" s="24" t="str">
        <f>"П'ятниця"</f>
        <v>П'ятниця</v>
      </c>
      <c r="D903" s="24" t="str">
        <f>IFERROR(TEXT(М6_АТ4021_0586!D163,"h:mm"),"")</f>
        <v>9:20</v>
      </c>
      <c r="E903" s="24" t="str">
        <f>"№6"</f>
        <v>№6</v>
      </c>
      <c r="F903" s="24" t="str">
        <f>"АТ 4021"</f>
        <v>АТ 4021</v>
      </c>
      <c r="G903" s="24" t="str">
        <f>"СВ 33-16 ЕО"</f>
        <v>СВ 33-16 ЕО</v>
      </c>
      <c r="H903" s="24"/>
      <c r="J903" s="13" t="str">
        <f t="shared" si="100"/>
        <v>вул. Шкільна|23,31  39,45</v>
      </c>
      <c r="K903" s="32">
        <f t="shared" si="101"/>
        <v>0.3888888888888889</v>
      </c>
      <c r="L903" s="13" t="str">
        <f>IF($A903="","",IF(COUNTIFS($J$4:$J903,$J903,$E$4:$E903,$E903)=1,$E903,""))</f>
        <v>№6</v>
      </c>
      <c r="M903" s="13" t="str">
        <f>IF($A903="","",IF(COUNTIFS($J$4:$J903,$J903,$F$4:$F903,$F903)=1,$F903,""))</f>
        <v>АТ 4021</v>
      </c>
    </row>
    <row r="904" spans="1:13" x14ac:dyDescent="0.35">
      <c r="A904" s="23" t="str">
        <f>IFERROR(М5_МАЗ4381_0592!B91,"")</f>
        <v>вул. Ю. Коваленка</v>
      </c>
      <c r="B904" s="23" t="str">
        <f>IFERROR(IF(М5_МАЗ4381_0592!C91="","",TEXT(М5_МАЗ4381_0592!C91,"General")),"")</f>
        <v/>
      </c>
      <c r="C904" s="24" t="str">
        <f>"Середа"</f>
        <v>Середа</v>
      </c>
      <c r="D904" s="24" t="str">
        <f>IFERROR(TEXT(М5_МАЗ4381_0592!D91,"h:mm"),"")</f>
        <v>9:00</v>
      </c>
      <c r="E904" s="24" t="str">
        <f>"№5"</f>
        <v>№5</v>
      </c>
      <c r="F904" s="24" t="str">
        <f>"МАЗ 4381"</f>
        <v>МАЗ 4381</v>
      </c>
      <c r="G904" s="24" t="str">
        <f>"СВ 81-71 ВК"</f>
        <v>СВ 81-71 ВК</v>
      </c>
      <c r="H904" s="24"/>
      <c r="J904" s="13" t="str">
        <f t="shared" si="100"/>
        <v>вул. Ю. Коваленка|</v>
      </c>
      <c r="K904" s="32">
        <f t="shared" si="101"/>
        <v>0.375</v>
      </c>
      <c r="L904" s="13" t="str">
        <f>IF($A904="","",IF(COUNTIFS($J$4:$J904,$J904,$E$4:$E904,$E904)=1,$E904,""))</f>
        <v>№5</v>
      </c>
      <c r="M904" s="13" t="str">
        <f>IF($A904="","",IF(COUNTIFS($J$4:$J904,$J904,$F$4:$F904,$F904)=1,$F904,""))</f>
        <v>МАЗ 4381</v>
      </c>
    </row>
    <row r="905" spans="1:13" x14ac:dyDescent="0.35">
      <c r="A905" s="23" t="str">
        <f>IFERROR(М2_ВГВ_РеноЛендер_0589!B5,"")</f>
        <v>вул. Ю. Мірюти</v>
      </c>
      <c r="B905" s="23" t="str">
        <f>IFERROR(IF(М2_ВГВ_РеноЛендер_0589!C5="","",TEXT(М2_ВГВ_РеноЛендер_0589!C5,"General")),"")</f>
        <v>30</v>
      </c>
      <c r="C905" s="24" t="str">
        <f>IFERROR(М2_ВГВ_РеноЛендер_0589!D5,"")</f>
        <v>Понеділок</v>
      </c>
      <c r="D905" s="24" t="str">
        <f>"×"</f>
        <v>×</v>
      </c>
      <c r="E905" s="24" t="str">
        <f>"№2 (ВГВ)"</f>
        <v>№2 (ВГВ)</v>
      </c>
      <c r="F905" s="24" t="str">
        <f>"Рено Лендер"</f>
        <v>Рено Лендер</v>
      </c>
      <c r="G905" s="24" t="str">
        <f>"СВ 52-62 СА"</f>
        <v>СВ 52-62 СА</v>
      </c>
      <c r="H905" s="24"/>
      <c r="J905" s="13" t="str">
        <f t="shared" si="100"/>
        <v>вул. Ю. Мірюти|30</v>
      </c>
      <c r="K905" s="32">
        <f t="shared" si="101"/>
        <v>9.99</v>
      </c>
      <c r="L905" s="13" t="str">
        <f>IF($A905="","",IF(COUNTIFS($J$4:$J905,$J905,$E$4:$E905,$E905)=1,$E905,""))</f>
        <v>№2 (ВГВ)</v>
      </c>
      <c r="M905" s="13" t="str">
        <f>IF($A905="","",IF(COUNTIFS($J$4:$J905,$J905,$F$4:$F905,$F905)=1,$F905,""))</f>
        <v>Рено Лендер</v>
      </c>
    </row>
    <row r="906" spans="1:13" x14ac:dyDescent="0.35">
      <c r="A906" s="23" t="str">
        <f>IFERROR('М1-2_АТ4021-1120_0585'!B15,"")</f>
        <v>вул. Ю. Мірюти</v>
      </c>
      <c r="B906" s="23" t="str">
        <f>IFERROR(IF('М1-2_АТ4021-1120_0585'!C15="","",TEXT('М1-2_АТ4021-1120_0585'!C15,"General")),"")</f>
        <v>АЗС</v>
      </c>
      <c r="C906" s="24" t="str">
        <f>"Понеділок"</f>
        <v>Понеділок</v>
      </c>
      <c r="D906" s="24" t="str">
        <f>IFERROR(TEXT('М1-2_АТ4021-1120_0585'!D15,"h:mm"),"")</f>
        <v>10:15</v>
      </c>
      <c r="E906" s="24" t="str">
        <f>"№1"</f>
        <v>№1</v>
      </c>
      <c r="F906" s="24" t="str">
        <f>"АТ-4021/1120"</f>
        <v>АТ-4021/1120</v>
      </c>
      <c r="G906" s="24" t="str">
        <f>"СВ 14-65 ЕО"</f>
        <v>СВ 14-65 ЕО</v>
      </c>
      <c r="H906" s="24">
        <f>IFERROR('М1-2_АТ4021-1120_0585'!G15,"")</f>
        <v>1</v>
      </c>
      <c r="J906" s="13" t="str">
        <f t="shared" si="100"/>
        <v>вул. Ю. Мірюти|АЗС</v>
      </c>
      <c r="K906" s="32">
        <f t="shared" si="101"/>
        <v>0.42708333333333331</v>
      </c>
      <c r="L906" s="13" t="str">
        <f>IF($A906="","",IF(COUNTIFS($J$4:$J906,$J906,$E$4:$E906,$E906)=1,$E906,""))</f>
        <v>№1</v>
      </c>
      <c r="M906" s="13" t="str">
        <f>IF($A906="","",IF(COUNTIFS($J$4:$J906,$J906,$F$4:$F906,$F906)=1,$F906,""))</f>
        <v>АТ-4021/1120</v>
      </c>
    </row>
    <row r="907" spans="1:13" x14ac:dyDescent="0.35">
      <c r="A907" s="23" t="str">
        <f>IFERROR(М4_АТ4042ROD_0584!B20,"")</f>
        <v>вул. Ю. Мірюти</v>
      </c>
      <c r="B907" s="23" t="str">
        <f>IFERROR(IF(М4_АТ4042ROD_0584!C20="","",TEXT(М4_АТ4042ROD_0584!C20,"General")),"")</f>
        <v>котельня</v>
      </c>
      <c r="C907" s="24" t="str">
        <f>"Понеділок"</f>
        <v>Понеділок</v>
      </c>
      <c r="D907" s="24" t="str">
        <f>IFERROR(TEXT(М4_АТ4042ROD_0584!D20,"h:mm"),"")</f>
        <v>12:50</v>
      </c>
      <c r="E907" s="24" t="str">
        <f t="shared" ref="E907:E913" si="102">"№4"</f>
        <v>№4</v>
      </c>
      <c r="F907" s="24" t="str">
        <f>"АТ 40-42/ROD21003"</f>
        <v>АТ 40-42/ROD21003</v>
      </c>
      <c r="G907" s="24" t="str">
        <f>"СВ 33-15 ЕО"</f>
        <v>СВ 33-15 ЕО</v>
      </c>
      <c r="H907" s="24">
        <f>IFERROR(М4_АТ4042ROD_0584!G20,"")</f>
        <v>4</v>
      </c>
      <c r="J907" s="13" t="str">
        <f t="shared" si="100"/>
        <v>вул. Ю. Мірюти|котельня</v>
      </c>
      <c r="K907" s="32">
        <f t="shared" si="101"/>
        <v>0.53472222222222221</v>
      </c>
      <c r="L907" s="13" t="str">
        <f>IF($A907="","",IF(COUNTIFS($J$4:$J907,$J907,$E$4:$E907,$E907)=1,$E907,""))</f>
        <v>№4</v>
      </c>
      <c r="M907" s="13" t="str">
        <f>IF($A907="","",IF(COUNTIFS($J$4:$J907,$J907,$F$4:$F907,$F907)=1,$F907,""))</f>
        <v>АТ 40-42/ROD21003</v>
      </c>
    </row>
    <row r="908" spans="1:13" x14ac:dyDescent="0.35">
      <c r="A908" s="23" t="str">
        <f>IFERROR(М4_АТ4042ROD_0584!B51,"")</f>
        <v>вул. Ю. Мірюти</v>
      </c>
      <c r="B908" s="23" t="str">
        <f>IFERROR(IF(М4_АТ4042ROD_0584!C51="","",TEXT(М4_АТ4042ROD_0584!C51,"General")),"")</f>
        <v>котельня</v>
      </c>
      <c r="C908" s="24" t="str">
        <f>"Вівторок"</f>
        <v>Вівторок</v>
      </c>
      <c r="D908" s="24" t="str">
        <f>IFERROR(TEXT(М4_АТ4042ROD_0584!D51,"h:mm"),"")</f>
        <v>12:15</v>
      </c>
      <c r="E908" s="24" t="str">
        <f t="shared" si="102"/>
        <v>№4</v>
      </c>
      <c r="F908" s="24" t="str">
        <f>"АТ 40-42/ROD21003"</f>
        <v>АТ 40-42/ROD21003</v>
      </c>
      <c r="G908" s="24" t="str">
        <f>"СВ 33-15 ЕО"</f>
        <v>СВ 33-15 ЕО</v>
      </c>
      <c r="H908" s="24">
        <f>IFERROR(М4_АТ4042ROD_0584!G51,"")</f>
        <v>4</v>
      </c>
      <c r="J908" s="13" t="str">
        <f t="shared" si="100"/>
        <v>вул. Ю. Мірюти|котельня</v>
      </c>
      <c r="K908" s="32">
        <f t="shared" si="101"/>
        <v>0.51041666666666663</v>
      </c>
      <c r="L908" s="13" t="str">
        <f>IF($A908="","",IF(COUNTIFS($J$4:$J908,$J908,$E$4:$E908,$E908)=1,$E908,""))</f>
        <v/>
      </c>
      <c r="M908" s="13" t="str">
        <f>IF($A908="","",IF(COUNTIFS($J$4:$J908,$J908,$F$4:$F908,$F908)=1,$F908,""))</f>
        <v/>
      </c>
    </row>
    <row r="909" spans="1:13" x14ac:dyDescent="0.35">
      <c r="A909" s="23" t="str">
        <f>IFERROR('М3-4_ГАЗ3309_0590'!B78,"")</f>
        <v>вул. Ю. Мірюти</v>
      </c>
      <c r="B909" s="23" t="str">
        <f>IFERROR(IF('М3-4_ГАЗ3309_0590'!C78="","",TEXT('М3-4_ГАЗ3309_0590'!C78,"General")),"")</f>
        <v>котельня</v>
      </c>
      <c r="C909" s="24" t="str">
        <f>"Середа"</f>
        <v>Середа</v>
      </c>
      <c r="D909" s="24" t="str">
        <f>IFERROR(TEXT('М3-4_ГАЗ3309_0590'!D78,"h:mm"),"")</f>
        <v>10:15</v>
      </c>
      <c r="E909" s="24" t="str">
        <f t="shared" si="102"/>
        <v>№4</v>
      </c>
      <c r="F909" s="24" t="str">
        <f>"ГАЗ 3309"</f>
        <v>ГАЗ 3309</v>
      </c>
      <c r="G909" s="24" t="str">
        <f>"СВ 17-85 ВН"</f>
        <v>СВ 17-85 ВН</v>
      </c>
      <c r="H909" s="24">
        <f>IFERROR('М3-4_ГАЗ3309_0590'!G78,"")</f>
        <v>2</v>
      </c>
      <c r="J909" s="13" t="str">
        <f t="shared" si="100"/>
        <v>вул. Ю. Мірюти|котельня</v>
      </c>
      <c r="K909" s="32">
        <f t="shared" si="101"/>
        <v>0.42708333333333331</v>
      </c>
      <c r="L909" s="13" t="str">
        <f>IF($A909="","",IF(COUNTIFS($J$4:$J909,$J909,$E$4:$E909,$E909)=1,$E909,""))</f>
        <v/>
      </c>
      <c r="M909" s="13" t="str">
        <f>IF($A909="","",IF(COUNTIFS($J$4:$J909,$J909,$F$4:$F909,$F909)=1,$F909,""))</f>
        <v>ГАЗ 3309</v>
      </c>
    </row>
    <row r="910" spans="1:13" x14ac:dyDescent="0.35">
      <c r="A910" s="23" t="str">
        <f>IFERROR(М4_АТ4042ROD_0584!B84,"")</f>
        <v>вул. Ю. Мірюти</v>
      </c>
      <c r="B910" s="23" t="str">
        <f>IFERROR(IF(М4_АТ4042ROD_0584!C84="","",TEXT(М4_АТ4042ROD_0584!C84,"General")),"")</f>
        <v>котельня</v>
      </c>
      <c r="C910" s="24" t="str">
        <f>"Четвер"</f>
        <v>Четвер</v>
      </c>
      <c r="D910" s="24" t="str">
        <f>IFERROR(TEXT(М4_АТ4042ROD_0584!D84,"h:mm"),"")</f>
        <v>12:35</v>
      </c>
      <c r="E910" s="24" t="str">
        <f t="shared" si="102"/>
        <v>№4</v>
      </c>
      <c r="F910" s="24" t="str">
        <f>"АТ 40-42/ROD21003"</f>
        <v>АТ 40-42/ROD21003</v>
      </c>
      <c r="G910" s="24" t="str">
        <f>"СВ 33-15 ЕО"</f>
        <v>СВ 33-15 ЕО</v>
      </c>
      <c r="H910" s="24">
        <f>IFERROR(М4_АТ4042ROD_0584!G84,"")</f>
        <v>4</v>
      </c>
      <c r="J910" s="13" t="str">
        <f t="shared" si="100"/>
        <v>вул. Ю. Мірюти|котельня</v>
      </c>
      <c r="K910" s="32">
        <f t="shared" si="101"/>
        <v>0.52430555555555558</v>
      </c>
      <c r="L910" s="13" t="str">
        <f>IF($A910="","",IF(COUNTIFS($J$4:$J910,$J910,$E$4:$E910,$E910)=1,$E910,""))</f>
        <v/>
      </c>
      <c r="M910" s="13" t="str">
        <f>IF($A910="","",IF(COUNTIFS($J$4:$J910,$J910,$F$4:$F910,$F910)=1,$F910,""))</f>
        <v/>
      </c>
    </row>
    <row r="911" spans="1:13" x14ac:dyDescent="0.35">
      <c r="A911" s="23" t="str">
        <f>IFERROR(М4_АТ4042ROD_0584!B119,"")</f>
        <v>вул. Ю. Мірюти</v>
      </c>
      <c r="B911" s="23" t="str">
        <f>IFERROR(IF(М4_АТ4042ROD_0584!C119="","",TEXT(М4_АТ4042ROD_0584!C119,"General")),"")</f>
        <v>котельня</v>
      </c>
      <c r="C911" s="24" t="str">
        <f>"П'ятниця"</f>
        <v>П'ятниця</v>
      </c>
      <c r="D911" s="24" t="str">
        <f>IFERROR(TEXT(М4_АТ4042ROD_0584!D119,"h:mm"),"")</f>
        <v>12:50</v>
      </c>
      <c r="E911" s="24" t="str">
        <f t="shared" si="102"/>
        <v>№4</v>
      </c>
      <c r="F911" s="24" t="str">
        <f>"АТ 40-42/ROD21003"</f>
        <v>АТ 40-42/ROD21003</v>
      </c>
      <c r="G911" s="24" t="str">
        <f>"СВ 33-15 ЕО"</f>
        <v>СВ 33-15 ЕО</v>
      </c>
      <c r="H911" s="24">
        <f>IFERROR(М4_АТ4042ROD_0584!G119,"")</f>
        <v>4</v>
      </c>
      <c r="J911" s="13" t="str">
        <f t="shared" si="100"/>
        <v>вул. Ю. Мірюти|котельня</v>
      </c>
      <c r="K911" s="32">
        <f t="shared" si="101"/>
        <v>0.53472222222222221</v>
      </c>
      <c r="L911" s="13" t="str">
        <f>IF($A911="","",IF(COUNTIFS($J$4:$J911,$J911,$E$4:$E911,$E911)=1,$E911,""))</f>
        <v/>
      </c>
      <c r="M911" s="13" t="str">
        <f>IF($A911="","",IF(COUNTIFS($J$4:$J911,$J911,$F$4:$F911,$F911)=1,$F911,""))</f>
        <v/>
      </c>
    </row>
    <row r="912" spans="1:13" x14ac:dyDescent="0.35">
      <c r="A912" s="23" t="str">
        <f>IFERROR('М3-4_ГАЗ3309_0590'!B103,"")</f>
        <v>вул. Ю. Мірюти</v>
      </c>
      <c r="B912" s="23" t="str">
        <f>IFERROR(IF('М3-4_ГАЗ3309_0590'!C103="","",TEXT('М3-4_ГАЗ3309_0590'!C103,"General")),"")</f>
        <v>котельня</v>
      </c>
      <c r="C912" s="24" t="str">
        <f>"Субота"</f>
        <v>Субота</v>
      </c>
      <c r="D912" s="24" t="str">
        <f>IFERROR(TEXT('М3-4_ГАЗ3309_0590'!D103,"h:mm"),"")</f>
        <v>10:15</v>
      </c>
      <c r="E912" s="24" t="str">
        <f t="shared" si="102"/>
        <v>№4</v>
      </c>
      <c r="F912" s="24" t="str">
        <f>"ГАЗ 3309"</f>
        <v>ГАЗ 3309</v>
      </c>
      <c r="G912" s="24" t="str">
        <f>"СВ 17-85 ВН"</f>
        <v>СВ 17-85 ВН</v>
      </c>
      <c r="H912" s="24">
        <f>IFERROR('М3-4_ГАЗ3309_0590'!G103,"")</f>
        <v>2</v>
      </c>
      <c r="J912" s="13" t="str">
        <f t="shared" si="100"/>
        <v>вул. Ю. Мірюти|котельня</v>
      </c>
      <c r="K912" s="32">
        <f t="shared" si="101"/>
        <v>0.42708333333333331</v>
      </c>
      <c r="L912" s="13" t="str">
        <f>IF($A912="","",IF(COUNTIFS($J$4:$J912,$J912,$E$4:$E912,$E912)=1,$E912,""))</f>
        <v/>
      </c>
      <c r="M912" s="13" t="str">
        <f>IF($A912="","",IF(COUNTIFS($J$4:$J912,$J912,$F$4:$F912,$F912)=1,$F912,""))</f>
        <v/>
      </c>
    </row>
    <row r="913" spans="1:13" x14ac:dyDescent="0.35">
      <c r="A913" s="23" t="str">
        <f>IFERROR(М4_АТ4042ROD_0584!B152,"")</f>
        <v>вул. Ю. Мірюти</v>
      </c>
      <c r="B913" s="23" t="str">
        <f>IFERROR(IF(М4_АТ4042ROD_0584!C152="","",TEXT(М4_АТ4042ROD_0584!C152,"General")),"")</f>
        <v>котельня</v>
      </c>
      <c r="C913" s="24" t="str">
        <f>"Неділя"</f>
        <v>Неділя</v>
      </c>
      <c r="D913" s="24" t="str">
        <f>IFERROR(TEXT(М4_АТ4042ROD_0584!D152,"h:mm"),"")</f>
        <v>13:10</v>
      </c>
      <c r="E913" s="24" t="str">
        <f t="shared" si="102"/>
        <v>№4</v>
      </c>
      <c r="F913" s="24" t="str">
        <f>"АТ 40-42/ROD21003"</f>
        <v>АТ 40-42/ROD21003</v>
      </c>
      <c r="G913" s="24" t="str">
        <f>"СВ 33-15 ЕО"</f>
        <v>СВ 33-15 ЕО</v>
      </c>
      <c r="H913" s="24">
        <f>IFERROR(М4_АТ4042ROD_0584!G152,"")</f>
        <v>4</v>
      </c>
      <c r="J913" s="13" t="str">
        <f t="shared" si="100"/>
        <v>вул. Ю. Мірюти|котельня</v>
      </c>
      <c r="K913" s="32">
        <f t="shared" si="101"/>
        <v>0.54861111111111116</v>
      </c>
      <c r="L913" s="13" t="str">
        <f>IF($A913="","",IF(COUNTIFS($J$4:$J913,$J913,$E$4:$E913,$E913)=1,$E913,""))</f>
        <v/>
      </c>
      <c r="M913" s="13" t="str">
        <f>IF($A913="","",IF(COUNTIFS($J$4:$J913,$J913,$F$4:$F913,$F913)=1,$F913,""))</f>
        <v/>
      </c>
    </row>
    <row r="914" spans="1:13" x14ac:dyDescent="0.35">
      <c r="A914" s="23" t="str">
        <f>IFERROR(М1_КАМАЗ55111_0591!B18,"")</f>
        <v>вул. Ю. Мірюти</v>
      </c>
      <c r="B914" s="23" t="str">
        <f>IFERROR(IF(М1_КАМАЗ55111_0591!C18="","",TEXT(М1_КАМАЗ55111_0591!C18,"General")),"")</f>
        <v>кінцева зупинка</v>
      </c>
      <c r="C914" s="24" t="str">
        <f>"Понеділок"</f>
        <v>Понеділок</v>
      </c>
      <c r="D914" s="24" t="str">
        <f>IFERROR(TEXT(М1_КАМАЗ55111_0591!D18,"h:mm"),"")</f>
        <v>8:45</v>
      </c>
      <c r="E914" s="24" t="str">
        <f t="shared" ref="E914:E920" si="103">"№1"</f>
        <v>№1</v>
      </c>
      <c r="F914" s="24" t="str">
        <f>"КАМАЗ 55111"</f>
        <v>КАМАЗ 55111</v>
      </c>
      <c r="G914" s="24" t="str">
        <f>"СВ 50-33 АР"</f>
        <v>СВ 50-33 АР</v>
      </c>
      <c r="H914" s="24">
        <f>IFERROR(М1_КАМАЗ55111_0591!G18,"")</f>
        <v>1</v>
      </c>
      <c r="J914" s="13" t="str">
        <f t="shared" si="100"/>
        <v>вул. Ю. Мірюти|кінцева зупинка</v>
      </c>
      <c r="K914" s="32">
        <f t="shared" si="101"/>
        <v>0.36458333333333331</v>
      </c>
      <c r="L914" s="13" t="str">
        <f>IF($A914="","",IF(COUNTIFS($J$4:$J914,$J914,$E$4:$E914,$E914)=1,$E914,""))</f>
        <v>№1</v>
      </c>
      <c r="M914" s="13" t="str">
        <f>IF($A914="","",IF(COUNTIFS($J$4:$J914,$J914,$F$4:$F914,$F914)=1,$F914,""))</f>
        <v>КАМАЗ 55111</v>
      </c>
    </row>
    <row r="915" spans="1:13" x14ac:dyDescent="0.35">
      <c r="A915" s="23" t="str">
        <f>IFERROR(М1_КАМАЗ55111_0591!B53,"")</f>
        <v>вул. Ю. Мірюти</v>
      </c>
      <c r="B915" s="23" t="str">
        <f>IFERROR(IF(М1_КАМАЗ55111_0591!C53="","",TEXT(М1_КАМАЗ55111_0591!C53,"General")),"")</f>
        <v>кінцева зупинка</v>
      </c>
      <c r="C915" s="24" t="str">
        <f>"Вівторок"</f>
        <v>Вівторок</v>
      </c>
      <c r="D915" s="24" t="str">
        <f>IFERROR(TEXT(М1_КАМАЗ55111_0591!D53,"h:mm"),"")</f>
        <v>8:45</v>
      </c>
      <c r="E915" s="24" t="str">
        <f t="shared" si="103"/>
        <v>№1</v>
      </c>
      <c r="F915" s="24" t="str">
        <f>"КАМАЗ 55111"</f>
        <v>КАМАЗ 55111</v>
      </c>
      <c r="G915" s="24" t="str">
        <f>"СВ 50-33 АР"</f>
        <v>СВ 50-33 АР</v>
      </c>
      <c r="H915" s="24">
        <f>IFERROR(М1_КАМАЗ55111_0591!G53,"")</f>
        <v>1</v>
      </c>
      <c r="J915" s="13" t="str">
        <f t="shared" si="100"/>
        <v>вул. Ю. Мірюти|кінцева зупинка</v>
      </c>
      <c r="K915" s="32">
        <f t="shared" si="101"/>
        <v>0.36458333333333331</v>
      </c>
      <c r="L915" s="13" t="str">
        <f>IF($A915="","",IF(COUNTIFS($J$4:$J915,$J915,$E$4:$E915,$E915)=1,$E915,""))</f>
        <v/>
      </c>
      <c r="M915" s="13" t="str">
        <f>IF($A915="","",IF(COUNTIFS($J$4:$J915,$J915,$F$4:$F915,$F915)=1,$F915,""))</f>
        <v/>
      </c>
    </row>
    <row r="916" spans="1:13" x14ac:dyDescent="0.35">
      <c r="A916" s="23" t="str">
        <f>IFERROR(М1_КАМАЗ55111_0591!B85,"")</f>
        <v>вул. Ю. Мірюти</v>
      </c>
      <c r="B916" s="23" t="str">
        <f>IFERROR(IF(М1_КАМАЗ55111_0591!C85="","",TEXT(М1_КАМАЗ55111_0591!C85,"General")),"")</f>
        <v>кінцева зупинка</v>
      </c>
      <c r="C916" s="24" t="str">
        <f>"Середа"</f>
        <v>Середа</v>
      </c>
      <c r="D916" s="24" t="str">
        <f>IFERROR(TEXT(М1_КАМАЗ55111_0591!D85,"h:mm"),"")</f>
        <v>8:45</v>
      </c>
      <c r="E916" s="24" t="str">
        <f t="shared" si="103"/>
        <v>№1</v>
      </c>
      <c r="F916" s="24" t="str">
        <f>"КАМАЗ 55111"</f>
        <v>КАМАЗ 55111</v>
      </c>
      <c r="G916" s="24" t="str">
        <f>"СВ 50-33 АР"</f>
        <v>СВ 50-33 АР</v>
      </c>
      <c r="H916" s="24">
        <f>IFERROR(М1_КАМАЗ55111_0591!G85,"")</f>
        <v>1</v>
      </c>
      <c r="J916" s="13" t="str">
        <f t="shared" si="100"/>
        <v>вул. Ю. Мірюти|кінцева зупинка</v>
      </c>
      <c r="K916" s="32">
        <f t="shared" si="101"/>
        <v>0.36458333333333331</v>
      </c>
      <c r="L916" s="13" t="str">
        <f>IF($A916="","",IF(COUNTIFS($J$4:$J916,$J916,$E$4:$E916,$E916)=1,$E916,""))</f>
        <v/>
      </c>
      <c r="M916" s="13" t="str">
        <f>IF($A916="","",IF(COUNTIFS($J$4:$J916,$J916,$F$4:$F916,$F916)=1,$F916,""))</f>
        <v/>
      </c>
    </row>
    <row r="917" spans="1:13" x14ac:dyDescent="0.35">
      <c r="A917" s="23" t="str">
        <f>IFERROR('М1-2_АТ4021-1120_0585'!B128,"")</f>
        <v>вул. Ю. Мірюти</v>
      </c>
      <c r="B917" s="23" t="str">
        <f>IFERROR(IF('М1-2_АТ4021-1120_0585'!C128="","",TEXT('М1-2_АТ4021-1120_0585'!C128,"General")),"")</f>
        <v>кінцева зупинка</v>
      </c>
      <c r="C917" s="24" t="str">
        <f>"Четвер"</f>
        <v>Четвер</v>
      </c>
      <c r="D917" s="24" t="str">
        <f>IFERROR(TEXT('М1-2_АТ4021-1120_0585'!D128,"h:mm"),"")</f>
        <v>14:10</v>
      </c>
      <c r="E917" s="24" t="str">
        <f t="shared" si="103"/>
        <v>№1</v>
      </c>
      <c r="F917" s="24" t="str">
        <f>"АТ-4021/1120"</f>
        <v>АТ-4021/1120</v>
      </c>
      <c r="G917" s="24" t="str">
        <f>"СВ 14-65 ЕО"</f>
        <v>СВ 14-65 ЕО</v>
      </c>
      <c r="H917" s="24">
        <f>IFERROR('М1-2_АТ4021-1120_0585'!G128,"")</f>
        <v>1</v>
      </c>
      <c r="J917" s="13" t="str">
        <f t="shared" si="100"/>
        <v>вул. Ю. Мірюти|кінцева зупинка</v>
      </c>
      <c r="K917" s="32">
        <f t="shared" si="101"/>
        <v>0.59027777777777779</v>
      </c>
      <c r="L917" s="13" t="str">
        <f>IF($A917="","",IF(COUNTIFS($J$4:$J917,$J917,$E$4:$E917,$E917)=1,$E917,""))</f>
        <v/>
      </c>
      <c r="M917" s="13" t="str">
        <f>IF($A917="","",IF(COUNTIFS($J$4:$J917,$J917,$F$4:$F917,$F917)=1,$F917,""))</f>
        <v>АТ-4021/1120</v>
      </c>
    </row>
    <row r="918" spans="1:13" x14ac:dyDescent="0.35">
      <c r="A918" s="23" t="str">
        <f>IFERROR(М1_КАМАЗ55111_0591!B117,"")</f>
        <v>вул. Ю. Мірюти</v>
      </c>
      <c r="B918" s="23" t="str">
        <f>IFERROR(IF(М1_КАМАЗ55111_0591!C117="","",TEXT(М1_КАМАЗ55111_0591!C117,"General")),"")</f>
        <v>кінцева зупинка</v>
      </c>
      <c r="C918" s="24" t="str">
        <f>"П'ятниця"</f>
        <v>П'ятниця</v>
      </c>
      <c r="D918" s="24" t="str">
        <f>IFERROR(TEXT(М1_КАМАЗ55111_0591!D117,"h:mm"),"")</f>
        <v>8:45</v>
      </c>
      <c r="E918" s="24" t="str">
        <f t="shared" si="103"/>
        <v>№1</v>
      </c>
      <c r="F918" s="24" t="str">
        <f>"КАМАЗ 55111"</f>
        <v>КАМАЗ 55111</v>
      </c>
      <c r="G918" s="24" t="str">
        <f>"СВ 50-33 АР"</f>
        <v>СВ 50-33 АР</v>
      </c>
      <c r="H918" s="24">
        <f>IFERROR(М1_КАМАЗ55111_0591!G117,"")</f>
        <v>1</v>
      </c>
      <c r="J918" s="13" t="str">
        <f t="shared" si="100"/>
        <v>вул. Ю. Мірюти|кінцева зупинка</v>
      </c>
      <c r="K918" s="32">
        <f t="shared" si="101"/>
        <v>0.36458333333333331</v>
      </c>
      <c r="L918" s="13" t="str">
        <f>IF($A918="","",IF(COUNTIFS($J$4:$J918,$J918,$E$4:$E918,$E918)=1,$E918,""))</f>
        <v/>
      </c>
      <c r="M918" s="13" t="str">
        <f>IF($A918="","",IF(COUNTIFS($J$4:$J918,$J918,$F$4:$F918,$F918)=1,$F918,""))</f>
        <v/>
      </c>
    </row>
    <row r="919" spans="1:13" x14ac:dyDescent="0.35">
      <c r="A919" s="23" t="str">
        <f>IFERROR(М1_КАМАЗ55111_0591!B152,"")</f>
        <v>вул. Ю. Мірюти</v>
      </c>
      <c r="B919" s="23" t="str">
        <f>IFERROR(IF(М1_КАМАЗ55111_0591!C152="","",TEXT(М1_КАМАЗ55111_0591!C152,"General")),"")</f>
        <v>кінцева зупинка</v>
      </c>
      <c r="C919" s="24" t="str">
        <f>"Субота"</f>
        <v>Субота</v>
      </c>
      <c r="D919" s="24" t="str">
        <f>IFERROR(TEXT(М1_КАМАЗ55111_0591!D152,"h:mm"),"")</f>
        <v>8:45</v>
      </c>
      <c r="E919" s="24" t="str">
        <f t="shared" si="103"/>
        <v>№1</v>
      </c>
      <c r="F919" s="24" t="str">
        <f>"КАМАЗ 55111"</f>
        <v>КАМАЗ 55111</v>
      </c>
      <c r="G919" s="24" t="str">
        <f>"СВ 50-33 АР"</f>
        <v>СВ 50-33 АР</v>
      </c>
      <c r="H919" s="24">
        <f>IFERROR(М1_КАМАЗ55111_0591!G152,"")</f>
        <v>1</v>
      </c>
      <c r="J919" s="13" t="str">
        <f t="shared" si="100"/>
        <v>вул. Ю. Мірюти|кінцева зупинка</v>
      </c>
      <c r="K919" s="32">
        <f t="shared" si="101"/>
        <v>0.36458333333333331</v>
      </c>
      <c r="L919" s="13" t="str">
        <f>IF($A919="","",IF(COUNTIFS($J$4:$J919,$J919,$E$4:$E919,$E919)=1,$E919,""))</f>
        <v/>
      </c>
      <c r="M919" s="13" t="str">
        <f>IF($A919="","",IF(COUNTIFS($J$4:$J919,$J919,$F$4:$F919,$F919)=1,$F919,""))</f>
        <v/>
      </c>
    </row>
    <row r="920" spans="1:13" x14ac:dyDescent="0.35">
      <c r="A920" s="23" t="str">
        <f>IFERROR('М1-2_АТ4021-1120_0585'!B163,"")</f>
        <v>вул. Ю. Мірюти</v>
      </c>
      <c r="B920" s="23" t="str">
        <f>IFERROR(IF('М1-2_АТ4021-1120_0585'!C163="","",TEXT('М1-2_АТ4021-1120_0585'!C163,"General")),"")</f>
        <v>кінцева зупинка</v>
      </c>
      <c r="C920" s="24" t="str">
        <f>"Неділя"</f>
        <v>Неділя</v>
      </c>
      <c r="D920" s="24" t="str">
        <f>IFERROR(TEXT('М1-2_АТ4021-1120_0585'!D163,"h:mm"),"")</f>
        <v>14:10</v>
      </c>
      <c r="E920" s="24" t="str">
        <f t="shared" si="103"/>
        <v>№1</v>
      </c>
      <c r="F920" s="24" t="str">
        <f>"АТ-4021/1120"</f>
        <v>АТ-4021/1120</v>
      </c>
      <c r="G920" s="24" t="str">
        <f>"СВ 14-65 ЕО"</f>
        <v>СВ 14-65 ЕО</v>
      </c>
      <c r="H920" s="24">
        <f>IFERROR('М1-2_АТ4021-1120_0585'!G163,"")</f>
        <v>1</v>
      </c>
      <c r="J920" s="13" t="str">
        <f t="shared" si="100"/>
        <v>вул. Ю. Мірюти|кінцева зупинка</v>
      </c>
      <c r="K920" s="32">
        <f t="shared" si="101"/>
        <v>0.59027777777777779</v>
      </c>
      <c r="L920" s="13" t="str">
        <f>IF($A920="","",IF(COUNTIFS($J$4:$J920,$J920,$E$4:$E920,$E920)=1,$E920,""))</f>
        <v/>
      </c>
      <c r="M920" s="13" t="str">
        <f>IF($A920="","",IF(COUNTIFS($J$4:$J920,$J920,$F$4:$F920,$F920)=1,$F920,""))</f>
        <v/>
      </c>
    </row>
    <row r="921" spans="1:13" x14ac:dyDescent="0.35">
      <c r="A921" s="23" t="str">
        <f>IFERROR(М5_МАЗ4381_0592!B87,"")</f>
        <v>вул. Яблунівська</v>
      </c>
      <c r="B921" s="23" t="str">
        <f>IFERROR(IF(М5_МАЗ4381_0592!C87="","",TEXT(М5_МАЗ4381_0592!C87,"General")),"")</f>
        <v/>
      </c>
      <c r="C921" s="24" t="str">
        <f>"Середа"</f>
        <v>Середа</v>
      </c>
      <c r="D921" s="24" t="str">
        <f>IFERROR(TEXT(М5_МАЗ4381_0592!D87,"h:mm"),"")</f>
        <v>7:45</v>
      </c>
      <c r="E921" s="24" t="str">
        <f>"№5"</f>
        <v>№5</v>
      </c>
      <c r="F921" s="24" t="str">
        <f>"МАЗ 4381"</f>
        <v>МАЗ 4381</v>
      </c>
      <c r="G921" s="24" t="str">
        <f>"СВ 81-71 ВК"</f>
        <v>СВ 81-71 ВК</v>
      </c>
      <c r="H921" s="24"/>
      <c r="J921" s="13" t="str">
        <f t="shared" si="100"/>
        <v>вул. Яблунівська|</v>
      </c>
      <c r="K921" s="32">
        <f t="shared" si="101"/>
        <v>0.32291666666666669</v>
      </c>
      <c r="L921" s="13" t="str">
        <f>IF($A921="","",IF(COUNTIFS($J$4:$J921,$J921,$E$4:$E921,$E921)=1,$E921,""))</f>
        <v>№5</v>
      </c>
      <c r="M921" s="13" t="str">
        <f>IF($A921="","",IF(COUNTIFS($J$4:$J921,$J921,$F$4:$F921,$F921)=1,$F921,""))</f>
        <v>МАЗ 4381</v>
      </c>
    </row>
    <row r="922" spans="1:13" x14ac:dyDescent="0.35">
      <c r="A922" s="23" t="str">
        <f>IFERROR(М5_МАЗ4381_0592!B111,"")</f>
        <v>вул. Ярмаркова</v>
      </c>
      <c r="B922" s="23" t="str">
        <f>IFERROR(IF(М5_МАЗ4381_0592!C111="","",TEXT(М5_МАЗ4381_0592!C111,"General")),"")</f>
        <v/>
      </c>
      <c r="C922" s="24" t="str">
        <f>"Середа"</f>
        <v>Середа</v>
      </c>
      <c r="D922" s="24" t="str">
        <f>IFERROR(TEXT(М5_МАЗ4381_0592!D111,"h:mm"),"")</f>
        <v>15:35</v>
      </c>
      <c r="E922" s="24" t="str">
        <f>"№5"</f>
        <v>№5</v>
      </c>
      <c r="F922" s="24" t="str">
        <f>"МАЗ 4381"</f>
        <v>МАЗ 4381</v>
      </c>
      <c r="G922" s="24" t="str">
        <f>"СВ 81-71 ВК"</f>
        <v>СВ 81-71 ВК</v>
      </c>
      <c r="H922" s="24"/>
      <c r="J922" s="13" t="str">
        <f t="shared" si="100"/>
        <v>вул. Ярмаркова|</v>
      </c>
      <c r="K922" s="32">
        <f t="shared" si="101"/>
        <v>0.64930555555555558</v>
      </c>
      <c r="L922" s="13" t="str">
        <f>IF($A922="","",IF(COUNTIFS($J$4:$J922,$J922,$E$4:$E922,$E922)=1,$E922,""))</f>
        <v>№5</v>
      </c>
      <c r="M922" s="13" t="str">
        <f>IF($A922="","",IF(COUNTIFS($J$4:$J922,$J922,$F$4:$F922,$F922)=1,$F922,""))</f>
        <v>МАЗ 4381</v>
      </c>
    </row>
    <row r="923" spans="1:13" x14ac:dyDescent="0.35">
      <c r="A923" s="23" t="str">
        <f>IFERROR(М2_ВГВ_РеноЛендер_0589!B10,"")</f>
        <v>вул. Ярмаркова</v>
      </c>
      <c r="B923" s="23" t="str">
        <f>IFERROR(IF(М2_ВГВ_РеноЛендер_0589!C10="","",TEXT(М2_ВГВ_РеноЛендер_0589!C10,"General")),"")</f>
        <v>114</v>
      </c>
      <c r="C923" s="24" t="str">
        <f>IFERROR(М2_ВГВ_РеноЛендер_0589!D10,"")</f>
        <v>Вівторок</v>
      </c>
      <c r="D923" s="24" t="str">
        <f>"×"</f>
        <v>×</v>
      </c>
      <c r="E923" s="24" t="str">
        <f>"№2 (ВГВ)"</f>
        <v>№2 (ВГВ)</v>
      </c>
      <c r="F923" s="24" t="str">
        <f>"Рено Лендер"</f>
        <v>Рено Лендер</v>
      </c>
      <c r="G923" s="24" t="str">
        <f>"СВ 52-62 СА"</f>
        <v>СВ 52-62 СА</v>
      </c>
      <c r="H923" s="24"/>
      <c r="J923" s="13" t="str">
        <f t="shared" si="100"/>
        <v>вул. Ярмаркова|114</v>
      </c>
      <c r="K923" s="32">
        <f t="shared" si="101"/>
        <v>9.99</v>
      </c>
      <c r="L923" s="13" t="str">
        <f>IF($A923="","",IF(COUNTIFS($J$4:$J923,$J923,$E$4:$E923,$E923)=1,$E923,""))</f>
        <v>№2 (ВГВ)</v>
      </c>
      <c r="M923" s="13" t="str">
        <f>IF($A923="","",IF(COUNTIFS($J$4:$J923,$J923,$F$4:$F923,$F923)=1,$F923,""))</f>
        <v>Рено Лендер</v>
      </c>
    </row>
    <row r="924" spans="1:13" x14ac:dyDescent="0.35">
      <c r="A924" s="23" t="str">
        <f>IFERROR(М2_ВГВ_РеноЛендер_0589!B12,"")</f>
        <v>вул. Ярмаркова</v>
      </c>
      <c r="B924" s="23" t="str">
        <f>IFERROR(IF(М2_ВГВ_РеноЛендер_0589!C12="","",TEXT(М2_ВГВ_РеноЛендер_0589!C12,"General")),"")</f>
        <v>41/9</v>
      </c>
      <c r="C924" s="24" t="str">
        <f>IFERROR(М2_ВГВ_РеноЛендер_0589!D12,"")</f>
        <v>П'ятниця</v>
      </c>
      <c r="D924" s="24" t="str">
        <f>"×"</f>
        <v>×</v>
      </c>
      <c r="E924" s="24" t="str">
        <f>"№2 (ВГВ)"</f>
        <v>№2 (ВГВ)</v>
      </c>
      <c r="F924" s="24" t="str">
        <f>"Рено Лендер"</f>
        <v>Рено Лендер</v>
      </c>
      <c r="G924" s="24" t="str">
        <f>"СВ 52-62 СА"</f>
        <v>СВ 52-62 СА</v>
      </c>
      <c r="H924" s="24"/>
      <c r="J924" s="13" t="str">
        <f t="shared" si="100"/>
        <v>вул. Ярмаркова|41/9</v>
      </c>
      <c r="K924" s="32">
        <f t="shared" si="101"/>
        <v>9.99</v>
      </c>
      <c r="L924" s="13" t="str">
        <f>IF($A924="","",IF(COUNTIFS($J$4:$J924,$J924,$E$4:$E924,$E924)=1,$E924,""))</f>
        <v>№2 (ВГВ)</v>
      </c>
      <c r="M924" s="13" t="str">
        <f>IF($A924="","",IF(COUNTIFS($J$4:$J924,$J924,$F$4:$F924,$F924)=1,$F924,""))</f>
        <v>Рено Лендер</v>
      </c>
    </row>
    <row r="925" spans="1:13" x14ac:dyDescent="0.35">
      <c r="A925" s="23" t="str">
        <f>IFERROR(М3_МАЗ4371_0587!B17,"")</f>
        <v>вул. Ярмаркова</v>
      </c>
      <c r="B925" s="23" t="str">
        <f>IFERROR(IF(М3_МАЗ4371_0587!C17="","",TEXT(М3_МАЗ4371_0587!C17,"General")),"")</f>
        <v>47</v>
      </c>
      <c r="C925" s="24" t="str">
        <f>"Понеділок"</f>
        <v>Понеділок</v>
      </c>
      <c r="D925" s="24" t="str">
        <f>IFERROR(TEXT(М3_МАЗ4371_0587!D17,"h:mm"),"")</f>
        <v>9:15</v>
      </c>
      <c r="E925" s="24" t="str">
        <f t="shared" ref="E925:E931" si="104">"№3"</f>
        <v>№3</v>
      </c>
      <c r="F925" s="24" t="str">
        <f>"МАЗ-4371"</f>
        <v>МАЗ-4371</v>
      </c>
      <c r="G925" s="24" t="str">
        <f>"СВ 53-06 СА"</f>
        <v>СВ 53-06 СА</v>
      </c>
      <c r="H925" s="24">
        <f>IFERROR(М3_МАЗ4371_0587!G17,"")</f>
        <v>4</v>
      </c>
      <c r="J925" s="13" t="str">
        <f t="shared" si="100"/>
        <v>вул. Ярмаркова|47</v>
      </c>
      <c r="K925" s="32">
        <f t="shared" si="101"/>
        <v>0.38541666666666669</v>
      </c>
      <c r="L925" s="13" t="str">
        <f>IF($A925="","",IF(COUNTIFS($J$4:$J925,$J925,$E$4:$E925,$E925)=1,$E925,""))</f>
        <v>№3</v>
      </c>
      <c r="M925" s="13" t="str">
        <f>IF($A925="","",IF(COUNTIFS($J$4:$J925,$J925,$F$4:$F925,$F925)=1,$F925,""))</f>
        <v>МАЗ-4371</v>
      </c>
    </row>
    <row r="926" spans="1:13" x14ac:dyDescent="0.35">
      <c r="A926" s="23" t="str">
        <f>IFERROR(М3_МАЗ4371_0587!B55,"")</f>
        <v>вул. Ярмаркова</v>
      </c>
      <c r="B926" s="23" t="str">
        <f>IFERROR(IF(М3_МАЗ4371_0587!C55="","",TEXT(М3_МАЗ4371_0587!C55,"General")),"")</f>
        <v>47</v>
      </c>
      <c r="C926" s="24" t="str">
        <f>"Вівторок"</f>
        <v>Вівторок</v>
      </c>
      <c r="D926" s="24" t="str">
        <f>IFERROR(TEXT(М3_МАЗ4371_0587!D55,"h:mm"),"")</f>
        <v>9:50</v>
      </c>
      <c r="E926" s="24" t="str">
        <f t="shared" si="104"/>
        <v>№3</v>
      </c>
      <c r="F926" s="24" t="str">
        <f>"МАЗ-4371"</f>
        <v>МАЗ-4371</v>
      </c>
      <c r="G926" s="24" t="str">
        <f>"СВ 53-06 СА"</f>
        <v>СВ 53-06 СА</v>
      </c>
      <c r="H926" s="24">
        <f>IFERROR(М3_МАЗ4371_0587!G55,"")</f>
        <v>4</v>
      </c>
      <c r="J926" s="13" t="str">
        <f t="shared" si="100"/>
        <v>вул. Ярмаркова|47</v>
      </c>
      <c r="K926" s="32">
        <f t="shared" si="101"/>
        <v>0.40972222222222221</v>
      </c>
      <c r="L926" s="13" t="str">
        <f>IF($A926="","",IF(COUNTIFS($J$4:$J926,$J926,$E$4:$E926,$E926)=1,$E926,""))</f>
        <v/>
      </c>
      <c r="M926" s="13" t="str">
        <f>IF($A926="","",IF(COUNTIFS($J$4:$J926,$J926,$F$4:$F926,$F926)=1,$F926,""))</f>
        <v/>
      </c>
    </row>
    <row r="927" spans="1:13" x14ac:dyDescent="0.35">
      <c r="A927" s="23" t="str">
        <f>IFERROR(М3_МАЗ4371_0587!B88,"")</f>
        <v>вул. Ярмаркова</v>
      </c>
      <c r="B927" s="23" t="str">
        <f>IFERROR(IF(М3_МАЗ4371_0587!C88="","",TEXT(М3_МАЗ4371_0587!C88,"General")),"")</f>
        <v>47</v>
      </c>
      <c r="C927" s="24" t="str">
        <f>"Середа"</f>
        <v>Середа</v>
      </c>
      <c r="D927" s="24" t="str">
        <f>IFERROR(TEXT(М3_МАЗ4371_0587!D88,"h:mm"),"")</f>
        <v>10:10</v>
      </c>
      <c r="E927" s="24" t="str">
        <f t="shared" si="104"/>
        <v>№3</v>
      </c>
      <c r="F927" s="24" t="str">
        <f>"МАЗ-4371"</f>
        <v>МАЗ-4371</v>
      </c>
      <c r="G927" s="24" t="str">
        <f>"СВ 53-06 СА"</f>
        <v>СВ 53-06 СА</v>
      </c>
      <c r="H927" s="24">
        <f>IFERROR(М3_МАЗ4371_0587!G88,"")</f>
        <v>4</v>
      </c>
      <c r="J927" s="13" t="str">
        <f t="shared" si="100"/>
        <v>вул. Ярмаркова|47</v>
      </c>
      <c r="K927" s="32">
        <f t="shared" si="101"/>
        <v>0.4236111111111111</v>
      </c>
      <c r="L927" s="13" t="str">
        <f>IF($A927="","",IF(COUNTIFS($J$4:$J927,$J927,$E$4:$E927,$E927)=1,$E927,""))</f>
        <v/>
      </c>
      <c r="M927" s="13" t="str">
        <f>IF($A927="","",IF(COUNTIFS($J$4:$J927,$J927,$F$4:$F927,$F927)=1,$F927,""))</f>
        <v/>
      </c>
    </row>
    <row r="928" spans="1:13" x14ac:dyDescent="0.35">
      <c r="A928" s="23" t="str">
        <f>IFERROR('М3-4_ГАЗ3309_0590'!B15,"")</f>
        <v>вул. Ярмаркова</v>
      </c>
      <c r="B928" s="23" t="str">
        <f>IFERROR(IF('М3-4_ГАЗ3309_0590'!C15="","",TEXT('М3-4_ГАЗ3309_0590'!C15,"General")),"")</f>
        <v>47</v>
      </c>
      <c r="C928" s="24" t="str">
        <f>"Четвер"</f>
        <v>Четвер</v>
      </c>
      <c r="D928" s="24" t="str">
        <f>IFERROR(TEXT('М3-4_ГАЗ3309_0590'!D15,"h:mm"),"")</f>
        <v>9:30</v>
      </c>
      <c r="E928" s="24" t="str">
        <f t="shared" si="104"/>
        <v>№3</v>
      </c>
      <c r="F928" s="24" t="str">
        <f>"ГАЗ 3309"</f>
        <v>ГАЗ 3309</v>
      </c>
      <c r="G928" s="24" t="str">
        <f>"СВ 17-85 ВН"</f>
        <v>СВ 17-85 ВН</v>
      </c>
      <c r="H928" s="24">
        <f>IFERROR('М3-4_ГАЗ3309_0590'!G15,"")</f>
        <v>3</v>
      </c>
      <c r="J928" s="13" t="str">
        <f t="shared" si="100"/>
        <v>вул. Ярмаркова|47</v>
      </c>
      <c r="K928" s="32">
        <f t="shared" si="101"/>
        <v>0.39583333333333331</v>
      </c>
      <c r="L928" s="13" t="str">
        <f>IF($A928="","",IF(COUNTIFS($J$4:$J928,$J928,$E$4:$E928,$E928)=1,$E928,""))</f>
        <v/>
      </c>
      <c r="M928" s="13" t="str">
        <f>IF($A928="","",IF(COUNTIFS($J$4:$J928,$J928,$F$4:$F928,$F928)=1,$F928,""))</f>
        <v>ГАЗ 3309</v>
      </c>
    </row>
    <row r="929" spans="1:13" x14ac:dyDescent="0.35">
      <c r="A929" s="23" t="str">
        <f>IFERROR(М3_МАЗ4371_0587!B123,"")</f>
        <v>вул. Ярмаркова</v>
      </c>
      <c r="B929" s="23" t="str">
        <f>IFERROR(IF(М3_МАЗ4371_0587!C123="","",TEXT(М3_МАЗ4371_0587!C123,"General")),"")</f>
        <v>47</v>
      </c>
      <c r="C929" s="24" t="str">
        <f>"П'ятниця"</f>
        <v>П'ятниця</v>
      </c>
      <c r="D929" s="24" t="str">
        <f>IFERROR(TEXT(М3_МАЗ4371_0587!D123,"h:mm"),"")</f>
        <v>9:15</v>
      </c>
      <c r="E929" s="24" t="str">
        <f t="shared" si="104"/>
        <v>№3</v>
      </c>
      <c r="F929" s="24" t="str">
        <f>"МАЗ-4371"</f>
        <v>МАЗ-4371</v>
      </c>
      <c r="G929" s="24" t="str">
        <f>"СВ 53-06 СА"</f>
        <v>СВ 53-06 СА</v>
      </c>
      <c r="H929" s="24">
        <f>IFERROR(М3_МАЗ4371_0587!G123,"")</f>
        <v>4</v>
      </c>
      <c r="J929" s="13" t="str">
        <f t="shared" si="100"/>
        <v>вул. Ярмаркова|47</v>
      </c>
      <c r="K929" s="32">
        <f t="shared" si="101"/>
        <v>0.38541666666666669</v>
      </c>
      <c r="L929" s="13" t="str">
        <f>IF($A929="","",IF(COUNTIFS($J$4:$J929,$J929,$E$4:$E929,$E929)=1,$E929,""))</f>
        <v/>
      </c>
      <c r="M929" s="13" t="str">
        <f>IF($A929="","",IF(COUNTIFS($J$4:$J929,$J929,$F$4:$F929,$F929)=1,$F929,""))</f>
        <v/>
      </c>
    </row>
    <row r="930" spans="1:13" x14ac:dyDescent="0.35">
      <c r="A930" s="23" t="str">
        <f>IFERROR(М3_МАЗ4371_0587!B162,"")</f>
        <v>вул. Ярмаркова</v>
      </c>
      <c r="B930" s="23" t="str">
        <f>IFERROR(IF(М3_МАЗ4371_0587!C162="","",TEXT(М3_МАЗ4371_0587!C162,"General")),"")</f>
        <v>47</v>
      </c>
      <c r="C930" s="24" t="str">
        <f>"Субота"</f>
        <v>Субота</v>
      </c>
      <c r="D930" s="24" t="str">
        <f>IFERROR(TEXT(М3_МАЗ4371_0587!D162,"h:mm"),"")</f>
        <v>9:50</v>
      </c>
      <c r="E930" s="24" t="str">
        <f t="shared" si="104"/>
        <v>№3</v>
      </c>
      <c r="F930" s="24" t="str">
        <f>"МАЗ-4371"</f>
        <v>МАЗ-4371</v>
      </c>
      <c r="G930" s="24" t="str">
        <f>"СВ 53-06 СА"</f>
        <v>СВ 53-06 СА</v>
      </c>
      <c r="H930" s="24">
        <f>IFERROR(М3_МАЗ4371_0587!G162,"")</f>
        <v>4</v>
      </c>
      <c r="J930" s="13" t="str">
        <f t="shared" si="100"/>
        <v>вул. Ярмаркова|47</v>
      </c>
      <c r="K930" s="32">
        <f t="shared" si="101"/>
        <v>0.40972222222222221</v>
      </c>
      <c r="L930" s="13" t="str">
        <f>IF($A930="","",IF(COUNTIFS($J$4:$J930,$J930,$E$4:$E930,$E930)=1,$E930,""))</f>
        <v/>
      </c>
      <c r="M930" s="13" t="str">
        <f>IF($A930="","",IF(COUNTIFS($J$4:$J930,$J930,$F$4:$F930,$F930)=1,$F930,""))</f>
        <v/>
      </c>
    </row>
    <row r="931" spans="1:13" x14ac:dyDescent="0.35">
      <c r="A931" s="23" t="str">
        <f>IFERROR('М3-4_ГАЗ3309_0590'!B47,"")</f>
        <v>вул. Ярмаркова</v>
      </c>
      <c r="B931" s="23" t="str">
        <f>IFERROR(IF('М3-4_ГАЗ3309_0590'!C47="","",TEXT('М3-4_ГАЗ3309_0590'!C47,"General")),"")</f>
        <v>47</v>
      </c>
      <c r="C931" s="24" t="str">
        <f>"Неділя"</f>
        <v>Неділя</v>
      </c>
      <c r="D931" s="24" t="str">
        <f>IFERROR(TEXT('М3-4_ГАЗ3309_0590'!D47,"h:mm"),"")</f>
        <v>9:30</v>
      </c>
      <c r="E931" s="24" t="str">
        <f t="shared" si="104"/>
        <v>№3</v>
      </c>
      <c r="F931" s="24" t="str">
        <f>"ГАЗ 3309"</f>
        <v>ГАЗ 3309</v>
      </c>
      <c r="G931" s="24" t="str">
        <f>"СВ 17-85 ВН"</f>
        <v>СВ 17-85 ВН</v>
      </c>
      <c r="H931" s="24">
        <f>IFERROR('М3-4_ГАЗ3309_0590'!G47,"")</f>
        <v>3</v>
      </c>
      <c r="J931" s="13" t="str">
        <f t="shared" si="100"/>
        <v>вул. Ярмаркова|47</v>
      </c>
      <c r="K931" s="32">
        <f t="shared" si="101"/>
        <v>0.39583333333333331</v>
      </c>
      <c r="L931" s="13" t="str">
        <f>IF($A931="","",IF(COUNTIFS($J$4:$J931,$J931,$E$4:$E931,$E931)=1,$E931,""))</f>
        <v/>
      </c>
      <c r="M931" s="13" t="str">
        <f>IF($A931="","",IF(COUNTIFS($J$4:$J931,$J931,$F$4:$F931,$F931)=1,$F931,""))</f>
        <v/>
      </c>
    </row>
    <row r="932" spans="1:13" x14ac:dyDescent="0.35">
      <c r="A932" s="23" t="str">
        <f>IFERROR('М2_АТ4021-1120_0588'!B6,"")</f>
        <v>вул. Ярмаркова</v>
      </c>
      <c r="B932" s="23" t="str">
        <f>IFERROR(IF('М2_АТ4021-1120_0588'!C6="","",TEXT('М2_АТ4021-1120_0588'!C6,"General")),"")</f>
        <v>Іжбат</v>
      </c>
      <c r="C932" s="24" t="str">
        <f>"Понеділок"</f>
        <v>Понеділок</v>
      </c>
      <c r="D932" s="24" t="str">
        <f>IFERROR(TEXT('М2_АТ4021-1120_0588'!D6,"h:mm"),"")</f>
        <v>7:10</v>
      </c>
      <c r="E932" s="24" t="str">
        <f t="shared" ref="E932:E947" si="105">"№2"</f>
        <v>№2</v>
      </c>
      <c r="F932" s="24" t="str">
        <f>"АТ 4021/1120"</f>
        <v>АТ 4021/1120</v>
      </c>
      <c r="G932" s="24" t="str">
        <f>"СВ 64-11 ЕТ"</f>
        <v>СВ 64-11 ЕТ</v>
      </c>
      <c r="H932" s="24">
        <f>IFERROR('М2_АТ4021-1120_0588'!G6,"")</f>
        <v>5</v>
      </c>
      <c r="J932" s="13" t="str">
        <f t="shared" si="100"/>
        <v>вул. Ярмаркова|Іжбат</v>
      </c>
      <c r="K932" s="32">
        <f t="shared" si="101"/>
        <v>0.2986111111111111</v>
      </c>
      <c r="L932" s="13" t="str">
        <f>IF($A932="","",IF(COUNTIFS($J$4:$J932,$J932,$E$4:$E932,$E932)=1,$E932,""))</f>
        <v>№2</v>
      </c>
      <c r="M932" s="13" t="str">
        <f>IF($A932="","",IF(COUNTIFS($J$4:$J932,$J932,$F$4:$F932,$F932)=1,$F932,""))</f>
        <v>АТ 4021/1120</v>
      </c>
    </row>
    <row r="933" spans="1:13" x14ac:dyDescent="0.35">
      <c r="A933" s="23" t="str">
        <f>IFERROR('М2_АТ4021-1120_0588'!B37,"")</f>
        <v>вул. Ярмаркова</v>
      </c>
      <c r="B933" s="23" t="str">
        <f>IFERROR(IF('М2_АТ4021-1120_0588'!C37="","",TEXT('М2_АТ4021-1120_0588'!C37,"General")),"")</f>
        <v>Іжбат</v>
      </c>
      <c r="C933" s="24" t="str">
        <f>"Вівторок"</f>
        <v>Вівторок</v>
      </c>
      <c r="D933" s="24" t="str">
        <f>IFERROR(TEXT('М2_АТ4021-1120_0588'!D37,"h:mm"),"")</f>
        <v>7:10</v>
      </c>
      <c r="E933" s="24" t="str">
        <f t="shared" si="105"/>
        <v>№2</v>
      </c>
      <c r="F933" s="24" t="str">
        <f>"АТ 4021/1120"</f>
        <v>АТ 4021/1120</v>
      </c>
      <c r="G933" s="24" t="str">
        <f>"СВ 64-11 ЕТ"</f>
        <v>СВ 64-11 ЕТ</v>
      </c>
      <c r="H933" s="24">
        <f>IFERROR('М2_АТ4021-1120_0588'!G37,"")</f>
        <v>5</v>
      </c>
      <c r="J933" s="13" t="str">
        <f t="shared" si="100"/>
        <v>вул. Ярмаркова|Іжбат</v>
      </c>
      <c r="K933" s="32">
        <f t="shared" si="101"/>
        <v>0.2986111111111111</v>
      </c>
      <c r="L933" s="13" t="str">
        <f>IF($A933="","",IF(COUNTIFS($J$4:$J933,$J933,$E$4:$E933,$E933)=1,$E933,""))</f>
        <v/>
      </c>
      <c r="M933" s="13" t="str">
        <f>IF($A933="","",IF(COUNTIFS($J$4:$J933,$J933,$F$4:$F933,$F933)=1,$F933,""))</f>
        <v/>
      </c>
    </row>
    <row r="934" spans="1:13" x14ac:dyDescent="0.35">
      <c r="A934" s="23" t="str">
        <f>IFERROR('М1-2_АТ4021-1120_0585'!B48,"")</f>
        <v>вул. Ярмаркова</v>
      </c>
      <c r="B934" s="23" t="str">
        <f>IFERROR(IF('М1-2_АТ4021-1120_0585'!C48="","",TEXT('М1-2_АТ4021-1120_0585'!C48,"General")),"")</f>
        <v>Іжбат</v>
      </c>
      <c r="C934" s="24" t="str">
        <f>"Середа"</f>
        <v>Середа</v>
      </c>
      <c r="D934" s="24" t="str">
        <f>IFERROR(TEXT('М1-2_АТ4021-1120_0585'!D48,"h:mm"),"")</f>
        <v>7:15</v>
      </c>
      <c r="E934" s="24" t="str">
        <f t="shared" si="105"/>
        <v>№2</v>
      </c>
      <c r="F934" s="24" t="str">
        <f>"АТ-4021/1120"</f>
        <v>АТ-4021/1120</v>
      </c>
      <c r="G934" s="24" t="str">
        <f>"СВ 14-65 ЕО"</f>
        <v>СВ 14-65 ЕО</v>
      </c>
      <c r="H934" s="24">
        <f>IFERROR('М1-2_АТ4021-1120_0585'!G48,"")</f>
        <v>5</v>
      </c>
      <c r="J934" s="13" t="str">
        <f t="shared" si="100"/>
        <v>вул. Ярмаркова|Іжбат</v>
      </c>
      <c r="K934" s="32">
        <f t="shared" si="101"/>
        <v>0.30208333333333331</v>
      </c>
      <c r="L934" s="13" t="str">
        <f>IF($A934="","",IF(COUNTIFS($J$4:$J934,$J934,$E$4:$E934,$E934)=1,$E934,""))</f>
        <v/>
      </c>
      <c r="M934" s="13" t="str">
        <f>IF($A934="","",IF(COUNTIFS($J$4:$J934,$J934,$F$4:$F934,$F934)=1,$F934,""))</f>
        <v>АТ-4021/1120</v>
      </c>
    </row>
    <row r="935" spans="1:13" x14ac:dyDescent="0.35">
      <c r="A935" s="23" t="str">
        <f>IFERROR('М1-2_АТ4021-1120_0585'!B67,"")</f>
        <v>вул. Ярмаркова</v>
      </c>
      <c r="B935" s="23" t="str">
        <f>IFERROR(IF('М1-2_АТ4021-1120_0585'!C67="","",TEXT('М1-2_АТ4021-1120_0585'!C67,"General")),"")</f>
        <v>Іжбат</v>
      </c>
      <c r="C935" s="24" t="str">
        <f>"Середа"</f>
        <v>Середа</v>
      </c>
      <c r="D935" s="24" t="str">
        <f>IFERROR(TEXT('М1-2_АТ4021-1120_0585'!D67,"h:mm"),"")</f>
        <v>14:50</v>
      </c>
      <c r="E935" s="24" t="str">
        <f t="shared" si="105"/>
        <v>№2</v>
      </c>
      <c r="F935" s="24" t="str">
        <f>"АТ-4021/1120"</f>
        <v>АТ-4021/1120</v>
      </c>
      <c r="G935" s="24" t="str">
        <f>"СВ 14-65 ЕО"</f>
        <v>СВ 14-65 ЕО</v>
      </c>
      <c r="H935" s="24">
        <f>IFERROR('М1-2_АТ4021-1120_0585'!G67,"")</f>
        <v>5</v>
      </c>
      <c r="J935" s="13" t="str">
        <f t="shared" si="100"/>
        <v>вул. Ярмаркова|Іжбат</v>
      </c>
      <c r="K935" s="32">
        <f t="shared" si="101"/>
        <v>0.61805555555555558</v>
      </c>
      <c r="L935" s="13" t="str">
        <f>IF($A935="","",IF(COUNTIFS($J$4:$J935,$J935,$E$4:$E935,$E935)=1,$E935,""))</f>
        <v/>
      </c>
      <c r="M935" s="13" t="str">
        <f>IF($A935="","",IF(COUNTIFS($J$4:$J935,$J935,$F$4:$F935,$F935)=1,$F935,""))</f>
        <v/>
      </c>
    </row>
    <row r="936" spans="1:13" x14ac:dyDescent="0.35">
      <c r="A936" s="23" t="str">
        <f>IFERROR('М2_АТ4021-1120_0588'!B68,"")</f>
        <v>вул. Ярмаркова</v>
      </c>
      <c r="B936" s="23" t="str">
        <f>IFERROR(IF('М2_АТ4021-1120_0588'!C68="","",TEXT('М2_АТ4021-1120_0588'!C68,"General")),"")</f>
        <v>Іжбат</v>
      </c>
      <c r="C936" s="24" t="str">
        <f>"Четвер"</f>
        <v>Четвер</v>
      </c>
      <c r="D936" s="24" t="str">
        <f>IFERROR(TEXT('М2_АТ4021-1120_0588'!D68,"h:mm"),"")</f>
        <v>7:10</v>
      </c>
      <c r="E936" s="24" t="str">
        <f t="shared" si="105"/>
        <v>№2</v>
      </c>
      <c r="F936" s="24" t="str">
        <f>"АТ 4021/1120"</f>
        <v>АТ 4021/1120</v>
      </c>
      <c r="G936" s="24" t="str">
        <f>"СВ 64-11 ЕТ"</f>
        <v>СВ 64-11 ЕТ</v>
      </c>
      <c r="H936" s="24">
        <f>IFERROR('М2_АТ4021-1120_0588'!G68,"")</f>
        <v>5</v>
      </c>
      <c r="J936" s="13" t="str">
        <f t="shared" si="100"/>
        <v>вул. Ярмаркова|Іжбат</v>
      </c>
      <c r="K936" s="32">
        <f t="shared" si="101"/>
        <v>0.2986111111111111</v>
      </c>
      <c r="L936" s="13" t="str">
        <f>IF($A936="","",IF(COUNTIFS($J$4:$J936,$J936,$E$4:$E936,$E936)=1,$E936,""))</f>
        <v/>
      </c>
      <c r="M936" s="13" t="str">
        <f>IF($A936="","",IF(COUNTIFS($J$4:$J936,$J936,$F$4:$F936,$F936)=1,$F936,""))</f>
        <v/>
      </c>
    </row>
    <row r="937" spans="1:13" x14ac:dyDescent="0.35">
      <c r="A937" s="23" t="str">
        <f>IFERROR('М2_АТ4021-1120_0588'!B98,"")</f>
        <v>вул. Ярмаркова</v>
      </c>
      <c r="B937" s="23" t="str">
        <f>IFERROR(IF('М2_АТ4021-1120_0588'!C98="","",TEXT('М2_АТ4021-1120_0588'!C98,"General")),"")</f>
        <v>Іжбат</v>
      </c>
      <c r="C937" s="24" t="str">
        <f>"П'ятниця"</f>
        <v>П'ятниця</v>
      </c>
      <c r="D937" s="24" t="str">
        <f>IFERROR(TEXT('М2_АТ4021-1120_0588'!D98,"h:mm"),"")</f>
        <v>7:10</v>
      </c>
      <c r="E937" s="24" t="str">
        <f t="shared" si="105"/>
        <v>№2</v>
      </c>
      <c r="F937" s="24" t="str">
        <f>"АТ 4021/1120"</f>
        <v>АТ 4021/1120</v>
      </c>
      <c r="G937" s="24" t="str">
        <f>"СВ 64-11 ЕТ"</f>
        <v>СВ 64-11 ЕТ</v>
      </c>
      <c r="H937" s="24">
        <f>IFERROR('М2_АТ4021-1120_0588'!G98,"")</f>
        <v>5</v>
      </c>
      <c r="J937" s="13" t="str">
        <f t="shared" si="100"/>
        <v>вул. Ярмаркова|Іжбат</v>
      </c>
      <c r="K937" s="32">
        <f t="shared" si="101"/>
        <v>0.2986111111111111</v>
      </c>
      <c r="L937" s="13" t="str">
        <f>IF($A937="","",IF(COUNTIFS($J$4:$J937,$J937,$E$4:$E937,$E937)=1,$E937,""))</f>
        <v/>
      </c>
      <c r="M937" s="13" t="str">
        <f>IF($A937="","",IF(COUNTIFS($J$4:$J937,$J937,$F$4:$F937,$F937)=1,$F937,""))</f>
        <v/>
      </c>
    </row>
    <row r="938" spans="1:13" x14ac:dyDescent="0.35">
      <c r="A938" s="23" t="str">
        <f>IFERROR('М1-2_АТ4021-1120_0585'!B77,"")</f>
        <v>вул. Ярмаркова</v>
      </c>
      <c r="B938" s="23" t="str">
        <f>IFERROR(IF('М1-2_АТ4021-1120_0585'!C77="","",TEXT('М1-2_АТ4021-1120_0585'!C77,"General")),"")</f>
        <v>Іжбат</v>
      </c>
      <c r="C938" s="24" t="str">
        <f>"Субота"</f>
        <v>Субота</v>
      </c>
      <c r="D938" s="24" t="str">
        <f>IFERROR(TEXT('М1-2_АТ4021-1120_0585'!D77,"h:mm"),"")</f>
        <v>7:15</v>
      </c>
      <c r="E938" s="24" t="str">
        <f t="shared" si="105"/>
        <v>№2</v>
      </c>
      <c r="F938" s="24" t="str">
        <f>"АТ-4021/1120"</f>
        <v>АТ-4021/1120</v>
      </c>
      <c r="G938" s="24" t="str">
        <f>"СВ 14-65 ЕО"</f>
        <v>СВ 14-65 ЕО</v>
      </c>
      <c r="H938" s="24">
        <f>IFERROR('М1-2_АТ4021-1120_0585'!G77,"")</f>
        <v>5</v>
      </c>
      <c r="J938" s="13" t="str">
        <f t="shared" si="100"/>
        <v>вул. Ярмаркова|Іжбат</v>
      </c>
      <c r="K938" s="32">
        <f t="shared" si="101"/>
        <v>0.30208333333333331</v>
      </c>
      <c r="L938" s="13" t="str">
        <f>IF($A938="","",IF(COUNTIFS($J$4:$J938,$J938,$E$4:$E938,$E938)=1,$E938,""))</f>
        <v/>
      </c>
      <c r="M938" s="13" t="str">
        <f>IF($A938="","",IF(COUNTIFS($J$4:$J938,$J938,$F$4:$F938,$F938)=1,$F938,""))</f>
        <v/>
      </c>
    </row>
    <row r="939" spans="1:13" x14ac:dyDescent="0.35">
      <c r="A939" s="23" t="str">
        <f>IFERROR('М1-2_АТ4021-1120_0585'!B96,"")</f>
        <v>вул. Ярмаркова</v>
      </c>
      <c r="B939" s="23" t="str">
        <f>IFERROR(IF('М1-2_АТ4021-1120_0585'!C96="","",TEXT('М1-2_АТ4021-1120_0585'!C96,"General")),"")</f>
        <v>Іжбат</v>
      </c>
      <c r="C939" s="24" t="str">
        <f>"Субота"</f>
        <v>Субота</v>
      </c>
      <c r="D939" s="24" t="str">
        <f>IFERROR(TEXT('М1-2_АТ4021-1120_0585'!D96,"h:mm"),"")</f>
        <v>14:50</v>
      </c>
      <c r="E939" s="24" t="str">
        <f t="shared" si="105"/>
        <v>№2</v>
      </c>
      <c r="F939" s="24" t="str">
        <f>"АТ-4021/1120"</f>
        <v>АТ-4021/1120</v>
      </c>
      <c r="G939" s="24" t="str">
        <f>"СВ 14-65 ЕО"</f>
        <v>СВ 14-65 ЕО</v>
      </c>
      <c r="H939" s="24">
        <f>IFERROR('М1-2_АТ4021-1120_0585'!G96,"")</f>
        <v>5</v>
      </c>
      <c r="J939" s="13" t="str">
        <f t="shared" si="100"/>
        <v>вул. Ярмаркова|Іжбат</v>
      </c>
      <c r="K939" s="32">
        <f t="shared" si="101"/>
        <v>0.61805555555555558</v>
      </c>
      <c r="L939" s="13" t="str">
        <f>IF($A939="","",IF(COUNTIFS($J$4:$J939,$J939,$E$4:$E939,$E939)=1,$E939,""))</f>
        <v/>
      </c>
      <c r="M939" s="13" t="str">
        <f>IF($A939="","",IF(COUNTIFS($J$4:$J939,$J939,$F$4:$F939,$F939)=1,$F939,""))</f>
        <v/>
      </c>
    </row>
    <row r="940" spans="1:13" x14ac:dyDescent="0.35">
      <c r="A940" s="23" t="str">
        <f>IFERROR('М2_АТ4021-1120_0588'!B128,"")</f>
        <v>вул. Ярмаркова</v>
      </c>
      <c r="B940" s="23" t="str">
        <f>IFERROR(IF('М2_АТ4021-1120_0588'!C128="","",TEXT('М2_АТ4021-1120_0588'!C128,"General")),"")</f>
        <v>Іжбат</v>
      </c>
      <c r="C940" s="24" t="str">
        <f>"Неділя"</f>
        <v>Неділя</v>
      </c>
      <c r="D940" s="24" t="str">
        <f>IFERROR(TEXT('М2_АТ4021-1120_0588'!D128,"h:mm"),"")</f>
        <v>7:10</v>
      </c>
      <c r="E940" s="24" t="str">
        <f t="shared" si="105"/>
        <v>№2</v>
      </c>
      <c r="F940" s="24" t="str">
        <f>"АТ 4021/1120"</f>
        <v>АТ 4021/1120</v>
      </c>
      <c r="G940" s="24" t="str">
        <f>"СВ 64-11 ЕТ"</f>
        <v>СВ 64-11 ЕТ</v>
      </c>
      <c r="H940" s="24">
        <f>IFERROR('М2_АТ4021-1120_0588'!G128,"")</f>
        <v>5</v>
      </c>
      <c r="J940" s="13" t="str">
        <f t="shared" si="100"/>
        <v>вул. Ярмаркова|Іжбат</v>
      </c>
      <c r="K940" s="32">
        <f t="shared" si="101"/>
        <v>0.2986111111111111</v>
      </c>
      <c r="L940" s="13" t="str">
        <f>IF($A940="","",IF(COUNTIFS($J$4:$J940,$J940,$E$4:$E940,$E940)=1,$E940,""))</f>
        <v/>
      </c>
      <c r="M940" s="13" t="str">
        <f>IF($A940="","",IF(COUNTIFS($J$4:$J940,$J940,$F$4:$F940,$F940)=1,$F940,""))</f>
        <v/>
      </c>
    </row>
    <row r="941" spans="1:13" x14ac:dyDescent="0.35">
      <c r="A941" s="23" t="str">
        <f>IFERROR('М2_АТ4021-1120_0588'!B18,"")</f>
        <v>вул. Ярмаркова</v>
      </c>
      <c r="B941" s="23" t="str">
        <f>IFERROR(IF('М2_АТ4021-1120_0588'!C18="","",TEXT('М2_АТ4021-1120_0588'!C18,"General")),"")</f>
        <v>Д/с</v>
      </c>
      <c r="C941" s="24" t="str">
        <f>"Понеділок"</f>
        <v>Понеділок</v>
      </c>
      <c r="D941" s="24" t="str">
        <f>IFERROR(TEXT('М2_АТ4021-1120_0588'!D18,"h:mm"),"")</f>
        <v>12:30</v>
      </c>
      <c r="E941" s="24" t="str">
        <f t="shared" si="105"/>
        <v>№2</v>
      </c>
      <c r="F941" s="24" t="str">
        <f>"АТ 4021/1120"</f>
        <v>АТ 4021/1120</v>
      </c>
      <c r="G941" s="24" t="str">
        <f>"СВ 64-11 ЕТ"</f>
        <v>СВ 64-11 ЕТ</v>
      </c>
      <c r="H941" s="24">
        <f>IFERROR('М2_АТ4021-1120_0588'!G18,"")</f>
        <v>4</v>
      </c>
      <c r="J941" s="13" t="str">
        <f t="shared" si="100"/>
        <v>вул. Ярмаркова|Д/с</v>
      </c>
      <c r="K941" s="32">
        <f t="shared" si="101"/>
        <v>0.52083333333333337</v>
      </c>
      <c r="L941" s="13" t="str">
        <f>IF($A941="","",IF(COUNTIFS($J$4:$J941,$J941,$E$4:$E941,$E941)=1,$E941,""))</f>
        <v>№2</v>
      </c>
      <c r="M941" s="13" t="str">
        <f>IF($A941="","",IF(COUNTIFS($J$4:$J941,$J941,$F$4:$F941,$F941)=1,$F941,""))</f>
        <v>АТ 4021/1120</v>
      </c>
    </row>
    <row r="942" spans="1:13" x14ac:dyDescent="0.35">
      <c r="A942" s="23" t="str">
        <f>IFERROR('М2_АТ4021-1120_0588'!B49,"")</f>
        <v>вул. Ярмаркова</v>
      </c>
      <c r="B942" s="23" t="str">
        <f>IFERROR(IF('М2_АТ4021-1120_0588'!C49="","",TEXT('М2_АТ4021-1120_0588'!C49,"General")),"")</f>
        <v>Д/с</v>
      </c>
      <c r="C942" s="24" t="str">
        <f>"Вівторок"</f>
        <v>Вівторок</v>
      </c>
      <c r="D942" s="24" t="str">
        <f>IFERROR(TEXT('М2_АТ4021-1120_0588'!D49,"h:mm"),"")</f>
        <v>12:30</v>
      </c>
      <c r="E942" s="24" t="str">
        <f t="shared" si="105"/>
        <v>№2</v>
      </c>
      <c r="F942" s="24" t="str">
        <f>"АТ 4021/1120"</f>
        <v>АТ 4021/1120</v>
      </c>
      <c r="G942" s="24" t="str">
        <f>"СВ 64-11 ЕТ"</f>
        <v>СВ 64-11 ЕТ</v>
      </c>
      <c r="H942" s="24">
        <f>IFERROR('М2_АТ4021-1120_0588'!G49,"")</f>
        <v>4</v>
      </c>
      <c r="J942" s="13" t="str">
        <f t="shared" si="100"/>
        <v>вул. Ярмаркова|Д/с</v>
      </c>
      <c r="K942" s="32">
        <f t="shared" si="101"/>
        <v>0.52083333333333337</v>
      </c>
      <c r="L942" s="13" t="str">
        <f>IF($A942="","",IF(COUNTIFS($J$4:$J942,$J942,$E$4:$E942,$E942)=1,$E942,""))</f>
        <v/>
      </c>
      <c r="M942" s="13" t="str">
        <f>IF($A942="","",IF(COUNTIFS($J$4:$J942,$J942,$F$4:$F942,$F942)=1,$F942,""))</f>
        <v/>
      </c>
    </row>
    <row r="943" spans="1:13" x14ac:dyDescent="0.35">
      <c r="A943" s="23" t="str">
        <f>IFERROR('М1-2_АТ4021-1120_0585'!B57,"")</f>
        <v>вул. Ярмаркова</v>
      </c>
      <c r="B943" s="23" t="str">
        <f>IFERROR(IF('М1-2_АТ4021-1120_0585'!C57="","",TEXT('М1-2_АТ4021-1120_0585'!C57,"General")),"")</f>
        <v>Д/с</v>
      </c>
      <c r="C943" s="24" t="str">
        <f>"Середа"</f>
        <v>Середа</v>
      </c>
      <c r="D943" s="24" t="str">
        <f>IFERROR(TEXT('М1-2_АТ4021-1120_0585'!D57,"h:mm"),"")</f>
        <v>10:20</v>
      </c>
      <c r="E943" s="24" t="str">
        <f t="shared" si="105"/>
        <v>№2</v>
      </c>
      <c r="F943" s="24" t="str">
        <f>"АТ-4021/1120"</f>
        <v>АТ-4021/1120</v>
      </c>
      <c r="G943" s="24" t="str">
        <f>"СВ 14-65 ЕО"</f>
        <v>СВ 14-65 ЕО</v>
      </c>
      <c r="H943" s="24">
        <f>IFERROR('М1-2_АТ4021-1120_0585'!G57,"")</f>
        <v>3</v>
      </c>
      <c r="J943" s="13" t="str">
        <f t="shared" si="100"/>
        <v>вул. Ярмаркова|Д/с</v>
      </c>
      <c r="K943" s="32">
        <f t="shared" si="101"/>
        <v>0.43055555555555558</v>
      </c>
      <c r="L943" s="13" t="str">
        <f>IF($A943="","",IF(COUNTIFS($J$4:$J943,$J943,$E$4:$E943,$E943)=1,$E943,""))</f>
        <v/>
      </c>
      <c r="M943" s="13" t="str">
        <f>IF($A943="","",IF(COUNTIFS($J$4:$J943,$J943,$F$4:$F943,$F943)=1,$F943,""))</f>
        <v>АТ-4021/1120</v>
      </c>
    </row>
    <row r="944" spans="1:13" x14ac:dyDescent="0.35">
      <c r="A944" s="23" t="str">
        <f>IFERROR('М2_АТ4021-1120_0588'!B80,"")</f>
        <v>вул. Ярмаркова</v>
      </c>
      <c r="B944" s="23" t="str">
        <f>IFERROR(IF('М2_АТ4021-1120_0588'!C80="","",TEXT('М2_АТ4021-1120_0588'!C80,"General")),"")</f>
        <v>Д/с</v>
      </c>
      <c r="C944" s="24" t="str">
        <f>"Четвер"</f>
        <v>Четвер</v>
      </c>
      <c r="D944" s="24" t="str">
        <f>IFERROR(TEXT('М2_АТ4021-1120_0588'!D80,"h:mm"),"")</f>
        <v>12:30</v>
      </c>
      <c r="E944" s="24" t="str">
        <f t="shared" si="105"/>
        <v>№2</v>
      </c>
      <c r="F944" s="24" t="str">
        <f>"АТ 4021/1120"</f>
        <v>АТ 4021/1120</v>
      </c>
      <c r="G944" s="24" t="str">
        <f>"СВ 64-11 ЕТ"</f>
        <v>СВ 64-11 ЕТ</v>
      </c>
      <c r="H944" s="24">
        <f>IFERROR('М2_АТ4021-1120_0588'!G80,"")</f>
        <v>4</v>
      </c>
      <c r="J944" s="13" t="str">
        <f t="shared" si="100"/>
        <v>вул. Ярмаркова|Д/с</v>
      </c>
      <c r="K944" s="32">
        <f t="shared" si="101"/>
        <v>0.52083333333333337</v>
      </c>
      <c r="L944" s="13" t="str">
        <f>IF($A944="","",IF(COUNTIFS($J$4:$J944,$J944,$E$4:$E944,$E944)=1,$E944,""))</f>
        <v/>
      </c>
      <c r="M944" s="13" t="str">
        <f>IF($A944="","",IF(COUNTIFS($J$4:$J944,$J944,$F$4:$F944,$F944)=1,$F944,""))</f>
        <v/>
      </c>
    </row>
    <row r="945" spans="1:13" x14ac:dyDescent="0.35">
      <c r="A945" s="23" t="str">
        <f>IFERROR('М2_АТ4021-1120_0588'!B110,"")</f>
        <v>вул. Ярмаркова</v>
      </c>
      <c r="B945" s="23" t="str">
        <f>IFERROR(IF('М2_АТ4021-1120_0588'!C110="","",TEXT('М2_АТ4021-1120_0588'!C110,"General")),"")</f>
        <v>Д/с</v>
      </c>
      <c r="C945" s="24" t="str">
        <f>"П'ятниця"</f>
        <v>П'ятниця</v>
      </c>
      <c r="D945" s="24" t="str">
        <f>IFERROR(TEXT('М2_АТ4021-1120_0588'!D110,"h:mm"),"")</f>
        <v>12:30</v>
      </c>
      <c r="E945" s="24" t="str">
        <f t="shared" si="105"/>
        <v>№2</v>
      </c>
      <c r="F945" s="24" t="str">
        <f>"АТ 4021/1120"</f>
        <v>АТ 4021/1120</v>
      </c>
      <c r="G945" s="24" t="str">
        <f>"СВ 64-11 ЕТ"</f>
        <v>СВ 64-11 ЕТ</v>
      </c>
      <c r="H945" s="24">
        <f>IFERROR('М2_АТ4021-1120_0588'!G110,"")</f>
        <v>4</v>
      </c>
      <c r="J945" s="13" t="str">
        <f t="shared" si="100"/>
        <v>вул. Ярмаркова|Д/с</v>
      </c>
      <c r="K945" s="32">
        <f t="shared" si="101"/>
        <v>0.52083333333333337</v>
      </c>
      <c r="L945" s="13" t="str">
        <f>IF($A945="","",IF(COUNTIFS($J$4:$J945,$J945,$E$4:$E945,$E945)=1,$E945,""))</f>
        <v/>
      </c>
      <c r="M945" s="13" t="str">
        <f>IF($A945="","",IF(COUNTIFS($J$4:$J945,$J945,$F$4:$F945,$F945)=1,$F945,""))</f>
        <v/>
      </c>
    </row>
    <row r="946" spans="1:13" x14ac:dyDescent="0.35">
      <c r="A946" s="23" t="str">
        <f>IFERROR('М1-2_АТ4021-1120_0585'!B86,"")</f>
        <v>вул. Ярмаркова</v>
      </c>
      <c r="B946" s="23" t="str">
        <f>IFERROR(IF('М1-2_АТ4021-1120_0585'!C86="","",TEXT('М1-2_АТ4021-1120_0585'!C86,"General")),"")</f>
        <v>Д/с</v>
      </c>
      <c r="C946" s="24" t="str">
        <f>"Субота"</f>
        <v>Субота</v>
      </c>
      <c r="D946" s="24" t="str">
        <f>IFERROR(TEXT('М1-2_АТ4021-1120_0585'!D86,"h:mm"),"")</f>
        <v>10:20</v>
      </c>
      <c r="E946" s="24" t="str">
        <f t="shared" si="105"/>
        <v>№2</v>
      </c>
      <c r="F946" s="24" t="str">
        <f>"АТ-4021/1120"</f>
        <v>АТ-4021/1120</v>
      </c>
      <c r="G946" s="24" t="str">
        <f>"СВ 14-65 ЕО"</f>
        <v>СВ 14-65 ЕО</v>
      </c>
      <c r="H946" s="24">
        <f>IFERROR('М1-2_АТ4021-1120_0585'!G86,"")</f>
        <v>3</v>
      </c>
      <c r="J946" s="13" t="str">
        <f t="shared" si="100"/>
        <v>вул. Ярмаркова|Д/с</v>
      </c>
      <c r="K946" s="32">
        <f t="shared" si="101"/>
        <v>0.43055555555555558</v>
      </c>
      <c r="L946" s="13" t="str">
        <f>IF($A946="","",IF(COUNTIFS($J$4:$J946,$J946,$E$4:$E946,$E946)=1,$E946,""))</f>
        <v/>
      </c>
      <c r="M946" s="13" t="str">
        <f>IF($A946="","",IF(COUNTIFS($J$4:$J946,$J946,$F$4:$F946,$F946)=1,$F946,""))</f>
        <v/>
      </c>
    </row>
    <row r="947" spans="1:13" x14ac:dyDescent="0.35">
      <c r="A947" s="23" t="str">
        <f>IFERROR('М2_АТ4021-1120_0588'!B140,"")</f>
        <v>вул. Ярмаркова</v>
      </c>
      <c r="B947" s="23" t="str">
        <f>IFERROR(IF('М2_АТ4021-1120_0588'!C140="","",TEXT('М2_АТ4021-1120_0588'!C140,"General")),"")</f>
        <v>Д/с</v>
      </c>
      <c r="C947" s="24" t="str">
        <f>"Неділя"</f>
        <v>Неділя</v>
      </c>
      <c r="D947" s="24" t="str">
        <f>IFERROR(TEXT('М2_АТ4021-1120_0588'!D140,"h:mm"),"")</f>
        <v>12:30</v>
      </c>
      <c r="E947" s="24" t="str">
        <f t="shared" si="105"/>
        <v>№2</v>
      </c>
      <c r="F947" s="24" t="str">
        <f>"АТ 4021/1120"</f>
        <v>АТ 4021/1120</v>
      </c>
      <c r="G947" s="24" t="str">
        <f>"СВ 64-11 ЕТ"</f>
        <v>СВ 64-11 ЕТ</v>
      </c>
      <c r="H947" s="24">
        <f>IFERROR('М2_АТ4021-1120_0588'!G140,"")</f>
        <v>4</v>
      </c>
      <c r="J947" s="13" t="str">
        <f t="shared" si="100"/>
        <v>вул. Ярмаркова|Д/с</v>
      </c>
      <c r="K947" s="32">
        <f t="shared" si="101"/>
        <v>0.52083333333333337</v>
      </c>
      <c r="L947" s="13" t="str">
        <f>IF($A947="","",IF(COUNTIFS($J$4:$J947,$J947,$E$4:$E947,$E947)=1,$E947,""))</f>
        <v/>
      </c>
      <c r="M947" s="13" t="str">
        <f>IF($A947="","",IF(COUNTIFS($J$4:$J947,$J947,$F$4:$F947,$F947)=1,$F947,""))</f>
        <v/>
      </c>
    </row>
    <row r="948" spans="1:13" x14ac:dyDescent="0.35">
      <c r="A948" s="23" t="str">
        <f>IFERROR(М4_АТ4042ROD_0584!B130,"")</f>
        <v>вул. Ярмаркова</v>
      </c>
      <c r="B948" s="23" t="str">
        <f>IFERROR(IF(М4_АТ4042ROD_0584!C130="","",TEXT(М4_АТ4042ROD_0584!C130,"General")),"")</f>
        <v>Д/с 26</v>
      </c>
      <c r="C948" s="24" t="str">
        <f>"П'ятниця"</f>
        <v>П'ятниця</v>
      </c>
      <c r="D948" s="24" t="str">
        <f>IFERROR(TEXT(М4_АТ4042ROD_0584!D130,"h:mm"),"")</f>
        <v>15:40</v>
      </c>
      <c r="E948" s="24" t="str">
        <f>"№4"</f>
        <v>№4</v>
      </c>
      <c r="F948" s="24" t="str">
        <f>"АТ 40-42/ROD21003"</f>
        <v>АТ 40-42/ROD21003</v>
      </c>
      <c r="G948" s="24" t="str">
        <f>"СВ 33-15 ЕО"</f>
        <v>СВ 33-15 ЕО</v>
      </c>
      <c r="H948" s="24">
        <f>IFERROR(М4_АТ4042ROD_0584!G130,"")</f>
        <v>2</v>
      </c>
      <c r="J948" s="13" t="str">
        <f t="shared" si="100"/>
        <v>вул. Ярмаркова|Д/с 26</v>
      </c>
      <c r="K948" s="32">
        <f t="shared" si="101"/>
        <v>0.65277777777777779</v>
      </c>
      <c r="L948" s="13" t="str">
        <f>IF($A948="","",IF(COUNTIFS($J$4:$J948,$J948,$E$4:$E948,$E948)=1,$E948,""))</f>
        <v>№4</v>
      </c>
      <c r="M948" s="13" t="str">
        <f>IF($A948="","",IF(COUNTIFS($J$4:$J948,$J948,$F$4:$F948,$F948)=1,$F948,""))</f>
        <v>АТ 40-42/ROD21003</v>
      </c>
    </row>
    <row r="949" spans="1:13" x14ac:dyDescent="0.35">
      <c r="A949" s="23" t="str">
        <f>IFERROR('М1-2_АТ4021-1120_0585'!B28,"")</f>
        <v>вул. Ярмаркова</v>
      </c>
      <c r="B949" s="23" t="str">
        <f>IFERROR(IF('М1-2_АТ4021-1120_0585'!C28="","",TEXT('М1-2_АТ4021-1120_0585'!C28,"General")),"")</f>
        <v>Н/П 6</v>
      </c>
      <c r="C949" s="24" t="str">
        <f>"Понеділок"</f>
        <v>Понеділок</v>
      </c>
      <c r="D949" s="24" t="str">
        <f>IFERROR(TEXT('М1-2_АТ4021-1120_0585'!D28,"h:mm"),"")</f>
        <v>13:55</v>
      </c>
      <c r="E949" s="24" t="str">
        <f>"№1"</f>
        <v>№1</v>
      </c>
      <c r="F949" s="24" t="str">
        <f>"АТ-4021/1120"</f>
        <v>АТ-4021/1120</v>
      </c>
      <c r="G949" s="24" t="str">
        <f>"СВ 14-65 ЕО"</f>
        <v>СВ 14-65 ЕО</v>
      </c>
      <c r="H949" s="24">
        <f>IFERROR('М1-2_АТ4021-1120_0585'!G28,"")</f>
        <v>1</v>
      </c>
      <c r="J949" s="13" t="str">
        <f t="shared" si="100"/>
        <v>вул. Ярмаркова|Н/П 6</v>
      </c>
      <c r="K949" s="32">
        <f t="shared" si="101"/>
        <v>0.57986111111111116</v>
      </c>
      <c r="L949" s="13" t="str">
        <f>IF($A949="","",IF(COUNTIFS($J$4:$J949,$J949,$E$4:$E949,$E949)=1,$E949,""))</f>
        <v>№1</v>
      </c>
      <c r="M949" s="13" t="str">
        <f>IF($A949="","",IF(COUNTIFS($J$4:$J949,$J949,$F$4:$F949,$F949)=1,$F949,""))</f>
        <v>АТ-4021/1120</v>
      </c>
    </row>
    <row r="950" spans="1:13" x14ac:dyDescent="0.35">
      <c r="A950" s="23" t="str">
        <f>IFERROR('М2_АТ4021-1120_0588'!B16,"")</f>
        <v>вул. Ярмаркова</v>
      </c>
      <c r="B950" s="23" t="str">
        <f>IFERROR(IF('М2_АТ4021-1120_0588'!C16="","",TEXT('М2_АТ4021-1120_0588'!C16,"General")),"")</f>
        <v>Приймальний пункт</v>
      </c>
      <c r="C950" s="24" t="str">
        <f>"Понеділок"</f>
        <v>Понеділок</v>
      </c>
      <c r="D950" s="24" t="str">
        <f>IFERROR(TEXT('М2_АТ4021-1120_0588'!D16,"h:mm"),"")</f>
        <v>10:30</v>
      </c>
      <c r="E950" s="24" t="str">
        <f>"№2"</f>
        <v>№2</v>
      </c>
      <c r="F950" s="24" t="str">
        <f>"АТ 4021/1120"</f>
        <v>АТ 4021/1120</v>
      </c>
      <c r="G950" s="24" t="str">
        <f>"СВ 64-11 ЕТ"</f>
        <v>СВ 64-11 ЕТ</v>
      </c>
      <c r="H950" s="24">
        <f>IFERROR('М2_АТ4021-1120_0588'!G16,"")</f>
        <v>5</v>
      </c>
      <c r="J950" s="13" t="str">
        <f t="shared" si="100"/>
        <v>вул. Ярмаркова|Приймальний пункт</v>
      </c>
      <c r="K950" s="32">
        <f t="shared" si="101"/>
        <v>0.4375</v>
      </c>
      <c r="L950" s="13" t="str">
        <f>IF($A950="","",IF(COUNTIFS($J$4:$J950,$J950,$E$4:$E950,$E950)=1,$E950,""))</f>
        <v>№2</v>
      </c>
      <c r="M950" s="13" t="str">
        <f>IF($A950="","",IF(COUNTIFS($J$4:$J950,$J950,$F$4:$F950,$F950)=1,$F950,""))</f>
        <v>АТ 4021/1120</v>
      </c>
    </row>
    <row r="951" spans="1:13" x14ac:dyDescent="0.35">
      <c r="A951" s="23" t="str">
        <f>IFERROR(М6_АТ4021_0586!B38,"")</f>
        <v>вул. Ярмаркова</v>
      </c>
      <c r="B951" s="23" t="str">
        <f>IFERROR(IF(М6_АТ4021_0586!C38="","",TEXT(М6_АТ4021_0586!C38,"General")),"")</f>
        <v>Приймальний пункт</v>
      </c>
      <c r="C951" s="24" t="str">
        <f>"Понеділок"</f>
        <v>Понеділок</v>
      </c>
      <c r="D951" s="24" t="str">
        <f>IFERROR(TEXT(М6_АТ4021_0586!D38,"h:mm"),"")</f>
        <v>15:50</v>
      </c>
      <c r="E951" s="24" t="str">
        <f>"№6"</f>
        <v>№6</v>
      </c>
      <c r="F951" s="24" t="str">
        <f>"АТ 4021"</f>
        <v>АТ 4021</v>
      </c>
      <c r="G951" s="24" t="str">
        <f>"СВ 33-16 ЕО"</f>
        <v>СВ 33-16 ЕО</v>
      </c>
      <c r="H951" s="24"/>
      <c r="J951" s="13" t="str">
        <f t="shared" si="100"/>
        <v>вул. Ярмаркова|Приймальний пункт</v>
      </c>
      <c r="K951" s="32">
        <f t="shared" si="101"/>
        <v>0.65972222222222221</v>
      </c>
      <c r="L951" s="13" t="str">
        <f>IF($A951="","",IF(COUNTIFS($J$4:$J951,$J951,$E$4:$E951,$E951)=1,$E951,""))</f>
        <v>№6</v>
      </c>
      <c r="M951" s="13" t="str">
        <f>IF($A951="","",IF(COUNTIFS($J$4:$J951,$J951,$F$4:$F951,$F951)=1,$F951,""))</f>
        <v>АТ 4021</v>
      </c>
    </row>
    <row r="952" spans="1:13" x14ac:dyDescent="0.35">
      <c r="A952" s="23" t="str">
        <f>IFERROR('М2_АТ4021-1120_0588'!B47,"")</f>
        <v>вул. Ярмаркова</v>
      </c>
      <c r="B952" s="23" t="str">
        <f>IFERROR(IF('М2_АТ4021-1120_0588'!C47="","",TEXT('М2_АТ4021-1120_0588'!C47,"General")),"")</f>
        <v>Приймальний пункт</v>
      </c>
      <c r="C952" s="24" t="str">
        <f>"Вівторок"</f>
        <v>Вівторок</v>
      </c>
      <c r="D952" s="24" t="str">
        <f>IFERROR(TEXT('М2_АТ4021-1120_0588'!D47,"h:mm"),"")</f>
        <v>10:30</v>
      </c>
      <c r="E952" s="24" t="str">
        <f t="shared" ref="E952:E957" si="106">"№2"</f>
        <v>№2</v>
      </c>
      <c r="F952" s="24" t="str">
        <f>"АТ 4021/1120"</f>
        <v>АТ 4021/1120</v>
      </c>
      <c r="G952" s="24" t="str">
        <f>"СВ 64-11 ЕТ"</f>
        <v>СВ 64-11 ЕТ</v>
      </c>
      <c r="H952" s="24">
        <f>IFERROR('М2_АТ4021-1120_0588'!G47,"")</f>
        <v>5</v>
      </c>
      <c r="J952" s="13" t="str">
        <f t="shared" si="100"/>
        <v>вул. Ярмаркова|Приймальний пункт</v>
      </c>
      <c r="K952" s="32">
        <f t="shared" si="101"/>
        <v>0.4375</v>
      </c>
      <c r="L952" s="13" t="str">
        <f>IF($A952="","",IF(COUNTIFS($J$4:$J952,$J952,$E$4:$E952,$E952)=1,$E952,""))</f>
        <v/>
      </c>
      <c r="M952" s="13" t="str">
        <f>IF($A952="","",IF(COUNTIFS($J$4:$J952,$J952,$F$4:$F952,$F952)=1,$F952,""))</f>
        <v/>
      </c>
    </row>
    <row r="953" spans="1:13" x14ac:dyDescent="0.35">
      <c r="A953" s="23" t="str">
        <f>IFERROR('М1-2_АТ4021-1120_0585'!B59,"")</f>
        <v>вул. Ярмаркова</v>
      </c>
      <c r="B953" s="23" t="str">
        <f>IFERROR(IF('М1-2_АТ4021-1120_0585'!C59="","",TEXT('М1-2_АТ4021-1120_0585'!C59,"General")),"")</f>
        <v>Приймальний пункт</v>
      </c>
      <c r="C953" s="24" t="str">
        <f>"Середа"</f>
        <v>Середа</v>
      </c>
      <c r="D953" s="24" t="str">
        <f>IFERROR(TEXT('М1-2_АТ4021-1120_0585'!D59,"h:mm"),"")</f>
        <v>12:15</v>
      </c>
      <c r="E953" s="24" t="str">
        <f t="shared" si="106"/>
        <v>№2</v>
      </c>
      <c r="F953" s="24" t="str">
        <f>"АТ-4021/1120"</f>
        <v>АТ-4021/1120</v>
      </c>
      <c r="G953" s="24" t="str">
        <f>"СВ 14-65 ЕО"</f>
        <v>СВ 14-65 ЕО</v>
      </c>
      <c r="H953" s="24">
        <f>IFERROR('М1-2_АТ4021-1120_0585'!G59,"")</f>
        <v>6</v>
      </c>
      <c r="J953" s="13" t="str">
        <f t="shared" si="100"/>
        <v>вул. Ярмаркова|Приймальний пункт</v>
      </c>
      <c r="K953" s="32">
        <f t="shared" si="101"/>
        <v>0.51041666666666663</v>
      </c>
      <c r="L953" s="13" t="str">
        <f>IF($A953="","",IF(COUNTIFS($J$4:$J953,$J953,$E$4:$E953,$E953)=1,$E953,""))</f>
        <v/>
      </c>
      <c r="M953" s="13" t="str">
        <f>IF($A953="","",IF(COUNTIFS($J$4:$J953,$J953,$F$4:$F953,$F953)=1,$F953,""))</f>
        <v>АТ-4021/1120</v>
      </c>
    </row>
    <row r="954" spans="1:13" x14ac:dyDescent="0.35">
      <c r="A954" s="23" t="str">
        <f>IFERROR('М2_АТ4021-1120_0588'!B78,"")</f>
        <v>вул. Ярмаркова</v>
      </c>
      <c r="B954" s="23" t="str">
        <f>IFERROR(IF('М2_АТ4021-1120_0588'!C78="","",TEXT('М2_АТ4021-1120_0588'!C78,"General")),"")</f>
        <v>Приймальний пункт</v>
      </c>
      <c r="C954" s="24" t="str">
        <f>"Четвер"</f>
        <v>Четвер</v>
      </c>
      <c r="D954" s="24" t="str">
        <f>IFERROR(TEXT('М2_АТ4021-1120_0588'!D78,"h:mm"),"")</f>
        <v>10:30</v>
      </c>
      <c r="E954" s="24" t="str">
        <f t="shared" si="106"/>
        <v>№2</v>
      </c>
      <c r="F954" s="24" t="str">
        <f>"АТ 4021/1120"</f>
        <v>АТ 4021/1120</v>
      </c>
      <c r="G954" s="24" t="str">
        <f>"СВ 64-11 ЕТ"</f>
        <v>СВ 64-11 ЕТ</v>
      </c>
      <c r="H954" s="24">
        <f>IFERROR('М2_АТ4021-1120_0588'!G78,"")</f>
        <v>5</v>
      </c>
      <c r="J954" s="13" t="str">
        <f t="shared" si="100"/>
        <v>вул. Ярмаркова|Приймальний пункт</v>
      </c>
      <c r="K954" s="32">
        <f t="shared" si="101"/>
        <v>0.4375</v>
      </c>
      <c r="L954" s="13" t="str">
        <f>IF($A954="","",IF(COUNTIFS($J$4:$J954,$J954,$E$4:$E954,$E954)=1,$E954,""))</f>
        <v/>
      </c>
      <c r="M954" s="13" t="str">
        <f>IF($A954="","",IF(COUNTIFS($J$4:$J954,$J954,$F$4:$F954,$F954)=1,$F954,""))</f>
        <v/>
      </c>
    </row>
    <row r="955" spans="1:13" x14ac:dyDescent="0.35">
      <c r="A955" s="23" t="str">
        <f>IFERROR('М2_АТ4021-1120_0588'!B108,"")</f>
        <v>вул. Ярмаркова</v>
      </c>
      <c r="B955" s="23" t="str">
        <f>IFERROR(IF('М2_АТ4021-1120_0588'!C108="","",TEXT('М2_АТ4021-1120_0588'!C108,"General")),"")</f>
        <v>Приймальний пункт</v>
      </c>
      <c r="C955" s="24" t="str">
        <f>"П'ятниця"</f>
        <v>П'ятниця</v>
      </c>
      <c r="D955" s="24" t="str">
        <f>IFERROR(TEXT('М2_АТ4021-1120_0588'!D108,"h:mm"),"")</f>
        <v>10:30</v>
      </c>
      <c r="E955" s="24" t="str">
        <f t="shared" si="106"/>
        <v>№2</v>
      </c>
      <c r="F955" s="24" t="str">
        <f>"АТ 4021/1120"</f>
        <v>АТ 4021/1120</v>
      </c>
      <c r="G955" s="24" t="str">
        <f>"СВ 64-11 ЕТ"</f>
        <v>СВ 64-11 ЕТ</v>
      </c>
      <c r="H955" s="24">
        <f>IFERROR('М2_АТ4021-1120_0588'!G108,"")</f>
        <v>5</v>
      </c>
      <c r="J955" s="13" t="str">
        <f t="shared" si="100"/>
        <v>вул. Ярмаркова|Приймальний пункт</v>
      </c>
      <c r="K955" s="32">
        <f t="shared" si="101"/>
        <v>0.4375</v>
      </c>
      <c r="L955" s="13" t="str">
        <f>IF($A955="","",IF(COUNTIFS($J$4:$J955,$J955,$E$4:$E955,$E955)=1,$E955,""))</f>
        <v/>
      </c>
      <c r="M955" s="13" t="str">
        <f>IF($A955="","",IF(COUNTIFS($J$4:$J955,$J955,$F$4:$F955,$F955)=1,$F955,""))</f>
        <v/>
      </c>
    </row>
    <row r="956" spans="1:13" x14ac:dyDescent="0.35">
      <c r="A956" s="23" t="str">
        <f>IFERROR('М1-2_АТ4021-1120_0585'!B88,"")</f>
        <v>вул. Ярмаркова</v>
      </c>
      <c r="B956" s="23" t="str">
        <f>IFERROR(IF('М1-2_АТ4021-1120_0585'!C88="","",TEXT('М1-2_АТ4021-1120_0585'!C88,"General")),"")</f>
        <v>Приймальний пункт</v>
      </c>
      <c r="C956" s="24" t="str">
        <f>"Субота"</f>
        <v>Субота</v>
      </c>
      <c r="D956" s="24" t="str">
        <f>IFERROR(TEXT('М1-2_АТ4021-1120_0585'!D88,"h:mm"),"")</f>
        <v>12:15</v>
      </c>
      <c r="E956" s="24" t="str">
        <f t="shared" si="106"/>
        <v>№2</v>
      </c>
      <c r="F956" s="24" t="str">
        <f>"АТ-4021/1120"</f>
        <v>АТ-4021/1120</v>
      </c>
      <c r="G956" s="24" t="str">
        <f>"СВ 14-65 ЕО"</f>
        <v>СВ 14-65 ЕО</v>
      </c>
      <c r="H956" s="24">
        <f>IFERROR('М1-2_АТ4021-1120_0585'!G88,"")</f>
        <v>6</v>
      </c>
      <c r="J956" s="13" t="str">
        <f t="shared" si="100"/>
        <v>вул. Ярмаркова|Приймальний пункт</v>
      </c>
      <c r="K956" s="32">
        <f t="shared" si="101"/>
        <v>0.51041666666666663</v>
      </c>
      <c r="L956" s="13" t="str">
        <f>IF($A956="","",IF(COUNTIFS($J$4:$J956,$J956,$E$4:$E956,$E956)=1,$E956,""))</f>
        <v/>
      </c>
      <c r="M956" s="13" t="str">
        <f>IF($A956="","",IF(COUNTIFS($J$4:$J956,$J956,$F$4:$F956,$F956)=1,$F956,""))</f>
        <v/>
      </c>
    </row>
    <row r="957" spans="1:13" x14ac:dyDescent="0.35">
      <c r="A957" s="23" t="str">
        <f>IFERROR('М2_АТ4021-1120_0588'!B138,"")</f>
        <v>вул. Ярмаркова</v>
      </c>
      <c r="B957" s="23" t="str">
        <f>IFERROR(IF('М2_АТ4021-1120_0588'!C138="","",TEXT('М2_АТ4021-1120_0588'!C138,"General")),"")</f>
        <v>Приймальний пункт</v>
      </c>
      <c r="C957" s="24" t="str">
        <f>"Неділя"</f>
        <v>Неділя</v>
      </c>
      <c r="D957" s="24" t="str">
        <f>IFERROR(TEXT('М2_АТ4021-1120_0588'!D138,"h:mm"),"")</f>
        <v>10:30</v>
      </c>
      <c r="E957" s="24" t="str">
        <f t="shared" si="106"/>
        <v>№2</v>
      </c>
      <c r="F957" s="24" t="str">
        <f>"АТ 4021/1120"</f>
        <v>АТ 4021/1120</v>
      </c>
      <c r="G957" s="24" t="str">
        <f>"СВ 64-11 ЕТ"</f>
        <v>СВ 64-11 ЕТ</v>
      </c>
      <c r="H957" s="24">
        <f>IFERROR('М2_АТ4021-1120_0588'!G138,"")</f>
        <v>5</v>
      </c>
      <c r="J957" s="13" t="str">
        <f t="shared" si="100"/>
        <v>вул. Ярмаркова|Приймальний пункт</v>
      </c>
      <c r="K957" s="32">
        <f t="shared" si="101"/>
        <v>0.4375</v>
      </c>
      <c r="L957" s="13" t="str">
        <f>IF($A957="","",IF(COUNTIFS($J$4:$J957,$J957,$E$4:$E957,$E957)=1,$E957,""))</f>
        <v/>
      </c>
      <c r="M957" s="13" t="str">
        <f>IF($A957="","",IF(COUNTIFS($J$4:$J957,$J957,$F$4:$F957,$F957)=1,$F957,""))</f>
        <v/>
      </c>
    </row>
    <row r="958" spans="1:13" x14ac:dyDescent="0.35">
      <c r="A958" s="23" t="str">
        <f>IFERROR(М4_АТ4042ROD_0584!B12,"")</f>
        <v>вул. Ярмаркова</v>
      </c>
      <c r="B958" s="23" t="str">
        <f>IFERROR(IF(М4_АТ4042ROD_0584!C12="","",TEXT(М4_АТ4042ROD_0584!C12,"General")),"")</f>
        <v>м-н "Веселка"</v>
      </c>
      <c r="C958" s="24" t="str">
        <f>"Понеділок"</f>
        <v>Понеділок</v>
      </c>
      <c r="D958" s="24" t="str">
        <f>IFERROR(TEXT(М4_АТ4042ROD_0584!D12,"h:mm"),"")</f>
        <v>9:10</v>
      </c>
      <c r="E958" s="24" t="str">
        <f>"№4"</f>
        <v>№4</v>
      </c>
      <c r="F958" s="24" t="str">
        <f>"АТ 40-42/ROD21003"</f>
        <v>АТ 40-42/ROD21003</v>
      </c>
      <c r="G958" s="24" t="str">
        <f>"СВ 33-15 ЕО"</f>
        <v>СВ 33-15 ЕО</v>
      </c>
      <c r="H958" s="24">
        <f>IFERROR(М4_АТ4042ROD_0584!G12,"")</f>
        <v>4</v>
      </c>
      <c r="J958" s="13" t="str">
        <f t="shared" si="100"/>
        <v>вул. Ярмаркова|м-н "Веселка"</v>
      </c>
      <c r="K958" s="32">
        <f t="shared" si="101"/>
        <v>0.38194444444444442</v>
      </c>
      <c r="L958" s="13" t="str">
        <f>IF($A958="","",IF(COUNTIFS($J$4:$J958,$J958,$E$4:$E958,$E958)=1,$E958,""))</f>
        <v>№4</v>
      </c>
      <c r="M958" s="13" t="str">
        <f>IF($A958="","",IF(COUNTIFS($J$4:$J958,$J958,$F$4:$F958,$F958)=1,$F958,""))</f>
        <v>АТ 40-42/ROD21003</v>
      </c>
    </row>
    <row r="959" spans="1:13" x14ac:dyDescent="0.35">
      <c r="A959" s="23" t="str">
        <f>IFERROR(М4_АТ4042ROD_0584!B47,"")</f>
        <v>вул. Ярмаркова</v>
      </c>
      <c r="B959" s="23" t="str">
        <f>IFERROR(IF(М4_АТ4042ROD_0584!C47="","",TEXT(М4_АТ4042ROD_0584!C47,"General")),"")</f>
        <v>м-н "Веселка"</v>
      </c>
      <c r="C959" s="24" t="str">
        <f>"Вівторок"</f>
        <v>Вівторок</v>
      </c>
      <c r="D959" s="24" t="str">
        <f>IFERROR(TEXT(М4_АТ4042ROD_0584!D47,"h:mm"),"")</f>
        <v>9:35</v>
      </c>
      <c r="E959" s="24" t="str">
        <f>"№4"</f>
        <v>№4</v>
      </c>
      <c r="F959" s="24" t="str">
        <f>"АТ 40-42/ROD21003"</f>
        <v>АТ 40-42/ROD21003</v>
      </c>
      <c r="G959" s="24" t="str">
        <f>"СВ 33-15 ЕО"</f>
        <v>СВ 33-15 ЕО</v>
      </c>
      <c r="H959" s="24">
        <f>IFERROR(М4_АТ4042ROD_0584!G47,"")</f>
        <v>4</v>
      </c>
      <c r="J959" s="13" t="str">
        <f t="shared" si="100"/>
        <v>вул. Ярмаркова|м-н "Веселка"</v>
      </c>
      <c r="K959" s="32">
        <f t="shared" si="101"/>
        <v>0.39930555555555558</v>
      </c>
      <c r="L959" s="13" t="str">
        <f>IF($A959="","",IF(COUNTIFS($J$4:$J959,$J959,$E$4:$E959,$E959)=1,$E959,""))</f>
        <v/>
      </c>
      <c r="M959" s="13" t="str">
        <f>IF($A959="","",IF(COUNTIFS($J$4:$J959,$J959,$F$4:$F959,$F959)=1,$F959,""))</f>
        <v/>
      </c>
    </row>
    <row r="960" spans="1:13" x14ac:dyDescent="0.35">
      <c r="A960" s="23" t="str">
        <f>IFERROR(М4_АТ4042ROD_0584!B76,"")</f>
        <v>вул. Ярмаркова</v>
      </c>
      <c r="B960" s="23" t="str">
        <f>IFERROR(IF(М4_АТ4042ROD_0584!C76="","",TEXT(М4_АТ4042ROD_0584!C76,"General")),"")</f>
        <v>м-н "Веселка"</v>
      </c>
      <c r="C960" s="24" t="str">
        <f>"Четвер"</f>
        <v>Четвер</v>
      </c>
      <c r="D960" s="24" t="str">
        <f>IFERROR(TEXT(М4_АТ4042ROD_0584!D76,"h:mm"),"")</f>
        <v>8:40</v>
      </c>
      <c r="E960" s="24" t="str">
        <f>"№4"</f>
        <v>№4</v>
      </c>
      <c r="F960" s="24" t="str">
        <f>"АТ 40-42/ROD21003"</f>
        <v>АТ 40-42/ROD21003</v>
      </c>
      <c r="G960" s="24" t="str">
        <f>"СВ 33-15 ЕО"</f>
        <v>СВ 33-15 ЕО</v>
      </c>
      <c r="H960" s="24">
        <f>IFERROR(М4_АТ4042ROD_0584!G76,"")</f>
        <v>4</v>
      </c>
      <c r="J960" s="13" t="str">
        <f t="shared" si="100"/>
        <v>вул. Ярмаркова|м-н "Веселка"</v>
      </c>
      <c r="K960" s="32">
        <f t="shared" si="101"/>
        <v>0.3611111111111111</v>
      </c>
      <c r="L960" s="13" t="str">
        <f>IF($A960="","",IF(COUNTIFS($J$4:$J960,$J960,$E$4:$E960,$E960)=1,$E960,""))</f>
        <v/>
      </c>
      <c r="M960" s="13" t="str">
        <f>IF($A960="","",IF(COUNTIFS($J$4:$J960,$J960,$F$4:$F960,$F960)=1,$F960,""))</f>
        <v/>
      </c>
    </row>
    <row r="961" spans="1:13" x14ac:dyDescent="0.35">
      <c r="A961" s="23" t="str">
        <f>IFERROR(М4_АТ4042ROD_0584!B111,"")</f>
        <v>вул. Ярмаркова</v>
      </c>
      <c r="B961" s="23" t="str">
        <f>IFERROR(IF(М4_АТ4042ROD_0584!C111="","",TEXT(М4_АТ4042ROD_0584!C111,"General")),"")</f>
        <v>м-н "Веселка"</v>
      </c>
      <c r="C961" s="24" t="str">
        <f>"П'ятниця"</f>
        <v>П'ятниця</v>
      </c>
      <c r="D961" s="24" t="str">
        <f>IFERROR(TEXT(М4_АТ4042ROD_0584!D111,"h:mm"),"")</f>
        <v>9:10</v>
      </c>
      <c r="E961" s="24" t="str">
        <f>"№4"</f>
        <v>№4</v>
      </c>
      <c r="F961" s="24" t="str">
        <f>"АТ 40-42/ROD21003"</f>
        <v>АТ 40-42/ROD21003</v>
      </c>
      <c r="G961" s="24" t="str">
        <f>"СВ 33-15 ЕО"</f>
        <v>СВ 33-15 ЕО</v>
      </c>
      <c r="H961" s="24">
        <f>IFERROR(М4_АТ4042ROD_0584!G111,"")</f>
        <v>4</v>
      </c>
      <c r="J961" s="13" t="str">
        <f t="shared" si="100"/>
        <v>вул. Ярмаркова|м-н "Веселка"</v>
      </c>
      <c r="K961" s="32">
        <f t="shared" si="101"/>
        <v>0.38194444444444442</v>
      </c>
      <c r="L961" s="13" t="str">
        <f>IF($A961="","",IF(COUNTIFS($J$4:$J961,$J961,$E$4:$E961,$E961)=1,$E961,""))</f>
        <v/>
      </c>
      <c r="M961" s="13" t="str">
        <f>IF($A961="","",IF(COUNTIFS($J$4:$J961,$J961,$F$4:$F961,$F961)=1,$F961,""))</f>
        <v/>
      </c>
    </row>
    <row r="962" spans="1:13" x14ac:dyDescent="0.35">
      <c r="A962" s="23" t="str">
        <f>IFERROR(М4_АТ4042ROD_0584!B146,"")</f>
        <v>вул. Ярмаркова</v>
      </c>
      <c r="B962" s="23" t="str">
        <f>IFERROR(IF(М4_АТ4042ROD_0584!C146="","",TEXT(М4_АТ4042ROD_0584!C146,"General")),"")</f>
        <v>м-н "Веселка"</v>
      </c>
      <c r="C962" s="24" t="str">
        <f>"Неділя"</f>
        <v>Неділя</v>
      </c>
      <c r="D962" s="24" t="str">
        <f>IFERROR(TEXT(М4_АТ4042ROD_0584!D146,"h:mm"),"")</f>
        <v>9:25</v>
      </c>
      <c r="E962" s="24" t="str">
        <f>"№4"</f>
        <v>№4</v>
      </c>
      <c r="F962" s="24" t="str">
        <f>"АТ 40-42/ROD21003"</f>
        <v>АТ 40-42/ROD21003</v>
      </c>
      <c r="G962" s="24" t="str">
        <f>"СВ 33-15 ЕО"</f>
        <v>СВ 33-15 ЕО</v>
      </c>
      <c r="H962" s="24">
        <f>IFERROR(М4_АТ4042ROD_0584!G146,"")</f>
        <v>4</v>
      </c>
      <c r="J962" s="13" t="str">
        <f t="shared" si="100"/>
        <v>вул. Ярмаркова|м-н "Веселка"</v>
      </c>
      <c r="K962" s="32">
        <f t="shared" si="101"/>
        <v>0.3923611111111111</v>
      </c>
      <c r="L962" s="13" t="str">
        <f>IF($A962="","",IF(COUNTIFS($J$4:$J962,$J962,$E$4:$E962,$E962)=1,$E962,""))</f>
        <v/>
      </c>
      <c r="M962" s="13" t="str">
        <f>IF($A962="","",IF(COUNTIFS($J$4:$J962,$J962,$F$4:$F962,$F962)=1,$F962,""))</f>
        <v/>
      </c>
    </row>
    <row r="963" spans="1:13" x14ac:dyDescent="0.35">
      <c r="A963" s="23" t="str">
        <f>IFERROR(М6_АТ4021_0586!B177,"")</f>
        <v>від вул. Перемоги до</v>
      </c>
      <c r="B963" s="23" t="str">
        <f>IFERROR(IF(М6_АТ4021_0586!C177="","",TEXT(М6_АТ4021_0586!C177,"General")),"")</f>
        <v/>
      </c>
      <c r="C963" s="24" t="str">
        <f>"П'ятниця"</f>
        <v>П'ятниця</v>
      </c>
      <c r="D963" s="24" t="str">
        <f>IFERROR(TEXT(М6_АТ4021_0586!D177,"h:mm"),"")</f>
        <v>12:45</v>
      </c>
      <c r="E963" s="24" t="str">
        <f>"№6"</f>
        <v>№6</v>
      </c>
      <c r="F963" s="24" t="str">
        <f>"АТ 4021"</f>
        <v>АТ 4021</v>
      </c>
      <c r="G963" s="24" t="str">
        <f>"СВ 33-16 ЕО"</f>
        <v>СВ 33-16 ЕО</v>
      </c>
      <c r="H963" s="24"/>
      <c r="J963" s="13" t="str">
        <f t="shared" si="100"/>
        <v>від вул. Перемоги до|</v>
      </c>
      <c r="K963" s="32">
        <f t="shared" si="101"/>
        <v>0.53125</v>
      </c>
      <c r="L963" s="13" t="str">
        <f>IF($A963="","",IF(COUNTIFS($J$4:$J963,$J963,$E$4:$E963,$E963)=1,$E963,""))</f>
        <v>№6</v>
      </c>
      <c r="M963" s="13" t="str">
        <f>IF($A963="","",IF(COUNTIFS($J$4:$J963,$J963,$F$4:$F963,$F963)=1,$F963,""))</f>
        <v>АТ 4021</v>
      </c>
    </row>
    <row r="964" spans="1:13" x14ac:dyDescent="0.35">
      <c r="A964" s="23" t="str">
        <f>IFERROR(М3_МАЗ4371_0587!B33,"")</f>
        <v>перехрестя Земська-Скоропадського</v>
      </c>
      <c r="B964" s="23" t="str">
        <f>IFERROR(IF(М3_МАЗ4371_0587!C33="","",TEXT(М3_МАЗ4371_0587!C33,"General")),"")</f>
        <v/>
      </c>
      <c r="C964" s="24" t="str">
        <f>"Понеділок"</f>
        <v>Понеділок</v>
      </c>
      <c r="D964" s="24" t="str">
        <f>IFERROR(TEXT(М3_МАЗ4371_0587!D33,"h:mm"),"")</f>
        <v>14:35</v>
      </c>
      <c r="E964" s="24" t="str">
        <f t="shared" ref="E964:E976" si="107">"№3"</f>
        <v>№3</v>
      </c>
      <c r="F964" s="24" t="str">
        <f>"МАЗ-4371"</f>
        <v>МАЗ-4371</v>
      </c>
      <c r="G964" s="24" t="str">
        <f>"СВ 53-06 СА"</f>
        <v>СВ 53-06 СА</v>
      </c>
      <c r="H964" s="24">
        <f>IFERROR(М3_МАЗ4371_0587!G33,"")</f>
        <v>3</v>
      </c>
      <c r="J964" s="13" t="str">
        <f t="shared" ref="J964:J1012" si="108">IF(A964="","",A964&amp;"|"&amp;B964)</f>
        <v>перехрестя Земська-Скоропадського|</v>
      </c>
      <c r="K964" s="32">
        <f t="shared" ref="K964:K1012" si="109">IFERROR(IF(D964="","",IF(D964="×",9.99,TIMEVALUE(D964))),9.99)</f>
        <v>0.60763888888888884</v>
      </c>
      <c r="L964" s="13" t="str">
        <f>IF($A964="","",IF(COUNTIFS($J$4:$J964,$J964,$E$4:$E964,$E964)=1,$E964,""))</f>
        <v>№3</v>
      </c>
      <c r="M964" s="13" t="str">
        <f>IF($A964="","",IF(COUNTIFS($J$4:$J964,$J964,$F$4:$F964,$F964)=1,$F964,""))</f>
        <v>МАЗ-4371</v>
      </c>
    </row>
    <row r="965" spans="1:13" x14ac:dyDescent="0.35">
      <c r="A965" s="23" t="str">
        <f>IFERROR(М3_МАЗ4371_0587!B80,"")</f>
        <v>перехрестя Земська-Скоропадського</v>
      </c>
      <c r="B965" s="23" t="str">
        <f>IFERROR(IF(М3_МАЗ4371_0587!C80="","",TEXT(М3_МАЗ4371_0587!C80,"General")),"")</f>
        <v/>
      </c>
      <c r="C965" s="24" t="str">
        <f>"Середа"</f>
        <v>Середа</v>
      </c>
      <c r="D965" s="24" t="str">
        <f>IFERROR(TEXT(М3_МАЗ4371_0587!D80,"h:mm"),"")</f>
        <v>8:25</v>
      </c>
      <c r="E965" s="24" t="str">
        <f t="shared" si="107"/>
        <v>№3</v>
      </c>
      <c r="F965" s="24" t="str">
        <f>"МАЗ-4371"</f>
        <v>МАЗ-4371</v>
      </c>
      <c r="G965" s="24" t="str">
        <f>"СВ 53-06 СА"</f>
        <v>СВ 53-06 СА</v>
      </c>
      <c r="H965" s="24">
        <f>IFERROR(М3_МАЗ4371_0587!G80,"")</f>
        <v>3</v>
      </c>
      <c r="J965" s="13" t="str">
        <f t="shared" si="108"/>
        <v>перехрестя Земська-Скоропадського|</v>
      </c>
      <c r="K965" s="32">
        <f t="shared" si="109"/>
        <v>0.35069444444444442</v>
      </c>
      <c r="L965" s="13" t="str">
        <f>IF($A965="","",IF(COUNTIFS($J$4:$J965,$J965,$E$4:$E965,$E965)=1,$E965,""))</f>
        <v/>
      </c>
      <c r="M965" s="13" t="str">
        <f>IF($A965="","",IF(COUNTIFS($J$4:$J965,$J965,$F$4:$F965,$F965)=1,$F965,""))</f>
        <v/>
      </c>
    </row>
    <row r="966" spans="1:13" x14ac:dyDescent="0.35">
      <c r="A966" s="23" t="str">
        <f>IFERROR(М3_МАЗ4371_0587!B100,"")</f>
        <v>перехрестя Земська-Скоропадського</v>
      </c>
      <c r="B966" s="23" t="str">
        <f>IFERROR(IF(М3_МАЗ4371_0587!C100="","",TEXT(М3_МАЗ4371_0587!C100,"General")),"")</f>
        <v/>
      </c>
      <c r="C966" s="24" t="str">
        <f>"Середа"</f>
        <v>Середа</v>
      </c>
      <c r="D966" s="24" t="str">
        <f>IFERROR(TEXT(М3_МАЗ4371_0587!D100,"h:mm"),"")</f>
        <v>14:35</v>
      </c>
      <c r="E966" s="24" t="str">
        <f t="shared" si="107"/>
        <v>№3</v>
      </c>
      <c r="F966" s="24" t="str">
        <f>"МАЗ-4371"</f>
        <v>МАЗ-4371</v>
      </c>
      <c r="G966" s="24" t="str">
        <f>"СВ 53-06 СА"</f>
        <v>СВ 53-06 СА</v>
      </c>
      <c r="H966" s="24">
        <f>IFERROR(М3_МАЗ4371_0587!G100,"")</f>
        <v>3</v>
      </c>
      <c r="J966" s="13" t="str">
        <f t="shared" si="108"/>
        <v>перехрестя Земська-Скоропадського|</v>
      </c>
      <c r="K966" s="32">
        <f t="shared" si="109"/>
        <v>0.60763888888888884</v>
      </c>
      <c r="L966" s="13" t="str">
        <f>IF($A966="","",IF(COUNTIFS($J$4:$J966,$J966,$E$4:$E966,$E966)=1,$E966,""))</f>
        <v/>
      </c>
      <c r="M966" s="13" t="str">
        <f>IF($A966="","",IF(COUNTIFS($J$4:$J966,$J966,$F$4:$F966,$F966)=1,$F966,""))</f>
        <v/>
      </c>
    </row>
    <row r="967" spans="1:13" x14ac:dyDescent="0.35">
      <c r="A967" s="23" t="str">
        <f>IFERROR('М3-4_ГАЗ3309_0590'!B11,"")</f>
        <v>перехрестя Земська-Скоропадського</v>
      </c>
      <c r="B967" s="23" t="str">
        <f>IFERROR(IF('М3-4_ГАЗ3309_0590'!C11="","",TEXT('М3-4_ГАЗ3309_0590'!C11,"General")),"")</f>
        <v/>
      </c>
      <c r="C967" s="24" t="str">
        <f>"Четвер"</f>
        <v>Четвер</v>
      </c>
      <c r="D967" s="24" t="str">
        <f>IFERROR(TEXT('М3-4_ГАЗ3309_0590'!D11,"h:mm"),"")</f>
        <v>8:00</v>
      </c>
      <c r="E967" s="24" t="str">
        <f t="shared" si="107"/>
        <v>№3</v>
      </c>
      <c r="F967" s="24" t="str">
        <f>"ГАЗ 3309"</f>
        <v>ГАЗ 3309</v>
      </c>
      <c r="G967" s="24" t="str">
        <f>"СВ 17-85 ВН"</f>
        <v>СВ 17-85 ВН</v>
      </c>
      <c r="H967" s="24">
        <f>IFERROR('М3-4_ГАЗ3309_0590'!G11,"")</f>
        <v>2</v>
      </c>
      <c r="J967" s="13" t="str">
        <f t="shared" si="108"/>
        <v>перехрестя Земська-Скоропадського|</v>
      </c>
      <c r="K967" s="32">
        <f t="shared" si="109"/>
        <v>0.33333333333333331</v>
      </c>
      <c r="L967" s="13" t="str">
        <f>IF($A967="","",IF(COUNTIFS($J$4:$J967,$J967,$E$4:$E967,$E967)=1,$E967,""))</f>
        <v/>
      </c>
      <c r="M967" s="13" t="str">
        <f>IF($A967="","",IF(COUNTIFS($J$4:$J967,$J967,$F$4:$F967,$F967)=1,$F967,""))</f>
        <v>ГАЗ 3309</v>
      </c>
    </row>
    <row r="968" spans="1:13" x14ac:dyDescent="0.35">
      <c r="A968" s="23" t="str">
        <f>IFERROR('М3-4_ГАЗ3309_0590'!B31,"")</f>
        <v>перехрестя Земська-Скоропадського</v>
      </c>
      <c r="B968" s="23" t="str">
        <f>IFERROR(IF('М3-4_ГАЗ3309_0590'!C31="","",TEXT('М3-4_ГАЗ3309_0590'!C31,"General")),"")</f>
        <v/>
      </c>
      <c r="C968" s="24" t="str">
        <f>"Четвер"</f>
        <v>Четвер</v>
      </c>
      <c r="D968" s="24" t="str">
        <f>IFERROR(TEXT('М3-4_ГАЗ3309_0590'!D31,"h:mm"),"")</f>
        <v>15:45</v>
      </c>
      <c r="E968" s="24" t="str">
        <f t="shared" si="107"/>
        <v>№3</v>
      </c>
      <c r="F968" s="24" t="str">
        <f>"ГАЗ 3309"</f>
        <v>ГАЗ 3309</v>
      </c>
      <c r="G968" s="24" t="str">
        <f>"СВ 17-85 ВН"</f>
        <v>СВ 17-85 ВН</v>
      </c>
      <c r="H968" s="24">
        <f>IFERROR('М3-4_ГАЗ3309_0590'!G31,"")</f>
        <v>3</v>
      </c>
      <c r="J968" s="13" t="str">
        <f t="shared" si="108"/>
        <v>перехрестя Земська-Скоропадського|</v>
      </c>
      <c r="K968" s="32">
        <f t="shared" si="109"/>
        <v>0.65625</v>
      </c>
      <c r="L968" s="13" t="str">
        <f>IF($A968="","",IF(COUNTIFS($J$4:$J968,$J968,$E$4:$E968,$E968)=1,$E968,""))</f>
        <v/>
      </c>
      <c r="M968" s="13" t="str">
        <f>IF($A968="","",IF(COUNTIFS($J$4:$J968,$J968,$F$4:$F968,$F968)=1,$F968,""))</f>
        <v/>
      </c>
    </row>
    <row r="969" spans="1:13" x14ac:dyDescent="0.35">
      <c r="A969" s="23" t="str">
        <f>IFERROR(М3_МАЗ4371_0587!B118,"")</f>
        <v>перехрестя Земська-Скоропадського</v>
      </c>
      <c r="B969" s="23" t="str">
        <f>IFERROR(IF(М3_МАЗ4371_0587!C118="","",TEXT(М3_МАЗ4371_0587!C118,"General")),"")</f>
        <v/>
      </c>
      <c r="C969" s="24" t="str">
        <f>"П'ятниця"</f>
        <v>П'ятниця</v>
      </c>
      <c r="D969" s="24" t="str">
        <f>IFERROR(TEXT(М3_МАЗ4371_0587!D118,"h:mm"),"")</f>
        <v>8:20</v>
      </c>
      <c r="E969" s="24" t="str">
        <f t="shared" si="107"/>
        <v>№3</v>
      </c>
      <c r="F969" s="24" t="str">
        <f>"МАЗ-4371"</f>
        <v>МАЗ-4371</v>
      </c>
      <c r="G969" s="24" t="str">
        <f>"СВ 53-06 СА"</f>
        <v>СВ 53-06 СА</v>
      </c>
      <c r="H969" s="24">
        <f>IFERROR(М3_МАЗ4371_0587!G118,"")</f>
        <v>3</v>
      </c>
      <c r="J969" s="13" t="str">
        <f t="shared" si="108"/>
        <v>перехрестя Земська-Скоропадського|</v>
      </c>
      <c r="K969" s="32">
        <f t="shared" si="109"/>
        <v>0.34722222222222221</v>
      </c>
      <c r="L969" s="13" t="str">
        <f>IF($A969="","",IF(COUNTIFS($J$4:$J969,$J969,$E$4:$E969,$E969)=1,$E969,""))</f>
        <v/>
      </c>
      <c r="M969" s="13" t="str">
        <f>IF($A969="","",IF(COUNTIFS($J$4:$J969,$J969,$F$4:$F969,$F969)=1,$F969,""))</f>
        <v/>
      </c>
    </row>
    <row r="970" spans="1:13" x14ac:dyDescent="0.35">
      <c r="A970" s="23" t="str">
        <f>IFERROR(М3_МАЗ4371_0587!B140,"")</f>
        <v>перехрестя Земська-Скоропадського</v>
      </c>
      <c r="B970" s="23" t="str">
        <f>IFERROR(IF(М3_МАЗ4371_0587!C140="","",TEXT(М3_МАЗ4371_0587!C140,"General")),"")</f>
        <v/>
      </c>
      <c r="C970" s="24" t="str">
        <f>"П'ятниця"</f>
        <v>П'ятниця</v>
      </c>
      <c r="D970" s="24" t="str">
        <f>IFERROR(TEXT(М3_МАЗ4371_0587!D140,"h:mm"),"")</f>
        <v>14:35</v>
      </c>
      <c r="E970" s="24" t="str">
        <f t="shared" si="107"/>
        <v>№3</v>
      </c>
      <c r="F970" s="24" t="str">
        <f>"МАЗ-4371"</f>
        <v>МАЗ-4371</v>
      </c>
      <c r="G970" s="24" t="str">
        <f>"СВ 53-06 СА"</f>
        <v>СВ 53-06 СА</v>
      </c>
      <c r="H970" s="24">
        <f>IFERROR(М3_МАЗ4371_0587!G140,"")</f>
        <v>3</v>
      </c>
      <c r="J970" s="13" t="str">
        <f t="shared" si="108"/>
        <v>перехрестя Земська-Скоропадського|</v>
      </c>
      <c r="K970" s="32">
        <f t="shared" si="109"/>
        <v>0.60763888888888884</v>
      </c>
      <c r="L970" s="13" t="str">
        <f>IF($A970="","",IF(COUNTIFS($J$4:$J970,$J970,$E$4:$E970,$E970)=1,$E970,""))</f>
        <v/>
      </c>
      <c r="M970" s="13" t="str">
        <f>IF($A970="","",IF(COUNTIFS($J$4:$J970,$J970,$F$4:$F970,$F970)=1,$F970,""))</f>
        <v/>
      </c>
    </row>
    <row r="971" spans="1:13" x14ac:dyDescent="0.35">
      <c r="A971" s="23" t="str">
        <f>IFERROR(М3_МАЗ4371_0587!B156,"")</f>
        <v>перехрестя Земська-Скоропадського</v>
      </c>
      <c r="B971" s="23" t="str">
        <f>IFERROR(IF(М3_МАЗ4371_0587!C156="","",TEXT(М3_МАЗ4371_0587!C156,"General")),"")</f>
        <v/>
      </c>
      <c r="C971" s="24" t="str">
        <f>"Субота"</f>
        <v>Субота</v>
      </c>
      <c r="D971" s="24" t="str">
        <f>IFERROR(TEXT(М3_МАЗ4371_0587!D156,"h:mm"),"")</f>
        <v>8:00</v>
      </c>
      <c r="E971" s="24" t="str">
        <f t="shared" si="107"/>
        <v>№3</v>
      </c>
      <c r="F971" s="24" t="str">
        <f>"МАЗ-4371"</f>
        <v>МАЗ-4371</v>
      </c>
      <c r="G971" s="24" t="str">
        <f>"СВ 53-06 СА"</f>
        <v>СВ 53-06 СА</v>
      </c>
      <c r="H971" s="24">
        <f>IFERROR(М3_МАЗ4371_0587!G156,"")</f>
        <v>3</v>
      </c>
      <c r="J971" s="13" t="str">
        <f t="shared" si="108"/>
        <v>перехрестя Земська-Скоропадського|</v>
      </c>
      <c r="K971" s="32">
        <f t="shared" si="109"/>
        <v>0.33333333333333331</v>
      </c>
      <c r="L971" s="13" t="str">
        <f>IF($A971="","",IF(COUNTIFS($J$4:$J971,$J971,$E$4:$E971,$E971)=1,$E971,""))</f>
        <v/>
      </c>
      <c r="M971" s="13" t="str">
        <f>IF($A971="","",IF(COUNTIFS($J$4:$J971,$J971,$F$4:$F971,$F971)=1,$F971,""))</f>
        <v/>
      </c>
    </row>
    <row r="972" spans="1:13" x14ac:dyDescent="0.35">
      <c r="A972" s="23" t="str">
        <f>IFERROR('М3-4_ГАЗ3309_0590'!B43,"")</f>
        <v>перехрестя Земська-Скоропадського</v>
      </c>
      <c r="B972" s="23" t="str">
        <f>IFERROR(IF('М3-4_ГАЗ3309_0590'!C43="","",TEXT('М3-4_ГАЗ3309_0590'!C43,"General")),"")</f>
        <v/>
      </c>
      <c r="C972" s="24" t="str">
        <f>"Неділя"</f>
        <v>Неділя</v>
      </c>
      <c r="D972" s="24" t="str">
        <f>IFERROR(TEXT('М3-4_ГАЗ3309_0590'!D43,"h:mm"),"")</f>
        <v>8:00</v>
      </c>
      <c r="E972" s="24" t="str">
        <f t="shared" si="107"/>
        <v>№3</v>
      </c>
      <c r="F972" s="24" t="str">
        <f>"ГАЗ 3309"</f>
        <v>ГАЗ 3309</v>
      </c>
      <c r="G972" s="24" t="str">
        <f>"СВ 17-85 ВН"</f>
        <v>СВ 17-85 ВН</v>
      </c>
      <c r="H972" s="24">
        <f>IFERROR('М3-4_ГАЗ3309_0590'!G43,"")</f>
        <v>2</v>
      </c>
      <c r="J972" s="13" t="str">
        <f t="shared" si="108"/>
        <v>перехрестя Земська-Скоропадського|</v>
      </c>
      <c r="K972" s="32">
        <f t="shared" si="109"/>
        <v>0.33333333333333331</v>
      </c>
      <c r="L972" s="13" t="str">
        <f>IF($A972="","",IF(COUNTIFS($J$4:$J972,$J972,$E$4:$E972,$E972)=1,$E972,""))</f>
        <v/>
      </c>
      <c r="M972" s="13" t="str">
        <f>IF($A972="","",IF(COUNTIFS($J$4:$J972,$J972,$F$4:$F972,$F972)=1,$F972,""))</f>
        <v/>
      </c>
    </row>
    <row r="973" spans="1:13" x14ac:dyDescent="0.35">
      <c r="A973" s="23" t="str">
        <f>IFERROR('М3-4_ГАЗ3309_0590'!B63,"")</f>
        <v>перехрестя Земська-Скоропадського</v>
      </c>
      <c r="B973" s="23" t="str">
        <f>IFERROR(IF('М3-4_ГАЗ3309_0590'!C63="","",TEXT('М3-4_ГАЗ3309_0590'!C63,"General")),"")</f>
        <v/>
      </c>
      <c r="C973" s="24" t="str">
        <f>"Неділя"</f>
        <v>Неділя</v>
      </c>
      <c r="D973" s="24" t="str">
        <f>IFERROR(TEXT('М3-4_ГАЗ3309_0590'!D63,"h:mm"),"")</f>
        <v>15:45</v>
      </c>
      <c r="E973" s="24" t="str">
        <f t="shared" si="107"/>
        <v>№3</v>
      </c>
      <c r="F973" s="24" t="str">
        <f>"ГАЗ 3309"</f>
        <v>ГАЗ 3309</v>
      </c>
      <c r="G973" s="24" t="str">
        <f>"СВ 17-85 ВН"</f>
        <v>СВ 17-85 ВН</v>
      </c>
      <c r="H973" s="24">
        <f>IFERROR('М3-4_ГАЗ3309_0590'!G63,"")</f>
        <v>3</v>
      </c>
      <c r="J973" s="13" t="str">
        <f t="shared" si="108"/>
        <v>перехрестя Земська-Скоропадського|</v>
      </c>
      <c r="K973" s="32">
        <f t="shared" si="109"/>
        <v>0.65625</v>
      </c>
      <c r="L973" s="13" t="str">
        <f>IF($A973="","",IF(COUNTIFS($J$4:$J973,$J973,$E$4:$E973,$E973)=1,$E973,""))</f>
        <v/>
      </c>
      <c r="M973" s="13" t="str">
        <f>IF($A973="","",IF(COUNTIFS($J$4:$J973,$J973,$F$4:$F973,$F973)=1,$F973,""))</f>
        <v/>
      </c>
    </row>
    <row r="974" spans="1:13" x14ac:dyDescent="0.35">
      <c r="A974" s="23" t="str">
        <f>IFERROR(М3_МАЗ4371_0587!B81,"")</f>
        <v>перехрестя Київська-Котляревського</v>
      </c>
      <c r="B974" s="23" t="str">
        <f>IFERROR(IF(М3_МАЗ4371_0587!C81="","",TEXT(М3_МАЗ4371_0587!C81,"General")),"")</f>
        <v>кафе "Бандера"</v>
      </c>
      <c r="C974" s="24" t="str">
        <f>"Середа"</f>
        <v>Середа</v>
      </c>
      <c r="D974" s="24" t="str">
        <f>IFERROR(TEXT(М3_МАЗ4371_0587!D81,"h:mm"),"")</f>
        <v>8:40</v>
      </c>
      <c r="E974" s="24" t="str">
        <f t="shared" si="107"/>
        <v>№3</v>
      </c>
      <c r="F974" s="24" t="str">
        <f>"МАЗ-4371"</f>
        <v>МАЗ-4371</v>
      </c>
      <c r="G974" s="24" t="str">
        <f>"СВ 53-06 СА"</f>
        <v>СВ 53-06 СА</v>
      </c>
      <c r="H974" s="24">
        <f>IFERROR(М3_МАЗ4371_0587!G81,"")</f>
        <v>1</v>
      </c>
      <c r="J974" s="13" t="str">
        <f t="shared" si="108"/>
        <v>перехрестя Київська-Котляревського|кафе "Бандера"</v>
      </c>
      <c r="K974" s="32">
        <f t="shared" si="109"/>
        <v>0.3611111111111111</v>
      </c>
      <c r="L974" s="13" t="str">
        <f>IF($A974="","",IF(COUNTIFS($J$4:$J974,$J974,$E$4:$E974,$E974)=1,$E974,""))</f>
        <v>№3</v>
      </c>
      <c r="M974" s="13" t="str">
        <f>IF($A974="","",IF(COUNTIFS($J$4:$J974,$J974,$F$4:$F974,$F974)=1,$F974,""))</f>
        <v>МАЗ-4371</v>
      </c>
    </row>
    <row r="975" spans="1:13" x14ac:dyDescent="0.35">
      <c r="A975" s="23" t="str">
        <f>IFERROR(М3_МАЗ4371_0587!B119,"")</f>
        <v>перехрестя Київська-Котляревського</v>
      </c>
      <c r="B975" s="23" t="str">
        <f>IFERROR(IF(М3_МАЗ4371_0587!C119="","",TEXT(М3_МАЗ4371_0587!C119,"General")),"")</f>
        <v>кафе "Бандера"</v>
      </c>
      <c r="C975" s="24" t="str">
        <f>"П'ятниця"</f>
        <v>П'ятниця</v>
      </c>
      <c r="D975" s="24" t="str">
        <f>IFERROR(TEXT(М3_МАЗ4371_0587!D119,"h:mm"),"")</f>
        <v>8:25</v>
      </c>
      <c r="E975" s="24" t="str">
        <f t="shared" si="107"/>
        <v>№3</v>
      </c>
      <c r="F975" s="24" t="str">
        <f>"МАЗ-4371"</f>
        <v>МАЗ-4371</v>
      </c>
      <c r="G975" s="24" t="str">
        <f>"СВ 53-06 СА"</f>
        <v>СВ 53-06 СА</v>
      </c>
      <c r="H975" s="24">
        <f>IFERROR(М3_МАЗ4371_0587!G119,"")</f>
        <v>1</v>
      </c>
      <c r="J975" s="13" t="str">
        <f t="shared" si="108"/>
        <v>перехрестя Київська-Котляревського|кафе "Бандера"</v>
      </c>
      <c r="K975" s="32">
        <f t="shared" si="109"/>
        <v>0.35069444444444442</v>
      </c>
      <c r="L975" s="13" t="str">
        <f>IF($A975="","",IF(COUNTIFS($J$4:$J975,$J975,$E$4:$E975,$E975)=1,$E975,""))</f>
        <v/>
      </c>
      <c r="M975" s="13" t="str">
        <f>IF($A975="","",IF(COUNTIFS($J$4:$J975,$J975,$F$4:$F975,$F975)=1,$F975,""))</f>
        <v/>
      </c>
    </row>
    <row r="976" spans="1:13" x14ac:dyDescent="0.35">
      <c r="A976" s="23" t="str">
        <f>IFERROR(М3_МАЗ4371_0587!B157,"")</f>
        <v>перехрестя Київська-Котляревського</v>
      </c>
      <c r="B976" s="23" t="str">
        <f>IFERROR(IF(М3_МАЗ4371_0587!C157="","",TEXT(М3_МАЗ4371_0587!C157,"General")),"")</f>
        <v>кафе "Бандера"</v>
      </c>
      <c r="C976" s="24" t="str">
        <f>"Субота"</f>
        <v>Субота</v>
      </c>
      <c r="D976" s="24" t="str">
        <f>IFERROR(TEXT(М3_МАЗ4371_0587!D157,"h:mm"),"")</f>
        <v>8:25</v>
      </c>
      <c r="E976" s="24" t="str">
        <f t="shared" si="107"/>
        <v>№3</v>
      </c>
      <c r="F976" s="24" t="str">
        <f>"МАЗ-4371"</f>
        <v>МАЗ-4371</v>
      </c>
      <c r="G976" s="24" t="str">
        <f>"СВ 53-06 СА"</f>
        <v>СВ 53-06 СА</v>
      </c>
      <c r="H976" s="24">
        <f>IFERROR(М3_МАЗ4371_0587!G157,"")</f>
        <v>1</v>
      </c>
      <c r="J976" s="13" t="str">
        <f t="shared" si="108"/>
        <v>перехрестя Київська-Котляревського|кафе "Бандера"</v>
      </c>
      <c r="K976" s="32">
        <f t="shared" si="109"/>
        <v>0.35069444444444442</v>
      </c>
      <c r="L976" s="13" t="str">
        <f>IF($A976="","",IF(COUNTIFS($J$4:$J976,$J976,$E$4:$E976,$E976)=1,$E976,""))</f>
        <v/>
      </c>
      <c r="M976" s="13" t="str">
        <f>IF($A976="","",IF(COUNTIFS($J$4:$J976,$J976,$F$4:$F976,$F976)=1,$F976,""))</f>
        <v/>
      </c>
    </row>
    <row r="977" spans="1:13" x14ac:dyDescent="0.35">
      <c r="A977" s="23" t="str">
        <f>IFERROR(М5_МАЗ4381_0592!B52,"")</f>
        <v>пров. І. Мазепи</v>
      </c>
      <c r="B977" s="23" t="str">
        <f>IFERROR(IF(М5_МАЗ4381_0592!C52="","",TEXT(М5_МАЗ4381_0592!C52,"General")),"")</f>
        <v/>
      </c>
      <c r="C977" s="24" t="str">
        <f>"Вівторок"</f>
        <v>Вівторок</v>
      </c>
      <c r="D977" s="24" t="str">
        <f>IFERROR(TEXT(М5_МАЗ4381_0592!D52,"h:mm"),"")</f>
        <v>8:35</v>
      </c>
      <c r="E977" s="24" t="str">
        <f>"№5"</f>
        <v>№5</v>
      </c>
      <c r="F977" s="24" t="str">
        <f>"МАЗ 4381"</f>
        <v>МАЗ 4381</v>
      </c>
      <c r="G977" s="24" t="str">
        <f>"СВ 81-71 ВК"</f>
        <v>СВ 81-71 ВК</v>
      </c>
      <c r="H977" s="24"/>
      <c r="J977" s="13" t="str">
        <f t="shared" si="108"/>
        <v>пров. І. Мазепи|</v>
      </c>
      <c r="K977" s="32">
        <f t="shared" si="109"/>
        <v>0.3576388888888889</v>
      </c>
      <c r="L977" s="13" t="str">
        <f>IF($A977="","",IF(COUNTIFS($J$4:$J977,$J977,$E$4:$E977,$E977)=1,$E977,""))</f>
        <v>№5</v>
      </c>
      <c r="M977" s="13" t="str">
        <f>IF($A977="","",IF(COUNTIFS($J$4:$J977,$J977,$F$4:$F977,$F977)=1,$F977,""))</f>
        <v>МАЗ 4381</v>
      </c>
    </row>
    <row r="978" spans="1:13" x14ac:dyDescent="0.35">
      <c r="A978" s="23" t="str">
        <f>IFERROR(М5_МАЗ4381_0592!B174,"")</f>
        <v>пров. І. Франка</v>
      </c>
      <c r="B978" s="23" t="str">
        <f>IFERROR(IF(М5_МАЗ4381_0592!C174="","",TEXT(М5_МАЗ4381_0592!C174,"General")),"")</f>
        <v/>
      </c>
      <c r="C978" s="24" t="str">
        <f>"П'ятниця"</f>
        <v>П'ятниця</v>
      </c>
      <c r="D978" s="24" t="str">
        <f>IFERROR(TEXT(М5_МАЗ4381_0592!D174,"h:mm"),"")</f>
        <v>10:10</v>
      </c>
      <c r="E978" s="24" t="str">
        <f>"№5"</f>
        <v>№5</v>
      </c>
      <c r="F978" s="24" t="str">
        <f>"МАЗ 4381"</f>
        <v>МАЗ 4381</v>
      </c>
      <c r="G978" s="24" t="str">
        <f>"СВ 81-71 ВК"</f>
        <v>СВ 81-71 ВК</v>
      </c>
      <c r="H978" s="24"/>
      <c r="J978" s="13" t="str">
        <f t="shared" si="108"/>
        <v>пров. І. Франка|</v>
      </c>
      <c r="K978" s="32">
        <f t="shared" si="109"/>
        <v>0.4236111111111111</v>
      </c>
      <c r="L978" s="13" t="str">
        <f>IF($A978="","",IF(COUNTIFS($J$4:$J978,$J978,$E$4:$E978,$E978)=1,$E978,""))</f>
        <v>№5</v>
      </c>
      <c r="M978" s="13" t="str">
        <f>IF($A978="","",IF(COUNTIFS($J$4:$J978,$J978,$F$4:$F978,$F978)=1,$F978,""))</f>
        <v>МАЗ 4381</v>
      </c>
    </row>
    <row r="979" spans="1:13" x14ac:dyDescent="0.35">
      <c r="A979" s="23" t="str">
        <f>IFERROR(М6_АТ4021_0586!B97,"")</f>
        <v>пров. Іподромний</v>
      </c>
      <c r="B979" s="23" t="str">
        <f>IFERROR(IF(М6_АТ4021_0586!C97="","",TEXT(М6_АТ4021_0586!C97,"General")),"")</f>
        <v>17,9  3,1</v>
      </c>
      <c r="C979" s="24" t="str">
        <f>"Середа"</f>
        <v>Середа</v>
      </c>
      <c r="D979" s="24" t="str">
        <f>IFERROR(TEXT(М6_АТ4021_0586!D97,"h:mm"),"")</f>
        <v>12:15</v>
      </c>
      <c r="E979" s="24" t="str">
        <f>"№6"</f>
        <v>№6</v>
      </c>
      <c r="F979" s="24" t="str">
        <f>"АТ 4021"</f>
        <v>АТ 4021</v>
      </c>
      <c r="G979" s="24" t="str">
        <f>"СВ 33-16 ЕО"</f>
        <v>СВ 33-16 ЕО</v>
      </c>
      <c r="H979" s="24"/>
      <c r="J979" s="13" t="str">
        <f t="shared" si="108"/>
        <v>пров. Іподромний|17,9  3,1</v>
      </c>
      <c r="K979" s="32">
        <f t="shared" si="109"/>
        <v>0.51041666666666663</v>
      </c>
      <c r="L979" s="13" t="str">
        <f>IF($A979="","",IF(COUNTIFS($J$4:$J979,$J979,$E$4:$E979,$E979)=1,$E979,""))</f>
        <v>№6</v>
      </c>
      <c r="M979" s="13" t="str">
        <f>IF($A979="","",IF(COUNTIFS($J$4:$J979,$J979,$F$4:$F979,$F979)=1,$F979,""))</f>
        <v>АТ 4021</v>
      </c>
    </row>
    <row r="980" spans="1:13" x14ac:dyDescent="0.35">
      <c r="A980" s="23" t="str">
        <f>IFERROR(М5_МАЗ4381_0592!B34,"")</f>
        <v>пров. Ветеранський</v>
      </c>
      <c r="B980" s="23" t="str">
        <f>IFERROR(IF(М5_МАЗ4381_0592!C34="","",TEXT(М5_МАЗ4381_0592!C34,"General")),"")</f>
        <v/>
      </c>
      <c r="C980" s="24" t="str">
        <f>"Понеділок"</f>
        <v>Понеділок</v>
      </c>
      <c r="D980" s="24" t="str">
        <f>IFERROR(TEXT(М5_МАЗ4381_0592!D34,"h:mm"),"")</f>
        <v>14:00</v>
      </c>
      <c r="E980" s="24" t="str">
        <f>"№5"</f>
        <v>№5</v>
      </c>
      <c r="F980" s="24" t="str">
        <f>"МАЗ 4381"</f>
        <v>МАЗ 4381</v>
      </c>
      <c r="G980" s="24" t="str">
        <f>"СВ 81-71 ВК"</f>
        <v>СВ 81-71 ВК</v>
      </c>
      <c r="H980" s="24"/>
      <c r="J980" s="13" t="str">
        <f t="shared" si="108"/>
        <v>пров. Ветеранський|</v>
      </c>
      <c r="K980" s="32">
        <f t="shared" si="109"/>
        <v>0.58333333333333337</v>
      </c>
      <c r="L980" s="13" t="str">
        <f>IF($A980="","",IF(COUNTIFS($J$4:$J980,$J980,$E$4:$E980,$E980)=1,$E980,""))</f>
        <v>№5</v>
      </c>
      <c r="M980" s="13" t="str">
        <f>IF($A980="","",IF(COUNTIFS($J$4:$J980,$J980,$F$4:$F980,$F980)=1,$F980,""))</f>
        <v>МАЗ 4381</v>
      </c>
    </row>
    <row r="981" spans="1:13" x14ac:dyDescent="0.35">
      <c r="A981" s="23" t="str">
        <f>IFERROR(М6_АТ4021_0586!B49,"")</f>
        <v>пров. Героїв Прилук</v>
      </c>
      <c r="B981" s="23" t="str">
        <f>IFERROR(IF(М6_АТ4021_0586!C49="","",TEXT(М6_АТ4021_0586!C49,"General")),"")</f>
        <v>33,44  20,18</v>
      </c>
      <c r="C981" s="24" t="str">
        <f>"Вівторок"</f>
        <v>Вівторок</v>
      </c>
      <c r="D981" s="24" t="str">
        <f>IFERROR(TEXT(М6_АТ4021_0586!D49,"h:mm"),"")</f>
        <v>8:50</v>
      </c>
      <c r="E981" s="24" t="str">
        <f>"№6"</f>
        <v>№6</v>
      </c>
      <c r="F981" s="24" t="str">
        <f>"АТ 4021"</f>
        <v>АТ 4021</v>
      </c>
      <c r="G981" s="24" t="str">
        <f>"СВ 33-16 ЕО"</f>
        <v>СВ 33-16 ЕО</v>
      </c>
      <c r="H981" s="24"/>
      <c r="J981" s="13" t="str">
        <f t="shared" si="108"/>
        <v>пров. Героїв Прилук|33,44  20,18</v>
      </c>
      <c r="K981" s="32">
        <f t="shared" si="109"/>
        <v>0.36805555555555558</v>
      </c>
      <c r="L981" s="13" t="str">
        <f>IF($A981="","",IF(COUNTIFS($J$4:$J981,$J981,$E$4:$E981,$E981)=1,$E981,""))</f>
        <v>№6</v>
      </c>
      <c r="M981" s="13" t="str">
        <f>IF($A981="","",IF(COUNTIFS($J$4:$J981,$J981,$F$4:$F981,$F981)=1,$F981,""))</f>
        <v>АТ 4021</v>
      </c>
    </row>
    <row r="982" spans="1:13" x14ac:dyDescent="0.35">
      <c r="A982" s="23" t="str">
        <f>IFERROR(М6_АТ4021_0586!B155,"")</f>
        <v>пров. Густинський</v>
      </c>
      <c r="B982" s="23" t="str">
        <f>IFERROR(IF(М6_АТ4021_0586!C155="","",TEXT(М6_АТ4021_0586!C155,"General")),"")</f>
        <v/>
      </c>
      <c r="C982" s="24" t="str">
        <f>"П'ятниця"</f>
        <v>П'ятниця</v>
      </c>
      <c r="D982" s="24" t="str">
        <f>IFERROR(TEXT(М6_АТ4021_0586!D155,"h:mm"),"")</f>
        <v>7:00</v>
      </c>
      <c r="E982" s="24" t="str">
        <f>"№6"</f>
        <v>№6</v>
      </c>
      <c r="F982" s="24" t="str">
        <f>"АТ 4021"</f>
        <v>АТ 4021</v>
      </c>
      <c r="G982" s="24" t="str">
        <f>"СВ 33-16 ЕО"</f>
        <v>СВ 33-16 ЕО</v>
      </c>
      <c r="H982" s="24"/>
      <c r="J982" s="13" t="str">
        <f t="shared" si="108"/>
        <v>пров. Густинський|</v>
      </c>
      <c r="K982" s="32">
        <f t="shared" si="109"/>
        <v>0.29166666666666669</v>
      </c>
      <c r="L982" s="13" t="str">
        <f>IF($A982="","",IF(COUNTIFS($J$4:$J982,$J982,$E$4:$E982,$E982)=1,$E982,""))</f>
        <v>№6</v>
      </c>
      <c r="M982" s="13" t="str">
        <f>IF($A982="","",IF(COUNTIFS($J$4:$J982,$J982,$F$4:$F982,$F982)=1,$F982,""))</f>
        <v>АТ 4021</v>
      </c>
    </row>
    <row r="983" spans="1:13" x14ac:dyDescent="0.35">
      <c r="A983" s="23" t="str">
        <f>IFERROR(М5_МАЗ4381_0592!B171,"")</f>
        <v>пров. Ждановича</v>
      </c>
      <c r="B983" s="23" t="str">
        <f>IFERROR(IF(М5_МАЗ4381_0592!C171="","",TEXT(М5_МАЗ4381_0592!C171,"General")),"")</f>
        <v/>
      </c>
      <c r="C983" s="24" t="str">
        <f>"П'ятниця"</f>
        <v>П'ятниця</v>
      </c>
      <c r="D983" s="24" t="str">
        <f>IFERROR(TEXT(М5_МАЗ4381_0592!D171,"h:mm"),"")</f>
        <v>9:15</v>
      </c>
      <c r="E983" s="24" t="str">
        <f>"№5"</f>
        <v>№5</v>
      </c>
      <c r="F983" s="24" t="str">
        <f>"МАЗ 4381"</f>
        <v>МАЗ 4381</v>
      </c>
      <c r="G983" s="24" t="str">
        <f>"СВ 81-71 ВК"</f>
        <v>СВ 81-71 ВК</v>
      </c>
      <c r="H983" s="24"/>
      <c r="J983" s="13" t="str">
        <f t="shared" si="108"/>
        <v>пров. Ждановича|</v>
      </c>
      <c r="K983" s="32">
        <f t="shared" si="109"/>
        <v>0.38541666666666669</v>
      </c>
      <c r="L983" s="13" t="str">
        <f>IF($A983="","",IF(COUNTIFS($J$4:$J983,$J983,$E$4:$E983,$E983)=1,$E983,""))</f>
        <v>№5</v>
      </c>
      <c r="M983" s="13" t="str">
        <f>IF($A983="","",IF(COUNTIFS($J$4:$J983,$J983,$F$4:$F983,$F983)=1,$F983,""))</f>
        <v>МАЗ 4381</v>
      </c>
    </row>
    <row r="984" spans="1:13" x14ac:dyDescent="0.35">
      <c r="A984" s="23" t="str">
        <f>IFERROR(М5_МАЗ4381_0592!B85,"")</f>
        <v>пров. Заводський</v>
      </c>
      <c r="B984" s="23" t="str">
        <f>IFERROR(IF(М5_МАЗ4381_0592!C85="","",TEXT(М5_МАЗ4381_0592!C85,"General")),"")</f>
        <v/>
      </c>
      <c r="C984" s="24" t="str">
        <f>"Середа"</f>
        <v>Середа</v>
      </c>
      <c r="D984" s="24" t="str">
        <f>IFERROR(TEXT(М5_МАЗ4381_0592!D85,"h:mm"),"")</f>
        <v>7:25</v>
      </c>
      <c r="E984" s="24" t="str">
        <f>"№5"</f>
        <v>№5</v>
      </c>
      <c r="F984" s="24" t="str">
        <f>"МАЗ 4381"</f>
        <v>МАЗ 4381</v>
      </c>
      <c r="G984" s="24" t="str">
        <f>"СВ 81-71 ВК"</f>
        <v>СВ 81-71 ВК</v>
      </c>
      <c r="H984" s="24"/>
      <c r="J984" s="13" t="str">
        <f t="shared" si="108"/>
        <v>пров. Заводський|</v>
      </c>
      <c r="K984" s="32">
        <f t="shared" si="109"/>
        <v>0.30902777777777779</v>
      </c>
      <c r="L984" s="13" t="str">
        <f>IF($A984="","",IF(COUNTIFS($J$4:$J984,$J984,$E$4:$E984,$E984)=1,$E984,""))</f>
        <v>№5</v>
      </c>
      <c r="M984" s="13" t="str">
        <f>IF($A984="","",IF(COUNTIFS($J$4:$J984,$J984,$F$4:$F984,$F984)=1,$F984,""))</f>
        <v>МАЗ 4381</v>
      </c>
    </row>
    <row r="985" spans="1:13" x14ac:dyDescent="0.35">
      <c r="A985" s="23" t="str">
        <f>IFERROR(М5_МАЗ4381_0592!B46,"")</f>
        <v>пров. Залізничний</v>
      </c>
      <c r="B985" s="23" t="str">
        <f>IFERROR(IF(М5_МАЗ4381_0592!C46="","",TEXT(М5_МАЗ4381_0592!C46,"General")),"")</f>
        <v/>
      </c>
      <c r="C985" s="24" t="str">
        <f>"Вівторок"</f>
        <v>Вівторок</v>
      </c>
      <c r="D985" s="24" t="str">
        <f>IFERROR(TEXT(М5_МАЗ4381_0592!D46,"h:mm"),"")</f>
        <v>7:20</v>
      </c>
      <c r="E985" s="24" t="str">
        <f>"№5"</f>
        <v>№5</v>
      </c>
      <c r="F985" s="24" t="str">
        <f>"МАЗ 4381"</f>
        <v>МАЗ 4381</v>
      </c>
      <c r="G985" s="24" t="str">
        <f>"СВ 81-71 ВК"</f>
        <v>СВ 81-71 ВК</v>
      </c>
      <c r="H985" s="24"/>
      <c r="J985" s="13" t="str">
        <f t="shared" si="108"/>
        <v>пров. Залізничний|</v>
      </c>
      <c r="K985" s="32">
        <f t="shared" si="109"/>
        <v>0.30555555555555558</v>
      </c>
      <c r="L985" s="13" t="str">
        <f>IF($A985="","",IF(COUNTIFS($J$4:$J985,$J985,$E$4:$E985,$E985)=1,$E985,""))</f>
        <v>№5</v>
      </c>
      <c r="M985" s="13" t="str">
        <f>IF($A985="","",IF(COUNTIFS($J$4:$J985,$J985,$F$4:$F985,$F985)=1,$F985,""))</f>
        <v>МАЗ 4381</v>
      </c>
    </row>
    <row r="986" spans="1:13" x14ac:dyDescent="0.35">
      <c r="A986" s="23" t="str">
        <f>IFERROR(М5_МАЗ4381_0592!B59,"")</f>
        <v>пров. Західний</v>
      </c>
      <c r="B986" s="23" t="str">
        <f>IFERROR(IF(М5_МАЗ4381_0592!C59="","",TEXT(М5_МАЗ4381_0592!C59,"General")),"")</f>
        <v/>
      </c>
      <c r="C986" s="24" t="str">
        <f>"Вівторок"</f>
        <v>Вівторок</v>
      </c>
      <c r="D986" s="24" t="str">
        <f>IFERROR(TEXT(М5_МАЗ4381_0592!D59,"h:mm"),"")</f>
        <v>10:45</v>
      </c>
      <c r="E986" s="24" t="str">
        <f>"№5"</f>
        <v>№5</v>
      </c>
      <c r="F986" s="24" t="str">
        <f>"МАЗ 4381"</f>
        <v>МАЗ 4381</v>
      </c>
      <c r="G986" s="24" t="str">
        <f>"СВ 81-71 ВК"</f>
        <v>СВ 81-71 ВК</v>
      </c>
      <c r="H986" s="24"/>
      <c r="J986" s="13" t="str">
        <f t="shared" si="108"/>
        <v>пров. Західний|</v>
      </c>
      <c r="K986" s="32">
        <f t="shared" si="109"/>
        <v>0.44791666666666669</v>
      </c>
      <c r="L986" s="13" t="str">
        <f>IF($A986="","",IF(COUNTIFS($J$4:$J986,$J986,$E$4:$E986,$E986)=1,$E986,""))</f>
        <v>№5</v>
      </c>
      <c r="M986" s="13" t="str">
        <f>IF($A986="","",IF(COUNTIFS($J$4:$J986,$J986,$F$4:$F986,$F986)=1,$F986,""))</f>
        <v>МАЗ 4381</v>
      </c>
    </row>
    <row r="987" spans="1:13" x14ac:dyDescent="0.35">
      <c r="A987" s="23" t="str">
        <f>IFERROR(М6_АТ4021_0586!B59,"")</f>
        <v>пров. Кустівський</v>
      </c>
      <c r="B987" s="23" t="str">
        <f>IFERROR(IF(М6_АТ4021_0586!C59="","",TEXT(М6_АТ4021_0586!C59,"General")),"")</f>
        <v>1,2  15,20</v>
      </c>
      <c r="C987" s="24" t="str">
        <f>"Вівторок"</f>
        <v>Вівторок</v>
      </c>
      <c r="D987" s="24" t="str">
        <f>IFERROR(TEXT(М6_АТ4021_0586!D59,"h:mm"),"")</f>
        <v>11:25</v>
      </c>
      <c r="E987" s="24" t="str">
        <f>"№6"</f>
        <v>№6</v>
      </c>
      <c r="F987" s="24" t="str">
        <f>"АТ 4021"</f>
        <v>АТ 4021</v>
      </c>
      <c r="G987" s="24" t="str">
        <f>"СВ 33-16 ЕО"</f>
        <v>СВ 33-16 ЕО</v>
      </c>
      <c r="H987" s="24"/>
      <c r="J987" s="13" t="str">
        <f t="shared" si="108"/>
        <v>пров. Кустівський|1,2  15,20</v>
      </c>
      <c r="K987" s="32">
        <f t="shared" si="109"/>
        <v>0.47569444444444442</v>
      </c>
      <c r="L987" s="13" t="str">
        <f>IF($A987="","",IF(COUNTIFS($J$4:$J987,$J987,$E$4:$E987,$E987)=1,$E987,""))</f>
        <v>№6</v>
      </c>
      <c r="M987" s="13" t="str">
        <f>IF($A987="","",IF(COUNTIFS($J$4:$J987,$J987,$F$4:$F987,$F987)=1,$F987,""))</f>
        <v>АТ 4021</v>
      </c>
    </row>
    <row r="988" spans="1:13" x14ac:dyDescent="0.35">
      <c r="A988" s="23" t="str">
        <f>IFERROR(М5_МАЗ4381_0592!B50,"")</f>
        <v>пров. Л. Українки</v>
      </c>
      <c r="B988" s="23" t="str">
        <f>IFERROR(IF(М5_МАЗ4381_0592!C50="","",TEXT(М5_МАЗ4381_0592!C50,"General")),"")</f>
        <v/>
      </c>
      <c r="C988" s="24" t="str">
        <f>"Вівторок"</f>
        <v>Вівторок</v>
      </c>
      <c r="D988" s="24" t="str">
        <f>IFERROR(TEXT(М5_МАЗ4381_0592!D50,"h:mm"),"")</f>
        <v>8:00</v>
      </c>
      <c r="E988" s="24" t="str">
        <f>"№5"</f>
        <v>№5</v>
      </c>
      <c r="F988" s="24" t="str">
        <f>"МАЗ 4381"</f>
        <v>МАЗ 4381</v>
      </c>
      <c r="G988" s="24" t="str">
        <f>"СВ 81-71 ВК"</f>
        <v>СВ 81-71 ВК</v>
      </c>
      <c r="H988" s="24"/>
      <c r="J988" s="13" t="str">
        <f t="shared" si="108"/>
        <v>пров. Л. Українки|</v>
      </c>
      <c r="K988" s="32">
        <f t="shared" si="109"/>
        <v>0.33333333333333331</v>
      </c>
      <c r="L988" s="13" t="str">
        <f>IF($A988="","",IF(COUNTIFS($J$4:$J988,$J988,$E$4:$E988,$E988)=1,$E988,""))</f>
        <v>№5</v>
      </c>
      <c r="M988" s="13" t="str">
        <f>IF($A988="","",IF(COUNTIFS($J$4:$J988,$J988,$F$4:$F988,$F988)=1,$F988,""))</f>
        <v>МАЗ 4381</v>
      </c>
    </row>
    <row r="989" spans="1:13" x14ac:dyDescent="0.35">
      <c r="A989" s="23" t="str">
        <f>IFERROR(М6_АТ4021_0586!B87,"")</f>
        <v>пров. М. Леонтовича</v>
      </c>
      <c r="B989" s="23" t="str">
        <f>IFERROR(IF(М6_АТ4021_0586!C87="","",TEXT(М6_АТ4021_0586!C87,"General")),"")</f>
        <v>17</v>
      </c>
      <c r="C989" s="24" t="str">
        <f>"Середа"</f>
        <v>Середа</v>
      </c>
      <c r="D989" s="24" t="str">
        <f>IFERROR(TEXT(М6_АТ4021_0586!D87,"h:mm"),"")</f>
        <v>9:20</v>
      </c>
      <c r="E989" s="24" t="str">
        <f>"№6"</f>
        <v>№6</v>
      </c>
      <c r="F989" s="24" t="str">
        <f>"АТ 4021"</f>
        <v>АТ 4021</v>
      </c>
      <c r="G989" s="24" t="str">
        <f>"СВ 33-16 ЕО"</f>
        <v>СВ 33-16 ЕО</v>
      </c>
      <c r="H989" s="24"/>
      <c r="J989" s="13" t="str">
        <f t="shared" si="108"/>
        <v>пров. М. Леонтовича|17</v>
      </c>
      <c r="K989" s="32">
        <f t="shared" si="109"/>
        <v>0.3888888888888889</v>
      </c>
      <c r="L989" s="13" t="str">
        <f>IF($A989="","",IF(COUNTIFS($J$4:$J989,$J989,$E$4:$E989,$E989)=1,$E989,""))</f>
        <v>№6</v>
      </c>
      <c r="M989" s="13" t="str">
        <f>IF($A989="","",IF(COUNTIFS($J$4:$J989,$J989,$F$4:$F989,$F989)=1,$F989,""))</f>
        <v>АТ 4021</v>
      </c>
    </row>
    <row r="990" spans="1:13" x14ac:dyDescent="0.35">
      <c r="A990" s="23" t="str">
        <f>IFERROR(М6_АТ4021_0586!B25,"")</f>
        <v>пров. М. Лисенка</v>
      </c>
      <c r="B990" s="23" t="str">
        <f>IFERROR(IF(М6_АТ4021_0586!C25="","",TEXT(М6_АТ4021_0586!C25,"General")),"")</f>
        <v>3,9  13,20</v>
      </c>
      <c r="C990" s="24" t="str">
        <f>"Понеділок"</f>
        <v>Понеділок</v>
      </c>
      <c r="D990" s="24" t="str">
        <f>IFERROR(TEXT(М6_АТ4021_0586!D25,"h:mm"),"")</f>
        <v>11:10</v>
      </c>
      <c r="E990" s="24" t="str">
        <f>"№6"</f>
        <v>№6</v>
      </c>
      <c r="F990" s="24" t="str">
        <f>"АТ 4021"</f>
        <v>АТ 4021</v>
      </c>
      <c r="G990" s="24" t="str">
        <f>"СВ 33-16 ЕО"</f>
        <v>СВ 33-16 ЕО</v>
      </c>
      <c r="H990" s="24"/>
      <c r="J990" s="13" t="str">
        <f t="shared" si="108"/>
        <v>пров. М. Лисенка|3,9  13,20</v>
      </c>
      <c r="K990" s="32">
        <f t="shared" si="109"/>
        <v>0.46527777777777779</v>
      </c>
      <c r="L990" s="13" t="str">
        <f>IF($A990="","",IF(COUNTIFS($J$4:$J990,$J990,$E$4:$E990,$E990)=1,$E990,""))</f>
        <v>№6</v>
      </c>
      <c r="M990" s="13" t="str">
        <f>IF($A990="","",IF(COUNTIFS($J$4:$J990,$J990,$F$4:$F990,$F990)=1,$F990,""))</f>
        <v>АТ 4021</v>
      </c>
    </row>
    <row r="991" spans="1:13" x14ac:dyDescent="0.35">
      <c r="A991" s="23" t="str">
        <f>IFERROR(М5_МАЗ4381_0592!B93,"")</f>
        <v>пров. М. Приймаченко</v>
      </c>
      <c r="B991" s="23" t="str">
        <f>IFERROR(IF(М5_МАЗ4381_0592!C93="","",TEXT(М5_МАЗ4381_0592!C93,"General")),"")</f>
        <v/>
      </c>
      <c r="C991" s="24" t="str">
        <f>"Середа"</f>
        <v>Середа</v>
      </c>
      <c r="D991" s="24" t="str">
        <f>IFERROR(TEXT(М5_МАЗ4381_0592!D93,"h:mm"),"")</f>
        <v>9:30</v>
      </c>
      <c r="E991" s="24" t="str">
        <f t="shared" ref="E991:E996" si="110">"№5"</f>
        <v>№5</v>
      </c>
      <c r="F991" s="24" t="str">
        <f t="shared" ref="F991:F996" si="111">"МАЗ 4381"</f>
        <v>МАЗ 4381</v>
      </c>
      <c r="G991" s="24" t="str">
        <f t="shared" ref="G991:G996" si="112">"СВ 81-71 ВК"</f>
        <v>СВ 81-71 ВК</v>
      </c>
      <c r="H991" s="24"/>
      <c r="J991" s="13" t="str">
        <f t="shared" si="108"/>
        <v>пров. М. Приймаченко|</v>
      </c>
      <c r="K991" s="32">
        <f t="shared" si="109"/>
        <v>0.39583333333333331</v>
      </c>
      <c r="L991" s="13" t="str">
        <f>IF($A991="","",IF(COUNTIFS($J$4:$J991,$J991,$E$4:$E991,$E991)=1,$E991,""))</f>
        <v>№5</v>
      </c>
      <c r="M991" s="13" t="str">
        <f>IF($A991="","",IF(COUNTIFS($J$4:$J991,$J991,$F$4:$F991,$F991)=1,$F991,""))</f>
        <v>МАЗ 4381</v>
      </c>
    </row>
    <row r="992" spans="1:13" x14ac:dyDescent="0.35">
      <c r="A992" s="23" t="str">
        <f>IFERROR(М5_МАЗ4381_0592!B169,"")</f>
        <v>пров. М. Старицького</v>
      </c>
      <c r="B992" s="23" t="str">
        <f>IFERROR(IF(М5_МАЗ4381_0592!C169="","",TEXT(М5_МАЗ4381_0592!C169,"General")),"")</f>
        <v/>
      </c>
      <c r="C992" s="24" t="str">
        <f>"П'ятниця"</f>
        <v>П'ятниця</v>
      </c>
      <c r="D992" s="24" t="str">
        <f>IFERROR(TEXT(М5_МАЗ4381_0592!D169,"h:mm"),"")</f>
        <v>8:55</v>
      </c>
      <c r="E992" s="24" t="str">
        <f t="shared" si="110"/>
        <v>№5</v>
      </c>
      <c r="F992" s="24" t="str">
        <f t="shared" si="111"/>
        <v>МАЗ 4381</v>
      </c>
      <c r="G992" s="24" t="str">
        <f t="shared" si="112"/>
        <v>СВ 81-71 ВК</v>
      </c>
      <c r="H992" s="24"/>
      <c r="J992" s="13" t="str">
        <f t="shared" si="108"/>
        <v>пров. М. Старицького|</v>
      </c>
      <c r="K992" s="32">
        <f t="shared" si="109"/>
        <v>0.37152777777777779</v>
      </c>
      <c r="L992" s="13" t="str">
        <f>IF($A992="","",IF(COUNTIFS($J$4:$J992,$J992,$E$4:$E992,$E992)=1,$E992,""))</f>
        <v>№5</v>
      </c>
      <c r="M992" s="13" t="str">
        <f>IF($A992="","",IF(COUNTIFS($J$4:$J992,$J992,$F$4:$F992,$F992)=1,$F992,""))</f>
        <v>МАЗ 4381</v>
      </c>
    </row>
    <row r="993" spans="1:13" x14ac:dyDescent="0.35">
      <c r="A993" s="23" t="str">
        <f>IFERROR(М5_МАЗ4381_0592!B170,"")</f>
        <v>пров. О. Вересая</v>
      </c>
      <c r="B993" s="23" t="str">
        <f>IFERROR(IF(М5_МАЗ4381_0592!C170="","",TEXT(М5_МАЗ4381_0592!C170,"General")),"")</f>
        <v/>
      </c>
      <c r="C993" s="24" t="str">
        <f>"П'ятниця"</f>
        <v>П'ятниця</v>
      </c>
      <c r="D993" s="24" t="str">
        <f>IFERROR(TEXT(М5_МАЗ4381_0592!D170,"h:mm"),"")</f>
        <v>9:05</v>
      </c>
      <c r="E993" s="24" t="str">
        <f t="shared" si="110"/>
        <v>№5</v>
      </c>
      <c r="F993" s="24" t="str">
        <f t="shared" si="111"/>
        <v>МАЗ 4381</v>
      </c>
      <c r="G993" s="24" t="str">
        <f t="shared" si="112"/>
        <v>СВ 81-71 ВК</v>
      </c>
      <c r="H993" s="24"/>
      <c r="J993" s="13" t="str">
        <f t="shared" si="108"/>
        <v>пров. О. Вересая|</v>
      </c>
      <c r="K993" s="32">
        <f t="shared" si="109"/>
        <v>0.37847222222222221</v>
      </c>
      <c r="L993" s="13" t="str">
        <f>IF($A993="","",IF(COUNTIFS($J$4:$J993,$J993,$E$4:$E993,$E993)=1,$E993,""))</f>
        <v>№5</v>
      </c>
      <c r="M993" s="13" t="str">
        <f>IF($A993="","",IF(COUNTIFS($J$4:$J993,$J993,$F$4:$F993,$F993)=1,$F993,""))</f>
        <v>МАЗ 4381</v>
      </c>
    </row>
    <row r="994" spans="1:13" x14ac:dyDescent="0.35">
      <c r="A994" s="23" t="str">
        <f>IFERROR(М5_МАЗ4381_0592!B177,"")</f>
        <v>пров. П. Орлика</v>
      </c>
      <c r="B994" s="23" t="str">
        <f>IFERROR(IF(М5_МАЗ4381_0592!C177="","",TEXT(М5_МАЗ4381_0592!C177,"General")),"")</f>
        <v/>
      </c>
      <c r="C994" s="24" t="str">
        <f>"П'ятниця"</f>
        <v>П'ятниця</v>
      </c>
      <c r="D994" s="24" t="str">
        <f>IFERROR(TEXT(М5_МАЗ4381_0592!D177,"h:mm"),"")</f>
        <v>10:45</v>
      </c>
      <c r="E994" s="24" t="str">
        <f t="shared" si="110"/>
        <v>№5</v>
      </c>
      <c r="F994" s="24" t="str">
        <f t="shared" si="111"/>
        <v>МАЗ 4381</v>
      </c>
      <c r="G994" s="24" t="str">
        <f t="shared" si="112"/>
        <v>СВ 81-71 ВК</v>
      </c>
      <c r="H994" s="24"/>
      <c r="J994" s="13" t="str">
        <f t="shared" si="108"/>
        <v>пров. П. Орлика|</v>
      </c>
      <c r="K994" s="32">
        <f t="shared" si="109"/>
        <v>0.44791666666666669</v>
      </c>
      <c r="L994" s="13" t="str">
        <f>IF($A994="","",IF(COUNTIFS($J$4:$J994,$J994,$E$4:$E994,$E994)=1,$E994,""))</f>
        <v>№5</v>
      </c>
      <c r="M994" s="13" t="str">
        <f>IF($A994="","",IF(COUNTIFS($J$4:$J994,$J994,$F$4:$F994,$F994)=1,$F994,""))</f>
        <v>МАЗ 4381</v>
      </c>
    </row>
    <row r="995" spans="1:13" x14ac:dyDescent="0.35">
      <c r="A995" s="23" t="str">
        <f>IFERROR(М5_МАЗ4381_0592!B84,"")</f>
        <v>пров. П. Сагайдачного</v>
      </c>
      <c r="B995" s="23" t="str">
        <f>IFERROR(IF(М5_МАЗ4381_0592!C84="","",TEXT(М5_МАЗ4381_0592!C84,"General")),"")</f>
        <v/>
      </c>
      <c r="C995" s="24" t="str">
        <f>"Середа"</f>
        <v>Середа</v>
      </c>
      <c r="D995" s="24" t="str">
        <f>IFERROR(TEXT(М5_МАЗ4381_0592!D84,"h:mm"),"")</f>
        <v>7:15</v>
      </c>
      <c r="E995" s="24" t="str">
        <f t="shared" si="110"/>
        <v>№5</v>
      </c>
      <c r="F995" s="24" t="str">
        <f t="shared" si="111"/>
        <v>МАЗ 4381</v>
      </c>
      <c r="G995" s="24" t="str">
        <f t="shared" si="112"/>
        <v>СВ 81-71 ВК</v>
      </c>
      <c r="H995" s="24"/>
      <c r="J995" s="13" t="str">
        <f t="shared" si="108"/>
        <v>пров. П. Сагайдачного|</v>
      </c>
      <c r="K995" s="32">
        <f t="shared" si="109"/>
        <v>0.30208333333333331</v>
      </c>
      <c r="L995" s="13" t="str">
        <f>IF($A995="","",IF(COUNTIFS($J$4:$J995,$J995,$E$4:$E995,$E995)=1,$E995,""))</f>
        <v>№5</v>
      </c>
      <c r="M995" s="13" t="str">
        <f>IF($A995="","",IF(COUNTIFS($J$4:$J995,$J995,$F$4:$F995,$F995)=1,$F995,""))</f>
        <v>МАЗ 4381</v>
      </c>
    </row>
    <row r="996" spans="1:13" x14ac:dyDescent="0.35">
      <c r="A996" s="23" t="str">
        <f>IFERROR(М5_МАЗ4381_0592!B105,"")</f>
        <v>пров. Партизанський</v>
      </c>
      <c r="B996" s="23" t="str">
        <f>IFERROR(IF(М5_МАЗ4381_0592!C105="","",TEXT(М5_МАЗ4381_0592!C105,"General")),"")</f>
        <v/>
      </c>
      <c r="C996" s="24" t="str">
        <f>"Середа"</f>
        <v>Середа</v>
      </c>
      <c r="D996" s="24" t="str">
        <f>IFERROR(TEXT(М5_МАЗ4381_0592!D105,"h:mm"),"")</f>
        <v>14:00</v>
      </c>
      <c r="E996" s="24" t="str">
        <f t="shared" si="110"/>
        <v>№5</v>
      </c>
      <c r="F996" s="24" t="str">
        <f t="shared" si="111"/>
        <v>МАЗ 4381</v>
      </c>
      <c r="G996" s="24" t="str">
        <f t="shared" si="112"/>
        <v>СВ 81-71 ВК</v>
      </c>
      <c r="H996" s="24"/>
      <c r="J996" s="13" t="str">
        <f t="shared" si="108"/>
        <v>пров. Партизанський|</v>
      </c>
      <c r="K996" s="32">
        <f t="shared" si="109"/>
        <v>0.58333333333333337</v>
      </c>
      <c r="L996" s="13" t="str">
        <f>IF($A996="","",IF(COUNTIFS($J$4:$J996,$J996,$E$4:$E996,$E996)=1,$E996,""))</f>
        <v>№5</v>
      </c>
      <c r="M996" s="13" t="str">
        <f>IF($A996="","",IF(COUNTIFS($J$4:$J996,$J996,$F$4:$F996,$F996)=1,$F996,""))</f>
        <v>МАЗ 4381</v>
      </c>
    </row>
    <row r="997" spans="1:13" x14ac:dyDescent="0.35">
      <c r="A997" s="23" t="str">
        <f>IFERROR(М6_АТ4021_0586!B89,"")</f>
        <v>пров. Пирятинський</v>
      </c>
      <c r="B997" s="23" t="str">
        <f>IFERROR(IF(М6_АТ4021_0586!C89="","",TEXT(М6_АТ4021_0586!C89,"General")),"")</f>
        <v>12,32  54</v>
      </c>
      <c r="C997" s="24" t="str">
        <f>"Середа"</f>
        <v>Середа</v>
      </c>
      <c r="D997" s="24" t="str">
        <f>IFERROR(TEXT(М6_АТ4021_0586!D89,"h:mm"),"")</f>
        <v>10:00</v>
      </c>
      <c r="E997" s="24" t="str">
        <f>"№6"</f>
        <v>№6</v>
      </c>
      <c r="F997" s="24" t="str">
        <f>"АТ 4021"</f>
        <v>АТ 4021</v>
      </c>
      <c r="G997" s="24" t="str">
        <f>"СВ 33-16 ЕО"</f>
        <v>СВ 33-16 ЕО</v>
      </c>
      <c r="H997" s="24"/>
      <c r="J997" s="13" t="str">
        <f t="shared" si="108"/>
        <v>пров. Пирятинський|12,32  54</v>
      </c>
      <c r="K997" s="32">
        <f t="shared" si="109"/>
        <v>0.41666666666666669</v>
      </c>
      <c r="L997" s="13" t="str">
        <f>IF($A997="","",IF(COUNTIFS($J$4:$J997,$J997,$E$4:$E997,$E997)=1,$E997,""))</f>
        <v>№6</v>
      </c>
      <c r="M997" s="13" t="str">
        <f>IF($A997="","",IF(COUNTIFS($J$4:$J997,$J997,$F$4:$F997,$F997)=1,$F997,""))</f>
        <v>АТ 4021</v>
      </c>
    </row>
    <row r="998" spans="1:13" x14ac:dyDescent="0.35">
      <c r="A998" s="23" t="str">
        <f>IFERROR(М5_МАЗ4381_0592!B190,"")</f>
        <v>пров. Польовий</v>
      </c>
      <c r="B998" s="23" t="str">
        <f>IFERROR(IF(М5_МАЗ4381_0592!C190="","",TEXT(М5_МАЗ4381_0592!C190,"General")),"")</f>
        <v/>
      </c>
      <c r="C998" s="24" t="str">
        <f>"П'ятниця"</f>
        <v>П'ятниця</v>
      </c>
      <c r="D998" s="24" t="str">
        <f>IFERROR(TEXT(М5_МАЗ4381_0592!D190,"h:mm"),"")</f>
        <v>13:45</v>
      </c>
      <c r="E998" s="24" t="str">
        <f>"№5"</f>
        <v>№5</v>
      </c>
      <c r="F998" s="24" t="str">
        <f>"МАЗ 4381"</f>
        <v>МАЗ 4381</v>
      </c>
      <c r="G998" s="24" t="str">
        <f>"СВ 81-71 ВК"</f>
        <v>СВ 81-71 ВК</v>
      </c>
      <c r="H998" s="24"/>
      <c r="J998" s="13" t="str">
        <f t="shared" si="108"/>
        <v>пров. Польовий|</v>
      </c>
      <c r="K998" s="32">
        <f t="shared" si="109"/>
        <v>0.57291666666666663</v>
      </c>
      <c r="L998" s="13" t="str">
        <f>IF($A998="","",IF(COUNTIFS($J$4:$J998,$J998,$E$4:$E998,$E998)=1,$E998,""))</f>
        <v>№5</v>
      </c>
      <c r="M998" s="13" t="str">
        <f>IF($A998="","",IF(COUNTIFS($J$4:$J998,$J998,$F$4:$F998,$F998)=1,$F998,""))</f>
        <v>МАЗ 4381</v>
      </c>
    </row>
    <row r="999" spans="1:13" x14ac:dyDescent="0.35">
      <c r="A999" s="23" t="str">
        <f>IFERROR(М5_МАЗ4381_0592!B126,"")</f>
        <v>пров. Прорізний</v>
      </c>
      <c r="B999" s="23" t="str">
        <f>IFERROR(IF(М5_МАЗ4381_0592!C126="","",TEXT(М5_МАЗ4381_0592!C126,"General")),"")</f>
        <v/>
      </c>
      <c r="C999" s="24" t="str">
        <f>"Четвер"</f>
        <v>Четвер</v>
      </c>
      <c r="D999" s="24" t="str">
        <f>IFERROR(TEXT(М5_МАЗ4381_0592!D126,"h:mm"),"")</f>
        <v>8:35</v>
      </c>
      <c r="E999" s="24" t="str">
        <f>"№5"</f>
        <v>№5</v>
      </c>
      <c r="F999" s="24" t="str">
        <f>"МАЗ 4381"</f>
        <v>МАЗ 4381</v>
      </c>
      <c r="G999" s="24" t="str">
        <f>"СВ 81-71 ВК"</f>
        <v>СВ 81-71 ВК</v>
      </c>
      <c r="H999" s="24"/>
      <c r="J999" s="13" t="str">
        <f t="shared" si="108"/>
        <v>пров. Прорізний|</v>
      </c>
      <c r="K999" s="32">
        <f t="shared" si="109"/>
        <v>0.3576388888888889</v>
      </c>
      <c r="L999" s="13" t="str">
        <f>IF($A999="","",IF(COUNTIFS($J$4:$J999,$J999,$E$4:$E999,$E999)=1,$E999,""))</f>
        <v>№5</v>
      </c>
      <c r="M999" s="13" t="str">
        <f>IF($A999="","",IF(COUNTIFS($J$4:$J999,$J999,$F$4:$F999,$F999)=1,$F999,""))</f>
        <v>МАЗ 4381</v>
      </c>
    </row>
    <row r="1000" spans="1:13" x14ac:dyDescent="0.35">
      <c r="A1000" s="23" t="str">
        <f>IFERROR(М6_АТ4021_0586!B84,"")</f>
        <v>пров. Північний</v>
      </c>
      <c r="B1000" s="23" t="str">
        <f>IFERROR(IF(М6_АТ4021_0586!C84="","",TEXT(М6_АТ4021_0586!C84,"General")),"")</f>
        <v>2,9  18,24</v>
      </c>
      <c r="C1000" s="24" t="str">
        <f>"Середа"</f>
        <v>Середа</v>
      </c>
      <c r="D1000" s="24" t="str">
        <f>IFERROR(TEXT(М6_АТ4021_0586!D84,"h:mm"),"")</f>
        <v>8:30</v>
      </c>
      <c r="E1000" s="24" t="str">
        <f>"№6"</f>
        <v>№6</v>
      </c>
      <c r="F1000" s="24" t="str">
        <f>"АТ 4021"</f>
        <v>АТ 4021</v>
      </c>
      <c r="G1000" s="24" t="str">
        <f>"СВ 33-16 ЕО"</f>
        <v>СВ 33-16 ЕО</v>
      </c>
      <c r="H1000" s="24"/>
      <c r="J1000" s="13" t="str">
        <f t="shared" si="108"/>
        <v>пров. Північний|2,9  18,24</v>
      </c>
      <c r="K1000" s="32">
        <f t="shared" si="109"/>
        <v>0.35416666666666669</v>
      </c>
      <c r="L1000" s="13" t="str">
        <f>IF($A1000="","",IF(COUNTIFS($J$4:$J1000,$J1000,$E$4:$E1000,$E1000)=1,$E1000,""))</f>
        <v>№6</v>
      </c>
      <c r="M1000" s="13" t="str">
        <f>IF($A1000="","",IF(COUNTIFS($J$4:$J1000,$J1000,$F$4:$F1000,$F1000)=1,$F1000,""))</f>
        <v>АТ 4021</v>
      </c>
    </row>
    <row r="1001" spans="1:13" x14ac:dyDescent="0.35">
      <c r="A1001" s="23" t="str">
        <f>IFERROR(М6_АТ4021_0586!B70,"")</f>
        <v>пров. Північний</v>
      </c>
      <c r="B1001" s="23" t="str">
        <f>IFERROR(IF(М6_АТ4021_0586!C70="","",TEXT(М6_АТ4021_0586!C70,"General")),"")</f>
        <v>24,15  7</v>
      </c>
      <c r="C1001" s="24" t="str">
        <f>"Вівторок"</f>
        <v>Вівторок</v>
      </c>
      <c r="D1001" s="24" t="str">
        <f>IFERROR(TEXT(М6_АТ4021_0586!D70,"h:mm"),"")</f>
        <v>15:35</v>
      </c>
      <c r="E1001" s="24" t="str">
        <f>"№6"</f>
        <v>№6</v>
      </c>
      <c r="F1001" s="24" t="str">
        <f>"АТ 4021"</f>
        <v>АТ 4021</v>
      </c>
      <c r="G1001" s="24" t="str">
        <f>"СВ 33-16 ЕО"</f>
        <v>СВ 33-16 ЕО</v>
      </c>
      <c r="H1001" s="24"/>
      <c r="J1001" s="13" t="str">
        <f t="shared" si="108"/>
        <v>пров. Північний|24,15  7</v>
      </c>
      <c r="K1001" s="32">
        <f t="shared" si="109"/>
        <v>0.64930555555555558</v>
      </c>
      <c r="L1001" s="13" t="str">
        <f>IF($A1001="","",IF(COUNTIFS($J$4:$J1001,$J1001,$E$4:$E1001,$E1001)=1,$E1001,""))</f>
        <v>№6</v>
      </c>
      <c r="M1001" s="13" t="str">
        <f>IF($A1001="","",IF(COUNTIFS($J$4:$J1001,$J1001,$F$4:$F1001,$F1001)=1,$F1001,""))</f>
        <v>АТ 4021</v>
      </c>
    </row>
    <row r="1002" spans="1:13" x14ac:dyDescent="0.35">
      <c r="A1002" s="23" t="str">
        <f>IFERROR(М5_МАЗ4381_0592!B195,"")</f>
        <v>пров. Східний</v>
      </c>
      <c r="B1002" s="23" t="str">
        <f>IFERROR(IF(М5_МАЗ4381_0592!C195="","",TEXT(М5_МАЗ4381_0592!C195,"General")),"")</f>
        <v/>
      </c>
      <c r="C1002" s="24" t="str">
        <f>"П'ятниця"</f>
        <v>П'ятниця</v>
      </c>
      <c r="D1002" s="24" t="str">
        <f>IFERROR(TEXT(М5_МАЗ4381_0592!D195,"h:mm"),"")</f>
        <v>14:50</v>
      </c>
      <c r="E1002" s="24" t="str">
        <f>"№5"</f>
        <v>№5</v>
      </c>
      <c r="F1002" s="24" t="str">
        <f>"МАЗ 4381"</f>
        <v>МАЗ 4381</v>
      </c>
      <c r="G1002" s="24" t="str">
        <f>"СВ 81-71 ВК"</f>
        <v>СВ 81-71 ВК</v>
      </c>
      <c r="H1002" s="24"/>
      <c r="J1002" s="13" t="str">
        <f t="shared" si="108"/>
        <v>пров. Східний|</v>
      </c>
      <c r="K1002" s="32">
        <f t="shared" si="109"/>
        <v>0.61805555555555558</v>
      </c>
      <c r="L1002" s="13" t="str">
        <f>IF($A1002="","",IF(COUNTIFS($J$4:$J1002,$J1002,$E$4:$E1002,$E1002)=1,$E1002,""))</f>
        <v>№5</v>
      </c>
      <c r="M1002" s="13" t="str">
        <f>IF($A1002="","",IF(COUNTIFS($J$4:$J1002,$J1002,$F$4:$F1002,$F1002)=1,$F1002,""))</f>
        <v>МАЗ 4381</v>
      </c>
    </row>
    <row r="1003" spans="1:13" x14ac:dyDescent="0.35">
      <c r="A1003" s="23" t="str">
        <f>IFERROR(М6_АТ4021_0586!B53,"")</f>
        <v>пров. Східний</v>
      </c>
      <c r="B1003" s="23" t="str">
        <f>IFERROR(IF(М6_АТ4021_0586!C53="","",TEXT(М6_АТ4021_0586!C53,"General")),"")</f>
        <v>10,7  5</v>
      </c>
      <c r="C1003" s="24" t="str">
        <f>"Вівторок"</f>
        <v>Вівторок</v>
      </c>
      <c r="D1003" s="24" t="str">
        <f>IFERROR(TEXT(М6_АТ4021_0586!D53,"h:mm"),"")</f>
        <v>9:40</v>
      </c>
      <c r="E1003" s="24" t="str">
        <f>"№6"</f>
        <v>№6</v>
      </c>
      <c r="F1003" s="24" t="str">
        <f>"АТ 4021"</f>
        <v>АТ 4021</v>
      </c>
      <c r="G1003" s="24" t="str">
        <f>"СВ 33-16 ЕО"</f>
        <v>СВ 33-16 ЕО</v>
      </c>
      <c r="H1003" s="24"/>
      <c r="J1003" s="13" t="str">
        <f t="shared" si="108"/>
        <v>пров. Східний|10,7  5</v>
      </c>
      <c r="K1003" s="32">
        <f t="shared" si="109"/>
        <v>0.40277777777777779</v>
      </c>
      <c r="L1003" s="13" t="str">
        <f>IF($A1003="","",IF(COUNTIFS($J$4:$J1003,$J1003,$E$4:$E1003,$E1003)=1,$E1003,""))</f>
        <v>№6</v>
      </c>
      <c r="M1003" s="13" t="str">
        <f>IF($A1003="","",IF(COUNTIFS($J$4:$J1003,$J1003,$F$4:$F1003,$F1003)=1,$F1003,""))</f>
        <v>АТ 4021</v>
      </c>
    </row>
    <row r="1004" spans="1:13" x14ac:dyDescent="0.35">
      <c r="A1004" s="23" t="str">
        <f>IFERROR(М5_МАЗ4381_0592!B67,"")</f>
        <v>пров. Трубарівський</v>
      </c>
      <c r="B1004" s="23" t="str">
        <f>IFERROR(IF(М5_МАЗ4381_0592!C67="","",TEXT(М5_МАЗ4381_0592!C67,"General")),"")</f>
        <v/>
      </c>
      <c r="C1004" s="24" t="str">
        <f>"Вівторок"</f>
        <v>Вівторок</v>
      </c>
      <c r="D1004" s="24" t="str">
        <f>IFERROR(TEXT(М5_МАЗ4381_0592!D67,"h:mm"),"")</f>
        <v>13:05</v>
      </c>
      <c r="E1004" s="24" t="str">
        <f>"№5"</f>
        <v>№5</v>
      </c>
      <c r="F1004" s="24" t="str">
        <f>"МАЗ 4381"</f>
        <v>МАЗ 4381</v>
      </c>
      <c r="G1004" s="24" t="str">
        <f>"СВ 81-71 ВК"</f>
        <v>СВ 81-71 ВК</v>
      </c>
      <c r="H1004" s="24"/>
      <c r="J1004" s="13" t="str">
        <f t="shared" si="108"/>
        <v>пров. Трубарівський|</v>
      </c>
      <c r="K1004" s="32">
        <f t="shared" si="109"/>
        <v>0.54513888888888884</v>
      </c>
      <c r="L1004" s="13" t="str">
        <f>IF($A1004="","",IF(COUNTIFS($J$4:$J1004,$J1004,$E$4:$E1004,$E1004)=1,$E1004,""))</f>
        <v>№5</v>
      </c>
      <c r="M1004" s="13" t="str">
        <f>IF($A1004="","",IF(COUNTIFS($J$4:$J1004,$J1004,$F$4:$F1004,$F1004)=1,$F1004,""))</f>
        <v>МАЗ 4381</v>
      </c>
    </row>
    <row r="1005" spans="1:13" x14ac:dyDescent="0.35">
      <c r="A1005" s="23" t="str">
        <f>IFERROR(М6_АТ4021_0586!B171,"")</f>
        <v>пров. Трудовий</v>
      </c>
      <c r="B1005" s="23" t="str">
        <f>IFERROR(IF(М6_АТ4021_0586!C171="","",TEXT(М6_АТ4021_0586!C171,"General")),"")</f>
        <v>1,2  21,24</v>
      </c>
      <c r="C1005" s="24" t="str">
        <f>"П'ятниця"</f>
        <v>П'ятниця</v>
      </c>
      <c r="D1005" s="24" t="str">
        <f>IFERROR(TEXT(М6_АТ4021_0586!D171,"h:mm"),"")</f>
        <v>11:15</v>
      </c>
      <c r="E1005" s="24" t="str">
        <f>"№6"</f>
        <v>№6</v>
      </c>
      <c r="F1005" s="24" t="str">
        <f>"АТ 4021"</f>
        <v>АТ 4021</v>
      </c>
      <c r="G1005" s="24" t="str">
        <f>"СВ 33-16 ЕО"</f>
        <v>СВ 33-16 ЕО</v>
      </c>
      <c r="H1005" s="24"/>
      <c r="J1005" s="13" t="str">
        <f t="shared" si="108"/>
        <v>пров. Трудовий|1,2  21,24</v>
      </c>
      <c r="K1005" s="32">
        <f t="shared" si="109"/>
        <v>0.46875</v>
      </c>
      <c r="L1005" s="13" t="str">
        <f>IF($A1005="","",IF(COUNTIFS($J$4:$J1005,$J1005,$E$4:$E1005,$E1005)=1,$E1005,""))</f>
        <v>№6</v>
      </c>
      <c r="M1005" s="13" t="str">
        <f>IF($A1005="","",IF(COUNTIFS($J$4:$J1005,$J1005,$F$4:$F1005,$F1005)=1,$F1005,""))</f>
        <v>АТ 4021</v>
      </c>
    </row>
    <row r="1006" spans="1:13" x14ac:dyDescent="0.35">
      <c r="A1006" s="23" t="str">
        <f>IFERROR(М6_АТ4021_0586!B21,"")</f>
        <v>пров. Фабричний</v>
      </c>
      <c r="B1006" s="23" t="str">
        <f>IFERROR(IF(М6_АТ4021_0586!C21="","",TEXT(М6_АТ4021_0586!C21,"General")),"")</f>
        <v>27,42  50</v>
      </c>
      <c r="C1006" s="24" t="str">
        <f>"Понеділок"</f>
        <v>Понеділок</v>
      </c>
      <c r="D1006" s="24" t="str">
        <f>IFERROR(TEXT(М6_АТ4021_0586!D21,"h:mm"),"")</f>
        <v>10:25</v>
      </c>
      <c r="E1006" s="24" t="str">
        <f>"№6"</f>
        <v>№6</v>
      </c>
      <c r="F1006" s="24" t="str">
        <f>"АТ 4021"</f>
        <v>АТ 4021</v>
      </c>
      <c r="G1006" s="24" t="str">
        <f>"СВ 33-16 ЕО"</f>
        <v>СВ 33-16 ЕО</v>
      </c>
      <c r="H1006" s="24"/>
      <c r="J1006" s="13" t="str">
        <f t="shared" si="108"/>
        <v>пров. Фабричний|27,42  50</v>
      </c>
      <c r="K1006" s="32">
        <f t="shared" si="109"/>
        <v>0.43402777777777779</v>
      </c>
      <c r="L1006" s="13" t="str">
        <f>IF($A1006="","",IF(COUNTIFS($J$4:$J1006,$J1006,$E$4:$E1006,$E1006)=1,$E1006,""))</f>
        <v>№6</v>
      </c>
      <c r="M1006" s="13" t="str">
        <f>IF($A1006="","",IF(COUNTIFS($J$4:$J1006,$J1006,$F$4:$F1006,$F1006)=1,$F1006,""))</f>
        <v>АТ 4021</v>
      </c>
    </row>
    <row r="1007" spans="1:13" x14ac:dyDescent="0.35">
      <c r="A1007" s="23" t="str">
        <f>IFERROR(М6_АТ4021_0586!B85,"")</f>
        <v>пров. Фізкультурника</v>
      </c>
      <c r="B1007" s="23" t="str">
        <f>IFERROR(IF(М6_АТ4021_0586!C85="","",TEXT(М6_АТ4021_0586!C85,"General")),"")</f>
        <v>4,12</v>
      </c>
      <c r="C1007" s="24" t="str">
        <f>"Середа"</f>
        <v>Середа</v>
      </c>
      <c r="D1007" s="24" t="str">
        <f>IFERROR(TEXT(М6_АТ4021_0586!D85,"h:mm"),"")</f>
        <v>8:45</v>
      </c>
      <c r="E1007" s="24" t="str">
        <f>"№6"</f>
        <v>№6</v>
      </c>
      <c r="F1007" s="24" t="str">
        <f>"АТ 4021"</f>
        <v>АТ 4021</v>
      </c>
      <c r="G1007" s="24" t="str">
        <f>"СВ 33-16 ЕО"</f>
        <v>СВ 33-16 ЕО</v>
      </c>
      <c r="H1007" s="24"/>
      <c r="J1007" s="13" t="str">
        <f t="shared" si="108"/>
        <v>пров. Фізкультурника|4,12</v>
      </c>
      <c r="K1007" s="32">
        <f t="shared" si="109"/>
        <v>0.36458333333333331</v>
      </c>
      <c r="L1007" s="13" t="str">
        <f>IF($A1007="","",IF(COUNTIFS($J$4:$J1007,$J1007,$E$4:$E1007,$E1007)=1,$E1007,""))</f>
        <v>№6</v>
      </c>
      <c r="M1007" s="13" t="str">
        <f>IF($A1007="","",IF(COUNTIFS($J$4:$J1007,$J1007,$F$4:$F1007,$F1007)=1,$F1007,""))</f>
        <v>АТ 4021</v>
      </c>
    </row>
    <row r="1008" spans="1:13" x14ac:dyDescent="0.35">
      <c r="A1008" s="23" t="str">
        <f>IFERROR(М4_АТ4042ROD_0584!B97,"")</f>
        <v>пров. Фізкультурника</v>
      </c>
      <c r="B1008" s="23" t="str">
        <f>IFERROR(IF(М4_АТ4042ROD_0584!C97="","",TEXT(М4_АТ4042ROD_0584!C97,"General")),"")</f>
        <v>9 ліцей</v>
      </c>
      <c r="C1008" s="24" t="str">
        <f>"Четвер"</f>
        <v>Четвер</v>
      </c>
      <c r="D1008" s="24" t="str">
        <f>IFERROR(TEXT(М4_АТ4042ROD_0584!D97,"h:mm"),"")</f>
        <v>15:40</v>
      </c>
      <c r="E1008" s="24" t="str">
        <f>"№4"</f>
        <v>№4</v>
      </c>
      <c r="F1008" s="24" t="str">
        <f>"АТ 40-42/ROD21003"</f>
        <v>АТ 40-42/ROD21003</v>
      </c>
      <c r="G1008" s="24" t="str">
        <f>"СВ 33-15 ЕО"</f>
        <v>СВ 33-15 ЕО</v>
      </c>
      <c r="H1008" s="24">
        <f>IFERROR(М4_АТ4042ROD_0584!G97,"")</f>
        <v>2</v>
      </c>
      <c r="J1008" s="13" t="str">
        <f t="shared" si="108"/>
        <v>пров. Фізкультурника|9 ліцей</v>
      </c>
      <c r="K1008" s="32">
        <f t="shared" si="109"/>
        <v>0.65277777777777779</v>
      </c>
      <c r="L1008" s="13" t="str">
        <f>IF($A1008="","",IF(COUNTIFS($J$4:$J1008,$J1008,$E$4:$E1008,$E1008)=1,$E1008,""))</f>
        <v>№4</v>
      </c>
      <c r="M1008" s="13" t="str">
        <f>IF($A1008="","",IF(COUNTIFS($J$4:$J1008,$J1008,$F$4:$F1008,$F1008)=1,$F1008,""))</f>
        <v>АТ 40-42/ROD21003</v>
      </c>
    </row>
    <row r="1009" spans="1:13" x14ac:dyDescent="0.35">
      <c r="A1009" s="23" t="str">
        <f>IFERROR(М6_АТ4021_0586!B33,"")</f>
        <v>пров. Шевченка</v>
      </c>
      <c r="B1009" s="23" t="str">
        <f>IFERROR(IF(М6_АТ4021_0586!C33="","",TEXT(М6_АТ4021_0586!C33,"General")),"")</f>
        <v>21,25</v>
      </c>
      <c r="C1009" s="24" t="str">
        <f>"Понеділок"</f>
        <v>Понеділок</v>
      </c>
      <c r="D1009" s="24" t="str">
        <f>IFERROR(TEXT(М6_АТ4021_0586!D33,"h:mm"),"")</f>
        <v>14:20</v>
      </c>
      <c r="E1009" s="24" t="str">
        <f>"№6"</f>
        <v>№6</v>
      </c>
      <c r="F1009" s="24" t="str">
        <f>"АТ 4021"</f>
        <v>АТ 4021</v>
      </c>
      <c r="G1009" s="24" t="str">
        <f>"СВ 33-16 ЕО"</f>
        <v>СВ 33-16 ЕО</v>
      </c>
      <c r="H1009" s="24"/>
      <c r="J1009" s="13" t="str">
        <f t="shared" si="108"/>
        <v>пров. Шевченка|21,25</v>
      </c>
      <c r="K1009" s="32">
        <f t="shared" si="109"/>
        <v>0.59722222222222221</v>
      </c>
      <c r="L1009" s="13" t="str">
        <f>IF($A1009="","",IF(COUNTIFS($J$4:$J1009,$J1009,$E$4:$E1009,$E1009)=1,$E1009,""))</f>
        <v>№6</v>
      </c>
      <c r="M1009" s="13" t="str">
        <f>IF($A1009="","",IF(COUNTIFS($J$4:$J1009,$J1009,$F$4:$F1009,$F1009)=1,$F1009,""))</f>
        <v>АТ 4021</v>
      </c>
    </row>
    <row r="1010" spans="1:13" x14ac:dyDescent="0.35">
      <c r="A1010" s="23" t="str">
        <f>IFERROR(М5_МАЗ4381_0592!B92,"")</f>
        <v>пров. Ю. Коваленка</v>
      </c>
      <c r="B1010" s="23" t="str">
        <f>IFERROR(IF(М5_МАЗ4381_0592!C92="","",TEXT(М5_МАЗ4381_0592!C92,"General")),"")</f>
        <v/>
      </c>
      <c r="C1010" s="24" t="str">
        <f>"Середа"</f>
        <v>Середа</v>
      </c>
      <c r="D1010" s="24" t="str">
        <f>IFERROR(TEXT(М5_МАЗ4381_0592!D92,"h:mm"),"")</f>
        <v>9:15</v>
      </c>
      <c r="E1010" s="24" t="str">
        <f>"№5"</f>
        <v>№5</v>
      </c>
      <c r="F1010" s="24" t="str">
        <f>"МАЗ 4381"</f>
        <v>МАЗ 4381</v>
      </c>
      <c r="G1010" s="24" t="str">
        <f>"СВ 81-71 ВК"</f>
        <v>СВ 81-71 ВК</v>
      </c>
      <c r="H1010" s="24"/>
      <c r="J1010" s="13" t="str">
        <f t="shared" si="108"/>
        <v>пров. Ю. Коваленка|</v>
      </c>
      <c r="K1010" s="32">
        <f t="shared" si="109"/>
        <v>0.38541666666666669</v>
      </c>
      <c r="L1010" s="13" t="str">
        <f>IF($A1010="","",IF(COUNTIFS($J$4:$J1010,$J1010,$E$4:$E1010,$E1010)=1,$E1010,""))</f>
        <v>№5</v>
      </c>
      <c r="M1010" s="13" t="str">
        <f>IF($A1010="","",IF(COUNTIFS($J$4:$J1010,$J1010,$F$4:$F1010,$F1010)=1,$F1010,""))</f>
        <v>МАЗ 4381</v>
      </c>
    </row>
    <row r="1011" spans="1:13" x14ac:dyDescent="0.35">
      <c r="A1011" s="23" t="str">
        <f>IFERROR(М6_АТ4021_0586!B101,"")</f>
        <v>провв. Л. Забашти</v>
      </c>
      <c r="B1011" s="23" t="str">
        <f>IFERROR(IF(М6_АТ4021_0586!C101="","",TEXT(М6_АТ4021_0586!C101,"General")),"")</f>
        <v>22,15  9,2</v>
      </c>
      <c r="C1011" s="24" t="str">
        <f>"Середа"</f>
        <v>Середа</v>
      </c>
      <c r="D1011" s="24" t="str">
        <f>IFERROR(TEXT(М6_АТ4021_0586!D101,"h:mm"),"")</f>
        <v>13:40</v>
      </c>
      <c r="E1011" s="24" t="str">
        <f>"№6"</f>
        <v>№6</v>
      </c>
      <c r="F1011" s="24" t="str">
        <f>"АТ 4021"</f>
        <v>АТ 4021</v>
      </c>
      <c r="G1011" s="24" t="str">
        <f>"СВ 33-16 ЕО"</f>
        <v>СВ 33-16 ЕО</v>
      </c>
      <c r="H1011" s="24"/>
      <c r="J1011" s="13" t="str">
        <f t="shared" si="108"/>
        <v>провв. Л. Забашти|22,15  9,2</v>
      </c>
      <c r="K1011" s="32">
        <f t="shared" si="109"/>
        <v>0.56944444444444442</v>
      </c>
      <c r="L1011" s="13" t="str">
        <f>IF($A1011="","",IF(COUNTIFS($J$4:$J1011,$J1011,$E$4:$E1011,$E1011)=1,$E1011,""))</f>
        <v>№6</v>
      </c>
      <c r="M1011" s="13" t="str">
        <f>IF($A1011="","",IF(COUNTIFS($J$4:$J1011,$J1011,$F$4:$F1011,$F1011)=1,$F1011,""))</f>
        <v>АТ 4021</v>
      </c>
    </row>
    <row r="1012" spans="1:13" x14ac:dyDescent="0.35">
      <c r="A1012" s="23" t="str">
        <f>IFERROR(М5_МАЗ4381_0592!B12,"")</f>
        <v>провул. Г. Сагайдачного</v>
      </c>
      <c r="B1012" s="23" t="str">
        <f>IFERROR(IF(М5_МАЗ4381_0592!C12="","",TEXT(М5_МАЗ4381_0592!C12,"General")),"")</f>
        <v/>
      </c>
      <c r="C1012" s="24" t="str">
        <f>"Понеділок"</f>
        <v>Понеділок</v>
      </c>
      <c r="D1012" s="24" t="str">
        <f>IFERROR(TEXT(М5_МАЗ4381_0592!D12,"h:mm"),"")</f>
        <v>8:00</v>
      </c>
      <c r="E1012" s="24" t="str">
        <f>"№5"</f>
        <v>№5</v>
      </c>
      <c r="F1012" s="24" t="str">
        <f>"МАЗ 4381"</f>
        <v>МАЗ 4381</v>
      </c>
      <c r="G1012" s="24" t="str">
        <f>"СВ 81-71 ВК"</f>
        <v>СВ 81-71 ВК</v>
      </c>
      <c r="H1012" s="24"/>
      <c r="J1012" s="13" t="str">
        <f t="shared" si="108"/>
        <v>провул. Г. Сагайдачного|</v>
      </c>
      <c r="K1012" s="32">
        <f t="shared" si="109"/>
        <v>0.33333333333333331</v>
      </c>
      <c r="L1012" s="13" t="str">
        <f>IF($A1012="","",IF(COUNTIFS($J$4:$J1012,$J1012,$E$4:$E1012,$E1012)=1,$E1012,""))</f>
        <v>№5</v>
      </c>
      <c r="M1012" s="13" t="str">
        <f>IF($A1012="","",IF(COUNTIFS($J$4:$J1012,$J1012,$F$4:$F1012,$F1012)=1,$F1012,""))</f>
        <v>МАЗ 4381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26D8-DFBE-420B-889F-0E611D073124}">
  <dimension ref="A1:T480"/>
  <sheetViews>
    <sheetView tabSelected="1" topLeftCell="K1" workbookViewId="0">
      <pane ySplit="4" topLeftCell="A471" activePane="bottomLeft" state="frozen"/>
      <selection activeCell="H25" sqref="H25:H26"/>
      <selection pane="bottomLeft" activeCell="C282" sqref="C282"/>
    </sheetView>
  </sheetViews>
  <sheetFormatPr defaultRowHeight="14.5" outlineLevelCol="1" x14ac:dyDescent="0.35"/>
  <cols>
    <col min="1" max="1" width="31.81640625" customWidth="1"/>
    <col min="2" max="2" width="20.36328125" customWidth="1"/>
    <col min="3" max="9" width="13.90625" customWidth="1"/>
    <col min="10" max="10" width="14.1796875" customWidth="1"/>
    <col min="11" max="11" width="14.54296875" customWidth="1"/>
    <col min="12" max="12" width="27.26953125" customWidth="1"/>
    <col min="13" max="13" width="16" customWidth="1"/>
    <col min="14" max="14" width="14.1796875" customWidth="1"/>
    <col min="15" max="15" width="16.36328125" hidden="1" customWidth="1" outlineLevel="1"/>
    <col min="16" max="16" width="16.36328125" customWidth="1" collapsed="1"/>
    <col min="17" max="17" width="47.26953125" customWidth="1"/>
    <col min="18" max="19" width="16.36328125" customWidth="1"/>
    <col min="20" max="20" width="40" customWidth="1"/>
  </cols>
  <sheetData>
    <row r="1" spans="1:20" ht="18" x14ac:dyDescent="0.4">
      <c r="A1" s="1" t="s">
        <v>751</v>
      </c>
    </row>
    <row r="2" spans="1:20" x14ac:dyDescent="0.35">
      <c r="A2" s="2" t="s">
        <v>1675</v>
      </c>
    </row>
    <row r="4" spans="1:20" ht="26" x14ac:dyDescent="0.35">
      <c r="A4" s="16" t="s">
        <v>24</v>
      </c>
      <c r="B4" s="16" t="s">
        <v>721</v>
      </c>
      <c r="C4" s="16" t="s">
        <v>23</v>
      </c>
      <c r="D4" s="16" t="s">
        <v>96</v>
      </c>
      <c r="E4" s="16" t="s">
        <v>145</v>
      </c>
      <c r="F4" s="16" t="s">
        <v>190</v>
      </c>
      <c r="G4" s="16" t="s">
        <v>227</v>
      </c>
      <c r="H4" s="16" t="s">
        <v>308</v>
      </c>
      <c r="I4" s="16" t="s">
        <v>432</v>
      </c>
      <c r="J4" s="16" t="s">
        <v>752</v>
      </c>
      <c r="K4" s="16" t="s">
        <v>753</v>
      </c>
      <c r="L4" s="16" t="s">
        <v>754</v>
      </c>
      <c r="M4" s="16" t="s">
        <v>260</v>
      </c>
      <c r="O4" s="29" t="s">
        <v>764</v>
      </c>
      <c r="P4" s="16" t="s">
        <v>769</v>
      </c>
      <c r="Q4" s="16" t="s">
        <v>770</v>
      </c>
      <c r="R4" s="16" t="s">
        <v>771</v>
      </c>
      <c r="S4" s="15" t="s">
        <v>772</v>
      </c>
      <c r="T4" s="36" t="s">
        <v>1676</v>
      </c>
    </row>
    <row r="5" spans="1:20" x14ac:dyDescent="0.35">
      <c r="A5" s="26" t="str">
        <f>IF($O5="","",LEFT($O5,FIND("|",$O5)-1))</f>
        <v>1 в'їзд Вишневий</v>
      </c>
      <c r="B5" s="26" t="str">
        <f>IF($O5="","",MID($O5,FIND("|",$O5)+1,999))</f>
        <v/>
      </c>
      <c r="C5" s="27" t="str" cm="1">
        <f t="array" ref="C5">IF($O5="","",_xlfn.TEXTJOIN(", ",TRUE,IF(EXACT('Дані_зв''язок'!$J$4:$J$1012,$O5)*('Дані_зв''язок'!$C$4:$C$1012=C$4),'Дані_зв''язок'!$D$4:$D$1012,"")))</f>
        <v/>
      </c>
      <c r="D5" s="27" t="str" cm="1">
        <f t="array" ref="D5">IF($O5="","",_xlfn.TEXTJOIN(", ",TRUE,IF(EXACT('Дані_зв''язок'!$J$4:$J$1012,$O5)*('Дані_зв''язок'!$C$4:$C$1012=D$4),'Дані_зв''язок'!$D$4:$D$1012,"")))</f>
        <v/>
      </c>
      <c r="E5" s="27" t="str" cm="1">
        <f t="array" ref="E5">IF($O5="","",_xlfn.TEXTJOIN(", ",TRUE,IF(EXACT('Дані_зв''язок'!$J$4:$J$1012,$O5)*('Дані_зв''язок'!$C$4:$C$1012=E$4),'Дані_зв''язок'!$D$4:$D$1012,"")))</f>
        <v/>
      </c>
      <c r="F5" s="27" t="str" cm="1">
        <f t="array" ref="F5">IF($O5="","",_xlfn.TEXTJOIN(", ",TRUE,IF(EXACT('Дані_зв''язок'!$J$4:$J$1012,$O5)*('Дані_зв''язок'!$C$4:$C$1012=F$4),'Дані_зв''язок'!$D$4:$D$1012,"")))</f>
        <v/>
      </c>
      <c r="G5" s="27" t="str" cm="1">
        <f t="array" ref="G5">IF($O5="","",_xlfn.TEXTJOIN(", ",TRUE,IF(EXACT('Дані_зв''язок'!$J$4:$J$1012,$O5)*('Дані_зв''язок'!$C$4:$C$1012=G$4),'Дані_зв''язок'!$D$4:$D$1012,"")))</f>
        <v>13:00</v>
      </c>
      <c r="H5" s="27" t="str" cm="1">
        <f t="array" ref="H5">IF($O5="","",_xlfn.TEXTJOIN(", ",TRUE,IF(EXACT('Дані_зв''язок'!$J$4:$J$1012,$O5)*('Дані_зв''язок'!$C$4:$C$1012=H$4),'Дані_зв''язок'!$D$4:$D$1012,"")))</f>
        <v/>
      </c>
      <c r="I5" s="27" t="str" cm="1">
        <f t="array" ref="I5">IF($O5="","",_xlfn.TEXTJOIN(", ",TRUE,IF(EXACT('Дані_зв''язок'!$J$4:$J$1012,$O5)*('Дані_зв''язок'!$C$4:$C$1012=I$4),'Дані_зв''язок'!$D$4:$D$1012,"")))</f>
        <v/>
      </c>
      <c r="J5" s="27" cm="1">
        <f t="array" ref="J5">IF($O5="","",COUNTIF(C5:I5,"?*")+SUMPRODUCT(LEN(C5:I5)-LEN(SUBSTITUTE(C5:I5,",",""))))</f>
        <v>1</v>
      </c>
      <c r="K5" s="28" t="str" cm="1">
        <f t="array" ref="K5">IF($O5="","",_xlfn.TEXTJOIN(", ",TRUE,IF(EXACT('Дані_зв''язок'!$J$4:$J$1012,$O5),'Дані_зв''язок'!$L$4:$L$1012,"")))</f>
        <v>№5</v>
      </c>
      <c r="L5" s="28" t="str" cm="1">
        <f t="array" ref="L5">IF($O5="","",_xlfn.TEXTJOIN(", ",TRUE,IF(EXACT('Дані_зв''язок'!$J$4:$J$1012,$O5),'Дані_зв''язок'!$M$4:$M$1012,"")))</f>
        <v>МАЗ 4381</v>
      </c>
      <c r="M5" s="27" t="str" cm="1">
        <f t="array" ref="M5">IF($O5="","",IF(SUMPRODUCT(MAX(EXACT('Дані_зв''язок'!$J$4:$J$1012,$O5)*IFERROR('Дані_зв''язок'!$H$4:$H$1012,0)))=0,"",SUMPRODUCT(MAX(EXACT('Дані_зв''язок'!$J$4:$J$1012,$O5)*IFERROR('Дані_зв''язок'!$H$4:$H$1012,0)))))</f>
        <v/>
      </c>
      <c r="O5" s="30" t="s">
        <v>1133</v>
      </c>
      <c r="P5" s="24" t="str" cm="1">
        <f t="array" ref="P5">IF($O5="","",IF($B5="","",IFERROR(IF(MIN(IFERROR(VALUE(TRIM(MID(SUBSTITUTE(SUBSTITUTE($B5,","," ")," ",REPT(" ",30)),{1;31;61;91;121;151;181},30))),""))=0,"",MIN(IFERROR(VALUE(TRIM(MID(SUBSTITUTE(SUBSTITUTE($B5,","," ")," ",REPT(" ",30)),{1;31;61;91;121;151;181},30))),""))),"")))</f>
        <v/>
      </c>
      <c r="Q5" s="23" t="str">
        <f>IF($O5="","","Прилуки, Чернігівська обл., "&amp;$A5&amp;IF($P5="","",", "&amp;$P5))</f>
        <v>Прилуки, Чернігівська обл., 1 в'їзд Вишневий</v>
      </c>
      <c r="R5" s="67" t="s">
        <v>2030</v>
      </c>
      <c r="S5" s="67" t="s">
        <v>2031</v>
      </c>
      <c r="T5" s="44" t="str">
        <f>IF($O5="","",IFERROR(INDEX('Координати майданчиків'!$B$4:$B$64,MATCH($A5&amp;IF($P5="","",", "&amp;$P5),'Координати майданчиків'!$B$4:$B$64,0)),IFERROR(INDEX('Координати майданчиків'!$B$4:$B$64,MATCH($A5,'Координати майданчиків'!$B$4:$B$64,0)),"")))</f>
        <v/>
      </c>
    </row>
    <row r="6" spans="1:20" x14ac:dyDescent="0.35">
      <c r="A6" s="26" t="str">
        <f t="shared" ref="A6:A69" si="0">IF($O6="","",LEFT($O6,FIND("|",$O6)-1))</f>
        <v>1 пров. Європейський</v>
      </c>
      <c r="B6" s="26" t="str">
        <f t="shared" ref="B6:B69" si="1">IF($O6="","",MID($O6,FIND("|",$O6)+1,999))</f>
        <v/>
      </c>
      <c r="C6" s="27" t="str" cm="1">
        <f t="array" ref="C6">IF($O6="","",_xlfn.TEXTJOIN(", ",TRUE,IF(EXACT('Дані_зв''язок'!$J$4:$J$1012,$O6)*('Дані_зв''язок'!$C$4:$C$1012=C$4),'Дані_зв''язок'!$D$4:$D$1012,"")))</f>
        <v/>
      </c>
      <c r="D6" s="27" t="str" cm="1">
        <f t="array" ref="D6">IF($O6="","",_xlfn.TEXTJOIN(", ",TRUE,IF(EXACT('Дані_зв''язок'!$J$4:$J$1012,$O6)*('Дані_зв''язок'!$C$4:$C$1012=D$4),'Дані_зв''язок'!$D$4:$D$1012,"")))</f>
        <v/>
      </c>
      <c r="E6" s="27" t="str" cm="1">
        <f t="array" ref="E6">IF($O6="","",_xlfn.TEXTJOIN(", ",TRUE,IF(EXACT('Дані_зв''язок'!$J$4:$J$1012,$O6)*('Дані_зв''язок'!$C$4:$C$1012=E$4),'Дані_зв''язок'!$D$4:$D$1012,"")))</f>
        <v/>
      </c>
      <c r="F6" s="27" t="str" cm="1">
        <f t="array" ref="F6">IF($O6="","",_xlfn.TEXTJOIN(", ",TRUE,IF(EXACT('Дані_зв''язок'!$J$4:$J$1012,$O6)*('Дані_зв''язок'!$C$4:$C$1012=F$4),'Дані_зв''язок'!$D$4:$D$1012,"")))</f>
        <v>9:00</v>
      </c>
      <c r="G6" s="27" t="str" cm="1">
        <f t="array" ref="G6">IF($O6="","",_xlfn.TEXTJOIN(", ",TRUE,IF(EXACT('Дані_зв''язок'!$J$4:$J$1012,$O6)*('Дані_зв''язок'!$C$4:$C$1012=G$4),'Дані_зв''язок'!$D$4:$D$1012,"")))</f>
        <v/>
      </c>
      <c r="H6" s="27" t="str" cm="1">
        <f t="array" ref="H6">IF($O6="","",_xlfn.TEXTJOIN(", ",TRUE,IF(EXACT('Дані_зв''язок'!$J$4:$J$1012,$O6)*('Дані_зв''язок'!$C$4:$C$1012=H$4),'Дані_зв''язок'!$D$4:$D$1012,"")))</f>
        <v/>
      </c>
      <c r="I6" s="27" t="str" cm="1">
        <f t="array" ref="I6">IF($O6="","",_xlfn.TEXTJOIN(", ",TRUE,IF(EXACT('Дані_зв''язок'!$J$4:$J$1012,$O6)*('Дані_зв''язок'!$C$4:$C$1012=I$4),'Дані_зв''язок'!$D$4:$D$1012,"")))</f>
        <v/>
      </c>
      <c r="J6" s="27" cm="1">
        <f t="array" ref="J6">IF($O6="","",COUNTIF(C6:I6,"?*")+SUMPRODUCT(LEN(C6:I6)-LEN(SUBSTITUTE(C6:I6,",",""))))</f>
        <v>1</v>
      </c>
      <c r="K6" s="28" t="str" cm="1">
        <f t="array" ref="K6">IF($O6="","",_xlfn.TEXTJOIN(", ",TRUE,IF(EXACT('Дані_зв''язок'!$J$4:$J$1012,$O6),'Дані_зв''язок'!$L$4:$L$1012,"")))</f>
        <v>№5</v>
      </c>
      <c r="L6" s="28" t="str" cm="1">
        <f t="array" ref="L6">IF($O6="","",_xlfn.TEXTJOIN(", ",TRUE,IF(EXACT('Дані_зв''язок'!$J$4:$J$1012,$O6),'Дані_зв''язок'!$M$4:$M$1012,"")))</f>
        <v>МАЗ 4381</v>
      </c>
      <c r="M6" s="27" t="str" cm="1">
        <f t="array" ref="M6">IF($O6="","",IF(SUMPRODUCT(MAX(EXACT('Дані_зв''язок'!$J$4:$J$1012,$O6)*IFERROR('Дані_зв''язок'!$H$4:$H$1012,0)))=0,"",SUMPRODUCT(MAX(EXACT('Дані_зв''язок'!$J$4:$J$1012,$O6)*IFERROR('Дані_зв''язок'!$H$4:$H$1012,0)))))</f>
        <v/>
      </c>
      <c r="O6" s="30" t="s">
        <v>1137</v>
      </c>
      <c r="P6" s="24" t="str" cm="1">
        <f t="array" ref="P6">IF($O6="","",IF($B6="","",IFERROR(IF(MIN(IFERROR(VALUE(TRIM(MID(SUBSTITUTE(SUBSTITUTE($B6,","," ")," ",REPT(" ",30)),{1;31;61;91;121;151;181},30))),""))=0,"",MIN(IFERROR(VALUE(TRIM(MID(SUBSTITUTE(SUBSTITUTE($B6,","," ")," ",REPT(" ",30)),{1;31;61;91;121;151;181},30))),""))),"")))</f>
        <v/>
      </c>
      <c r="Q6" s="23" t="str">
        <f t="shared" ref="Q6:Q69" si="2">IF($O6="","","Прилуки, Чернігівська обл., "&amp;$A6&amp;IF($P6="","",", "&amp;$P6))</f>
        <v>Прилуки, Чернігівська обл., 1 пров. Європейський</v>
      </c>
      <c r="R6" s="35">
        <f>IF($O6="","",IFERROR(INDEX('Координати майданчиків'!$H$4:$H$64,MATCH($T6,'Координати майданчиків'!$B$4:$B$64,0)),IFERROR(IF(ABS(INDEX(Геокодування!$C$2:$C$361,MATCH($Q6,Геокодування!$B$2:$B$361,0))-50.5884)+ABS(INDEX(Геокодування!$D$2:$D$361,MATCH($Q6,Геокодування!$B$2:$B$361,0))-32.3876)&gt;0.15,"",INDEX(Геокодування!$C$2:$C$361,MATCH($Q6,Геокодування!$B$2:$B$361,0))),IFERROR(IF(ABS(INDEX(Геокодування!$C$2:$C$361,MATCH("Прилуки, Чернігівська обл., "&amp;$A6,Геокодування!$B$2:$B$361,0))-50.5884)+ABS(INDEX(Геокодування!$D$2:$D$361,MATCH("Прилуки, Чернігівська обл., "&amp;$A6,Геокодування!$B$2:$B$361,0))-32.3876)&gt;0.15,"",INDEX(Геокодування!$C$2:$C$361,MATCH("Прилуки, Чернігівська обл., "&amp;$A6,Геокодування!$B$2:$B$361,0))),""))))</f>
        <v>50.593848000000001</v>
      </c>
      <c r="S6" s="43">
        <f>IF($O6="","",IFERROR(INDEX('Координати майданчиків'!$I$4:$I$64,MATCH($T6,'Координати майданчиків'!$B$4:$B$64,0)),IFERROR(IF(ABS(INDEX(Геокодування!$C$2:$C$361,MATCH($Q6,Геокодування!$B$2:$B$361,0))-50.5884)+ABS(INDEX(Геокодування!$D$2:$D$361,MATCH($Q6,Геокодування!$B$2:$B$361,0))-32.3876)&gt;0.15,"",INDEX(Геокодування!$D$2:$D$361,MATCH($Q6,Геокодування!$B$2:$B$361,0))),IFERROR(IF(ABS(INDEX(Геокодування!$C$2:$C$361,MATCH("Прилуки, Чернігівська обл., "&amp;$A6,Геокодування!$B$2:$B$361,0))-50.5884)+ABS(INDEX(Геокодування!$D$2:$D$361,MATCH("Прилуки, Чернігівська обл., "&amp;$A6,Геокодування!$B$2:$B$361,0))-32.3876)&gt;0.15,"",INDEX(Геокодування!$D$2:$D$361,MATCH("Прилуки, Чернігівська обл., "&amp;$A6,Геокодування!$B$2:$B$361,0))),""))))</f>
        <v>32.365535000000001</v>
      </c>
      <c r="T6" s="44" t="str">
        <f>IF($O6="","",IFERROR(INDEX('Координати майданчиків'!$B$4:$B$64,MATCH($A6&amp;IF($P6="","",", "&amp;$P6),'Координати майданчиків'!$B$4:$B$64,0)),IFERROR(INDEX('Координати майданчиків'!$B$4:$B$64,MATCH($A6,'Координати майданчиків'!$B$4:$B$64,0)),"")))</f>
        <v/>
      </c>
    </row>
    <row r="7" spans="1:20" x14ac:dyDescent="0.35">
      <c r="A7" s="26" t="str">
        <f t="shared" si="0"/>
        <v>1 пров. І. Сірка</v>
      </c>
      <c r="B7" s="26" t="str">
        <f t="shared" si="1"/>
        <v/>
      </c>
      <c r="C7" s="27" t="str" cm="1">
        <f t="array" ref="C7">IF($O7="","",_xlfn.TEXTJOIN(", ",TRUE,IF(EXACT('Дані_зв''язок'!$J$4:$J$1012,$O7)*('Дані_зв''язок'!$C$4:$C$1012=C$4),'Дані_зв''язок'!$D$4:$D$1012,"")))</f>
        <v/>
      </c>
      <c r="D7" s="27" t="str" cm="1">
        <f t="array" ref="D7">IF($O7="","",_xlfn.TEXTJOIN(", ",TRUE,IF(EXACT('Дані_зв''язок'!$J$4:$J$1012,$O7)*('Дані_зв''язок'!$C$4:$C$1012=D$4),'Дані_зв''язок'!$D$4:$D$1012,"")))</f>
        <v>12:20</v>
      </c>
      <c r="E7" s="27" t="str" cm="1">
        <f t="array" ref="E7">IF($O7="","",_xlfn.TEXTJOIN(", ",TRUE,IF(EXACT('Дані_зв''язок'!$J$4:$J$1012,$O7)*('Дані_зв''язок'!$C$4:$C$1012=E$4),'Дані_зв''язок'!$D$4:$D$1012,"")))</f>
        <v/>
      </c>
      <c r="F7" s="27" t="str" cm="1">
        <f t="array" ref="F7">IF($O7="","",_xlfn.TEXTJOIN(", ",TRUE,IF(EXACT('Дані_зв''язок'!$J$4:$J$1012,$O7)*('Дані_зв''язок'!$C$4:$C$1012=F$4),'Дані_зв''язок'!$D$4:$D$1012,"")))</f>
        <v/>
      </c>
      <c r="G7" s="27" t="str" cm="1">
        <f t="array" ref="G7">IF($O7="","",_xlfn.TEXTJOIN(", ",TRUE,IF(EXACT('Дані_зв''язок'!$J$4:$J$1012,$O7)*('Дані_зв''язок'!$C$4:$C$1012=G$4),'Дані_зв''язок'!$D$4:$D$1012,"")))</f>
        <v/>
      </c>
      <c r="H7" s="27" t="str" cm="1">
        <f t="array" ref="H7">IF($O7="","",_xlfn.TEXTJOIN(", ",TRUE,IF(EXACT('Дані_зв''язок'!$J$4:$J$1012,$O7)*('Дані_зв''язок'!$C$4:$C$1012=H$4),'Дані_зв''язок'!$D$4:$D$1012,"")))</f>
        <v/>
      </c>
      <c r="I7" s="27" t="str" cm="1">
        <f t="array" ref="I7">IF($O7="","",_xlfn.TEXTJOIN(", ",TRUE,IF(EXACT('Дані_зв''язок'!$J$4:$J$1012,$O7)*('Дані_зв''язок'!$C$4:$C$1012=I$4),'Дані_зв''язок'!$D$4:$D$1012,"")))</f>
        <v/>
      </c>
      <c r="J7" s="27" cm="1">
        <f t="array" ref="J7">IF($O7="","",COUNTIF(C7:I7,"?*")+SUMPRODUCT(LEN(C7:I7)-LEN(SUBSTITUTE(C7:I7,",",""))))</f>
        <v>1</v>
      </c>
      <c r="K7" s="28" t="str" cm="1">
        <f t="array" ref="K7">IF($O7="","",_xlfn.TEXTJOIN(", ",TRUE,IF(EXACT('Дані_зв''язок'!$J$4:$J$1012,$O7),'Дані_зв''язок'!$L$4:$L$1012,"")))</f>
        <v>№5</v>
      </c>
      <c r="L7" s="28" t="str" cm="1">
        <f t="array" ref="L7">IF($O7="","",_xlfn.TEXTJOIN(", ",TRUE,IF(EXACT('Дані_зв''язок'!$J$4:$J$1012,$O7),'Дані_зв''язок'!$M$4:$M$1012,"")))</f>
        <v>МАЗ 4381</v>
      </c>
      <c r="M7" s="27" t="str" cm="1">
        <f t="array" ref="M7">IF($O7="","",IF(SUMPRODUCT(MAX(EXACT('Дані_зв''язок'!$J$4:$J$1012,$O7)*IFERROR('Дані_зв''язок'!$H$4:$H$1012,0)))=0,"",SUMPRODUCT(MAX(EXACT('Дані_зв''язок'!$J$4:$J$1012,$O7)*IFERROR('Дані_зв''язок'!$H$4:$H$1012,0)))))</f>
        <v/>
      </c>
      <c r="O7" s="30" t="s">
        <v>1141</v>
      </c>
      <c r="P7" s="24" t="str" cm="1">
        <f t="array" ref="P7">IF($O7="","",IF($B7="","",IFERROR(IF(MIN(IFERROR(VALUE(TRIM(MID(SUBSTITUTE(SUBSTITUTE($B7,","," ")," ",REPT(" ",30)),{1;31;61;91;121;151;181},30))),""))=0,"",MIN(IFERROR(VALUE(TRIM(MID(SUBSTITUTE(SUBSTITUTE($B7,","," ")," ",REPT(" ",30)),{1;31;61;91;121;151;181},30))),""))),"")))</f>
        <v/>
      </c>
      <c r="Q7" s="23" t="str">
        <f t="shared" si="2"/>
        <v>Прилуки, Чернігівська обл., 1 пров. І. Сірка</v>
      </c>
      <c r="R7" s="35">
        <f>IF($O7="","",IFERROR(INDEX('Координати майданчиків'!$H$4:$H$64,MATCH($T7,'Координати майданчиків'!$B$4:$B$64,0)),IFERROR(IF(ABS(INDEX(Геокодування!$C$2:$C$361,MATCH($Q7,Геокодування!$B$2:$B$361,0))-50.5884)+ABS(INDEX(Геокодування!$D$2:$D$361,MATCH($Q7,Геокодування!$B$2:$B$361,0))-32.3876)&gt;0.15,"",INDEX(Геокодування!$C$2:$C$361,MATCH($Q7,Геокодування!$B$2:$B$361,0))),IFERROR(IF(ABS(INDEX(Геокодування!$C$2:$C$361,MATCH("Прилуки, Чернігівська обл., "&amp;$A7,Геокодування!$B$2:$B$361,0))-50.5884)+ABS(INDEX(Геокодування!$D$2:$D$361,MATCH("Прилуки, Чернігівська обл., "&amp;$A7,Геокодування!$B$2:$B$361,0))-32.3876)&gt;0.15,"",INDEX(Геокодування!$C$2:$C$361,MATCH("Прилуки, Чернігівська обл., "&amp;$A7,Геокодування!$B$2:$B$361,0))),""))))</f>
        <v>50.603200000000001</v>
      </c>
      <c r="S7" s="43">
        <f>IF($O7="","",IFERROR(INDEX('Координати майданчиків'!$I$4:$I$64,MATCH($T7,'Координати майданчиків'!$B$4:$B$64,0)),IFERROR(IF(ABS(INDEX(Геокодування!$C$2:$C$361,MATCH($Q7,Геокодування!$B$2:$B$361,0))-50.5884)+ABS(INDEX(Геокодування!$D$2:$D$361,MATCH($Q7,Геокодування!$B$2:$B$361,0))-32.3876)&gt;0.15,"",INDEX(Геокодування!$D$2:$D$361,MATCH($Q7,Геокодування!$B$2:$B$361,0))),IFERROR(IF(ABS(INDEX(Геокодування!$C$2:$C$361,MATCH("Прилуки, Чернігівська обл., "&amp;$A7,Геокодування!$B$2:$B$361,0))-50.5884)+ABS(INDEX(Геокодування!$D$2:$D$361,MATCH("Прилуки, Чернігівська обл., "&amp;$A7,Геокодування!$B$2:$B$361,0))-32.3876)&gt;0.15,"",INDEX(Геокодування!$D$2:$D$361,MATCH("Прилуки, Чернігівська обл., "&amp;$A7,Геокодування!$B$2:$B$361,0))),""))))</f>
        <v>32.330292999999998</v>
      </c>
      <c r="T7" s="44" t="str">
        <f>IF($O7="","",IFERROR(INDEX('Координати майданчиків'!$B$4:$B$64,MATCH($A7&amp;IF($P7="","",", "&amp;$P7),'Координати майданчиків'!$B$4:$B$64,0)),IFERROR(INDEX('Координати майданчиків'!$B$4:$B$64,MATCH($A7,'Координати майданчиків'!$B$4:$B$64,0)),"")))</f>
        <v/>
      </c>
    </row>
    <row r="8" spans="1:20" x14ac:dyDescent="0.35">
      <c r="A8" s="26" t="str">
        <f t="shared" si="0"/>
        <v>1 пров. Андріївський</v>
      </c>
      <c r="B8" s="26" t="str">
        <f t="shared" si="1"/>
        <v/>
      </c>
      <c r="C8" s="27" t="str" cm="1">
        <f t="array" ref="C8">IF($O8="","",_xlfn.TEXTJOIN(", ",TRUE,IF(EXACT('Дані_зв''язок'!$J$4:$J$1012,$O8)*('Дані_зв''язок'!$C$4:$C$1012=C$4),'Дані_зв''язок'!$D$4:$D$1012,"")))</f>
        <v/>
      </c>
      <c r="D8" s="27" t="str" cm="1">
        <f t="array" ref="D8">IF($O8="","",_xlfn.TEXTJOIN(", ",TRUE,IF(EXACT('Дані_зв''язок'!$J$4:$J$1012,$O8)*('Дані_зв''язок'!$C$4:$C$1012=D$4),'Дані_зв''язок'!$D$4:$D$1012,"")))</f>
        <v/>
      </c>
      <c r="E8" s="27" t="str" cm="1">
        <f t="array" ref="E8">IF($O8="","",_xlfn.TEXTJOIN(", ",TRUE,IF(EXACT('Дані_зв''язок'!$J$4:$J$1012,$O8)*('Дані_зв''язок'!$C$4:$C$1012=E$4),'Дані_зв''язок'!$D$4:$D$1012,"")))</f>
        <v>10:40</v>
      </c>
      <c r="F8" s="27" t="str" cm="1">
        <f t="array" ref="F8">IF($O8="","",_xlfn.TEXTJOIN(", ",TRUE,IF(EXACT('Дані_зв''язок'!$J$4:$J$1012,$O8)*('Дані_зв''язок'!$C$4:$C$1012=F$4),'Дані_зв''язок'!$D$4:$D$1012,"")))</f>
        <v/>
      </c>
      <c r="G8" s="27" t="str" cm="1">
        <f t="array" ref="G8">IF($O8="","",_xlfn.TEXTJOIN(", ",TRUE,IF(EXACT('Дані_зв''язок'!$J$4:$J$1012,$O8)*('Дані_зв''язок'!$C$4:$C$1012=G$4),'Дані_зв''язок'!$D$4:$D$1012,"")))</f>
        <v/>
      </c>
      <c r="H8" s="27" t="str" cm="1">
        <f t="array" ref="H8">IF($O8="","",_xlfn.TEXTJOIN(", ",TRUE,IF(EXACT('Дані_зв''язок'!$J$4:$J$1012,$O8)*('Дані_зв''язок'!$C$4:$C$1012=H$4),'Дані_зв''язок'!$D$4:$D$1012,"")))</f>
        <v/>
      </c>
      <c r="I8" s="27" t="str" cm="1">
        <f t="array" ref="I8">IF($O8="","",_xlfn.TEXTJOIN(", ",TRUE,IF(EXACT('Дані_зв''язок'!$J$4:$J$1012,$O8)*('Дані_зв''язок'!$C$4:$C$1012=I$4),'Дані_зв''язок'!$D$4:$D$1012,"")))</f>
        <v/>
      </c>
      <c r="J8" s="27" cm="1">
        <f t="array" ref="J8">IF($O8="","",COUNTIF(C8:I8,"?*")+SUMPRODUCT(LEN(C8:I8)-LEN(SUBSTITUTE(C8:I8,",",""))))</f>
        <v>1</v>
      </c>
      <c r="K8" s="28" t="str" cm="1">
        <f t="array" ref="K8">IF($O8="","",_xlfn.TEXTJOIN(", ",TRUE,IF(EXACT('Дані_зв''язок'!$J$4:$J$1012,$O8),'Дані_зв''язок'!$L$4:$L$1012,"")))</f>
        <v>№5</v>
      </c>
      <c r="L8" s="28" t="str" cm="1">
        <f t="array" ref="L8">IF($O8="","",_xlfn.TEXTJOIN(", ",TRUE,IF(EXACT('Дані_зв''язок'!$J$4:$J$1012,$O8),'Дані_зв''язок'!$M$4:$M$1012,"")))</f>
        <v>МАЗ 4381</v>
      </c>
      <c r="M8" s="27" t="str" cm="1">
        <f t="array" ref="M8">IF($O8="","",IF(SUMPRODUCT(MAX(EXACT('Дані_зв''язок'!$J$4:$J$1012,$O8)*IFERROR('Дані_зв''язок'!$H$4:$H$1012,0)))=0,"",SUMPRODUCT(MAX(EXACT('Дані_зв''язок'!$J$4:$J$1012,$O8)*IFERROR('Дані_зв''язок'!$H$4:$H$1012,0)))))</f>
        <v/>
      </c>
      <c r="O8" s="30" t="s">
        <v>1134</v>
      </c>
      <c r="P8" s="24" t="str" cm="1">
        <f t="array" ref="P8">IF($O8="","",IF($B8="","",IFERROR(IF(MIN(IFERROR(VALUE(TRIM(MID(SUBSTITUTE(SUBSTITUTE($B8,","," ")," ",REPT(" ",30)),{1;31;61;91;121;151;181},30))),""))=0,"",MIN(IFERROR(VALUE(TRIM(MID(SUBSTITUTE(SUBSTITUTE($B8,","," ")," ",REPT(" ",30)),{1;31;61;91;121;151;181},30))),""))),"")))</f>
        <v/>
      </c>
      <c r="Q8" s="23" t="str">
        <f t="shared" si="2"/>
        <v>Прилуки, Чернігівська обл., 1 пров. Андріївський</v>
      </c>
      <c r="R8" s="35">
        <f>IF($O8="","",IFERROR(INDEX('Координати майданчиків'!$H$4:$H$64,MATCH($T8,'Координати майданчиків'!$B$4:$B$64,0)),IFERROR(IF(ABS(INDEX(Геокодування!$C$2:$C$361,MATCH($Q8,Геокодування!$B$2:$B$361,0))-50.5884)+ABS(INDEX(Геокодування!$D$2:$D$361,MATCH($Q8,Геокодування!$B$2:$B$361,0))-32.3876)&gt;0.15,"",INDEX(Геокодування!$C$2:$C$361,MATCH($Q8,Геокодування!$B$2:$B$361,0))),IFERROR(IF(ABS(INDEX(Геокодування!$C$2:$C$361,MATCH("Прилуки, Чернігівська обл., "&amp;$A8,Геокодування!$B$2:$B$361,0))-50.5884)+ABS(INDEX(Геокодування!$D$2:$D$361,MATCH("Прилуки, Чернігівська обл., "&amp;$A8,Геокодування!$B$2:$B$361,0))-32.3876)&gt;0.15,"",INDEX(Геокодування!$C$2:$C$361,MATCH("Прилуки, Чернігівська обл., "&amp;$A8,Геокодування!$B$2:$B$361,0))),""))))</f>
        <v>50.591386999999997</v>
      </c>
      <c r="S8" s="43">
        <f>IF($O8="","",IFERROR(INDEX('Координати майданчиків'!$I$4:$I$64,MATCH($T8,'Координати майданчиків'!$B$4:$B$64,0)),IFERROR(IF(ABS(INDEX(Геокодування!$C$2:$C$361,MATCH($Q8,Геокодування!$B$2:$B$361,0))-50.5884)+ABS(INDEX(Геокодування!$D$2:$D$361,MATCH($Q8,Геокодування!$B$2:$B$361,0))-32.3876)&gt;0.15,"",INDEX(Геокодування!$D$2:$D$361,MATCH($Q8,Геокодування!$B$2:$B$361,0))),IFERROR(IF(ABS(INDEX(Геокодування!$C$2:$C$361,MATCH("Прилуки, Чернігівська обл., "&amp;$A8,Геокодування!$B$2:$B$361,0))-50.5884)+ABS(INDEX(Геокодування!$D$2:$D$361,MATCH("Прилуки, Чернігівська обл., "&amp;$A8,Геокодування!$B$2:$B$361,0))-32.3876)&gt;0.15,"",INDEX(Геокодування!$D$2:$D$361,MATCH("Прилуки, Чернігівська обл., "&amp;$A8,Геокодування!$B$2:$B$361,0))),""))))</f>
        <v>32.370229000000002</v>
      </c>
      <c r="T8" s="44" t="str">
        <f>IF($O8="","",IFERROR(INDEX('Координати майданчиків'!$B$4:$B$64,MATCH($A8&amp;IF($P8="","",", "&amp;$P8),'Координати майданчиків'!$B$4:$B$64,0)),IFERROR(INDEX('Координати майданчиків'!$B$4:$B$64,MATCH($A8,'Координати майданчиків'!$B$4:$B$64,0)),"")))</f>
        <v/>
      </c>
    </row>
    <row r="9" spans="1:20" x14ac:dyDescent="0.35">
      <c r="A9" s="26" t="str">
        <f t="shared" si="0"/>
        <v>1 пров. В. Стуса</v>
      </c>
      <c r="B9" s="26" t="str">
        <f t="shared" si="1"/>
        <v/>
      </c>
      <c r="C9" s="27" t="str" cm="1">
        <f t="array" ref="C9">IF($O9="","",_xlfn.TEXTJOIN(", ",TRUE,IF(EXACT('Дані_зв''язок'!$J$4:$J$1012,$O9)*('Дані_зв''язок'!$C$4:$C$1012=C$4),'Дані_зв''язок'!$D$4:$D$1012,"")))</f>
        <v/>
      </c>
      <c r="D9" s="27" t="str" cm="1">
        <f t="array" ref="D9">IF($O9="","",_xlfn.TEXTJOIN(", ",TRUE,IF(EXACT('Дані_зв''язок'!$J$4:$J$1012,$O9)*('Дані_зв''язок'!$C$4:$C$1012=D$4),'Дані_зв''язок'!$D$4:$D$1012,"")))</f>
        <v/>
      </c>
      <c r="E9" s="27" t="str" cm="1">
        <f t="array" ref="E9">IF($O9="","",_xlfn.TEXTJOIN(", ",TRUE,IF(EXACT('Дані_зв''язок'!$J$4:$J$1012,$O9)*('Дані_зв''язок'!$C$4:$C$1012=E$4),'Дані_зв''язок'!$D$4:$D$1012,"")))</f>
        <v/>
      </c>
      <c r="F9" s="27" t="str" cm="1">
        <f t="array" ref="F9">IF($O9="","",_xlfn.TEXTJOIN(", ",TRUE,IF(EXACT('Дані_зв''язок'!$J$4:$J$1012,$O9)*('Дані_зв''язок'!$C$4:$C$1012=F$4),'Дані_зв''язок'!$D$4:$D$1012,"")))</f>
        <v>12:45</v>
      </c>
      <c r="G9" s="27" t="str" cm="1">
        <f t="array" ref="G9">IF($O9="","",_xlfn.TEXTJOIN(", ",TRUE,IF(EXACT('Дані_зв''язок'!$J$4:$J$1012,$O9)*('Дані_зв''язок'!$C$4:$C$1012=G$4),'Дані_зв''язок'!$D$4:$D$1012,"")))</f>
        <v/>
      </c>
      <c r="H9" s="27" t="str" cm="1">
        <f t="array" ref="H9">IF($O9="","",_xlfn.TEXTJOIN(", ",TRUE,IF(EXACT('Дані_зв''язок'!$J$4:$J$1012,$O9)*('Дані_зв''язок'!$C$4:$C$1012=H$4),'Дані_зв''язок'!$D$4:$D$1012,"")))</f>
        <v/>
      </c>
      <c r="I9" s="27" t="str" cm="1">
        <f t="array" ref="I9">IF($O9="","",_xlfn.TEXTJOIN(", ",TRUE,IF(EXACT('Дані_зв''язок'!$J$4:$J$1012,$O9)*('Дані_зв''язок'!$C$4:$C$1012=I$4),'Дані_зв''язок'!$D$4:$D$1012,"")))</f>
        <v/>
      </c>
      <c r="J9" s="27" cm="1">
        <f t="array" ref="J9">IF($O9="","",COUNTIF(C9:I9,"?*")+SUMPRODUCT(LEN(C9:I9)-LEN(SUBSTITUTE(C9:I9,",",""))))</f>
        <v>1</v>
      </c>
      <c r="K9" s="28" t="str" cm="1">
        <f t="array" ref="K9">IF($O9="","",_xlfn.TEXTJOIN(", ",TRUE,IF(EXACT('Дані_зв''язок'!$J$4:$J$1012,$O9),'Дані_зв''язок'!$L$4:$L$1012,"")))</f>
        <v>№5</v>
      </c>
      <c r="L9" s="28" t="str" cm="1">
        <f t="array" ref="L9">IF($O9="","",_xlfn.TEXTJOIN(", ",TRUE,IF(EXACT('Дані_зв''язок'!$J$4:$J$1012,$O9),'Дані_зв''язок'!$M$4:$M$1012,"")))</f>
        <v>МАЗ 4381</v>
      </c>
      <c r="M9" s="27" t="str" cm="1">
        <f t="array" ref="M9">IF($O9="","",IF(SUMPRODUCT(MAX(EXACT('Дані_зв''язок'!$J$4:$J$1012,$O9)*IFERROR('Дані_зв''язок'!$H$4:$H$1012,0)))=0,"",SUMPRODUCT(MAX(EXACT('Дані_зв''язок'!$J$4:$J$1012,$O9)*IFERROR('Дані_зв''язок'!$H$4:$H$1012,0)))))</f>
        <v/>
      </c>
      <c r="O9" s="30" t="s">
        <v>1135</v>
      </c>
      <c r="P9" s="24" t="str" cm="1">
        <f t="array" ref="P9">IF($O9="","",IF($B9="","",IFERROR(IF(MIN(IFERROR(VALUE(TRIM(MID(SUBSTITUTE(SUBSTITUTE($B9,","," ")," ",REPT(" ",30)),{1;31;61;91;121;151;181},30))),""))=0,"",MIN(IFERROR(VALUE(TRIM(MID(SUBSTITUTE(SUBSTITUTE($B9,","," ")," ",REPT(" ",30)),{1;31;61;91;121;151;181},30))),""))),"")))</f>
        <v/>
      </c>
      <c r="Q9" s="23" t="str">
        <f t="shared" si="2"/>
        <v>Прилуки, Чернігівська обл., 1 пров. В. Стуса</v>
      </c>
      <c r="R9" s="35">
        <f>IF($O9="","",IFERROR(INDEX('Координати майданчиків'!$H$4:$H$64,MATCH($T9,'Координати майданчиків'!$B$4:$B$64,0)),IFERROR(IF(ABS(INDEX(Геокодування!$C$2:$C$361,MATCH($Q9,Геокодування!$B$2:$B$361,0))-50.5884)+ABS(INDEX(Геокодування!$D$2:$D$361,MATCH($Q9,Геокодування!$B$2:$B$361,0))-32.3876)&gt;0.15,"",INDEX(Геокодування!$C$2:$C$361,MATCH($Q9,Геокодування!$B$2:$B$361,0))),IFERROR(IF(ABS(INDEX(Геокодування!$C$2:$C$361,MATCH("Прилуки, Чернігівська обл., "&amp;$A9,Геокодування!$B$2:$B$361,0))-50.5884)+ABS(INDEX(Геокодування!$D$2:$D$361,MATCH("Прилуки, Чернігівська обл., "&amp;$A9,Геокодування!$B$2:$B$361,0))-32.3876)&gt;0.15,"",INDEX(Геокодування!$C$2:$C$361,MATCH("Прилуки, Чернігівська обл., "&amp;$A9,Геокодування!$B$2:$B$361,0))),""))))</f>
        <v>50.579768999999999</v>
      </c>
      <c r="S9" s="43">
        <f>IF($O9="","",IFERROR(INDEX('Координати майданчиків'!$I$4:$I$64,MATCH($T9,'Координати майданчиків'!$B$4:$B$64,0)),IFERROR(IF(ABS(INDEX(Геокодування!$C$2:$C$361,MATCH($Q9,Геокодування!$B$2:$B$361,0))-50.5884)+ABS(INDEX(Геокодування!$D$2:$D$361,MATCH($Q9,Геокодування!$B$2:$B$361,0))-32.3876)&gt;0.15,"",INDEX(Геокодування!$D$2:$D$361,MATCH($Q9,Геокодування!$B$2:$B$361,0))),IFERROR(IF(ABS(INDEX(Геокодування!$C$2:$C$361,MATCH("Прилуки, Чернігівська обл., "&amp;$A9,Геокодування!$B$2:$B$361,0))-50.5884)+ABS(INDEX(Геокодування!$D$2:$D$361,MATCH("Прилуки, Чернігівська обл., "&amp;$A9,Геокодування!$B$2:$B$361,0))-32.3876)&gt;0.15,"",INDEX(Геокодування!$D$2:$D$361,MATCH("Прилуки, Чернігівська обл., "&amp;$A9,Геокодування!$B$2:$B$361,0))),""))))</f>
        <v>32.420833000000002</v>
      </c>
      <c r="T9" s="44" t="str">
        <f>IF($O9="","",IFERROR(INDEX('Координати майданчиків'!$B$4:$B$64,MATCH($A9&amp;IF($P9="","",", "&amp;$P9),'Координати майданчиків'!$B$4:$B$64,0)),IFERROR(INDEX('Координати майданчиків'!$B$4:$B$64,MATCH($A9,'Координати майданчиків'!$B$4:$B$64,0)),"")))</f>
        <v/>
      </c>
    </row>
    <row r="10" spans="1:20" x14ac:dyDescent="0.35">
      <c r="A10" s="26" t="str">
        <f t="shared" si="0"/>
        <v>1 пров. Героїв Чорнобиля</v>
      </c>
      <c r="B10" s="26" t="str">
        <f t="shared" si="1"/>
        <v>2,10  24</v>
      </c>
      <c r="C10" s="27" t="str" cm="1">
        <f t="array" ref="C10">IF($O10="","",_xlfn.TEXTJOIN(", ",TRUE,IF(EXACT('Дані_зв''язок'!$J$4:$J$1012,$O10)*('Дані_зв''язок'!$C$4:$C$1012=C$4),'Дані_зв''язок'!$D$4:$D$1012,"")))</f>
        <v/>
      </c>
      <c r="D10" s="27" t="str" cm="1">
        <f t="array" ref="D10">IF($O10="","",_xlfn.TEXTJOIN(", ",TRUE,IF(EXACT('Дані_зв''язок'!$J$4:$J$1012,$O10)*('Дані_зв''язок'!$C$4:$C$1012=D$4),'Дані_зв''язок'!$D$4:$D$1012,"")))</f>
        <v/>
      </c>
      <c r="E10" s="27" t="str" cm="1">
        <f t="array" ref="E10">IF($O10="","",_xlfn.TEXTJOIN(", ",TRUE,IF(EXACT('Дані_зв''язок'!$J$4:$J$1012,$O10)*('Дані_зв''язок'!$C$4:$C$1012=E$4),'Дані_зв''язок'!$D$4:$D$1012,"")))</f>
        <v/>
      </c>
      <c r="F10" s="27" t="str" cm="1">
        <f t="array" ref="F10">IF($O10="","",_xlfn.TEXTJOIN(", ",TRUE,IF(EXACT('Дані_зв''язок'!$J$4:$J$1012,$O10)*('Дані_зв''язок'!$C$4:$C$1012=F$4),'Дані_зв''язок'!$D$4:$D$1012,"")))</f>
        <v/>
      </c>
      <c r="G10" s="27" t="str" cm="1">
        <f t="array" ref="G10">IF($O10="","",_xlfn.TEXTJOIN(", ",TRUE,IF(EXACT('Дані_зв''язок'!$J$4:$J$1012,$O10)*('Дані_зв''язок'!$C$4:$C$1012=G$4),'Дані_зв''язок'!$D$4:$D$1012,"")))</f>
        <v>10:45</v>
      </c>
      <c r="H10" s="27" t="str" cm="1">
        <f t="array" ref="H10">IF($O10="","",_xlfn.TEXTJOIN(", ",TRUE,IF(EXACT('Дані_зв''язок'!$J$4:$J$1012,$O10)*('Дані_зв''язок'!$C$4:$C$1012=H$4),'Дані_зв''язок'!$D$4:$D$1012,"")))</f>
        <v/>
      </c>
      <c r="I10" s="27" t="str" cm="1">
        <f t="array" ref="I10">IF($O10="","",_xlfn.TEXTJOIN(", ",TRUE,IF(EXACT('Дані_зв''язок'!$J$4:$J$1012,$O10)*('Дані_зв''язок'!$C$4:$C$1012=I$4),'Дані_зв''язок'!$D$4:$D$1012,"")))</f>
        <v/>
      </c>
      <c r="J10" s="27" cm="1">
        <f t="array" ref="J10">IF($O10="","",COUNTIF(C10:I10,"?*")+SUMPRODUCT(LEN(C10:I10)-LEN(SUBSTITUTE(C10:I10,",",""))))</f>
        <v>1</v>
      </c>
      <c r="K10" s="28" t="str" cm="1">
        <f t="array" ref="K10">IF($O10="","",_xlfn.TEXTJOIN(", ",TRUE,IF(EXACT('Дані_зв''язок'!$J$4:$J$1012,$O10),'Дані_зв''язок'!$L$4:$L$1012,"")))</f>
        <v>№6</v>
      </c>
      <c r="L10" s="28" t="str" cm="1">
        <f t="array" ref="L10">IF($O10="","",_xlfn.TEXTJOIN(", ",TRUE,IF(EXACT('Дані_зв''язок'!$J$4:$J$1012,$O10),'Дані_зв''язок'!$M$4:$M$1012,"")))</f>
        <v>АТ 4021</v>
      </c>
      <c r="M10" s="27" t="str" cm="1">
        <f t="array" ref="M10">IF($O10="","",IF(SUMPRODUCT(MAX(EXACT('Дані_зв''язок'!$J$4:$J$1012,$O10)*IFERROR('Дані_зв''язок'!$H$4:$H$1012,0)))=0,"",SUMPRODUCT(MAX(EXACT('Дані_зв''язок'!$J$4:$J$1012,$O10)*IFERROR('Дані_зв''язок'!$H$4:$H$1012,0)))))</f>
        <v/>
      </c>
      <c r="O10" s="30" t="s">
        <v>1136</v>
      </c>
      <c r="P10" s="24" cm="1">
        <f t="array" ref="P10">IF($O10="","",IF($B10="","",IFERROR(IF(MIN(IFERROR(VALUE(TRIM(MID(SUBSTITUTE(SUBSTITUTE($B10,","," ")," ",REPT(" ",30)),{1;31;61;91;121;151;181},30))),""))=0,"",MIN(IFERROR(VALUE(TRIM(MID(SUBSTITUTE(SUBSTITUTE($B10,","," ")," ",REPT(" ",30)),{1;31;61;91;121;151;181},30))),""))),"")))</f>
        <v>2</v>
      </c>
      <c r="Q10" s="23" t="str">
        <f t="shared" si="2"/>
        <v>Прилуки, Чернігівська обл., 1 пров. Героїв Чорнобиля, 2</v>
      </c>
      <c r="R10" s="35">
        <f>IF($O10="","",IFERROR(INDEX('Координати майданчиків'!$H$4:$H$64,MATCH($T10,'Координати майданчиків'!$B$4:$B$64,0)),IFERROR(IF(ABS(INDEX(Геокодування!$C$2:$C$361,MATCH($Q10,Геокодування!$B$2:$B$361,0))-50.5884)+ABS(INDEX(Геокодування!$D$2:$D$361,MATCH($Q10,Геокодування!$B$2:$B$361,0))-32.3876)&gt;0.15,"",INDEX(Геокодування!$C$2:$C$361,MATCH($Q10,Геокодування!$B$2:$B$361,0))),IFERROR(IF(ABS(INDEX(Геокодування!$C$2:$C$361,MATCH("Прилуки, Чернігівська обл., "&amp;$A10,Геокодування!$B$2:$B$361,0))-50.5884)+ABS(INDEX(Геокодування!$D$2:$D$361,MATCH("Прилуки, Чернігівська обл., "&amp;$A10,Геокодування!$B$2:$B$361,0))-32.3876)&gt;0.15,"",INDEX(Геокодування!$C$2:$C$361,MATCH("Прилуки, Чернігівська обл., "&amp;$A10,Геокодування!$B$2:$B$361,0))),""))))</f>
        <v>50.594935</v>
      </c>
      <c r="S10" s="43">
        <f>IF($O10="","",IFERROR(INDEX('Координати майданчиків'!$I$4:$I$64,MATCH($T10,'Координати майданчиків'!$B$4:$B$64,0)),IFERROR(IF(ABS(INDEX(Геокодування!$C$2:$C$361,MATCH($Q10,Геокодування!$B$2:$B$361,0))-50.5884)+ABS(INDEX(Геокодування!$D$2:$D$361,MATCH($Q10,Геокодування!$B$2:$B$361,0))-32.3876)&gt;0.15,"",INDEX(Геокодування!$D$2:$D$361,MATCH($Q10,Геокодування!$B$2:$B$361,0))),IFERROR(IF(ABS(INDEX(Геокодування!$C$2:$C$361,MATCH("Прилуки, Чернігівська обл., "&amp;$A10,Геокодування!$B$2:$B$361,0))-50.5884)+ABS(INDEX(Геокодування!$D$2:$D$361,MATCH("Прилуки, Чернігівська обл., "&amp;$A10,Геокодування!$B$2:$B$361,0))-32.3876)&gt;0.15,"",INDEX(Геокодування!$D$2:$D$361,MATCH("Прилуки, Чернігівська обл., "&amp;$A10,Геокодування!$B$2:$B$361,0))),""))))</f>
        <v>32.415866999999999</v>
      </c>
      <c r="T10" s="44" t="str">
        <f>IF($O10="","",IFERROR(INDEX('Координати майданчиків'!$B$4:$B$64,MATCH($A10&amp;IF($P10="","",", "&amp;$P10),'Координати майданчиків'!$B$4:$B$64,0)),IFERROR(INDEX('Координати майданчиків'!$B$4:$B$64,MATCH($A10,'Координати майданчиків'!$B$4:$B$64,0)),"")))</f>
        <v/>
      </c>
    </row>
    <row r="11" spans="1:20" x14ac:dyDescent="0.35">
      <c r="A11" s="26" t="str">
        <f t="shared" si="0"/>
        <v>1 пров. Замостянський</v>
      </c>
      <c r="B11" s="26" t="str">
        <f t="shared" si="1"/>
        <v>36,42  54</v>
      </c>
      <c r="C11" s="27" t="str" cm="1">
        <f t="array" ref="C11">IF($O11="","",_xlfn.TEXTJOIN(", ",TRUE,IF(EXACT('Дані_зв''язок'!$J$4:$J$1012,$O11)*('Дані_зв''язок'!$C$4:$C$1012=C$4),'Дані_зв''язок'!$D$4:$D$1012,"")))</f>
        <v/>
      </c>
      <c r="D11" s="27" t="str" cm="1">
        <f t="array" ref="D11">IF($O11="","",_xlfn.TEXTJOIN(", ",TRUE,IF(EXACT('Дані_зв''язок'!$J$4:$J$1012,$O11)*('Дані_зв''язок'!$C$4:$C$1012=D$4),'Дані_зв''язок'!$D$4:$D$1012,"")))</f>
        <v/>
      </c>
      <c r="E11" s="27" t="str" cm="1">
        <f t="array" ref="E11">IF($O11="","",_xlfn.TEXTJOIN(", ",TRUE,IF(EXACT('Дані_зв''язок'!$J$4:$J$1012,$O11)*('Дані_зв''язок'!$C$4:$C$1012=E$4),'Дані_зв''язок'!$D$4:$D$1012,"")))</f>
        <v/>
      </c>
      <c r="F11" s="27" t="str" cm="1">
        <f t="array" ref="F11">IF($O11="","",_xlfn.TEXTJOIN(", ",TRUE,IF(EXACT('Дані_зв''язок'!$J$4:$J$1012,$O11)*('Дані_зв''язок'!$C$4:$C$1012=F$4),'Дані_зв''язок'!$D$4:$D$1012,"")))</f>
        <v>9:55</v>
      </c>
      <c r="G11" s="27" t="str" cm="1">
        <f t="array" ref="G11">IF($O11="","",_xlfn.TEXTJOIN(", ",TRUE,IF(EXACT('Дані_зв''язок'!$J$4:$J$1012,$O11)*('Дані_зв''язок'!$C$4:$C$1012=G$4),'Дані_зв''язок'!$D$4:$D$1012,"")))</f>
        <v/>
      </c>
      <c r="H11" s="27" t="str" cm="1">
        <f t="array" ref="H11">IF($O11="","",_xlfn.TEXTJOIN(", ",TRUE,IF(EXACT('Дані_зв''язок'!$J$4:$J$1012,$O11)*('Дані_зв''язок'!$C$4:$C$1012=H$4),'Дані_зв''язок'!$D$4:$D$1012,"")))</f>
        <v/>
      </c>
      <c r="I11" s="27" t="str" cm="1">
        <f t="array" ref="I11">IF($O11="","",_xlfn.TEXTJOIN(", ",TRUE,IF(EXACT('Дані_зв''язок'!$J$4:$J$1012,$O11)*('Дані_зв''язок'!$C$4:$C$1012=I$4),'Дані_зв''язок'!$D$4:$D$1012,"")))</f>
        <v/>
      </c>
      <c r="J11" s="27" cm="1">
        <f t="array" ref="J11">IF($O11="","",COUNTIF(C11:I11,"?*")+SUMPRODUCT(LEN(C11:I11)-LEN(SUBSTITUTE(C11:I11,",",""))))</f>
        <v>1</v>
      </c>
      <c r="K11" s="28" t="str" cm="1">
        <f t="array" ref="K11">IF($O11="","",_xlfn.TEXTJOIN(", ",TRUE,IF(EXACT('Дані_зв''язок'!$J$4:$J$1012,$O11),'Дані_зв''язок'!$L$4:$L$1012,"")))</f>
        <v>№6</v>
      </c>
      <c r="L11" s="28" t="str" cm="1">
        <f t="array" ref="L11">IF($O11="","",_xlfn.TEXTJOIN(", ",TRUE,IF(EXACT('Дані_зв''язок'!$J$4:$J$1012,$O11),'Дані_зв''язок'!$M$4:$M$1012,"")))</f>
        <v>АТ 4021</v>
      </c>
      <c r="M11" s="27" t="str" cm="1">
        <f t="array" ref="M11">IF($O11="","",IF(SUMPRODUCT(MAX(EXACT('Дані_зв''язок'!$J$4:$J$1012,$O11)*IFERROR('Дані_зв''язок'!$H$4:$H$1012,0)))=0,"",SUMPRODUCT(MAX(EXACT('Дані_зв''язок'!$J$4:$J$1012,$O11)*IFERROR('Дані_зв''язок'!$H$4:$H$1012,0)))))</f>
        <v/>
      </c>
      <c r="O11" s="30" t="s">
        <v>1138</v>
      </c>
      <c r="P11" s="24" cm="1">
        <f t="array" ref="P11">IF($O11="","",IF($B11="","",IFERROR(IF(MIN(IFERROR(VALUE(TRIM(MID(SUBSTITUTE(SUBSTITUTE($B11,","," ")," ",REPT(" ",30)),{1;31;61;91;121;151;181},30))),""))=0,"",MIN(IFERROR(VALUE(TRIM(MID(SUBSTITUTE(SUBSTITUTE($B11,","," ")," ",REPT(" ",30)),{1;31;61;91;121;151;181},30))),""))),"")))</f>
        <v>36</v>
      </c>
      <c r="Q11" s="23" t="str">
        <f t="shared" si="2"/>
        <v>Прилуки, Чернігівська обл., 1 пров. Замостянський, 36</v>
      </c>
      <c r="R11" s="35">
        <f>IF($O11="","",IFERROR(INDEX('Координати майданчиків'!$H$4:$H$64,MATCH($T11,'Координати майданчиків'!$B$4:$B$64,0)),IFERROR(IF(ABS(INDEX(Геокодування!$C$2:$C$361,MATCH($Q11,Геокодування!$B$2:$B$361,0))-50.5884)+ABS(INDEX(Геокодування!$D$2:$D$361,MATCH($Q11,Геокодування!$B$2:$B$361,0))-32.3876)&gt;0.15,"",INDEX(Геокодування!$C$2:$C$361,MATCH($Q11,Геокодування!$B$2:$B$361,0))),IFERROR(IF(ABS(INDEX(Геокодування!$C$2:$C$361,MATCH("Прилуки, Чернігівська обл., "&amp;$A11,Геокодування!$B$2:$B$361,0))-50.5884)+ABS(INDEX(Геокодування!$D$2:$D$361,MATCH("Прилуки, Чернігівська обл., "&amp;$A11,Геокодування!$B$2:$B$361,0))-32.3876)&gt;0.15,"",INDEX(Геокодування!$C$2:$C$361,MATCH("Прилуки, Чернігівська обл., "&amp;$A11,Геокодування!$B$2:$B$361,0))),""))))</f>
        <v>50.611440000000002</v>
      </c>
      <c r="S11" s="43">
        <f>IF($O11="","",IFERROR(INDEX('Координати майданчиків'!$I$4:$I$64,MATCH($T11,'Координати майданчиків'!$B$4:$B$64,0)),IFERROR(IF(ABS(INDEX(Геокодування!$C$2:$C$361,MATCH($Q11,Геокодування!$B$2:$B$361,0))-50.5884)+ABS(INDEX(Геокодування!$D$2:$D$361,MATCH($Q11,Геокодування!$B$2:$B$361,0))-32.3876)&gt;0.15,"",INDEX(Геокодування!$D$2:$D$361,MATCH($Q11,Геокодування!$B$2:$B$361,0))),IFERROR(IF(ABS(INDEX(Геокодування!$C$2:$C$361,MATCH("Прилуки, Чернігівська обл., "&amp;$A11,Геокодування!$B$2:$B$361,0))-50.5884)+ABS(INDEX(Геокодування!$D$2:$D$361,MATCH("Прилуки, Чернігівська обл., "&amp;$A11,Геокодування!$B$2:$B$361,0))-32.3876)&gt;0.15,"",INDEX(Геокодування!$D$2:$D$361,MATCH("Прилуки, Чернігівська обл., "&amp;$A11,Геокодування!$B$2:$B$361,0))),""))))</f>
        <v>32.394472999999998</v>
      </c>
      <c r="T11" s="44" t="str">
        <f>IF($O11="","",IFERROR(INDEX('Координати майданчиків'!$B$4:$B$64,MATCH($A11&amp;IF($P11="","",", "&amp;$P11),'Координати майданчиків'!$B$4:$B$64,0)),IFERROR(INDEX('Координати майданчиків'!$B$4:$B$64,MATCH($A11,'Координати майданчиків'!$B$4:$B$64,0)),"")))</f>
        <v/>
      </c>
    </row>
    <row r="12" spans="1:20" x14ac:dyDescent="0.35">
      <c r="A12" s="26" t="str">
        <f t="shared" si="0"/>
        <v>1 пров. Зелений</v>
      </c>
      <c r="B12" s="26" t="str">
        <f t="shared" si="1"/>
        <v/>
      </c>
      <c r="C12" s="27" t="str" cm="1">
        <f t="array" ref="C12">IF($O12="","",_xlfn.TEXTJOIN(", ",TRUE,IF(EXACT('Дані_зв''язок'!$J$4:$J$1012,$O12)*('Дані_зв''язок'!$C$4:$C$1012=C$4),'Дані_зв''язок'!$D$4:$D$1012,"")))</f>
        <v>11:45</v>
      </c>
      <c r="D12" s="27" t="str" cm="1">
        <f t="array" ref="D12">IF($O12="","",_xlfn.TEXTJOIN(", ",TRUE,IF(EXACT('Дані_зв''язок'!$J$4:$J$1012,$O12)*('Дані_зв''язок'!$C$4:$C$1012=D$4),'Дані_зв''язок'!$D$4:$D$1012,"")))</f>
        <v/>
      </c>
      <c r="E12" s="27" t="str" cm="1">
        <f t="array" ref="E12">IF($O12="","",_xlfn.TEXTJOIN(", ",TRUE,IF(EXACT('Дані_зв''язок'!$J$4:$J$1012,$O12)*('Дані_зв''язок'!$C$4:$C$1012=E$4),'Дані_зв''язок'!$D$4:$D$1012,"")))</f>
        <v/>
      </c>
      <c r="F12" s="27" t="str" cm="1">
        <f t="array" ref="F12">IF($O12="","",_xlfn.TEXTJOIN(", ",TRUE,IF(EXACT('Дані_зв''язок'!$J$4:$J$1012,$O12)*('Дані_зв''язок'!$C$4:$C$1012=F$4),'Дані_зв''язок'!$D$4:$D$1012,"")))</f>
        <v/>
      </c>
      <c r="G12" s="27" t="str" cm="1">
        <f t="array" ref="G12">IF($O12="","",_xlfn.TEXTJOIN(", ",TRUE,IF(EXACT('Дані_зв''язок'!$J$4:$J$1012,$O12)*('Дані_зв''язок'!$C$4:$C$1012=G$4),'Дані_зв''язок'!$D$4:$D$1012,"")))</f>
        <v/>
      </c>
      <c r="H12" s="27" t="str" cm="1">
        <f t="array" ref="H12">IF($O12="","",_xlfn.TEXTJOIN(", ",TRUE,IF(EXACT('Дані_зв''язок'!$J$4:$J$1012,$O12)*('Дані_зв''язок'!$C$4:$C$1012=H$4),'Дані_зв''язок'!$D$4:$D$1012,"")))</f>
        <v/>
      </c>
      <c r="I12" s="27" t="str" cm="1">
        <f t="array" ref="I12">IF($O12="","",_xlfn.TEXTJOIN(", ",TRUE,IF(EXACT('Дані_зв''язок'!$J$4:$J$1012,$O12)*('Дані_зв''язок'!$C$4:$C$1012=I$4),'Дані_зв''язок'!$D$4:$D$1012,"")))</f>
        <v/>
      </c>
      <c r="J12" s="27" cm="1">
        <f t="array" ref="J12">IF($O12="","",COUNTIF(C12:I12,"?*")+SUMPRODUCT(LEN(C12:I12)-LEN(SUBSTITUTE(C12:I12,",",""))))</f>
        <v>1</v>
      </c>
      <c r="K12" s="28" t="str" cm="1">
        <f t="array" ref="K12">IF($O12="","",_xlfn.TEXTJOIN(", ",TRUE,IF(EXACT('Дані_зв''язок'!$J$4:$J$1012,$O12),'Дані_зв''язок'!$L$4:$L$1012,"")))</f>
        <v>№5</v>
      </c>
      <c r="L12" s="28" t="str" cm="1">
        <f t="array" ref="L12">IF($O12="","",_xlfn.TEXTJOIN(", ",TRUE,IF(EXACT('Дані_зв''язок'!$J$4:$J$1012,$O12),'Дані_зв''язок'!$M$4:$M$1012,"")))</f>
        <v>МАЗ 4381</v>
      </c>
      <c r="M12" s="27" t="str" cm="1">
        <f t="array" ref="M12">IF($O12="","",IF(SUMPRODUCT(MAX(EXACT('Дані_зв''язок'!$J$4:$J$1012,$O12)*IFERROR('Дані_зв''язок'!$H$4:$H$1012,0)))=0,"",SUMPRODUCT(MAX(EXACT('Дані_зв''язок'!$J$4:$J$1012,$O12)*IFERROR('Дані_зв''язок'!$H$4:$H$1012,0)))))</f>
        <v/>
      </c>
      <c r="O12" s="30" t="s">
        <v>1139</v>
      </c>
      <c r="P12" s="24" t="str" cm="1">
        <f t="array" ref="P12">IF($O12="","",IF($B12="","",IFERROR(IF(MIN(IFERROR(VALUE(TRIM(MID(SUBSTITUTE(SUBSTITUTE($B12,","," ")," ",REPT(" ",30)),{1;31;61;91;121;151;181},30))),""))=0,"",MIN(IFERROR(VALUE(TRIM(MID(SUBSTITUTE(SUBSTITUTE($B12,","," ")," ",REPT(" ",30)),{1;31;61;91;121;151;181},30))),""))),"")))</f>
        <v/>
      </c>
      <c r="Q12" s="23" t="str">
        <f t="shared" si="2"/>
        <v>Прилуки, Чернігівська обл., 1 пров. Зелений</v>
      </c>
      <c r="R12" s="35">
        <f>IF($O12="","",IFERROR(INDEX('Координати майданчиків'!$H$4:$H$64,MATCH($T12,'Координати майданчиків'!$B$4:$B$64,0)),IFERROR(IF(ABS(INDEX(Геокодування!$C$2:$C$361,MATCH($Q12,Геокодування!$B$2:$B$361,0))-50.5884)+ABS(INDEX(Геокодування!$D$2:$D$361,MATCH($Q12,Геокодування!$B$2:$B$361,0))-32.3876)&gt;0.15,"",INDEX(Геокодування!$C$2:$C$361,MATCH($Q12,Геокодування!$B$2:$B$361,0))),IFERROR(IF(ABS(INDEX(Геокодування!$C$2:$C$361,MATCH("Прилуки, Чернігівська обл., "&amp;$A12,Геокодування!$B$2:$B$361,0))-50.5884)+ABS(INDEX(Геокодування!$D$2:$D$361,MATCH("Прилуки, Чернігівська обл., "&amp;$A12,Геокодування!$B$2:$B$361,0))-32.3876)&gt;0.15,"",INDEX(Геокодування!$C$2:$C$361,MATCH("Прилуки, Чернігівська обл., "&amp;$A12,Геокодування!$B$2:$B$361,0))),""))))</f>
        <v>50.609361999999997</v>
      </c>
      <c r="S12" s="43">
        <f>IF($O12="","",IFERROR(INDEX('Координати майданчиків'!$I$4:$I$64,MATCH($T12,'Координати майданчиків'!$B$4:$B$64,0)),IFERROR(IF(ABS(INDEX(Геокодування!$C$2:$C$361,MATCH($Q12,Геокодування!$B$2:$B$361,0))-50.5884)+ABS(INDEX(Геокодування!$D$2:$D$361,MATCH($Q12,Геокодування!$B$2:$B$361,0))-32.3876)&gt;0.15,"",INDEX(Геокодування!$D$2:$D$361,MATCH($Q12,Геокодування!$B$2:$B$361,0))),IFERROR(IF(ABS(INDEX(Геокодування!$C$2:$C$361,MATCH("Прилуки, Чернігівська обл., "&amp;$A12,Геокодування!$B$2:$B$361,0))-50.5884)+ABS(INDEX(Геокодування!$D$2:$D$361,MATCH("Прилуки, Чернігівська обл., "&amp;$A12,Геокодування!$B$2:$B$361,0))-32.3876)&gt;0.15,"",INDEX(Геокодування!$D$2:$D$361,MATCH("Прилуки, Чернігівська обл., "&amp;$A12,Геокодування!$B$2:$B$361,0))),""))))</f>
        <v>32.395558999999999</v>
      </c>
      <c r="T12" s="44" t="str">
        <f>IF($O12="","",IFERROR(INDEX('Координати майданчиків'!$B$4:$B$64,MATCH($A12&amp;IF($P12="","",", "&amp;$P12),'Координати майданчиків'!$B$4:$B$64,0)),IFERROR(INDEX('Координати майданчиків'!$B$4:$B$64,MATCH($A12,'Координати майданчиків'!$B$4:$B$64,0)),"")))</f>
        <v/>
      </c>
    </row>
    <row r="13" spans="1:20" x14ac:dyDescent="0.35">
      <c r="A13" s="26" t="str">
        <f t="shared" si="0"/>
        <v>1 пров. Змагання</v>
      </c>
      <c r="B13" s="26" t="str">
        <f t="shared" si="1"/>
        <v/>
      </c>
      <c r="C13" s="27" t="str" cm="1">
        <f t="array" ref="C13">IF($O13="","",_xlfn.TEXTJOIN(", ",TRUE,IF(EXACT('Дані_зв''язок'!$J$4:$J$1012,$O13)*('Дані_зв''язок'!$C$4:$C$1012=C$4),'Дані_зв''язок'!$D$4:$D$1012,"")))</f>
        <v/>
      </c>
      <c r="D13" s="27" t="str" cm="1">
        <f t="array" ref="D13">IF($O13="","",_xlfn.TEXTJOIN(", ",TRUE,IF(EXACT('Дані_зв''язок'!$J$4:$J$1012,$O13)*('Дані_зв''язок'!$C$4:$C$1012=D$4),'Дані_зв''язок'!$D$4:$D$1012,"")))</f>
        <v/>
      </c>
      <c r="E13" s="27" t="str" cm="1">
        <f t="array" ref="E13">IF($O13="","",_xlfn.TEXTJOIN(", ",TRUE,IF(EXACT('Дані_зв''язок'!$J$4:$J$1012,$O13)*('Дані_зв''язок'!$C$4:$C$1012=E$4),'Дані_зв''язок'!$D$4:$D$1012,"")))</f>
        <v/>
      </c>
      <c r="F13" s="27" t="str" cm="1">
        <f t="array" ref="F13">IF($O13="","",_xlfn.TEXTJOIN(", ",TRUE,IF(EXACT('Дані_зв''язок'!$J$4:$J$1012,$O13)*('Дані_зв''язок'!$C$4:$C$1012=F$4),'Дані_зв''язок'!$D$4:$D$1012,"")))</f>
        <v/>
      </c>
      <c r="G13" s="27" t="str" cm="1">
        <f t="array" ref="G13">IF($O13="","",_xlfn.TEXTJOIN(", ",TRUE,IF(EXACT('Дані_зв''язок'!$J$4:$J$1012,$O13)*('Дані_зв''язок'!$C$4:$C$1012=G$4),'Дані_зв''язок'!$D$4:$D$1012,"")))</f>
        <v>7:25</v>
      </c>
      <c r="H13" s="27" t="str" cm="1">
        <f t="array" ref="H13">IF($O13="","",_xlfn.TEXTJOIN(", ",TRUE,IF(EXACT('Дані_зв''язок'!$J$4:$J$1012,$O13)*('Дані_зв''язок'!$C$4:$C$1012=H$4),'Дані_зв''язок'!$D$4:$D$1012,"")))</f>
        <v/>
      </c>
      <c r="I13" s="27" t="str" cm="1">
        <f t="array" ref="I13">IF($O13="","",_xlfn.TEXTJOIN(", ",TRUE,IF(EXACT('Дані_зв''язок'!$J$4:$J$1012,$O13)*('Дані_зв''язок'!$C$4:$C$1012=I$4),'Дані_зв''язок'!$D$4:$D$1012,"")))</f>
        <v/>
      </c>
      <c r="J13" s="27" cm="1">
        <f t="array" ref="J13">IF($O13="","",COUNTIF(C13:I13,"?*")+SUMPRODUCT(LEN(C13:I13)-LEN(SUBSTITUTE(C13:I13,",",""))))</f>
        <v>1</v>
      </c>
      <c r="K13" s="28" t="str" cm="1">
        <f t="array" ref="K13">IF($O13="","",_xlfn.TEXTJOIN(", ",TRUE,IF(EXACT('Дані_зв''язок'!$J$4:$J$1012,$O13),'Дані_зв''язок'!$L$4:$L$1012,"")))</f>
        <v>№5</v>
      </c>
      <c r="L13" s="28" t="str" cm="1">
        <f t="array" ref="L13">IF($O13="","",_xlfn.TEXTJOIN(", ",TRUE,IF(EXACT('Дані_зв''язок'!$J$4:$J$1012,$O13),'Дані_зв''язок'!$M$4:$M$1012,"")))</f>
        <v>МАЗ 4381</v>
      </c>
      <c r="M13" s="27" t="str" cm="1">
        <f t="array" ref="M13">IF($O13="","",IF(SUMPRODUCT(MAX(EXACT('Дані_зв''язок'!$J$4:$J$1012,$O13)*IFERROR('Дані_зв''язок'!$H$4:$H$1012,0)))=0,"",SUMPRODUCT(MAX(EXACT('Дані_зв''язок'!$J$4:$J$1012,$O13)*IFERROR('Дані_зв''язок'!$H$4:$H$1012,0)))))</f>
        <v/>
      </c>
      <c r="O13" s="30" t="s">
        <v>1140</v>
      </c>
      <c r="P13" s="24" t="str" cm="1">
        <f t="array" ref="P13">IF($O13="","",IF($B13="","",IFERROR(IF(MIN(IFERROR(VALUE(TRIM(MID(SUBSTITUTE(SUBSTITUTE($B13,","," ")," ",REPT(" ",30)),{1;31;61;91;121;151;181},30))),""))=0,"",MIN(IFERROR(VALUE(TRIM(MID(SUBSTITUTE(SUBSTITUTE($B13,","," ")," ",REPT(" ",30)),{1;31;61;91;121;151;181},30))),""))),"")))</f>
        <v/>
      </c>
      <c r="Q13" s="23" t="str">
        <f t="shared" si="2"/>
        <v>Прилуки, Чернігівська обл., 1 пров. Змагання</v>
      </c>
      <c r="R13" s="35">
        <f>IF($O13="","",IFERROR(INDEX('Координати майданчиків'!$H$4:$H$64,MATCH($T13,'Координати майданчиків'!$B$4:$B$64,0)),IFERROR(IF(ABS(INDEX(Геокодування!$C$2:$C$361,MATCH($Q13,Геокодування!$B$2:$B$361,0))-50.5884)+ABS(INDEX(Геокодування!$D$2:$D$361,MATCH($Q13,Геокодування!$B$2:$B$361,0))-32.3876)&gt;0.15,"",INDEX(Геокодування!$C$2:$C$361,MATCH($Q13,Геокодування!$B$2:$B$361,0))),IFERROR(IF(ABS(INDEX(Геокодування!$C$2:$C$361,MATCH("Прилуки, Чернігівська обл., "&amp;$A13,Геокодування!$B$2:$B$361,0))-50.5884)+ABS(INDEX(Геокодування!$D$2:$D$361,MATCH("Прилуки, Чернігівська обл., "&amp;$A13,Геокодування!$B$2:$B$361,0))-32.3876)&gt;0.15,"",INDEX(Геокодування!$C$2:$C$361,MATCH("Прилуки, Чернігівська обл., "&amp;$A13,Геокодування!$B$2:$B$361,0))),""))))</f>
        <v>50.589775000000003</v>
      </c>
      <c r="S13" s="43">
        <f>IF($O13="","",IFERROR(INDEX('Координати майданчиків'!$I$4:$I$64,MATCH($T13,'Координати майданчиків'!$B$4:$B$64,0)),IFERROR(IF(ABS(INDEX(Геокодування!$C$2:$C$361,MATCH($Q13,Геокодування!$B$2:$B$361,0))-50.5884)+ABS(INDEX(Геокодування!$D$2:$D$361,MATCH($Q13,Геокодування!$B$2:$B$361,0))-32.3876)&gt;0.15,"",INDEX(Геокодування!$D$2:$D$361,MATCH($Q13,Геокодування!$B$2:$B$361,0))),IFERROR(IF(ABS(INDEX(Геокодування!$C$2:$C$361,MATCH("Прилуки, Чернігівська обл., "&amp;$A13,Геокодування!$B$2:$B$361,0))-50.5884)+ABS(INDEX(Геокодування!$D$2:$D$361,MATCH("Прилуки, Чернігівська обл., "&amp;$A13,Геокодування!$B$2:$B$361,0))-32.3876)&gt;0.15,"",INDEX(Геокодування!$D$2:$D$361,MATCH("Прилуки, Чернігівська обл., "&amp;$A13,Геокодування!$B$2:$B$361,0))),""))))</f>
        <v>32.366114000000003</v>
      </c>
      <c r="T13" s="44" t="str">
        <f>IF($O13="","",IFERROR(INDEX('Координати майданчиків'!$B$4:$B$64,MATCH($A13&amp;IF($P13="","",", "&amp;$P13),'Координати майданчиків'!$B$4:$B$64,0)),IFERROR(INDEX('Координати майданчиків'!$B$4:$B$64,MATCH($A13,'Координати майданчиків'!$B$4:$B$64,0)),"")))</f>
        <v/>
      </c>
    </row>
    <row r="14" spans="1:20" x14ac:dyDescent="0.35">
      <c r="A14" s="26" t="str">
        <f t="shared" si="0"/>
        <v>1 пров. Колгоспний</v>
      </c>
      <c r="B14" s="26" t="str">
        <f t="shared" si="1"/>
        <v/>
      </c>
      <c r="C14" s="27" t="str" cm="1">
        <f t="array" ref="C14">IF($O14="","",_xlfn.TEXTJOIN(", ",TRUE,IF(EXACT('Дані_зв''язок'!$J$4:$J$1012,$O14)*('Дані_зв''язок'!$C$4:$C$1012=C$4),'Дані_зв''язок'!$D$4:$D$1012,"")))</f>
        <v/>
      </c>
      <c r="D14" s="27" t="str" cm="1">
        <f t="array" ref="D14">IF($O14="","",_xlfn.TEXTJOIN(", ",TRUE,IF(EXACT('Дані_зв''язок'!$J$4:$J$1012,$O14)*('Дані_зв''язок'!$C$4:$C$1012=D$4),'Дані_зв''язок'!$D$4:$D$1012,"")))</f>
        <v/>
      </c>
      <c r="E14" s="27" t="str" cm="1">
        <f t="array" ref="E14">IF($O14="","",_xlfn.TEXTJOIN(", ",TRUE,IF(EXACT('Дані_зв''язок'!$J$4:$J$1012,$O14)*('Дані_зв''язок'!$C$4:$C$1012=E$4),'Дані_зв''язок'!$D$4:$D$1012,"")))</f>
        <v/>
      </c>
      <c r="F14" s="27" t="str" cm="1">
        <f t="array" ref="F14">IF($O14="","",_xlfn.TEXTJOIN(", ",TRUE,IF(EXACT('Дані_зв''язок'!$J$4:$J$1012,$O14)*('Дані_зв''язок'!$C$4:$C$1012=F$4),'Дані_зв''язок'!$D$4:$D$1012,"")))</f>
        <v/>
      </c>
      <c r="G14" s="27" t="str" cm="1">
        <f t="array" ref="G14">IF($O14="","",_xlfn.TEXTJOIN(", ",TRUE,IF(EXACT('Дані_зв''язок'!$J$4:$J$1012,$O14)*('Дані_зв''язок'!$C$4:$C$1012=G$4),'Дані_зв''язок'!$D$4:$D$1012,"")))</f>
        <v>11:05</v>
      </c>
      <c r="H14" s="27" t="str" cm="1">
        <f t="array" ref="H14">IF($O14="","",_xlfn.TEXTJOIN(", ",TRUE,IF(EXACT('Дані_зв''язок'!$J$4:$J$1012,$O14)*('Дані_зв''язок'!$C$4:$C$1012=H$4),'Дані_зв''язок'!$D$4:$D$1012,"")))</f>
        <v/>
      </c>
      <c r="I14" s="27" t="str" cm="1">
        <f t="array" ref="I14">IF($O14="","",_xlfn.TEXTJOIN(", ",TRUE,IF(EXACT('Дані_зв''язок'!$J$4:$J$1012,$O14)*('Дані_зв''язок'!$C$4:$C$1012=I$4),'Дані_зв''язок'!$D$4:$D$1012,"")))</f>
        <v/>
      </c>
      <c r="J14" s="27" cm="1">
        <f t="array" ref="J14">IF($O14="","",COUNTIF(C14:I14,"?*")+SUMPRODUCT(LEN(C14:I14)-LEN(SUBSTITUTE(C14:I14,",",""))))</f>
        <v>1</v>
      </c>
      <c r="K14" s="28" t="str" cm="1">
        <f t="array" ref="K14">IF($O14="","",_xlfn.TEXTJOIN(", ",TRUE,IF(EXACT('Дані_зв''язок'!$J$4:$J$1012,$O14),'Дані_зв''язок'!$L$4:$L$1012,"")))</f>
        <v>№5</v>
      </c>
      <c r="L14" s="28" t="str" cm="1">
        <f t="array" ref="L14">IF($O14="","",_xlfn.TEXTJOIN(", ",TRUE,IF(EXACT('Дані_зв''язок'!$J$4:$J$1012,$O14),'Дані_зв''язок'!$M$4:$M$1012,"")))</f>
        <v>МАЗ 4381</v>
      </c>
      <c r="M14" s="27" t="str" cm="1">
        <f t="array" ref="M14">IF($O14="","",IF(SUMPRODUCT(MAX(EXACT('Дані_зв''язок'!$J$4:$J$1012,$O14)*IFERROR('Дані_зв''язок'!$H$4:$H$1012,0)))=0,"",SUMPRODUCT(MAX(EXACT('Дані_зв''язок'!$J$4:$J$1012,$O14)*IFERROR('Дані_зв''язок'!$H$4:$H$1012,0)))))</f>
        <v/>
      </c>
      <c r="O14" s="30" t="s">
        <v>1142</v>
      </c>
      <c r="P14" s="24" t="str" cm="1">
        <f t="array" ref="P14">IF($O14="","",IF($B14="","",IFERROR(IF(MIN(IFERROR(VALUE(TRIM(MID(SUBSTITUTE(SUBSTITUTE($B14,","," ")," ",REPT(" ",30)),{1;31;61;91;121;151;181},30))),""))=0,"",MIN(IFERROR(VALUE(TRIM(MID(SUBSTITUTE(SUBSTITUTE($B14,","," ")," ",REPT(" ",30)),{1;31;61;91;121;151;181},30))),""))),"")))</f>
        <v/>
      </c>
      <c r="Q14" s="23" t="str">
        <f t="shared" si="2"/>
        <v>Прилуки, Чернігівська обл., 1 пров. Колгоспний</v>
      </c>
      <c r="R14" s="70" t="s">
        <v>1780</v>
      </c>
      <c r="S14" s="70" t="s">
        <v>1781</v>
      </c>
      <c r="T14" s="68"/>
    </row>
    <row r="15" spans="1:20" x14ac:dyDescent="0.35">
      <c r="A15" s="26" t="str">
        <f t="shared" si="0"/>
        <v>1 пров. Межовий</v>
      </c>
      <c r="B15" s="26" t="str">
        <f t="shared" si="1"/>
        <v>1,2  5,8</v>
      </c>
      <c r="C15" s="27" t="str" cm="1">
        <f t="array" ref="C15">IF($O15="","",_xlfn.TEXTJOIN(", ",TRUE,IF(EXACT('Дані_зв''язок'!$J$4:$J$1012,$O15)*('Дані_зв''язок'!$C$4:$C$1012=C$4),'Дані_зв''язок'!$D$4:$D$1012,"")))</f>
        <v>12:35</v>
      </c>
      <c r="D15" s="27" t="str" cm="1">
        <f t="array" ref="D15">IF($O15="","",_xlfn.TEXTJOIN(", ",TRUE,IF(EXACT('Дані_зв''язок'!$J$4:$J$1012,$O15)*('Дані_зв''язок'!$C$4:$C$1012=D$4),'Дані_зв''язок'!$D$4:$D$1012,"")))</f>
        <v/>
      </c>
      <c r="E15" s="27" t="str" cm="1">
        <f t="array" ref="E15">IF($O15="","",_xlfn.TEXTJOIN(", ",TRUE,IF(EXACT('Дані_зв''язок'!$J$4:$J$1012,$O15)*('Дані_зв''язок'!$C$4:$C$1012=E$4),'Дані_зв''язок'!$D$4:$D$1012,"")))</f>
        <v/>
      </c>
      <c r="F15" s="27" t="str" cm="1">
        <f t="array" ref="F15">IF($O15="","",_xlfn.TEXTJOIN(", ",TRUE,IF(EXACT('Дані_зв''язок'!$J$4:$J$1012,$O15)*('Дані_зв''язок'!$C$4:$C$1012=F$4),'Дані_зв''язок'!$D$4:$D$1012,"")))</f>
        <v/>
      </c>
      <c r="G15" s="27" t="str" cm="1">
        <f t="array" ref="G15">IF($O15="","",_xlfn.TEXTJOIN(", ",TRUE,IF(EXACT('Дані_зв''язок'!$J$4:$J$1012,$O15)*('Дані_зв''язок'!$C$4:$C$1012=G$4),'Дані_зв''язок'!$D$4:$D$1012,"")))</f>
        <v/>
      </c>
      <c r="H15" s="27" t="str" cm="1">
        <f t="array" ref="H15">IF($O15="","",_xlfn.TEXTJOIN(", ",TRUE,IF(EXACT('Дані_зв''язок'!$J$4:$J$1012,$O15)*('Дані_зв''язок'!$C$4:$C$1012=H$4),'Дані_зв''язок'!$D$4:$D$1012,"")))</f>
        <v/>
      </c>
      <c r="I15" s="27" t="str" cm="1">
        <f t="array" ref="I15">IF($O15="","",_xlfn.TEXTJOIN(", ",TRUE,IF(EXACT('Дані_зв''язок'!$J$4:$J$1012,$O15)*('Дані_зв''язок'!$C$4:$C$1012=I$4),'Дані_зв''язок'!$D$4:$D$1012,"")))</f>
        <v/>
      </c>
      <c r="J15" s="27" cm="1">
        <f t="array" ref="J15">IF($O15="","",COUNTIF(C15:I15,"?*")+SUMPRODUCT(LEN(C15:I15)-LEN(SUBSTITUTE(C15:I15,",",""))))</f>
        <v>1</v>
      </c>
      <c r="K15" s="28" t="str" cm="1">
        <f t="array" ref="K15">IF($O15="","",_xlfn.TEXTJOIN(", ",TRUE,IF(EXACT('Дані_зв''язок'!$J$4:$J$1012,$O15),'Дані_зв''язок'!$L$4:$L$1012,"")))</f>
        <v>№6</v>
      </c>
      <c r="L15" s="28" t="str" cm="1">
        <f t="array" ref="L15">IF($O15="","",_xlfn.TEXTJOIN(", ",TRUE,IF(EXACT('Дані_зв''язок'!$J$4:$J$1012,$O15),'Дані_зв''язок'!$M$4:$M$1012,"")))</f>
        <v>АТ 4021</v>
      </c>
      <c r="M15" s="27" t="str" cm="1">
        <f t="array" ref="M15">IF($O15="","",IF(SUMPRODUCT(MAX(EXACT('Дані_зв''язок'!$J$4:$J$1012,$O15)*IFERROR('Дані_зв''язок'!$H$4:$H$1012,0)))=0,"",SUMPRODUCT(MAX(EXACT('Дані_зв''язок'!$J$4:$J$1012,$O15)*IFERROR('Дані_зв''язок'!$H$4:$H$1012,0)))))</f>
        <v/>
      </c>
      <c r="O15" s="30" t="s">
        <v>1143</v>
      </c>
      <c r="P15" s="24" cm="1">
        <f t="array" ref="P15">IF($O15="","",IF($B15="","",IFERROR(IF(MIN(IFERROR(VALUE(TRIM(MID(SUBSTITUTE(SUBSTITUTE($B15,","," ")," ",REPT(" ",30)),{1;31;61;91;121;151;181},30))),""))=0,"",MIN(IFERROR(VALUE(TRIM(MID(SUBSTITUTE(SUBSTITUTE($B15,","," ")," ",REPT(" ",30)),{1;31;61;91;121;151;181},30))),""))),"")))</f>
        <v>1</v>
      </c>
      <c r="Q15" s="23" t="str">
        <f t="shared" si="2"/>
        <v>Прилуки, Чернігівська обл., 1 пров. Межовий, 1</v>
      </c>
      <c r="R15" s="35">
        <f>IF($O15="","",IFERROR(INDEX('Координати майданчиків'!$H$4:$H$64,MATCH($T15,'Координати майданчиків'!$B$4:$B$64,0)),IFERROR(IF(ABS(INDEX(Геокодування!$C$2:$C$361,MATCH($Q15,Геокодування!$B$2:$B$361,0))-50.5884)+ABS(INDEX(Геокодування!$D$2:$D$361,MATCH($Q15,Геокодування!$B$2:$B$361,0))-32.3876)&gt;0.15,"",INDEX(Геокодування!$C$2:$C$361,MATCH($Q15,Геокодування!$B$2:$B$361,0))),IFERROR(IF(ABS(INDEX(Геокодування!$C$2:$C$361,MATCH("Прилуки, Чернігівська обл., "&amp;$A15,Геокодування!$B$2:$B$361,0))-50.5884)+ABS(INDEX(Геокодування!$D$2:$D$361,MATCH("Прилуки, Чернігівська обл., "&amp;$A15,Геокодування!$B$2:$B$361,0))-32.3876)&gt;0.15,"",INDEX(Геокодування!$C$2:$C$361,MATCH("Прилуки, Чернігівська обл., "&amp;$A15,Геокодування!$B$2:$B$361,0))),""))))</f>
        <v>50.606965000000002</v>
      </c>
      <c r="S15" s="43">
        <f>IF($O15="","",IFERROR(INDEX('Координати майданчиків'!$I$4:$I$64,MATCH($T15,'Координати майданчиків'!$B$4:$B$64,0)),IFERROR(IF(ABS(INDEX(Геокодування!$C$2:$C$361,MATCH($Q15,Геокодування!$B$2:$B$361,0))-50.5884)+ABS(INDEX(Геокодування!$D$2:$D$361,MATCH($Q15,Геокодування!$B$2:$B$361,0))-32.3876)&gt;0.15,"",INDEX(Геокодування!$D$2:$D$361,MATCH($Q15,Геокодування!$B$2:$B$361,0))),IFERROR(IF(ABS(INDEX(Геокодування!$C$2:$C$361,MATCH("Прилуки, Чернігівська обл., "&amp;$A15,Геокодування!$B$2:$B$361,0))-50.5884)+ABS(INDEX(Геокодування!$D$2:$D$361,MATCH("Прилуки, Чернігівська обл., "&amp;$A15,Геокодування!$B$2:$B$361,0))-32.3876)&gt;0.15,"",INDEX(Геокодування!$D$2:$D$361,MATCH("Прилуки, Чернігівська обл., "&amp;$A15,Геокодування!$B$2:$B$361,0))),""))))</f>
        <v>32.381031</v>
      </c>
      <c r="T15" s="44" t="str">
        <f>IF($O15="","",IFERROR(INDEX('Координати майданчиків'!$B$4:$B$64,MATCH($A15&amp;IF($P15="","",", "&amp;$P15),'Координати майданчиків'!$B$4:$B$64,0)),IFERROR(INDEX('Координати майданчиків'!$B$4:$B$64,MATCH($A15,'Координати майданчиків'!$B$4:$B$64,0)),"")))</f>
        <v/>
      </c>
    </row>
    <row r="16" spans="1:20" x14ac:dyDescent="0.35">
      <c r="A16" s="26" t="str">
        <f t="shared" si="0"/>
        <v>1 пров. Оранжерейний</v>
      </c>
      <c r="B16" s="26" t="str">
        <f t="shared" si="1"/>
        <v/>
      </c>
      <c r="C16" s="27" t="str" cm="1">
        <f t="array" ref="C16">IF($O16="","",_xlfn.TEXTJOIN(", ",TRUE,IF(EXACT('Дані_зв''язок'!$J$4:$J$1012,$O16)*('Дані_зв''язок'!$C$4:$C$1012=C$4),'Дані_зв''язок'!$D$4:$D$1012,"")))</f>
        <v/>
      </c>
      <c r="D16" s="27" t="str" cm="1">
        <f t="array" ref="D16">IF($O16="","",_xlfn.TEXTJOIN(", ",TRUE,IF(EXACT('Дані_зв''язок'!$J$4:$J$1012,$O16)*('Дані_зв''язок'!$C$4:$C$1012=D$4),'Дані_зв''язок'!$D$4:$D$1012,"")))</f>
        <v/>
      </c>
      <c r="E16" s="27" t="str" cm="1">
        <f t="array" ref="E16">IF($O16="","",_xlfn.TEXTJOIN(", ",TRUE,IF(EXACT('Дані_зв''язок'!$J$4:$J$1012,$O16)*('Дані_зв''язок'!$C$4:$C$1012=E$4),'Дані_зв''язок'!$D$4:$D$1012,"")))</f>
        <v/>
      </c>
      <c r="F16" s="27" t="str" cm="1">
        <f t="array" ref="F16">IF($O16="","",_xlfn.TEXTJOIN(", ",TRUE,IF(EXACT('Дані_зв''язок'!$J$4:$J$1012,$O16)*('Дані_зв''язок'!$C$4:$C$1012=F$4),'Дані_зв''язок'!$D$4:$D$1012,"")))</f>
        <v/>
      </c>
      <c r="G16" s="27" t="str" cm="1">
        <f t="array" ref="G16">IF($O16="","",_xlfn.TEXTJOIN(", ",TRUE,IF(EXACT('Дані_зв''язок'!$J$4:$J$1012,$O16)*('Дані_зв''язок'!$C$4:$C$1012=G$4),'Дані_зв''язок'!$D$4:$D$1012,"")))</f>
        <v>10:25</v>
      </c>
      <c r="H16" s="27" t="str" cm="1">
        <f t="array" ref="H16">IF($O16="","",_xlfn.TEXTJOIN(", ",TRUE,IF(EXACT('Дані_зв''язок'!$J$4:$J$1012,$O16)*('Дані_зв''язок'!$C$4:$C$1012=H$4),'Дані_зв''язок'!$D$4:$D$1012,"")))</f>
        <v/>
      </c>
      <c r="I16" s="27" t="str" cm="1">
        <f t="array" ref="I16">IF($O16="","",_xlfn.TEXTJOIN(", ",TRUE,IF(EXACT('Дані_зв''язок'!$J$4:$J$1012,$O16)*('Дані_зв''язок'!$C$4:$C$1012=I$4),'Дані_зв''язок'!$D$4:$D$1012,"")))</f>
        <v/>
      </c>
      <c r="J16" s="27" cm="1">
        <f t="array" ref="J16">IF($O16="","",COUNTIF(C16:I16,"?*")+SUMPRODUCT(LEN(C16:I16)-LEN(SUBSTITUTE(C16:I16,",",""))))</f>
        <v>1</v>
      </c>
      <c r="K16" s="28" t="str" cm="1">
        <f t="array" ref="K16">IF($O16="","",_xlfn.TEXTJOIN(", ",TRUE,IF(EXACT('Дані_зв''язок'!$J$4:$J$1012,$O16),'Дані_зв''язок'!$L$4:$L$1012,"")))</f>
        <v>№5</v>
      </c>
      <c r="L16" s="28" t="str" cm="1">
        <f t="array" ref="L16">IF($O16="","",_xlfn.TEXTJOIN(", ",TRUE,IF(EXACT('Дані_зв''язок'!$J$4:$J$1012,$O16),'Дані_зв''язок'!$M$4:$M$1012,"")))</f>
        <v>МАЗ 4381</v>
      </c>
      <c r="M16" s="27" t="str" cm="1">
        <f t="array" ref="M16">IF($O16="","",IF(SUMPRODUCT(MAX(EXACT('Дані_зв''язок'!$J$4:$J$1012,$O16)*IFERROR('Дані_зв''язок'!$H$4:$H$1012,0)))=0,"",SUMPRODUCT(MAX(EXACT('Дані_зв''язок'!$J$4:$J$1012,$O16)*IFERROR('Дані_зв''язок'!$H$4:$H$1012,0)))))</f>
        <v/>
      </c>
      <c r="O16" s="30" t="s">
        <v>1144</v>
      </c>
      <c r="P16" s="24" t="str" cm="1">
        <f t="array" ref="P16">IF($O16="","",IF($B16="","",IFERROR(IF(MIN(IFERROR(VALUE(TRIM(MID(SUBSTITUTE(SUBSTITUTE($B16,","," ")," ",REPT(" ",30)),{1;31;61;91;121;151;181},30))),""))=0,"",MIN(IFERROR(VALUE(TRIM(MID(SUBSTITUTE(SUBSTITUTE($B16,","," ")," ",REPT(" ",30)),{1;31;61;91;121;151;181},30))),""))),"")))</f>
        <v/>
      </c>
      <c r="Q16" s="23" t="str">
        <f t="shared" si="2"/>
        <v>Прилуки, Чернігівська обл., 1 пров. Оранжерейний</v>
      </c>
      <c r="R16" s="35">
        <f>IF($O16="","",IFERROR(INDEX('Координати майданчиків'!$H$4:$H$64,MATCH($T16,'Координати майданчиків'!$B$4:$B$64,0)),IFERROR(IF(ABS(INDEX(Геокодування!$C$2:$C$361,MATCH($Q16,Геокодування!$B$2:$B$361,0))-50.5884)+ABS(INDEX(Геокодування!$D$2:$D$361,MATCH($Q16,Геокодування!$B$2:$B$361,0))-32.3876)&gt;0.15,"",INDEX(Геокодування!$C$2:$C$361,MATCH($Q16,Геокодування!$B$2:$B$361,0))),IFERROR(IF(ABS(INDEX(Геокодування!$C$2:$C$361,MATCH("Прилуки, Чернігівська обл., "&amp;$A16,Геокодування!$B$2:$B$361,0))-50.5884)+ABS(INDEX(Геокодування!$D$2:$D$361,MATCH("Прилуки, Чернігівська обл., "&amp;$A16,Геокодування!$B$2:$B$361,0))-32.3876)&gt;0.15,"",INDEX(Геокодування!$C$2:$C$361,MATCH("Прилуки, Чернігівська обл., "&amp;$A16,Геокодування!$B$2:$B$361,0))),""))))</f>
        <v>50.577807999999997</v>
      </c>
      <c r="S16" s="43">
        <f>IF($O16="","",IFERROR(INDEX('Координати майданчиків'!$I$4:$I$64,MATCH($T16,'Координати майданчиків'!$B$4:$B$64,0)),IFERROR(IF(ABS(INDEX(Геокодування!$C$2:$C$361,MATCH($Q16,Геокодування!$B$2:$B$361,0))-50.5884)+ABS(INDEX(Геокодування!$D$2:$D$361,MATCH($Q16,Геокодування!$B$2:$B$361,0))-32.3876)&gt;0.15,"",INDEX(Геокодування!$D$2:$D$361,MATCH($Q16,Геокодування!$B$2:$B$361,0))),IFERROR(IF(ABS(INDEX(Геокодування!$C$2:$C$361,MATCH("Прилуки, Чернігівська обл., "&amp;$A16,Геокодування!$B$2:$B$361,0))-50.5884)+ABS(INDEX(Геокодування!$D$2:$D$361,MATCH("Прилуки, Чернігівська обл., "&amp;$A16,Геокодування!$B$2:$B$361,0))-32.3876)&gt;0.15,"",INDEX(Геокодування!$D$2:$D$361,MATCH("Прилуки, Чернігівська обл., "&amp;$A16,Геокодування!$B$2:$B$361,0))),""))))</f>
        <v>32.385496000000003</v>
      </c>
      <c r="T16" s="44" t="str">
        <f>IF($O16="","",IFERROR(INDEX('Координати майданчиків'!$B$4:$B$64,MATCH($A16&amp;IF($P16="","",", "&amp;$P16),'Координати майданчиків'!$B$4:$B$64,0)),IFERROR(INDEX('Координати майданчиків'!$B$4:$B$64,MATCH($A16,'Координати майданчиків'!$B$4:$B$64,0)),"")))</f>
        <v/>
      </c>
    </row>
    <row r="17" spans="1:20" x14ac:dyDescent="0.35">
      <c r="A17" s="26" t="str">
        <f t="shared" si="0"/>
        <v>1 пров. П. Комуни</v>
      </c>
      <c r="B17" s="26" t="str">
        <f t="shared" si="1"/>
        <v/>
      </c>
      <c r="C17" s="27" t="str" cm="1">
        <f t="array" ref="C17">IF($O17="","",_xlfn.TEXTJOIN(", ",TRUE,IF(EXACT('Дані_зв''язок'!$J$4:$J$1012,$O17)*('Дані_зв''язок'!$C$4:$C$1012=C$4),'Дані_зв''язок'!$D$4:$D$1012,"")))</f>
        <v>8:50</v>
      </c>
      <c r="D17" s="27" t="str" cm="1">
        <f t="array" ref="D17">IF($O17="","",_xlfn.TEXTJOIN(", ",TRUE,IF(EXACT('Дані_зв''язок'!$J$4:$J$1012,$O17)*('Дані_зв''язок'!$C$4:$C$1012=D$4),'Дані_зв''язок'!$D$4:$D$1012,"")))</f>
        <v/>
      </c>
      <c r="E17" s="27" t="str" cm="1">
        <f t="array" ref="E17">IF($O17="","",_xlfn.TEXTJOIN(", ",TRUE,IF(EXACT('Дані_зв''язок'!$J$4:$J$1012,$O17)*('Дані_зв''язок'!$C$4:$C$1012=E$4),'Дані_зв''язок'!$D$4:$D$1012,"")))</f>
        <v/>
      </c>
      <c r="F17" s="27" t="str" cm="1">
        <f t="array" ref="F17">IF($O17="","",_xlfn.TEXTJOIN(", ",TRUE,IF(EXACT('Дані_зв''язок'!$J$4:$J$1012,$O17)*('Дані_зв''язок'!$C$4:$C$1012=F$4),'Дані_зв''язок'!$D$4:$D$1012,"")))</f>
        <v/>
      </c>
      <c r="G17" s="27" t="str" cm="1">
        <f t="array" ref="G17">IF($O17="","",_xlfn.TEXTJOIN(", ",TRUE,IF(EXACT('Дані_зв''язок'!$J$4:$J$1012,$O17)*('Дані_зв''язок'!$C$4:$C$1012=G$4),'Дані_зв''язок'!$D$4:$D$1012,"")))</f>
        <v/>
      </c>
      <c r="H17" s="27" t="str" cm="1">
        <f t="array" ref="H17">IF($O17="","",_xlfn.TEXTJOIN(", ",TRUE,IF(EXACT('Дані_зв''язок'!$J$4:$J$1012,$O17)*('Дані_зв''язок'!$C$4:$C$1012=H$4),'Дані_зв''язок'!$D$4:$D$1012,"")))</f>
        <v/>
      </c>
      <c r="I17" s="27" t="str" cm="1">
        <f t="array" ref="I17">IF($O17="","",_xlfn.TEXTJOIN(", ",TRUE,IF(EXACT('Дані_зв''язок'!$J$4:$J$1012,$O17)*('Дані_зв''язок'!$C$4:$C$1012=I$4),'Дані_зв''язок'!$D$4:$D$1012,"")))</f>
        <v/>
      </c>
      <c r="J17" s="27" cm="1">
        <f t="array" ref="J17">IF($O17="","",COUNTIF(C17:I17,"?*")+SUMPRODUCT(LEN(C17:I17)-LEN(SUBSTITUTE(C17:I17,",",""))))</f>
        <v>1</v>
      </c>
      <c r="K17" s="28" t="str" cm="1">
        <f t="array" ref="K17">IF($O17="","",_xlfn.TEXTJOIN(", ",TRUE,IF(EXACT('Дані_зв''язок'!$J$4:$J$1012,$O17),'Дані_зв''язок'!$L$4:$L$1012,"")))</f>
        <v>№5</v>
      </c>
      <c r="L17" s="28" t="str" cm="1">
        <f t="array" ref="L17">IF($O17="","",_xlfn.TEXTJOIN(", ",TRUE,IF(EXACT('Дані_зв''язок'!$J$4:$J$1012,$O17),'Дані_зв''язок'!$M$4:$M$1012,"")))</f>
        <v>МАЗ 4381</v>
      </c>
      <c r="M17" s="27" t="str" cm="1">
        <f t="array" ref="M17">IF($O17="","",IF(SUMPRODUCT(MAX(EXACT('Дані_зв''язок'!$J$4:$J$1012,$O17)*IFERROR('Дані_зв''язок'!$H$4:$H$1012,0)))=0,"",SUMPRODUCT(MAX(EXACT('Дані_зв''язок'!$J$4:$J$1012,$O17)*IFERROR('Дані_зв''язок'!$H$4:$H$1012,0)))))</f>
        <v/>
      </c>
      <c r="O17" s="30" t="s">
        <v>1145</v>
      </c>
      <c r="P17" s="24" t="str" cm="1">
        <f t="array" ref="P17">IF($O17="","",IF($B17="","",IFERROR(IF(MIN(IFERROR(VALUE(TRIM(MID(SUBSTITUTE(SUBSTITUTE($B17,","," ")," ",REPT(" ",30)),{1;31;61;91;121;151;181},30))),""))=0,"",MIN(IFERROR(VALUE(TRIM(MID(SUBSTITUTE(SUBSTITUTE($B17,","," ")," ",REPT(" ",30)),{1;31;61;91;121;151;181},30))),""))),"")))</f>
        <v/>
      </c>
      <c r="Q17" s="23" t="str">
        <f t="shared" si="2"/>
        <v>Прилуки, Чернігівська обл., 1 пров. П. Комуни</v>
      </c>
      <c r="R17" s="35">
        <f>IF($O17="","",IFERROR(INDEX('Координати майданчиків'!$H$4:$H$64,MATCH($T17,'Координати майданчиків'!$B$4:$B$64,0)),IFERROR(IF(ABS(INDEX(Геокодування!$C$2:$C$361,MATCH($Q17,Геокодування!$B$2:$B$361,0))-50.5884)+ABS(INDEX(Геокодування!$D$2:$D$361,MATCH($Q17,Геокодування!$B$2:$B$361,0))-32.3876)&gt;0.15,"",INDEX(Геокодування!$C$2:$C$361,MATCH($Q17,Геокодування!$B$2:$B$361,0))),IFERROR(IF(ABS(INDEX(Геокодування!$C$2:$C$361,MATCH("Прилуки, Чернігівська обл., "&amp;$A17,Геокодування!$B$2:$B$361,0))-50.5884)+ABS(INDEX(Геокодування!$D$2:$D$361,MATCH("Прилуки, Чернігівська обл., "&amp;$A17,Геокодування!$B$2:$B$361,0))-32.3876)&gt;0.15,"",INDEX(Геокодування!$C$2:$C$361,MATCH("Прилуки, Чернігівська обл., "&amp;$A17,Геокодування!$B$2:$B$361,0))),""))))</f>
        <v>50.581904999999999</v>
      </c>
      <c r="S17" s="43">
        <f>IF($O17="","",IFERROR(INDEX('Координати майданчиків'!$I$4:$I$64,MATCH($T17,'Координати майданчиків'!$B$4:$B$64,0)),IFERROR(IF(ABS(INDEX(Геокодування!$C$2:$C$361,MATCH($Q17,Геокодування!$B$2:$B$361,0))-50.5884)+ABS(INDEX(Геокодування!$D$2:$D$361,MATCH($Q17,Геокодування!$B$2:$B$361,0))-32.3876)&gt;0.15,"",INDEX(Геокодування!$D$2:$D$361,MATCH($Q17,Геокодування!$B$2:$B$361,0))),IFERROR(IF(ABS(INDEX(Геокодування!$C$2:$C$361,MATCH("Прилуки, Чернігівська обл., "&amp;$A17,Геокодування!$B$2:$B$361,0))-50.5884)+ABS(INDEX(Геокодування!$D$2:$D$361,MATCH("Прилуки, Чернігівська обл., "&amp;$A17,Геокодування!$B$2:$B$361,0))-32.3876)&gt;0.15,"",INDEX(Геокодування!$D$2:$D$361,MATCH("Прилуки, Чернігівська обл., "&amp;$A17,Геокодування!$B$2:$B$361,0))),""))))</f>
        <v>32.383752999999999</v>
      </c>
      <c r="T17" s="44" t="str">
        <f>IF($O17="","",IFERROR(INDEX('Координати майданчиків'!$B$4:$B$64,MATCH($A17&amp;IF($P17="","",", "&amp;$P17),'Координати майданчиків'!$B$4:$B$64,0)),IFERROR(INDEX('Координати майданчиків'!$B$4:$B$64,MATCH($A17,'Координати майданчиків'!$B$4:$B$64,0)),"")))</f>
        <v/>
      </c>
    </row>
    <row r="18" spans="1:20" x14ac:dyDescent="0.35">
      <c r="A18" s="26" t="str">
        <f t="shared" si="0"/>
        <v>1 пров. Педагогічний</v>
      </c>
      <c r="B18" s="26" t="str">
        <f t="shared" si="1"/>
        <v>9,11  6,3</v>
      </c>
      <c r="C18" s="27" t="str" cm="1">
        <f t="array" ref="C18">IF($O18="","",_xlfn.TEXTJOIN(", ",TRUE,IF(EXACT('Дані_зв''язок'!$J$4:$J$1012,$O18)*('Дані_зв''язок'!$C$4:$C$1012=C$4),'Дані_зв''язок'!$D$4:$D$1012,"")))</f>
        <v/>
      </c>
      <c r="D18" s="27" t="str" cm="1">
        <f t="array" ref="D18">IF($O18="","",_xlfn.TEXTJOIN(", ",TRUE,IF(EXACT('Дані_зв''язок'!$J$4:$J$1012,$O18)*('Дані_зв''язок'!$C$4:$C$1012=D$4),'Дані_зв''язок'!$D$4:$D$1012,"")))</f>
        <v/>
      </c>
      <c r="E18" s="27" t="str" cm="1">
        <f t="array" ref="E18">IF($O18="","",_xlfn.TEXTJOIN(", ",TRUE,IF(EXACT('Дані_зв''язок'!$J$4:$J$1012,$O18)*('Дані_зв''язок'!$C$4:$C$1012=E$4),'Дані_зв''язок'!$D$4:$D$1012,"")))</f>
        <v>15:30</v>
      </c>
      <c r="F18" s="27" t="str" cm="1">
        <f t="array" ref="F18">IF($O18="","",_xlfn.TEXTJOIN(", ",TRUE,IF(EXACT('Дані_зв''язок'!$J$4:$J$1012,$O18)*('Дані_зв''язок'!$C$4:$C$1012=F$4),'Дані_зв''язок'!$D$4:$D$1012,"")))</f>
        <v/>
      </c>
      <c r="G18" s="27" t="str" cm="1">
        <f t="array" ref="G18">IF($O18="","",_xlfn.TEXTJOIN(", ",TRUE,IF(EXACT('Дані_зв''язок'!$J$4:$J$1012,$O18)*('Дані_зв''язок'!$C$4:$C$1012=G$4),'Дані_зв''язок'!$D$4:$D$1012,"")))</f>
        <v/>
      </c>
      <c r="H18" s="27" t="str" cm="1">
        <f t="array" ref="H18">IF($O18="","",_xlfn.TEXTJOIN(", ",TRUE,IF(EXACT('Дані_зв''язок'!$J$4:$J$1012,$O18)*('Дані_зв''язок'!$C$4:$C$1012=H$4),'Дані_зв''язок'!$D$4:$D$1012,"")))</f>
        <v/>
      </c>
      <c r="I18" s="27" t="str" cm="1">
        <f t="array" ref="I18">IF($O18="","",_xlfn.TEXTJOIN(", ",TRUE,IF(EXACT('Дані_зв''язок'!$J$4:$J$1012,$O18)*('Дані_зв''язок'!$C$4:$C$1012=I$4),'Дані_зв''язок'!$D$4:$D$1012,"")))</f>
        <v/>
      </c>
      <c r="J18" s="27" cm="1">
        <f t="array" ref="J18">IF($O18="","",COUNTIF(C18:I18,"?*")+SUMPRODUCT(LEN(C18:I18)-LEN(SUBSTITUTE(C18:I18,",",""))))</f>
        <v>1</v>
      </c>
      <c r="K18" s="28" t="str" cm="1">
        <f t="array" ref="K18">IF($O18="","",_xlfn.TEXTJOIN(", ",TRUE,IF(EXACT('Дані_зв''язок'!$J$4:$J$1012,$O18),'Дані_зв''язок'!$L$4:$L$1012,"")))</f>
        <v>№6</v>
      </c>
      <c r="L18" s="28" t="str" cm="1">
        <f t="array" ref="L18">IF($O18="","",_xlfn.TEXTJOIN(", ",TRUE,IF(EXACT('Дані_зв''язок'!$J$4:$J$1012,$O18),'Дані_зв''язок'!$M$4:$M$1012,"")))</f>
        <v>АТ 4021</v>
      </c>
      <c r="M18" s="27" t="str" cm="1">
        <f t="array" ref="M18">IF($O18="","",IF(SUMPRODUCT(MAX(EXACT('Дані_зв''язок'!$J$4:$J$1012,$O18)*IFERROR('Дані_зв''язок'!$H$4:$H$1012,0)))=0,"",SUMPRODUCT(MAX(EXACT('Дані_зв''язок'!$J$4:$J$1012,$O18)*IFERROR('Дані_зв''язок'!$H$4:$H$1012,0)))))</f>
        <v/>
      </c>
      <c r="O18" s="30" t="s">
        <v>1146</v>
      </c>
      <c r="P18" s="24" cm="1">
        <f t="array" ref="P18">IF($O18="","",IF($B18="","",IFERROR(IF(MIN(IFERROR(VALUE(TRIM(MID(SUBSTITUTE(SUBSTITUTE($B18,","," ")," ",REPT(" ",30)),{1;31;61;91;121;151;181},30))),""))=0,"",MIN(IFERROR(VALUE(TRIM(MID(SUBSTITUTE(SUBSTITUTE($B18,","," ")," ",REPT(" ",30)),{1;31;61;91;121;151;181},30))),""))),"")))</f>
        <v>3</v>
      </c>
      <c r="Q18" s="23" t="str">
        <f t="shared" si="2"/>
        <v>Прилуки, Чернігівська обл., 1 пров. Педагогічний, 3</v>
      </c>
      <c r="R18" s="35">
        <f>IF($O18="","",IFERROR(INDEX('Координати майданчиків'!$H$4:$H$64,MATCH($T18,'Координати майданчиків'!$B$4:$B$64,0)),IFERROR(IF(ABS(INDEX(Геокодування!$C$2:$C$361,MATCH($Q18,Геокодування!$B$2:$B$361,0))-50.5884)+ABS(INDEX(Геокодування!$D$2:$D$361,MATCH($Q18,Геокодування!$B$2:$B$361,0))-32.3876)&gt;0.15,"",INDEX(Геокодування!$C$2:$C$361,MATCH($Q18,Геокодування!$B$2:$B$361,0))),IFERROR(IF(ABS(INDEX(Геокодування!$C$2:$C$361,MATCH("Прилуки, Чернігівська обл., "&amp;$A18,Геокодування!$B$2:$B$361,0))-50.5884)+ABS(INDEX(Геокодування!$D$2:$D$361,MATCH("Прилуки, Чернігівська обл., "&amp;$A18,Геокодування!$B$2:$B$361,0))-32.3876)&gt;0.15,"",INDEX(Геокодування!$C$2:$C$361,MATCH("Прилуки, Чернігівська обл., "&amp;$A18,Геокодування!$B$2:$B$361,0))),""))))</f>
        <v>50.577863000000001</v>
      </c>
      <c r="S18" s="43">
        <f>IF($O18="","",IFERROR(INDEX('Координати майданчиків'!$I$4:$I$64,MATCH($T18,'Координати майданчиків'!$B$4:$B$64,0)),IFERROR(IF(ABS(INDEX(Геокодування!$C$2:$C$361,MATCH($Q18,Геокодування!$B$2:$B$361,0))-50.5884)+ABS(INDEX(Геокодування!$D$2:$D$361,MATCH($Q18,Геокодування!$B$2:$B$361,0))-32.3876)&gt;0.15,"",INDEX(Геокодування!$D$2:$D$361,MATCH($Q18,Геокодування!$B$2:$B$361,0))),IFERROR(IF(ABS(INDEX(Геокодування!$C$2:$C$361,MATCH("Прилуки, Чернігівська обл., "&amp;$A18,Геокодування!$B$2:$B$361,0))-50.5884)+ABS(INDEX(Геокодування!$D$2:$D$361,MATCH("Прилуки, Чернігівська обл., "&amp;$A18,Геокодування!$B$2:$B$361,0))-32.3876)&gt;0.15,"",INDEX(Геокодування!$D$2:$D$361,MATCH("Прилуки, Чернігівська обл., "&amp;$A18,Геокодування!$B$2:$B$361,0))),""))))</f>
        <v>32.422880999999997</v>
      </c>
      <c r="T18" s="44" t="str">
        <f>IF($O18="","",IFERROR(INDEX('Координати майданчиків'!$B$4:$B$64,MATCH($A18&amp;IF($P18="","",", "&amp;$P18),'Координати майданчиків'!$B$4:$B$64,0)),IFERROR(INDEX('Координати майданчиків'!$B$4:$B$64,MATCH($A18,'Координати майданчиків'!$B$4:$B$64,0)),"")))</f>
        <v/>
      </c>
    </row>
    <row r="19" spans="1:20" x14ac:dyDescent="0.35">
      <c r="A19" s="26" t="str">
        <f t="shared" si="0"/>
        <v>1 пров. Пирогівський</v>
      </c>
      <c r="B19" s="26" t="str">
        <f t="shared" si="1"/>
        <v>30,24  15,2</v>
      </c>
      <c r="C19" s="27" t="str" cm="1">
        <f t="array" ref="C19">IF($O19="","",_xlfn.TEXTJOIN(", ",TRUE,IF(EXACT('Дані_зв''язок'!$J$4:$J$1012,$O19)*('Дані_зв''язок'!$C$4:$C$1012=C$4),'Дані_зв''язок'!$D$4:$D$1012,"")))</f>
        <v>9:00</v>
      </c>
      <c r="D19" s="27" t="str" cm="1">
        <f t="array" ref="D19">IF($O19="","",_xlfn.TEXTJOIN(", ",TRUE,IF(EXACT('Дані_зв''язок'!$J$4:$J$1012,$O19)*('Дані_зв''язок'!$C$4:$C$1012=D$4),'Дані_зв''язок'!$D$4:$D$1012,"")))</f>
        <v/>
      </c>
      <c r="E19" s="27" t="str" cm="1">
        <f t="array" ref="E19">IF($O19="","",_xlfn.TEXTJOIN(", ",TRUE,IF(EXACT('Дані_зв''язок'!$J$4:$J$1012,$O19)*('Дані_зв''язок'!$C$4:$C$1012=E$4),'Дані_зв''язок'!$D$4:$D$1012,"")))</f>
        <v/>
      </c>
      <c r="F19" s="27" t="str" cm="1">
        <f t="array" ref="F19">IF($O19="","",_xlfn.TEXTJOIN(", ",TRUE,IF(EXACT('Дані_зв''язок'!$J$4:$J$1012,$O19)*('Дані_зв''язок'!$C$4:$C$1012=F$4),'Дані_зв''язок'!$D$4:$D$1012,"")))</f>
        <v/>
      </c>
      <c r="G19" s="27" t="str" cm="1">
        <f t="array" ref="G19">IF($O19="","",_xlfn.TEXTJOIN(", ",TRUE,IF(EXACT('Дані_зв''язок'!$J$4:$J$1012,$O19)*('Дані_зв''язок'!$C$4:$C$1012=G$4),'Дані_зв''язок'!$D$4:$D$1012,"")))</f>
        <v/>
      </c>
      <c r="H19" s="27" t="str" cm="1">
        <f t="array" ref="H19">IF($O19="","",_xlfn.TEXTJOIN(", ",TRUE,IF(EXACT('Дані_зв''язок'!$J$4:$J$1012,$O19)*('Дані_зв''язок'!$C$4:$C$1012=H$4),'Дані_зв''язок'!$D$4:$D$1012,"")))</f>
        <v/>
      </c>
      <c r="I19" s="27" t="str" cm="1">
        <f t="array" ref="I19">IF($O19="","",_xlfn.TEXTJOIN(", ",TRUE,IF(EXACT('Дані_зв''язок'!$J$4:$J$1012,$O19)*('Дані_зв''язок'!$C$4:$C$1012=I$4),'Дані_зв''язок'!$D$4:$D$1012,"")))</f>
        <v/>
      </c>
      <c r="J19" s="27" cm="1">
        <f t="array" ref="J19">IF($O19="","",COUNTIF(C19:I19,"?*")+SUMPRODUCT(LEN(C19:I19)-LEN(SUBSTITUTE(C19:I19,",",""))))</f>
        <v>1</v>
      </c>
      <c r="K19" s="28" t="str" cm="1">
        <f t="array" ref="K19">IF($O19="","",_xlfn.TEXTJOIN(", ",TRUE,IF(EXACT('Дані_зв''язок'!$J$4:$J$1012,$O19),'Дані_зв''язок'!$L$4:$L$1012,"")))</f>
        <v>№6</v>
      </c>
      <c r="L19" s="28" t="str" cm="1">
        <f t="array" ref="L19">IF($O19="","",_xlfn.TEXTJOIN(", ",TRUE,IF(EXACT('Дані_зв''язок'!$J$4:$J$1012,$O19),'Дані_зв''язок'!$M$4:$M$1012,"")))</f>
        <v>АТ 4021</v>
      </c>
      <c r="M19" s="27" t="str" cm="1">
        <f t="array" ref="M19">IF($O19="","",IF(SUMPRODUCT(MAX(EXACT('Дані_зв''язок'!$J$4:$J$1012,$O19)*IFERROR('Дані_зв''язок'!$H$4:$H$1012,0)))=0,"",SUMPRODUCT(MAX(EXACT('Дані_зв''язок'!$J$4:$J$1012,$O19)*IFERROR('Дані_зв''язок'!$H$4:$H$1012,0)))))</f>
        <v/>
      </c>
      <c r="O19" s="30" t="s">
        <v>1147</v>
      </c>
      <c r="P19" s="24" cm="1">
        <f t="array" ref="P19">IF($O19="","",IF($B19="","",IFERROR(IF(MIN(IFERROR(VALUE(TRIM(MID(SUBSTITUTE(SUBSTITUTE($B19,","," ")," ",REPT(" ",30)),{1;31;61;91;121;151;181},30))),""))=0,"",MIN(IFERROR(VALUE(TRIM(MID(SUBSTITUTE(SUBSTITUTE($B19,","," ")," ",REPT(" ",30)),{1;31;61;91;121;151;181},30))),""))),"")))</f>
        <v>2</v>
      </c>
      <c r="Q19" s="23" t="str">
        <f t="shared" si="2"/>
        <v>Прилуки, Чернігівська обл., 1 пров. Пирогівський, 2</v>
      </c>
      <c r="R19" s="35">
        <f>IF($O19="","",IFERROR(INDEX('Координати майданчиків'!$H$4:$H$64,MATCH($T19,'Координати майданчиків'!$B$4:$B$64,0)),IFERROR(IF(ABS(INDEX(Геокодування!$C$2:$C$361,MATCH($Q19,Геокодування!$B$2:$B$361,0))-50.5884)+ABS(INDEX(Геокодування!$D$2:$D$361,MATCH($Q19,Геокодування!$B$2:$B$361,0))-32.3876)&gt;0.15,"",INDEX(Геокодування!$C$2:$C$361,MATCH($Q19,Геокодування!$B$2:$B$361,0))),IFERROR(IF(ABS(INDEX(Геокодування!$C$2:$C$361,MATCH("Прилуки, Чернігівська обл., "&amp;$A19,Геокодування!$B$2:$B$361,0))-50.5884)+ABS(INDEX(Геокодування!$D$2:$D$361,MATCH("Прилуки, Чернігівська обл., "&amp;$A19,Геокодування!$B$2:$B$361,0))-32.3876)&gt;0.15,"",INDEX(Геокодування!$C$2:$C$361,MATCH("Прилуки, Чернігівська обл., "&amp;$A19,Геокодування!$B$2:$B$361,0))),""))))</f>
        <v>50.603200000000001</v>
      </c>
      <c r="S19" s="43">
        <f>IF($O19="","",IFERROR(INDEX('Координати майданчиків'!$I$4:$I$64,MATCH($T19,'Координати майданчиків'!$B$4:$B$64,0)),IFERROR(IF(ABS(INDEX(Геокодування!$C$2:$C$361,MATCH($Q19,Геокодування!$B$2:$B$361,0))-50.5884)+ABS(INDEX(Геокодування!$D$2:$D$361,MATCH($Q19,Геокодування!$B$2:$B$361,0))-32.3876)&gt;0.15,"",INDEX(Геокодування!$D$2:$D$361,MATCH($Q19,Геокодування!$B$2:$B$361,0))),IFERROR(IF(ABS(INDEX(Геокодування!$C$2:$C$361,MATCH("Прилуки, Чернігівська обл., "&amp;$A19,Геокодування!$B$2:$B$361,0))-50.5884)+ABS(INDEX(Геокодування!$D$2:$D$361,MATCH("Прилуки, Чернігівська обл., "&amp;$A19,Геокодування!$B$2:$B$361,0))-32.3876)&gt;0.15,"",INDEX(Геокодування!$D$2:$D$361,MATCH("Прилуки, Чернігівська обл., "&amp;$A19,Геокодування!$B$2:$B$361,0))),""))))</f>
        <v>32.330292999999998</v>
      </c>
      <c r="T19" s="44" t="str">
        <f>IF($O19="","",IFERROR(INDEX('Координати майданчиків'!$B$4:$B$64,MATCH($A19&amp;IF($P19="","",", "&amp;$P19),'Координати майданчиків'!$B$4:$B$64,0)),IFERROR(INDEX('Координати майданчиків'!$B$4:$B$64,MATCH($A19,'Координати майданчиків'!$B$4:$B$64,0)),"")))</f>
        <v/>
      </c>
    </row>
    <row r="20" spans="1:20" x14ac:dyDescent="0.35">
      <c r="A20" s="26" t="str">
        <f t="shared" si="0"/>
        <v>1 пров. Південний</v>
      </c>
      <c r="B20" s="26" t="str">
        <f t="shared" si="1"/>
        <v/>
      </c>
      <c r="C20" s="27" t="str" cm="1">
        <f t="array" ref="C20">IF($O20="","",_xlfn.TEXTJOIN(", ",TRUE,IF(EXACT('Дані_зв''язок'!$J$4:$J$1012,$O20)*('Дані_зв''язок'!$C$4:$C$1012=C$4),'Дані_зв''язок'!$D$4:$D$1012,"")))</f>
        <v>10:10</v>
      </c>
      <c r="D20" s="27" t="str" cm="1">
        <f t="array" ref="D20">IF($O20="","",_xlfn.TEXTJOIN(", ",TRUE,IF(EXACT('Дані_зв''язок'!$J$4:$J$1012,$O20)*('Дані_зв''язок'!$C$4:$C$1012=D$4),'Дані_зв''язок'!$D$4:$D$1012,"")))</f>
        <v/>
      </c>
      <c r="E20" s="27" t="str" cm="1">
        <f t="array" ref="E20">IF($O20="","",_xlfn.TEXTJOIN(", ",TRUE,IF(EXACT('Дані_зв''язок'!$J$4:$J$1012,$O20)*('Дані_зв''язок'!$C$4:$C$1012=E$4),'Дані_зв''язок'!$D$4:$D$1012,"")))</f>
        <v/>
      </c>
      <c r="F20" s="27" t="str" cm="1">
        <f t="array" ref="F20">IF($O20="","",_xlfn.TEXTJOIN(", ",TRUE,IF(EXACT('Дані_зв''язок'!$J$4:$J$1012,$O20)*('Дані_зв''язок'!$C$4:$C$1012=F$4),'Дані_зв''язок'!$D$4:$D$1012,"")))</f>
        <v/>
      </c>
      <c r="G20" s="27" t="str" cm="1">
        <f t="array" ref="G20">IF($O20="","",_xlfn.TEXTJOIN(", ",TRUE,IF(EXACT('Дані_зв''язок'!$J$4:$J$1012,$O20)*('Дані_зв''язок'!$C$4:$C$1012=G$4),'Дані_зв''язок'!$D$4:$D$1012,"")))</f>
        <v/>
      </c>
      <c r="H20" s="27" t="str" cm="1">
        <f t="array" ref="H20">IF($O20="","",_xlfn.TEXTJOIN(", ",TRUE,IF(EXACT('Дані_зв''язок'!$J$4:$J$1012,$O20)*('Дані_зв''язок'!$C$4:$C$1012=H$4),'Дані_зв''язок'!$D$4:$D$1012,"")))</f>
        <v/>
      </c>
      <c r="I20" s="27" t="str" cm="1">
        <f t="array" ref="I20">IF($O20="","",_xlfn.TEXTJOIN(", ",TRUE,IF(EXACT('Дані_зв''язок'!$J$4:$J$1012,$O20)*('Дані_зв''язок'!$C$4:$C$1012=I$4),'Дані_зв''язок'!$D$4:$D$1012,"")))</f>
        <v/>
      </c>
      <c r="J20" s="27" cm="1">
        <f t="array" ref="J20">IF($O20="","",COUNTIF(C20:I20,"?*")+SUMPRODUCT(LEN(C20:I20)-LEN(SUBSTITUTE(C20:I20,",",""))))</f>
        <v>1</v>
      </c>
      <c r="K20" s="28" t="str" cm="1">
        <f t="array" ref="K20">IF($O20="","",_xlfn.TEXTJOIN(", ",TRUE,IF(EXACT('Дані_зв''язок'!$J$4:$J$1012,$O20),'Дані_зв''язок'!$L$4:$L$1012,"")))</f>
        <v>№5</v>
      </c>
      <c r="L20" s="28" t="str" cm="1">
        <f t="array" ref="L20">IF($O20="","",_xlfn.TEXTJOIN(", ",TRUE,IF(EXACT('Дані_зв''язок'!$J$4:$J$1012,$O20),'Дані_зв''язок'!$M$4:$M$1012,"")))</f>
        <v>МАЗ 4381</v>
      </c>
      <c r="M20" s="27" t="str" cm="1">
        <f t="array" ref="M20">IF($O20="","",IF(SUMPRODUCT(MAX(EXACT('Дані_зв''язок'!$J$4:$J$1012,$O20)*IFERROR('Дані_зв''язок'!$H$4:$H$1012,0)))=0,"",SUMPRODUCT(MAX(EXACT('Дані_зв''язок'!$J$4:$J$1012,$O20)*IFERROR('Дані_зв''язок'!$H$4:$H$1012,0)))))</f>
        <v/>
      </c>
      <c r="O20" s="30" t="s">
        <v>1148</v>
      </c>
      <c r="P20" s="24" t="str" cm="1">
        <f t="array" ref="P20">IF($O20="","",IF($B20="","",IFERROR(IF(MIN(IFERROR(VALUE(TRIM(MID(SUBSTITUTE(SUBSTITUTE($B20,","," ")," ",REPT(" ",30)),{1;31;61;91;121;151;181},30))),""))=0,"",MIN(IFERROR(VALUE(TRIM(MID(SUBSTITUTE(SUBSTITUTE($B20,","," ")," ",REPT(" ",30)),{1;31;61;91;121;151;181},30))),""))),"")))</f>
        <v/>
      </c>
      <c r="Q20" s="23" t="str">
        <f t="shared" si="2"/>
        <v>Прилуки, Чернігівська обл., 1 пров. Південний</v>
      </c>
      <c r="R20" s="35">
        <f>IF($O20="","",IFERROR(INDEX('Координати майданчиків'!$H$4:$H$64,MATCH($T20,'Координати майданчиків'!$B$4:$B$64,0)),IFERROR(IF(ABS(INDEX(Геокодування!$C$2:$C$361,MATCH($Q20,Геокодування!$B$2:$B$361,0))-50.5884)+ABS(INDEX(Геокодування!$D$2:$D$361,MATCH($Q20,Геокодування!$B$2:$B$361,0))-32.3876)&gt;0.15,"",INDEX(Геокодування!$C$2:$C$361,MATCH($Q20,Геокодування!$B$2:$B$361,0))),IFERROR(IF(ABS(INDEX(Геокодування!$C$2:$C$361,MATCH("Прилуки, Чернігівська обл., "&amp;$A20,Геокодування!$B$2:$B$361,0))-50.5884)+ABS(INDEX(Геокодування!$D$2:$D$361,MATCH("Прилуки, Чернігівська обл., "&amp;$A20,Геокодування!$B$2:$B$361,0))-32.3876)&gt;0.15,"",INDEX(Геокодування!$C$2:$C$361,MATCH("Прилуки, Чернігівська обл., "&amp;$A20,Геокодування!$B$2:$B$361,0))),""))))</f>
        <v>50.576318000000001</v>
      </c>
      <c r="S20" s="43">
        <f>IF($O20="","",IFERROR(INDEX('Координати майданчиків'!$I$4:$I$64,MATCH($T20,'Координати майданчиків'!$B$4:$B$64,0)),IFERROR(IF(ABS(INDEX(Геокодування!$C$2:$C$361,MATCH($Q20,Геокодування!$B$2:$B$361,0))-50.5884)+ABS(INDEX(Геокодування!$D$2:$D$361,MATCH($Q20,Геокодування!$B$2:$B$361,0))-32.3876)&gt;0.15,"",INDEX(Геокодування!$D$2:$D$361,MATCH($Q20,Геокодування!$B$2:$B$361,0))),IFERROR(IF(ABS(INDEX(Геокодування!$C$2:$C$361,MATCH("Прилуки, Чернігівська обл., "&amp;$A20,Геокодування!$B$2:$B$361,0))-50.5884)+ABS(INDEX(Геокодування!$D$2:$D$361,MATCH("Прилуки, Чернігівська обл., "&amp;$A20,Геокодування!$B$2:$B$361,0))-32.3876)&gt;0.15,"",INDEX(Геокодування!$D$2:$D$361,MATCH("Прилуки, Чернігівська обл., "&amp;$A20,Геокодування!$B$2:$B$361,0))),""))))</f>
        <v>32.381464000000001</v>
      </c>
      <c r="T20" s="44" t="str">
        <f>IF($O20="","",IFERROR(INDEX('Координати майданчиків'!$B$4:$B$64,MATCH($A20&amp;IF($P20="","",", "&amp;$P20),'Координати майданчиків'!$B$4:$B$64,0)),IFERROR(INDEX('Координати майданчиків'!$B$4:$B$64,MATCH($A20,'Координати майданчиків'!$B$4:$B$64,0)),"")))</f>
        <v/>
      </c>
    </row>
    <row r="21" spans="1:20" x14ac:dyDescent="0.35">
      <c r="A21" s="26" t="str">
        <f t="shared" si="0"/>
        <v>1 пров. Скоропадського</v>
      </c>
      <c r="B21" s="26" t="str">
        <f t="shared" si="1"/>
        <v/>
      </c>
      <c r="C21" s="27" t="str" cm="1">
        <f t="array" ref="C21">IF($O21="","",_xlfn.TEXTJOIN(", ",TRUE,IF(EXACT('Дані_зв''язок'!$J$4:$J$1012,$O21)*('Дані_зв''язок'!$C$4:$C$1012=C$4),'Дані_зв''язок'!$D$4:$D$1012,"")))</f>
        <v>14:40</v>
      </c>
      <c r="D21" s="27" t="str" cm="1">
        <f t="array" ref="D21">IF($O21="","",_xlfn.TEXTJOIN(", ",TRUE,IF(EXACT('Дані_зв''язок'!$J$4:$J$1012,$O21)*('Дані_зв''язок'!$C$4:$C$1012=D$4),'Дані_зв''язок'!$D$4:$D$1012,"")))</f>
        <v/>
      </c>
      <c r="E21" s="27" t="str" cm="1">
        <f t="array" ref="E21">IF($O21="","",_xlfn.TEXTJOIN(", ",TRUE,IF(EXACT('Дані_зв''язок'!$J$4:$J$1012,$O21)*('Дані_зв''язок'!$C$4:$C$1012=E$4),'Дані_зв''язок'!$D$4:$D$1012,"")))</f>
        <v/>
      </c>
      <c r="F21" s="27" t="str" cm="1">
        <f t="array" ref="F21">IF($O21="","",_xlfn.TEXTJOIN(", ",TRUE,IF(EXACT('Дані_зв''язок'!$J$4:$J$1012,$O21)*('Дані_зв''язок'!$C$4:$C$1012=F$4),'Дані_зв''язок'!$D$4:$D$1012,"")))</f>
        <v/>
      </c>
      <c r="G21" s="27" t="str" cm="1">
        <f t="array" ref="G21">IF($O21="","",_xlfn.TEXTJOIN(", ",TRUE,IF(EXACT('Дані_зв''язок'!$J$4:$J$1012,$O21)*('Дані_зв''язок'!$C$4:$C$1012=G$4),'Дані_зв''язок'!$D$4:$D$1012,"")))</f>
        <v/>
      </c>
      <c r="H21" s="27" t="str" cm="1">
        <f t="array" ref="H21">IF($O21="","",_xlfn.TEXTJOIN(", ",TRUE,IF(EXACT('Дані_зв''язок'!$J$4:$J$1012,$O21)*('Дані_зв''язок'!$C$4:$C$1012=H$4),'Дані_зв''язок'!$D$4:$D$1012,"")))</f>
        <v/>
      </c>
      <c r="I21" s="27" t="str" cm="1">
        <f t="array" ref="I21">IF($O21="","",_xlfn.TEXTJOIN(", ",TRUE,IF(EXACT('Дані_зв''язок'!$J$4:$J$1012,$O21)*('Дані_зв''язок'!$C$4:$C$1012=I$4),'Дані_зв''язок'!$D$4:$D$1012,"")))</f>
        <v/>
      </c>
      <c r="J21" s="27" cm="1">
        <f t="array" ref="J21">IF($O21="","",COUNTIF(C21:I21,"?*")+SUMPRODUCT(LEN(C21:I21)-LEN(SUBSTITUTE(C21:I21,",",""))))</f>
        <v>1</v>
      </c>
      <c r="K21" s="28" t="str" cm="1">
        <f t="array" ref="K21">IF($O21="","",_xlfn.TEXTJOIN(", ",TRUE,IF(EXACT('Дані_зв''язок'!$J$4:$J$1012,$O21),'Дані_зв''язок'!$L$4:$L$1012,"")))</f>
        <v>№5</v>
      </c>
      <c r="L21" s="28" t="str" cm="1">
        <f t="array" ref="L21">IF($O21="","",_xlfn.TEXTJOIN(", ",TRUE,IF(EXACT('Дані_зв''язок'!$J$4:$J$1012,$O21),'Дані_зв''язок'!$M$4:$M$1012,"")))</f>
        <v>МАЗ 4381</v>
      </c>
      <c r="M21" s="27" t="str" cm="1">
        <f t="array" ref="M21">IF($O21="","",IF(SUMPRODUCT(MAX(EXACT('Дані_зв''язок'!$J$4:$J$1012,$O21)*IFERROR('Дані_зв''язок'!$H$4:$H$1012,0)))=0,"",SUMPRODUCT(MAX(EXACT('Дані_зв''язок'!$J$4:$J$1012,$O21)*IFERROR('Дані_зв''язок'!$H$4:$H$1012,0)))))</f>
        <v/>
      </c>
      <c r="O21" s="30" t="s">
        <v>1149</v>
      </c>
      <c r="P21" s="24" t="str" cm="1">
        <f t="array" ref="P21">IF($O21="","",IF($B21="","",IFERROR(IF(MIN(IFERROR(VALUE(TRIM(MID(SUBSTITUTE(SUBSTITUTE($B21,","," ")," ",REPT(" ",30)),{1;31;61;91;121;151;181},30))),""))=0,"",MIN(IFERROR(VALUE(TRIM(MID(SUBSTITUTE(SUBSTITUTE($B21,","," ")," ",REPT(" ",30)),{1;31;61;91;121;151;181},30))),""))),"")))</f>
        <v/>
      </c>
      <c r="Q21" s="23" t="str">
        <f t="shared" si="2"/>
        <v>Прилуки, Чернігівська обл., 1 пров. Скоропадського</v>
      </c>
      <c r="R21" s="35">
        <f>IF($O21="","",IFERROR(INDEX('Координати майданчиків'!$H$4:$H$64,MATCH($T21,'Координати майданчиків'!$B$4:$B$64,0)),IFERROR(IF(ABS(INDEX(Геокодування!$C$2:$C$361,MATCH($Q21,Геокодування!$B$2:$B$361,0))-50.5884)+ABS(INDEX(Геокодування!$D$2:$D$361,MATCH($Q21,Геокодування!$B$2:$B$361,0))-32.3876)&gt;0.15,"",INDEX(Геокодування!$C$2:$C$361,MATCH($Q21,Геокодування!$B$2:$B$361,0))),IFERROR(IF(ABS(INDEX(Геокодування!$C$2:$C$361,MATCH("Прилуки, Чернігівська обл., "&amp;$A21,Геокодування!$B$2:$B$361,0))-50.5884)+ABS(INDEX(Геокодування!$D$2:$D$361,MATCH("Прилуки, Чернігівська обл., "&amp;$A21,Геокодування!$B$2:$B$361,0))-32.3876)&gt;0.15,"",INDEX(Геокодування!$C$2:$C$361,MATCH("Прилуки, Чернігівська обл., "&amp;$A21,Геокодування!$B$2:$B$361,0))),""))))</f>
        <v>50.598255000000002</v>
      </c>
      <c r="S21" s="43">
        <f>IF($O21="","",IFERROR(INDEX('Координати майданчиків'!$I$4:$I$64,MATCH($T21,'Координати майданчиків'!$B$4:$B$64,0)),IFERROR(IF(ABS(INDEX(Геокодування!$C$2:$C$361,MATCH($Q21,Геокодування!$B$2:$B$361,0))-50.5884)+ABS(INDEX(Геокодування!$D$2:$D$361,MATCH($Q21,Геокодування!$B$2:$B$361,0))-32.3876)&gt;0.15,"",INDEX(Геокодування!$D$2:$D$361,MATCH($Q21,Геокодування!$B$2:$B$361,0))),IFERROR(IF(ABS(INDEX(Геокодування!$C$2:$C$361,MATCH("Прилуки, Чернігівська обл., "&amp;$A21,Геокодування!$B$2:$B$361,0))-50.5884)+ABS(INDEX(Геокодування!$D$2:$D$361,MATCH("Прилуки, Чернігівська обл., "&amp;$A21,Геокодування!$B$2:$B$361,0))-32.3876)&gt;0.15,"",INDEX(Геокодування!$D$2:$D$361,MATCH("Прилуки, Чернігівська обл., "&amp;$A21,Геокодування!$B$2:$B$361,0))),""))))</f>
        <v>32.374329000000003</v>
      </c>
      <c r="T21" s="44" t="str">
        <f>IF($O21="","",IFERROR(INDEX('Координати майданчиків'!$B$4:$B$64,MATCH($A21&amp;IF($P21="","",", "&amp;$P21),'Координати майданчиків'!$B$4:$B$64,0)),IFERROR(INDEX('Координати майданчиків'!$B$4:$B$64,MATCH($A21,'Координати майданчиків'!$B$4:$B$64,0)),"")))</f>
        <v/>
      </c>
    </row>
    <row r="22" spans="1:20" x14ac:dyDescent="0.35">
      <c r="A22" s="26" t="str">
        <f t="shared" si="0"/>
        <v>1 пров. Східний</v>
      </c>
      <c r="B22" s="26" t="str">
        <f t="shared" si="1"/>
        <v/>
      </c>
      <c r="C22" s="27" t="str" cm="1">
        <f t="array" ref="C22">IF($O22="","",_xlfn.TEXTJOIN(", ",TRUE,IF(EXACT('Дані_зв''язок'!$J$4:$J$1012,$O22)*('Дані_зв''язок'!$C$4:$C$1012=C$4),'Дані_зв''язок'!$D$4:$D$1012,"")))</f>
        <v/>
      </c>
      <c r="D22" s="27" t="str" cm="1">
        <f t="array" ref="D22">IF($O22="","",_xlfn.TEXTJOIN(", ",TRUE,IF(EXACT('Дані_зв''язок'!$J$4:$J$1012,$O22)*('Дані_зв''язок'!$C$4:$C$1012=D$4),'Дані_зв''язок'!$D$4:$D$1012,"")))</f>
        <v/>
      </c>
      <c r="E22" s="27" t="str" cm="1">
        <f t="array" ref="E22">IF($O22="","",_xlfn.TEXTJOIN(", ",TRUE,IF(EXACT('Дані_зв''язок'!$J$4:$J$1012,$O22)*('Дані_зв''язок'!$C$4:$C$1012=E$4),'Дані_зв''язок'!$D$4:$D$1012,"")))</f>
        <v/>
      </c>
      <c r="F22" s="27" t="str" cm="1">
        <f t="array" ref="F22">IF($O22="","",_xlfn.TEXTJOIN(", ",TRUE,IF(EXACT('Дані_зв''язок'!$J$4:$J$1012,$O22)*('Дані_зв''язок'!$C$4:$C$1012=F$4),'Дані_зв''язок'!$D$4:$D$1012,"")))</f>
        <v/>
      </c>
      <c r="G22" s="27" t="str" cm="1">
        <f t="array" ref="G22">IF($O22="","",_xlfn.TEXTJOIN(", ",TRUE,IF(EXACT('Дані_зв''язок'!$J$4:$J$1012,$O22)*('Дані_зв''язок'!$C$4:$C$1012=G$4),'Дані_зв''язок'!$D$4:$D$1012,"")))</f>
        <v>14:30</v>
      </c>
      <c r="H22" s="27" t="str" cm="1">
        <f t="array" ref="H22">IF($O22="","",_xlfn.TEXTJOIN(", ",TRUE,IF(EXACT('Дані_зв''язок'!$J$4:$J$1012,$O22)*('Дані_зв''язок'!$C$4:$C$1012=H$4),'Дані_зв''язок'!$D$4:$D$1012,"")))</f>
        <v/>
      </c>
      <c r="I22" s="27" t="str" cm="1">
        <f t="array" ref="I22">IF($O22="","",_xlfn.TEXTJOIN(", ",TRUE,IF(EXACT('Дані_зв''язок'!$J$4:$J$1012,$O22)*('Дані_зв''язок'!$C$4:$C$1012=I$4),'Дані_зв''язок'!$D$4:$D$1012,"")))</f>
        <v/>
      </c>
      <c r="J22" s="27" cm="1">
        <f t="array" ref="J22">IF($O22="","",COUNTIF(C22:I22,"?*")+SUMPRODUCT(LEN(C22:I22)-LEN(SUBSTITUTE(C22:I22,",",""))))</f>
        <v>1</v>
      </c>
      <c r="K22" s="28" t="str" cm="1">
        <f t="array" ref="K22">IF($O22="","",_xlfn.TEXTJOIN(", ",TRUE,IF(EXACT('Дані_зв''язок'!$J$4:$J$1012,$O22),'Дані_зв''язок'!$L$4:$L$1012,"")))</f>
        <v>№5</v>
      </c>
      <c r="L22" s="28" t="str" cm="1">
        <f t="array" ref="L22">IF($O22="","",_xlfn.TEXTJOIN(", ",TRUE,IF(EXACT('Дані_зв''язок'!$J$4:$J$1012,$O22),'Дані_зв''язок'!$M$4:$M$1012,"")))</f>
        <v>МАЗ 4381</v>
      </c>
      <c r="M22" s="27" t="str" cm="1">
        <f t="array" ref="M22">IF($O22="","",IF(SUMPRODUCT(MAX(EXACT('Дані_зв''язок'!$J$4:$J$1012,$O22)*IFERROR('Дані_зв''язок'!$H$4:$H$1012,0)))=0,"",SUMPRODUCT(MAX(EXACT('Дані_зв''язок'!$J$4:$J$1012,$O22)*IFERROR('Дані_зв''язок'!$H$4:$H$1012,0)))))</f>
        <v/>
      </c>
      <c r="O22" s="30" t="s">
        <v>1150</v>
      </c>
      <c r="P22" s="24" t="str" cm="1">
        <f t="array" ref="P22">IF($O22="","",IF($B22="","",IFERROR(IF(MIN(IFERROR(VALUE(TRIM(MID(SUBSTITUTE(SUBSTITUTE($B22,","," ")," ",REPT(" ",30)),{1;31;61;91;121;151;181},30))),""))=0,"",MIN(IFERROR(VALUE(TRIM(MID(SUBSTITUTE(SUBSTITUTE($B22,","," ")," ",REPT(" ",30)),{1;31;61;91;121;151;181},30))),""))),"")))</f>
        <v/>
      </c>
      <c r="Q22" s="23" t="str">
        <f t="shared" si="2"/>
        <v>Прилуки, Чернігівська обл., 1 пров. Східний</v>
      </c>
      <c r="R22" s="35">
        <f>IF($O22="","",IFERROR(INDEX('Координати майданчиків'!$H$4:$H$64,MATCH($T22,'Координати майданчиків'!$B$4:$B$64,0)),IFERROR(IF(ABS(INDEX(Геокодування!$C$2:$C$361,MATCH($Q22,Геокодування!$B$2:$B$361,0))-50.5884)+ABS(INDEX(Геокодування!$D$2:$D$361,MATCH($Q22,Геокодування!$B$2:$B$361,0))-32.3876)&gt;0.15,"",INDEX(Геокодування!$C$2:$C$361,MATCH($Q22,Геокодування!$B$2:$B$361,0))),IFERROR(IF(ABS(INDEX(Геокодування!$C$2:$C$361,MATCH("Прилуки, Чернігівська обл., "&amp;$A22,Геокодування!$B$2:$B$361,0))-50.5884)+ABS(INDEX(Геокодування!$D$2:$D$361,MATCH("Прилуки, Чернігівська обл., "&amp;$A22,Геокодування!$B$2:$B$361,0))-32.3876)&gt;0.15,"",INDEX(Геокодування!$C$2:$C$361,MATCH("Прилуки, Чернігівська обл., "&amp;$A22,Геокодування!$B$2:$B$361,0))),""))))</f>
        <v>50.581086999999997</v>
      </c>
      <c r="S22" s="43">
        <f>IF($O22="","",IFERROR(INDEX('Координати майданчиків'!$I$4:$I$64,MATCH($T22,'Координати майданчиків'!$B$4:$B$64,0)),IFERROR(IF(ABS(INDEX(Геокодування!$C$2:$C$361,MATCH($Q22,Геокодування!$B$2:$B$361,0))-50.5884)+ABS(INDEX(Геокодування!$D$2:$D$361,MATCH($Q22,Геокодування!$B$2:$B$361,0))-32.3876)&gt;0.15,"",INDEX(Геокодування!$D$2:$D$361,MATCH($Q22,Геокодування!$B$2:$B$361,0))),IFERROR(IF(ABS(INDEX(Геокодування!$C$2:$C$361,MATCH("Прилуки, Чернігівська обл., "&amp;$A22,Геокодування!$B$2:$B$361,0))-50.5884)+ABS(INDEX(Геокодування!$D$2:$D$361,MATCH("Прилуки, Чернігівська обл., "&amp;$A22,Геокодування!$B$2:$B$361,0))-32.3876)&gt;0.15,"",INDEX(Геокодування!$D$2:$D$361,MATCH("Прилуки, Чернігівська обл., "&amp;$A22,Геокодування!$B$2:$B$361,0))),""))))</f>
        <v>32.405298000000002</v>
      </c>
      <c r="T22" s="44" t="str">
        <f>IF($O22="","",IFERROR(INDEX('Координати майданчиків'!$B$4:$B$64,MATCH($A22&amp;IF($P22="","",", "&amp;$P22),'Координати майданчиків'!$B$4:$B$64,0)),IFERROR(INDEX('Координати майданчиків'!$B$4:$B$64,MATCH($A22,'Координати майданчиків'!$B$4:$B$64,0)),"")))</f>
        <v/>
      </c>
    </row>
    <row r="23" spans="1:20" x14ac:dyDescent="0.35">
      <c r="A23" s="26" t="str">
        <f t="shared" si="0"/>
        <v>1 пров. Удайський</v>
      </c>
      <c r="B23" s="26" t="str">
        <f t="shared" si="1"/>
        <v>23,33  15,5</v>
      </c>
      <c r="C23" s="27" t="str" cm="1">
        <f t="array" ref="C23">IF($O23="","",_xlfn.TEXTJOIN(", ",TRUE,IF(EXACT('Дані_зв''язок'!$J$4:$J$1012,$O23)*('Дані_зв''язок'!$C$4:$C$1012=C$4),'Дані_зв''язок'!$D$4:$D$1012,"")))</f>
        <v>15:00</v>
      </c>
      <c r="D23" s="27" t="str" cm="1">
        <f t="array" ref="D23">IF($O23="","",_xlfn.TEXTJOIN(", ",TRUE,IF(EXACT('Дані_зв''язок'!$J$4:$J$1012,$O23)*('Дані_зв''язок'!$C$4:$C$1012=D$4),'Дані_зв''язок'!$D$4:$D$1012,"")))</f>
        <v/>
      </c>
      <c r="E23" s="27" t="str" cm="1">
        <f t="array" ref="E23">IF($O23="","",_xlfn.TEXTJOIN(", ",TRUE,IF(EXACT('Дані_зв''язок'!$J$4:$J$1012,$O23)*('Дані_зв''язок'!$C$4:$C$1012=E$4),'Дані_зв''язок'!$D$4:$D$1012,"")))</f>
        <v/>
      </c>
      <c r="F23" s="27" t="str" cm="1">
        <f t="array" ref="F23">IF($O23="","",_xlfn.TEXTJOIN(", ",TRUE,IF(EXACT('Дані_зв''язок'!$J$4:$J$1012,$O23)*('Дані_зв''язок'!$C$4:$C$1012=F$4),'Дані_зв''язок'!$D$4:$D$1012,"")))</f>
        <v/>
      </c>
      <c r="G23" s="27" t="str" cm="1">
        <f t="array" ref="G23">IF($O23="","",_xlfn.TEXTJOIN(", ",TRUE,IF(EXACT('Дані_зв''язок'!$J$4:$J$1012,$O23)*('Дані_зв''язок'!$C$4:$C$1012=G$4),'Дані_зв''язок'!$D$4:$D$1012,"")))</f>
        <v/>
      </c>
      <c r="H23" s="27" t="str" cm="1">
        <f t="array" ref="H23">IF($O23="","",_xlfn.TEXTJOIN(", ",TRUE,IF(EXACT('Дані_зв''язок'!$J$4:$J$1012,$O23)*('Дані_зв''язок'!$C$4:$C$1012=H$4),'Дані_зв''язок'!$D$4:$D$1012,"")))</f>
        <v/>
      </c>
      <c r="I23" s="27" t="str" cm="1">
        <f t="array" ref="I23">IF($O23="","",_xlfn.TEXTJOIN(", ",TRUE,IF(EXACT('Дані_зв''язок'!$J$4:$J$1012,$O23)*('Дані_зв''язок'!$C$4:$C$1012=I$4),'Дані_зв''язок'!$D$4:$D$1012,"")))</f>
        <v/>
      </c>
      <c r="J23" s="27" cm="1">
        <f t="array" ref="J23">IF($O23="","",COUNTIF(C23:I23,"?*")+SUMPRODUCT(LEN(C23:I23)-LEN(SUBSTITUTE(C23:I23,",",""))))</f>
        <v>1</v>
      </c>
      <c r="K23" s="28" t="str" cm="1">
        <f t="array" ref="K23">IF($O23="","",_xlfn.TEXTJOIN(", ",TRUE,IF(EXACT('Дані_зв''язок'!$J$4:$J$1012,$O23),'Дані_зв''язок'!$L$4:$L$1012,"")))</f>
        <v>№6</v>
      </c>
      <c r="L23" s="28" t="str" cm="1">
        <f t="array" ref="L23">IF($O23="","",_xlfn.TEXTJOIN(", ",TRUE,IF(EXACT('Дані_зв''язок'!$J$4:$J$1012,$O23),'Дані_зв''язок'!$M$4:$M$1012,"")))</f>
        <v>АТ 4021</v>
      </c>
      <c r="M23" s="27" t="str" cm="1">
        <f t="array" ref="M23">IF($O23="","",IF(SUMPRODUCT(MAX(EXACT('Дані_зв''язок'!$J$4:$J$1012,$O23)*IFERROR('Дані_зв''язок'!$H$4:$H$1012,0)))=0,"",SUMPRODUCT(MAX(EXACT('Дані_зв''язок'!$J$4:$J$1012,$O23)*IFERROR('Дані_зв''язок'!$H$4:$H$1012,0)))))</f>
        <v/>
      </c>
      <c r="O23" s="30" t="s">
        <v>1151</v>
      </c>
      <c r="P23" s="24" cm="1">
        <f t="array" ref="P23">IF($O23="","",IF($B23="","",IFERROR(IF(MIN(IFERROR(VALUE(TRIM(MID(SUBSTITUTE(SUBSTITUTE($B23,","," ")," ",REPT(" ",30)),{1;31;61;91;121;151;181},30))),""))=0,"",MIN(IFERROR(VALUE(TRIM(MID(SUBSTITUTE(SUBSTITUTE($B23,","," ")," ",REPT(" ",30)),{1;31;61;91;121;151;181},30))),""))),"")))</f>
        <v>5</v>
      </c>
      <c r="Q23" s="23" t="str">
        <f t="shared" si="2"/>
        <v>Прилуки, Чернігівська обл., 1 пров. Удайський, 5</v>
      </c>
      <c r="R23" s="35">
        <f>IF($O23="","",IFERROR(INDEX('Координати майданчиків'!$H$4:$H$64,MATCH($T23,'Координати майданчиків'!$B$4:$B$64,0)),IFERROR(IF(ABS(INDEX(Геокодування!$C$2:$C$361,MATCH($Q23,Геокодування!$B$2:$B$361,0))-50.5884)+ABS(INDEX(Геокодування!$D$2:$D$361,MATCH($Q23,Геокодування!$B$2:$B$361,0))-32.3876)&gt;0.15,"",INDEX(Геокодування!$C$2:$C$361,MATCH($Q23,Геокодування!$B$2:$B$361,0))),IFERROR(IF(ABS(INDEX(Геокодування!$C$2:$C$361,MATCH("Прилуки, Чернігівська обл., "&amp;$A23,Геокодування!$B$2:$B$361,0))-50.5884)+ABS(INDEX(Геокодування!$D$2:$D$361,MATCH("Прилуки, Чернігівська обл., "&amp;$A23,Геокодування!$B$2:$B$361,0))-32.3876)&gt;0.15,"",INDEX(Геокодування!$C$2:$C$361,MATCH("Прилуки, Чернігівська обл., "&amp;$A23,Геокодування!$B$2:$B$361,0))),""))))</f>
        <v>50.598793000000001</v>
      </c>
      <c r="S23" s="43">
        <f>IF($O23="","",IFERROR(INDEX('Координати майданчиків'!$I$4:$I$64,MATCH($T23,'Координати майданчиків'!$B$4:$B$64,0)),IFERROR(IF(ABS(INDEX(Геокодування!$C$2:$C$361,MATCH($Q23,Геокодування!$B$2:$B$361,0))-50.5884)+ABS(INDEX(Геокодування!$D$2:$D$361,MATCH($Q23,Геокодування!$B$2:$B$361,0))-32.3876)&gt;0.15,"",INDEX(Геокодування!$D$2:$D$361,MATCH($Q23,Геокодування!$B$2:$B$361,0))),IFERROR(IF(ABS(INDEX(Геокодування!$C$2:$C$361,MATCH("Прилуки, Чернігівська обл., "&amp;$A23,Геокодування!$B$2:$B$361,0))-50.5884)+ABS(INDEX(Геокодування!$D$2:$D$361,MATCH("Прилуки, Чернігівська обл., "&amp;$A23,Геокодування!$B$2:$B$361,0))-32.3876)&gt;0.15,"",INDEX(Геокодування!$D$2:$D$361,MATCH("Прилуки, Чернігівська обл., "&amp;$A23,Геокодування!$B$2:$B$361,0))),""))))</f>
        <v>32.424424999999999</v>
      </c>
      <c r="T23" s="44" t="str">
        <f>IF($O23="","",IFERROR(INDEX('Координати майданчиків'!$B$4:$B$64,MATCH($A23&amp;IF($P23="","",", "&amp;$P23),'Координати майданчиків'!$B$4:$B$64,0)),IFERROR(INDEX('Координати майданчиків'!$B$4:$B$64,MATCH($A23,'Координати майданчиків'!$B$4:$B$64,0)),"")))</f>
        <v/>
      </c>
    </row>
    <row r="24" spans="1:20" x14ac:dyDescent="0.35">
      <c r="A24" s="26" t="str">
        <f t="shared" si="0"/>
        <v>1,2 в'їзд Шарапівський</v>
      </c>
      <c r="B24" s="26" t="str">
        <f t="shared" si="1"/>
        <v>1,2  6,7</v>
      </c>
      <c r="C24" s="27" t="str" cm="1">
        <f t="array" ref="C24">IF($O24="","",_xlfn.TEXTJOIN(", ",TRUE,IF(EXACT('Дані_зв''язок'!$J$4:$J$1012,$O24)*('Дані_зв''язок'!$C$4:$C$1012=C$4),'Дані_зв''язок'!$D$4:$D$1012,"")))</f>
        <v/>
      </c>
      <c r="D24" s="27" t="str" cm="1">
        <f t="array" ref="D24">IF($O24="","",_xlfn.TEXTJOIN(", ",TRUE,IF(EXACT('Дані_зв''язок'!$J$4:$J$1012,$O24)*('Дані_зв''язок'!$C$4:$C$1012=D$4),'Дані_зв''язок'!$D$4:$D$1012,"")))</f>
        <v>14:30</v>
      </c>
      <c r="E24" s="27" t="str" cm="1">
        <f t="array" ref="E24">IF($O24="","",_xlfn.TEXTJOIN(", ",TRUE,IF(EXACT('Дані_зв''язок'!$J$4:$J$1012,$O24)*('Дані_зв''язок'!$C$4:$C$1012=E$4),'Дані_зв''язок'!$D$4:$D$1012,"")))</f>
        <v/>
      </c>
      <c r="F24" s="27" t="str" cm="1">
        <f t="array" ref="F24">IF($O24="","",_xlfn.TEXTJOIN(", ",TRUE,IF(EXACT('Дані_зв''язок'!$J$4:$J$1012,$O24)*('Дані_зв''язок'!$C$4:$C$1012=F$4),'Дані_зв''язок'!$D$4:$D$1012,"")))</f>
        <v/>
      </c>
      <c r="G24" s="27" t="str" cm="1">
        <f t="array" ref="G24">IF($O24="","",_xlfn.TEXTJOIN(", ",TRUE,IF(EXACT('Дані_зв''язок'!$J$4:$J$1012,$O24)*('Дані_зв''язок'!$C$4:$C$1012=G$4),'Дані_зв''язок'!$D$4:$D$1012,"")))</f>
        <v/>
      </c>
      <c r="H24" s="27" t="str" cm="1">
        <f t="array" ref="H24">IF($O24="","",_xlfn.TEXTJOIN(", ",TRUE,IF(EXACT('Дані_зв''язок'!$J$4:$J$1012,$O24)*('Дані_зв''язок'!$C$4:$C$1012=H$4),'Дані_зв''язок'!$D$4:$D$1012,"")))</f>
        <v/>
      </c>
      <c r="I24" s="27" t="str" cm="1">
        <f t="array" ref="I24">IF($O24="","",_xlfn.TEXTJOIN(", ",TRUE,IF(EXACT('Дані_зв''язок'!$J$4:$J$1012,$O24)*('Дані_зв''язок'!$C$4:$C$1012=I$4),'Дані_зв''язок'!$D$4:$D$1012,"")))</f>
        <v/>
      </c>
      <c r="J24" s="27" cm="1">
        <f t="array" ref="J24">IF($O24="","",COUNTIF(C24:I24,"?*")+SUMPRODUCT(LEN(C24:I24)-LEN(SUBSTITUTE(C24:I24,",",""))))</f>
        <v>1</v>
      </c>
      <c r="K24" s="28" t="str" cm="1">
        <f t="array" ref="K24">IF($O24="","",_xlfn.TEXTJOIN(", ",TRUE,IF(EXACT('Дані_зв''язок'!$J$4:$J$1012,$O24),'Дані_зв''язок'!$L$4:$L$1012,"")))</f>
        <v>№6</v>
      </c>
      <c r="L24" s="28" t="str" cm="1">
        <f t="array" ref="L24">IF($O24="","",_xlfn.TEXTJOIN(", ",TRUE,IF(EXACT('Дані_зв''язок'!$J$4:$J$1012,$O24),'Дані_зв''язок'!$M$4:$M$1012,"")))</f>
        <v>АТ 4021</v>
      </c>
      <c r="M24" s="27" t="str" cm="1">
        <f t="array" ref="M24">IF($O24="","",IF(SUMPRODUCT(MAX(EXACT('Дані_зв''язок'!$J$4:$J$1012,$O24)*IFERROR('Дані_зв''язок'!$H$4:$H$1012,0)))=0,"",SUMPRODUCT(MAX(EXACT('Дані_зв''язок'!$J$4:$J$1012,$O24)*IFERROR('Дані_зв''язок'!$H$4:$H$1012,0)))))</f>
        <v/>
      </c>
      <c r="O24" s="30" t="s">
        <v>1152</v>
      </c>
      <c r="P24" s="24" cm="1">
        <f t="array" ref="P24">IF($O24="","",IF($B24="","",IFERROR(IF(MIN(IFERROR(VALUE(TRIM(MID(SUBSTITUTE(SUBSTITUTE($B24,","," ")," ",REPT(" ",30)),{1;31;61;91;121;151;181},30))),""))=0,"",MIN(IFERROR(VALUE(TRIM(MID(SUBSTITUTE(SUBSTITUTE($B24,","," ")," ",REPT(" ",30)),{1;31;61;91;121;151;181},30))),""))),"")))</f>
        <v>1</v>
      </c>
      <c r="Q24" s="23" t="str">
        <f t="shared" si="2"/>
        <v>Прилуки, Чернігівська обл., 1,2 в'їзд Шарапівський, 1</v>
      </c>
      <c r="R24" s="67" t="s">
        <v>1793</v>
      </c>
      <c r="S24" s="67" t="s">
        <v>1794</v>
      </c>
      <c r="T24" s="68"/>
    </row>
    <row r="25" spans="1:20" x14ac:dyDescent="0.35">
      <c r="A25" s="26" t="str">
        <f t="shared" si="0"/>
        <v>2 в'їзд Василя Стуса</v>
      </c>
      <c r="B25" s="26" t="str">
        <f t="shared" si="1"/>
        <v/>
      </c>
      <c r="C25" s="27" t="str" cm="1">
        <f t="array" ref="C25">IF($O25="","",_xlfn.TEXTJOIN(", ",TRUE,IF(EXACT('Дані_зв''язок'!$J$4:$J$1012,$O25)*('Дані_зв''язок'!$C$4:$C$1012=C$4),'Дані_зв''язок'!$D$4:$D$1012,"")))</f>
        <v/>
      </c>
      <c r="D25" s="27" t="str" cm="1">
        <f t="array" ref="D25">IF($O25="","",_xlfn.TEXTJOIN(", ",TRUE,IF(EXACT('Дані_зв''язок'!$J$4:$J$1012,$O25)*('Дані_зв''язок'!$C$4:$C$1012=D$4),'Дані_зв''язок'!$D$4:$D$1012,"")))</f>
        <v/>
      </c>
      <c r="E25" s="27" t="str" cm="1">
        <f t="array" ref="E25">IF($O25="","",_xlfn.TEXTJOIN(", ",TRUE,IF(EXACT('Дані_зв''язок'!$J$4:$J$1012,$O25)*('Дані_зв''язок'!$C$4:$C$1012=E$4),'Дані_зв''язок'!$D$4:$D$1012,"")))</f>
        <v/>
      </c>
      <c r="F25" s="27" t="str" cm="1">
        <f t="array" ref="F25">IF($O25="","",_xlfn.TEXTJOIN(", ",TRUE,IF(EXACT('Дані_зв''язок'!$J$4:$J$1012,$O25)*('Дані_зв''язок'!$C$4:$C$1012=F$4),'Дані_зв''язок'!$D$4:$D$1012,"")))</f>
        <v/>
      </c>
      <c r="G25" s="27" t="str" cm="1">
        <f t="array" ref="G25">IF($O25="","",_xlfn.TEXTJOIN(", ",TRUE,IF(EXACT('Дані_зв''язок'!$J$4:$J$1012,$O25)*('Дані_зв''язок'!$C$4:$C$1012=G$4),'Дані_зв''язок'!$D$4:$D$1012,"")))</f>
        <v>13:25</v>
      </c>
      <c r="H25" s="27" t="str" cm="1">
        <f t="array" ref="H25">IF($O25="","",_xlfn.TEXTJOIN(", ",TRUE,IF(EXACT('Дані_зв''язок'!$J$4:$J$1012,$O25)*('Дані_зв''язок'!$C$4:$C$1012=H$4),'Дані_зв''язок'!$D$4:$D$1012,"")))</f>
        <v/>
      </c>
      <c r="I25" s="27" t="str" cm="1">
        <f t="array" ref="I25">IF($O25="","",_xlfn.TEXTJOIN(", ",TRUE,IF(EXACT('Дані_зв''язок'!$J$4:$J$1012,$O25)*('Дані_зв''язок'!$C$4:$C$1012=I$4),'Дані_зв''язок'!$D$4:$D$1012,"")))</f>
        <v/>
      </c>
      <c r="J25" s="27" cm="1">
        <f t="array" ref="J25">IF($O25="","",COUNTIF(C25:I25,"?*")+SUMPRODUCT(LEN(C25:I25)-LEN(SUBSTITUTE(C25:I25,",",""))))</f>
        <v>1</v>
      </c>
      <c r="K25" s="28" t="str" cm="1">
        <f t="array" ref="K25">IF($O25="","",_xlfn.TEXTJOIN(", ",TRUE,IF(EXACT('Дані_зв''язок'!$J$4:$J$1012,$O25),'Дані_зв''язок'!$L$4:$L$1012,"")))</f>
        <v>№3</v>
      </c>
      <c r="L25" s="28" t="str" cm="1">
        <f t="array" ref="L25">IF($O25="","",_xlfn.TEXTJOIN(", ",TRUE,IF(EXACT('Дані_зв''язок'!$J$4:$J$1012,$O25),'Дані_зв''язок'!$M$4:$M$1012,"")))</f>
        <v>МАЗ-4371</v>
      </c>
      <c r="M25" s="27" cm="1">
        <f t="array" ref="M25">IF($O25="","",IF(SUMPRODUCT(MAX(EXACT('Дані_зв''язок'!$J$4:$J$1012,$O25)*IFERROR('Дані_зв''язок'!$H$4:$H$1012,0)))=0,"",SUMPRODUCT(MAX(EXACT('Дані_зв''язок'!$J$4:$J$1012,$O25)*IFERROR('Дані_зв''язок'!$H$4:$H$1012,0)))))</f>
        <v>3</v>
      </c>
      <c r="O25" s="30" t="s">
        <v>1154</v>
      </c>
      <c r="P25" s="24" t="str" cm="1">
        <f t="array" ref="P25">IF($O25="","",IF($B25="","",IFERROR(IF(MIN(IFERROR(VALUE(TRIM(MID(SUBSTITUTE(SUBSTITUTE($B25,","," ")," ",REPT(" ",30)),{1;31;61;91;121;151;181},30))),""))=0,"",MIN(IFERROR(VALUE(TRIM(MID(SUBSTITUTE(SUBSTITUTE($B25,","," ")," ",REPT(" ",30)),{1;31;61;91;121;151;181},30))),""))),"")))</f>
        <v/>
      </c>
      <c r="Q25" s="23" t="str">
        <f t="shared" si="2"/>
        <v>Прилуки, Чернігівська обл., 2 в'їзд Василя Стуса</v>
      </c>
      <c r="R25" s="35">
        <f>IF($O25="","",IFERROR(INDEX('Координати майданчиків'!$H$4:$H$64,MATCH($T25,'Координати майданчиків'!$B$4:$B$64,0)),IFERROR(IF(ABS(INDEX(Геокодування!$C$2:$C$361,MATCH($Q25,Геокодування!$B$2:$B$361,0))-50.5884)+ABS(INDEX(Геокодування!$D$2:$D$361,MATCH($Q25,Геокодування!$B$2:$B$361,0))-32.3876)&gt;0.15,"",INDEX(Геокодування!$C$2:$C$361,MATCH($Q25,Геокодування!$B$2:$B$361,0))),IFERROR(IF(ABS(INDEX(Геокодування!$C$2:$C$361,MATCH("Прилуки, Чернігівська обл., "&amp;$A25,Геокодування!$B$2:$B$361,0))-50.5884)+ABS(INDEX(Геокодування!$D$2:$D$361,MATCH("Прилуки, Чернігівська обл., "&amp;$A25,Геокодування!$B$2:$B$361,0))-32.3876)&gt;0.15,"",INDEX(Геокодування!$C$2:$C$361,MATCH("Прилуки, Чернігівська обл., "&amp;$A25,Геокодування!$B$2:$B$361,0))),""))))</f>
        <v>50.582349000000001</v>
      </c>
      <c r="S25" s="43">
        <f>IF($O25="","",IFERROR(INDEX('Координати майданчиків'!$I$4:$I$64,MATCH($T25,'Координати майданчиків'!$B$4:$B$64,0)),IFERROR(IF(ABS(INDEX(Геокодування!$C$2:$C$361,MATCH($Q25,Геокодування!$B$2:$B$361,0))-50.5884)+ABS(INDEX(Геокодування!$D$2:$D$361,MATCH($Q25,Геокодування!$B$2:$B$361,0))-32.3876)&gt;0.15,"",INDEX(Геокодування!$D$2:$D$361,MATCH($Q25,Геокодування!$B$2:$B$361,0))),IFERROR(IF(ABS(INDEX(Геокодування!$C$2:$C$361,MATCH("Прилуки, Чернігівська обл., "&amp;$A25,Геокодування!$B$2:$B$361,0))-50.5884)+ABS(INDEX(Геокодування!$D$2:$D$361,MATCH("Прилуки, Чернігівська обл., "&amp;$A25,Геокодування!$B$2:$B$361,0))-32.3876)&gt;0.15,"",INDEX(Геокодування!$D$2:$D$361,MATCH("Прилуки, Чернігівська обл., "&amp;$A25,Геокодування!$B$2:$B$361,0))),""))))</f>
        <v>32.408320000000003</v>
      </c>
      <c r="T25" s="44" t="str">
        <f>IF($O25="","",IFERROR(INDEX('Координати майданчиків'!$B$4:$B$64,MATCH($A25&amp;IF($P25="","",", "&amp;$P25),'Координати майданчиків'!$B$4:$B$64,0)),IFERROR(INDEX('Координати майданчиків'!$B$4:$B$64,MATCH($A25,'Координати майданчиків'!$B$4:$B$64,0)),"")))</f>
        <v/>
      </c>
    </row>
    <row r="26" spans="1:20" x14ac:dyDescent="0.35">
      <c r="A26" s="26" t="str">
        <f t="shared" si="0"/>
        <v>2 в'їзд Вишневий</v>
      </c>
      <c r="B26" s="26" t="str">
        <f t="shared" si="1"/>
        <v/>
      </c>
      <c r="C26" s="27" t="str" cm="1">
        <f t="array" ref="C26">IF($O26="","",_xlfn.TEXTJOIN(", ",TRUE,IF(EXACT('Дані_зв''язок'!$J$4:$J$1012,$O26)*('Дані_зв''язок'!$C$4:$C$1012=C$4),'Дані_зв''язок'!$D$4:$D$1012,"")))</f>
        <v/>
      </c>
      <c r="D26" s="27" t="str" cm="1">
        <f t="array" ref="D26">IF($O26="","",_xlfn.TEXTJOIN(", ",TRUE,IF(EXACT('Дані_зв''язок'!$J$4:$J$1012,$O26)*('Дані_зв''язок'!$C$4:$C$1012=D$4),'Дані_зв''язок'!$D$4:$D$1012,"")))</f>
        <v/>
      </c>
      <c r="E26" s="27" t="str" cm="1">
        <f t="array" ref="E26">IF($O26="","",_xlfn.TEXTJOIN(", ",TRUE,IF(EXACT('Дані_зв''язок'!$J$4:$J$1012,$O26)*('Дані_зв''язок'!$C$4:$C$1012=E$4),'Дані_зв''язок'!$D$4:$D$1012,"")))</f>
        <v/>
      </c>
      <c r="F26" s="27" t="str" cm="1">
        <f t="array" ref="F26">IF($O26="","",_xlfn.TEXTJOIN(", ",TRUE,IF(EXACT('Дані_зв''язок'!$J$4:$J$1012,$O26)*('Дані_зв''язок'!$C$4:$C$1012=F$4),'Дані_зв''язок'!$D$4:$D$1012,"")))</f>
        <v/>
      </c>
      <c r="G26" s="27" t="str" cm="1">
        <f t="array" ref="G26">IF($O26="","",_xlfn.TEXTJOIN(", ",TRUE,IF(EXACT('Дані_зв''язок'!$J$4:$J$1012,$O26)*('Дані_зв''язок'!$C$4:$C$1012=G$4),'Дані_зв''язок'!$D$4:$D$1012,"")))</f>
        <v>12:35</v>
      </c>
      <c r="H26" s="27" t="str" cm="1">
        <f t="array" ref="H26">IF($O26="","",_xlfn.TEXTJOIN(", ",TRUE,IF(EXACT('Дані_зв''язок'!$J$4:$J$1012,$O26)*('Дані_зв''язок'!$C$4:$C$1012=H$4),'Дані_зв''язок'!$D$4:$D$1012,"")))</f>
        <v/>
      </c>
      <c r="I26" s="27" t="str" cm="1">
        <f t="array" ref="I26">IF($O26="","",_xlfn.TEXTJOIN(", ",TRUE,IF(EXACT('Дані_зв''язок'!$J$4:$J$1012,$O26)*('Дані_зв''язок'!$C$4:$C$1012=I$4),'Дані_зв''язок'!$D$4:$D$1012,"")))</f>
        <v/>
      </c>
      <c r="J26" s="27" cm="1">
        <f t="array" ref="J26">IF($O26="","",COUNTIF(C26:I26,"?*")+SUMPRODUCT(LEN(C26:I26)-LEN(SUBSTITUTE(C26:I26,",",""))))</f>
        <v>1</v>
      </c>
      <c r="K26" s="28" t="str" cm="1">
        <f t="array" ref="K26">IF($O26="","",_xlfn.TEXTJOIN(", ",TRUE,IF(EXACT('Дані_зв''язок'!$J$4:$J$1012,$O26),'Дані_зв''язок'!$L$4:$L$1012,"")))</f>
        <v>№5</v>
      </c>
      <c r="L26" s="28" t="str" cm="1">
        <f t="array" ref="L26">IF($O26="","",_xlfn.TEXTJOIN(", ",TRUE,IF(EXACT('Дані_зв''язок'!$J$4:$J$1012,$O26),'Дані_зв''язок'!$M$4:$M$1012,"")))</f>
        <v>МАЗ 4381</v>
      </c>
      <c r="M26" s="27" t="str" cm="1">
        <f t="array" ref="M26">IF($O26="","",IF(SUMPRODUCT(MAX(EXACT('Дані_зв''язок'!$J$4:$J$1012,$O26)*IFERROR('Дані_зв''язок'!$H$4:$H$1012,0)))=0,"",SUMPRODUCT(MAX(EXACT('Дані_зв''язок'!$J$4:$J$1012,$O26)*IFERROR('Дані_зв''язок'!$H$4:$H$1012,0)))))</f>
        <v/>
      </c>
      <c r="O26" s="30" t="s">
        <v>1155</v>
      </c>
      <c r="P26" s="24" t="str" cm="1">
        <f t="array" ref="P26">IF($O26="","",IF($B26="","",IFERROR(IF(MIN(IFERROR(VALUE(TRIM(MID(SUBSTITUTE(SUBSTITUTE($B26,","," ")," ",REPT(" ",30)),{1;31;61;91;121;151;181},30))),""))=0,"",MIN(IFERROR(VALUE(TRIM(MID(SUBSTITUTE(SUBSTITUTE($B26,","," ")," ",REPT(" ",30)),{1;31;61;91;121;151;181},30))),""))),"")))</f>
        <v/>
      </c>
      <c r="Q26" s="23" t="str">
        <f t="shared" si="2"/>
        <v>Прилуки, Чернігівська обл., 2 в'їзд Вишневий</v>
      </c>
      <c r="R26" s="35">
        <f>IF($O26="","",IFERROR(INDEX('Координати майданчиків'!$H$4:$H$64,MATCH($T26,'Координати майданчиків'!$B$4:$B$64,0)),IFERROR(IF(ABS(INDEX(Геокодування!$C$2:$C$361,MATCH($Q26,Геокодування!$B$2:$B$361,0))-50.5884)+ABS(INDEX(Геокодування!$D$2:$D$361,MATCH($Q26,Геокодування!$B$2:$B$361,0))-32.3876)&gt;0.15,"",INDEX(Геокодування!$C$2:$C$361,MATCH($Q26,Геокодування!$B$2:$B$361,0))),IFERROR(IF(ABS(INDEX(Геокодування!$C$2:$C$361,MATCH("Прилуки, Чернігівська обл., "&amp;$A26,Геокодування!$B$2:$B$361,0))-50.5884)+ABS(INDEX(Геокодування!$D$2:$D$361,MATCH("Прилуки, Чернігівська обл., "&amp;$A26,Геокодування!$B$2:$B$361,0))-32.3876)&gt;0.15,"",INDEX(Геокодування!$C$2:$C$361,MATCH("Прилуки, Чернігівська обл., "&amp;$A26,Геокодування!$B$2:$B$361,0))),""))))</f>
        <v>50.581305</v>
      </c>
      <c r="S26" s="43">
        <f>IF($O26="","",IFERROR(INDEX('Координати майданчиків'!$I$4:$I$64,MATCH($T26,'Координати майданчиків'!$B$4:$B$64,0)),IFERROR(IF(ABS(INDEX(Геокодування!$C$2:$C$361,MATCH($Q26,Геокодування!$B$2:$B$361,0))-50.5884)+ABS(INDEX(Геокодування!$D$2:$D$361,MATCH($Q26,Геокодування!$B$2:$B$361,0))-32.3876)&gt;0.15,"",INDEX(Геокодування!$D$2:$D$361,MATCH($Q26,Геокодування!$B$2:$B$361,0))),IFERROR(IF(ABS(INDEX(Геокодування!$C$2:$C$361,MATCH("Прилуки, Чернігівська обл., "&amp;$A26,Геокодування!$B$2:$B$361,0))-50.5884)+ABS(INDEX(Геокодування!$D$2:$D$361,MATCH("Прилуки, Чернігівська обл., "&amp;$A26,Геокодування!$B$2:$B$361,0))-32.3876)&gt;0.15,"",INDEX(Геокодування!$D$2:$D$361,MATCH("Прилуки, Чернігівська обл., "&amp;$A26,Геокодування!$B$2:$B$361,0))),""))))</f>
        <v>32.425981999999998</v>
      </c>
      <c r="T26" s="44" t="str">
        <f>IF($O26="","",IFERROR(INDEX('Координати майданчиків'!$B$4:$B$64,MATCH($A26&amp;IF($P26="","",", "&amp;$P26),'Координати майданчиків'!$B$4:$B$64,0)),IFERROR(INDEX('Координати майданчиків'!$B$4:$B$64,MATCH($A26,'Координати майданчиків'!$B$4:$B$64,0)),"")))</f>
        <v/>
      </c>
    </row>
    <row r="27" spans="1:20" x14ac:dyDescent="0.35">
      <c r="A27" s="26" t="str">
        <f t="shared" si="0"/>
        <v>2 в'їзд Гоголя</v>
      </c>
      <c r="B27" s="26" t="str">
        <f t="shared" si="1"/>
        <v>4,14</v>
      </c>
      <c r="C27" s="27" t="str" cm="1">
        <f t="array" ref="C27">IF($O27="","",_xlfn.TEXTJOIN(", ",TRUE,IF(EXACT('Дані_зв''язок'!$J$4:$J$1012,$O27)*('Дані_зв''язок'!$C$4:$C$1012=C$4),'Дані_зв''язок'!$D$4:$D$1012,"")))</f>
        <v/>
      </c>
      <c r="D27" s="27" t="str" cm="1">
        <f t="array" ref="D27">IF($O27="","",_xlfn.TEXTJOIN(", ",TRUE,IF(EXACT('Дані_зв''язок'!$J$4:$J$1012,$O27)*('Дані_зв''язок'!$C$4:$C$1012=D$4),'Дані_зв''язок'!$D$4:$D$1012,"")))</f>
        <v/>
      </c>
      <c r="E27" s="27" t="str" cm="1">
        <f t="array" ref="E27">IF($O27="","",_xlfn.TEXTJOIN(", ",TRUE,IF(EXACT('Дані_зв''язок'!$J$4:$J$1012,$O27)*('Дані_зв''язок'!$C$4:$C$1012=E$4),'Дані_зв''язок'!$D$4:$D$1012,"")))</f>
        <v/>
      </c>
      <c r="F27" s="27" t="str" cm="1">
        <f t="array" ref="F27">IF($O27="","",_xlfn.TEXTJOIN(", ",TRUE,IF(EXACT('Дані_зв''язок'!$J$4:$J$1012,$O27)*('Дані_зв''язок'!$C$4:$C$1012=F$4),'Дані_зв''язок'!$D$4:$D$1012,"")))</f>
        <v>13:15</v>
      </c>
      <c r="G27" s="27" t="str" cm="1">
        <f t="array" ref="G27">IF($O27="","",_xlfn.TEXTJOIN(", ",TRUE,IF(EXACT('Дані_зв''язок'!$J$4:$J$1012,$O27)*('Дані_зв''язок'!$C$4:$C$1012=G$4),'Дані_зв''язок'!$D$4:$D$1012,"")))</f>
        <v/>
      </c>
      <c r="H27" s="27" t="str" cm="1">
        <f t="array" ref="H27">IF($O27="","",_xlfn.TEXTJOIN(", ",TRUE,IF(EXACT('Дані_зв''язок'!$J$4:$J$1012,$O27)*('Дані_зв''язок'!$C$4:$C$1012=H$4),'Дані_зв''язок'!$D$4:$D$1012,"")))</f>
        <v/>
      </c>
      <c r="I27" s="27" t="str" cm="1">
        <f t="array" ref="I27">IF($O27="","",_xlfn.TEXTJOIN(", ",TRUE,IF(EXACT('Дані_зв''язок'!$J$4:$J$1012,$O27)*('Дані_зв''язок'!$C$4:$C$1012=I$4),'Дані_зв''язок'!$D$4:$D$1012,"")))</f>
        <v/>
      </c>
      <c r="J27" s="27" cm="1">
        <f t="array" ref="J27">IF($O27="","",COUNTIF(C27:I27,"?*")+SUMPRODUCT(LEN(C27:I27)-LEN(SUBSTITUTE(C27:I27,",",""))))</f>
        <v>1</v>
      </c>
      <c r="K27" s="28" t="str" cm="1">
        <f t="array" ref="K27">IF($O27="","",_xlfn.TEXTJOIN(", ",TRUE,IF(EXACT('Дані_зв''язок'!$J$4:$J$1012,$O27),'Дані_зв''язок'!$L$4:$L$1012,"")))</f>
        <v>№6</v>
      </c>
      <c r="L27" s="28" t="str" cm="1">
        <f t="array" ref="L27">IF($O27="","",_xlfn.TEXTJOIN(", ",TRUE,IF(EXACT('Дані_зв''язок'!$J$4:$J$1012,$O27),'Дані_зв''язок'!$M$4:$M$1012,"")))</f>
        <v>АТ 4021</v>
      </c>
      <c r="M27" s="27" t="str" cm="1">
        <f t="array" ref="M27">IF($O27="","",IF(SUMPRODUCT(MAX(EXACT('Дані_зв''язок'!$J$4:$J$1012,$O27)*IFERROR('Дані_зв''язок'!$H$4:$H$1012,0)))=0,"",SUMPRODUCT(MAX(EXACT('Дані_зв''язок'!$J$4:$J$1012,$O27)*IFERROR('Дані_зв''язок'!$H$4:$H$1012,0)))))</f>
        <v/>
      </c>
      <c r="O27" s="30" t="s">
        <v>1156</v>
      </c>
      <c r="P27" s="24" cm="1">
        <f t="array" ref="P27">IF($O27="","",IF($B27="","",IFERROR(IF(MIN(IFERROR(VALUE(TRIM(MID(SUBSTITUTE(SUBSTITUTE($B27,","," ")," ",REPT(" ",30)),{1;31;61;91;121;151;181},30))),""))=0,"",MIN(IFERROR(VALUE(TRIM(MID(SUBSTITUTE(SUBSTITUTE($B27,","," ")," ",REPT(" ",30)),{1;31;61;91;121;151;181},30))),""))),"")))</f>
        <v>4</v>
      </c>
      <c r="Q27" s="23" t="str">
        <f t="shared" si="2"/>
        <v>Прилуки, Чернігівська обл., 2 в'їзд Гоголя, 4</v>
      </c>
      <c r="R27" s="35">
        <f>IF($O27="","",IFERROR(INDEX('Координати майданчиків'!$H$4:$H$64,MATCH($T27,'Координати майданчиків'!$B$4:$B$64,0)),IFERROR(IF(ABS(INDEX(Геокодування!$C$2:$C$361,MATCH($Q27,Геокодування!$B$2:$B$361,0))-50.5884)+ABS(INDEX(Геокодування!$D$2:$D$361,MATCH($Q27,Геокодування!$B$2:$B$361,0))-32.3876)&gt;0.15,"",INDEX(Геокодування!$C$2:$C$361,MATCH($Q27,Геокодування!$B$2:$B$361,0))),IFERROR(IF(ABS(INDEX(Геокодування!$C$2:$C$361,MATCH("Прилуки, Чернігівська обл., "&amp;$A27,Геокодування!$B$2:$B$361,0))-50.5884)+ABS(INDEX(Геокодування!$D$2:$D$361,MATCH("Прилуки, Чернігівська обл., "&amp;$A27,Геокодування!$B$2:$B$361,0))-32.3876)&gt;0.15,"",INDEX(Геокодування!$C$2:$C$361,MATCH("Прилуки, Чернігівська обл., "&amp;$A27,Геокодування!$B$2:$B$361,0))),""))))</f>
        <v>50.607615000000003</v>
      </c>
      <c r="S27" s="43">
        <f>IF($O27="","",IFERROR(INDEX('Координати майданчиків'!$I$4:$I$64,MATCH($T27,'Координати майданчиків'!$B$4:$B$64,0)),IFERROR(IF(ABS(INDEX(Геокодування!$C$2:$C$361,MATCH($Q27,Геокодування!$B$2:$B$361,0))-50.5884)+ABS(INDEX(Геокодування!$D$2:$D$361,MATCH($Q27,Геокодування!$B$2:$B$361,0))-32.3876)&gt;0.15,"",INDEX(Геокодування!$D$2:$D$361,MATCH($Q27,Геокодування!$B$2:$B$361,0))),IFERROR(IF(ABS(INDEX(Геокодування!$C$2:$C$361,MATCH("Прилуки, Чернігівська обл., "&amp;$A27,Геокодування!$B$2:$B$361,0))-50.5884)+ABS(INDEX(Геокодування!$D$2:$D$361,MATCH("Прилуки, Чернігівська обл., "&amp;$A27,Геокодування!$B$2:$B$361,0))-32.3876)&gt;0.15,"",INDEX(Геокодування!$D$2:$D$361,MATCH("Прилуки, Чернігівська обл., "&amp;$A27,Геокодування!$B$2:$B$361,0))),""))))</f>
        <v>32.379038999999999</v>
      </c>
      <c r="T27" s="44" t="str">
        <f>IF($O27="","",IFERROR(INDEX('Координати майданчиків'!$B$4:$B$64,MATCH($A27&amp;IF($P27="","",", "&amp;$P27),'Координати майданчиків'!$B$4:$B$64,0)),IFERROR(INDEX('Координати майданчиків'!$B$4:$B$64,MATCH($A27,'Координати майданчиків'!$B$4:$B$64,0)),"")))</f>
        <v/>
      </c>
    </row>
    <row r="28" spans="1:20" x14ac:dyDescent="0.35">
      <c r="A28" s="26" t="str">
        <f t="shared" si="0"/>
        <v>2 в-д Небесної Сотні</v>
      </c>
      <c r="B28" s="26" t="str">
        <f t="shared" si="1"/>
        <v>НВК</v>
      </c>
      <c r="C28" s="27" t="str" cm="1">
        <f t="array" ref="C28">IF($O28="","",_xlfn.TEXTJOIN(", ",TRUE,IF(EXACT('Дані_зв''язок'!$J$4:$J$1012,$O28)*('Дані_зв''язок'!$C$4:$C$1012=C$4),'Дані_зв''язок'!$D$4:$D$1012,"")))</f>
        <v>8:05</v>
      </c>
      <c r="D28" s="27" t="str" cm="1">
        <f t="array" ref="D28">IF($O28="","",_xlfn.TEXTJOIN(", ",TRUE,IF(EXACT('Дані_зв''язок'!$J$4:$J$1012,$O28)*('Дані_зв''язок'!$C$4:$C$1012=D$4),'Дані_зв''язок'!$D$4:$D$1012,"")))</f>
        <v/>
      </c>
      <c r="E28" s="27" t="str" cm="1">
        <f t="array" ref="E28">IF($O28="","",_xlfn.TEXTJOIN(", ",TRUE,IF(EXACT('Дані_зв''язок'!$J$4:$J$1012,$O28)*('Дані_зв''язок'!$C$4:$C$1012=E$4),'Дані_зв''язок'!$D$4:$D$1012,"")))</f>
        <v/>
      </c>
      <c r="F28" s="27" t="str" cm="1">
        <f t="array" ref="F28">IF($O28="","",_xlfn.TEXTJOIN(", ",TRUE,IF(EXACT('Дані_зв''язок'!$J$4:$J$1012,$O28)*('Дані_зв''язок'!$C$4:$C$1012=F$4),'Дані_зв''язок'!$D$4:$D$1012,"")))</f>
        <v/>
      </c>
      <c r="G28" s="27" t="str" cm="1">
        <f t="array" ref="G28">IF($O28="","",_xlfn.TEXTJOIN(", ",TRUE,IF(EXACT('Дані_зв''язок'!$J$4:$J$1012,$O28)*('Дані_зв''язок'!$C$4:$C$1012=G$4),'Дані_зв''язок'!$D$4:$D$1012,"")))</f>
        <v/>
      </c>
      <c r="H28" s="27" t="str" cm="1">
        <f t="array" ref="H28">IF($O28="","",_xlfn.TEXTJOIN(", ",TRUE,IF(EXACT('Дані_зв''язок'!$J$4:$J$1012,$O28)*('Дані_зв''язок'!$C$4:$C$1012=H$4),'Дані_зв''язок'!$D$4:$D$1012,"")))</f>
        <v/>
      </c>
      <c r="I28" s="27" t="str" cm="1">
        <f t="array" ref="I28">IF($O28="","",_xlfn.TEXTJOIN(", ",TRUE,IF(EXACT('Дані_зв''язок'!$J$4:$J$1012,$O28)*('Дані_зв''язок'!$C$4:$C$1012=I$4),'Дані_зв''язок'!$D$4:$D$1012,"")))</f>
        <v/>
      </c>
      <c r="J28" s="27" cm="1">
        <f t="array" ref="J28">IF($O28="","",COUNTIF(C28:I28,"?*")+SUMPRODUCT(LEN(C28:I28)-LEN(SUBSTITUTE(C28:I28,",",""))))</f>
        <v>1</v>
      </c>
      <c r="K28" s="28" t="str" cm="1">
        <f t="array" ref="K28">IF($O28="","",_xlfn.TEXTJOIN(", ",TRUE,IF(EXACT('Дані_зв''язок'!$J$4:$J$1012,$O28),'Дані_зв''язок'!$L$4:$L$1012,"")))</f>
        <v>№3</v>
      </c>
      <c r="L28" s="28" t="str" cm="1">
        <f t="array" ref="L28">IF($O28="","",_xlfn.TEXTJOIN(", ",TRUE,IF(EXACT('Дані_зв''язок'!$J$4:$J$1012,$O28),'Дані_зв''язок'!$M$4:$M$1012,"")))</f>
        <v>ГАЗ 3309</v>
      </c>
      <c r="M28" s="27" cm="1">
        <f t="array" ref="M28">IF($O28="","",IF(SUMPRODUCT(MAX(EXACT('Дані_зв''язок'!$J$4:$J$1012,$O28)*IFERROR('Дані_зв''язок'!$H$4:$H$1012,0)))=0,"",SUMPRODUCT(MAX(EXACT('Дані_зв''язок'!$J$4:$J$1012,$O28)*IFERROR('Дані_зв''язок'!$H$4:$H$1012,0)))))</f>
        <v>2</v>
      </c>
      <c r="O28" s="30" t="s">
        <v>1153</v>
      </c>
      <c r="P28" s="24" t="str" cm="1">
        <f t="array" ref="P28">IF($O28="","",IF($B28="","",IFERROR(IF(MIN(IFERROR(VALUE(TRIM(MID(SUBSTITUTE(SUBSTITUTE($B28,","," ")," ",REPT(" ",30)),{1;31;61;91;121;151;181},30))),""))=0,"",MIN(IFERROR(VALUE(TRIM(MID(SUBSTITUTE(SUBSTITUTE($B28,","," ")," ",REPT(" ",30)),{1;31;61;91;121;151;181},30))),""))),"")))</f>
        <v/>
      </c>
      <c r="Q28" s="23" t="str">
        <f t="shared" si="2"/>
        <v>Прилуки, Чернігівська обл., 2 в-д Небесної Сотні</v>
      </c>
      <c r="R28" s="35">
        <f>IF($O28="","",IFERROR(INDEX('Координати майданчиків'!$H$4:$H$64,MATCH($T28,'Координати майданчиків'!$B$4:$B$64,0)),IFERROR(IF(ABS(INDEX(Геокодування!$C$2:$C$361,MATCH($Q28,Геокодування!$B$2:$B$361,0))-50.5884)+ABS(INDEX(Геокодування!$D$2:$D$361,MATCH($Q28,Геокодування!$B$2:$B$361,0))-32.3876)&gt;0.15,"",INDEX(Геокодування!$C$2:$C$361,MATCH($Q28,Геокодування!$B$2:$B$361,0))),IFERROR(IF(ABS(INDEX(Геокодування!$C$2:$C$361,MATCH("Прилуки, Чернігівська обл., "&amp;$A28,Геокодування!$B$2:$B$361,0))-50.5884)+ABS(INDEX(Геокодування!$D$2:$D$361,MATCH("Прилуки, Чернігівська обл., "&amp;$A28,Геокодування!$B$2:$B$361,0))-32.3876)&gt;0.15,"",INDEX(Геокодування!$C$2:$C$361,MATCH("Прилуки, Чернігівська обл., "&amp;$A28,Геокодування!$B$2:$B$361,0))),""))))</f>
        <v>50.594043999999997</v>
      </c>
      <c r="S28" s="43">
        <f>IF($O28="","",IFERROR(INDEX('Координати майданчиків'!$I$4:$I$64,MATCH($T28,'Координати майданчиків'!$B$4:$B$64,0)),IFERROR(IF(ABS(INDEX(Геокодування!$C$2:$C$361,MATCH($Q28,Геокодування!$B$2:$B$361,0))-50.5884)+ABS(INDEX(Геокодування!$D$2:$D$361,MATCH($Q28,Геокодування!$B$2:$B$361,0))-32.3876)&gt;0.15,"",INDEX(Геокодування!$D$2:$D$361,MATCH($Q28,Геокодування!$B$2:$B$361,0))),IFERROR(IF(ABS(INDEX(Геокодування!$C$2:$C$361,MATCH("Прилуки, Чернігівська обл., "&amp;$A28,Геокодування!$B$2:$B$361,0))-50.5884)+ABS(INDEX(Геокодування!$D$2:$D$361,MATCH("Прилуки, Чернігівська обл., "&amp;$A28,Геокодування!$B$2:$B$361,0))-32.3876)&gt;0.15,"",INDEX(Геокодування!$D$2:$D$361,MATCH("Прилуки, Чернігівська обл., "&amp;$A28,Геокодування!$B$2:$B$361,0))),""))))</f>
        <v>32.374926000000002</v>
      </c>
      <c r="T28" s="44" t="str">
        <f>IF($O28="","",IFERROR(INDEX('Координати майданчиків'!$B$4:$B$64,MATCH($A28&amp;IF($P28="","",", "&amp;$P28),'Координати майданчиків'!$B$4:$B$64,0)),IFERROR(INDEX('Координати майданчиків'!$B$4:$B$64,MATCH($A28,'Координати майданчиків'!$B$4:$B$64,0)),"")))</f>
        <v/>
      </c>
    </row>
    <row r="29" spans="1:20" x14ac:dyDescent="0.35">
      <c r="A29" s="26" t="str">
        <f t="shared" si="0"/>
        <v>2 пров. Європейський</v>
      </c>
      <c r="B29" s="26" t="str">
        <f t="shared" si="1"/>
        <v/>
      </c>
      <c r="C29" s="27" t="str" cm="1">
        <f t="array" ref="C29">IF($O29="","",_xlfn.TEXTJOIN(", ",TRUE,IF(EXACT('Дані_зв''язок'!$J$4:$J$1012,$O29)*('Дані_зв''язок'!$C$4:$C$1012=C$4),'Дані_зв''язок'!$D$4:$D$1012,"")))</f>
        <v/>
      </c>
      <c r="D29" s="27" t="str" cm="1">
        <f t="array" ref="D29">IF($O29="","",_xlfn.TEXTJOIN(", ",TRUE,IF(EXACT('Дані_зв''язок'!$J$4:$J$1012,$O29)*('Дані_зв''язок'!$C$4:$C$1012=D$4),'Дані_зв''язок'!$D$4:$D$1012,"")))</f>
        <v/>
      </c>
      <c r="E29" s="27" t="str" cm="1">
        <f t="array" ref="E29">IF($O29="","",_xlfn.TEXTJOIN(", ",TRUE,IF(EXACT('Дані_зв''язок'!$J$4:$J$1012,$O29)*('Дані_зв''язок'!$C$4:$C$1012=E$4),'Дані_зв''язок'!$D$4:$D$1012,"")))</f>
        <v/>
      </c>
      <c r="F29" s="27" t="str" cm="1">
        <f t="array" ref="F29">IF($O29="","",_xlfn.TEXTJOIN(", ",TRUE,IF(EXACT('Дані_зв''язок'!$J$4:$J$1012,$O29)*('Дані_зв''язок'!$C$4:$C$1012=F$4),'Дані_зв''язок'!$D$4:$D$1012,"")))</f>
        <v>8:25</v>
      </c>
      <c r="G29" s="27" t="str" cm="1">
        <f t="array" ref="G29">IF($O29="","",_xlfn.TEXTJOIN(", ",TRUE,IF(EXACT('Дані_зв''язок'!$J$4:$J$1012,$O29)*('Дані_зв''язок'!$C$4:$C$1012=G$4),'Дані_зв''язок'!$D$4:$D$1012,"")))</f>
        <v/>
      </c>
      <c r="H29" s="27" t="str" cm="1">
        <f t="array" ref="H29">IF($O29="","",_xlfn.TEXTJOIN(", ",TRUE,IF(EXACT('Дані_зв''язок'!$J$4:$J$1012,$O29)*('Дані_зв''язок'!$C$4:$C$1012=H$4),'Дані_зв''язок'!$D$4:$D$1012,"")))</f>
        <v/>
      </c>
      <c r="I29" s="27" t="str" cm="1">
        <f t="array" ref="I29">IF($O29="","",_xlfn.TEXTJOIN(", ",TRUE,IF(EXACT('Дані_зв''язок'!$J$4:$J$1012,$O29)*('Дані_зв''язок'!$C$4:$C$1012=I$4),'Дані_зв''язок'!$D$4:$D$1012,"")))</f>
        <v/>
      </c>
      <c r="J29" s="27" cm="1">
        <f t="array" ref="J29">IF($O29="","",COUNTIF(C29:I29,"?*")+SUMPRODUCT(LEN(C29:I29)-LEN(SUBSTITUTE(C29:I29,",",""))))</f>
        <v>1</v>
      </c>
      <c r="K29" s="28" t="str" cm="1">
        <f t="array" ref="K29">IF($O29="","",_xlfn.TEXTJOIN(", ",TRUE,IF(EXACT('Дані_зв''язок'!$J$4:$J$1012,$O29),'Дані_зв''язок'!$L$4:$L$1012,"")))</f>
        <v>№5</v>
      </c>
      <c r="L29" s="28" t="str" cm="1">
        <f t="array" ref="L29">IF($O29="","",_xlfn.TEXTJOIN(", ",TRUE,IF(EXACT('Дані_зв''язок'!$J$4:$J$1012,$O29),'Дані_зв''язок'!$M$4:$M$1012,"")))</f>
        <v>МАЗ 4381</v>
      </c>
      <c r="M29" s="27" t="str" cm="1">
        <f t="array" ref="M29">IF($O29="","",IF(SUMPRODUCT(MAX(EXACT('Дані_зв''язок'!$J$4:$J$1012,$O29)*IFERROR('Дані_зв''язок'!$H$4:$H$1012,0)))=0,"",SUMPRODUCT(MAX(EXACT('Дані_зв''язок'!$J$4:$J$1012,$O29)*IFERROR('Дані_зв''язок'!$H$4:$H$1012,0)))))</f>
        <v/>
      </c>
      <c r="O29" s="30" t="s">
        <v>1163</v>
      </c>
      <c r="P29" s="24" t="str" cm="1">
        <f t="array" ref="P29">IF($O29="","",IF($B29="","",IFERROR(IF(MIN(IFERROR(VALUE(TRIM(MID(SUBSTITUTE(SUBSTITUTE($B29,","," ")," ",REPT(" ",30)),{1;31;61;91;121;151;181},30))),""))=0,"",MIN(IFERROR(VALUE(TRIM(MID(SUBSTITUTE(SUBSTITUTE($B29,","," ")," ",REPT(" ",30)),{1;31;61;91;121;151;181},30))),""))),"")))</f>
        <v/>
      </c>
      <c r="Q29" s="23" t="str">
        <f t="shared" si="2"/>
        <v>Прилуки, Чернігівська обл., 2 пров. Європейський</v>
      </c>
      <c r="R29" s="35">
        <f>IF($O29="","",IFERROR(INDEX('Координати майданчиків'!$H$4:$H$64,MATCH($T29,'Координати майданчиків'!$B$4:$B$64,0)),IFERROR(IF(ABS(INDEX(Геокодування!$C$2:$C$361,MATCH($Q29,Геокодування!$B$2:$B$361,0))-50.5884)+ABS(INDEX(Геокодування!$D$2:$D$361,MATCH($Q29,Геокодування!$B$2:$B$361,0))-32.3876)&gt;0.15,"",INDEX(Геокодування!$C$2:$C$361,MATCH($Q29,Геокодування!$B$2:$B$361,0))),IFERROR(IF(ABS(INDEX(Геокодування!$C$2:$C$361,MATCH("Прилуки, Чернігівська обл., "&amp;$A29,Геокодування!$B$2:$B$361,0))-50.5884)+ABS(INDEX(Геокодування!$D$2:$D$361,MATCH("Прилуки, Чернігівська обл., "&amp;$A29,Геокодування!$B$2:$B$361,0))-32.3876)&gt;0.15,"",INDEX(Геокодування!$C$2:$C$361,MATCH("Прилуки, Чернігівська обл., "&amp;$A29,Геокодування!$B$2:$B$361,0))),""))))</f>
        <v>50.593848000000001</v>
      </c>
      <c r="S29" s="43">
        <f>IF($O29="","",IFERROR(INDEX('Координати майданчиків'!$I$4:$I$64,MATCH($T29,'Координати майданчиків'!$B$4:$B$64,0)),IFERROR(IF(ABS(INDEX(Геокодування!$C$2:$C$361,MATCH($Q29,Геокодування!$B$2:$B$361,0))-50.5884)+ABS(INDEX(Геокодування!$D$2:$D$361,MATCH($Q29,Геокодування!$B$2:$B$361,0))-32.3876)&gt;0.15,"",INDEX(Геокодування!$D$2:$D$361,MATCH($Q29,Геокодування!$B$2:$B$361,0))),IFERROR(IF(ABS(INDEX(Геокодування!$C$2:$C$361,MATCH("Прилуки, Чернігівська обл., "&amp;$A29,Геокодування!$B$2:$B$361,0))-50.5884)+ABS(INDEX(Геокодування!$D$2:$D$361,MATCH("Прилуки, Чернігівська обл., "&amp;$A29,Геокодування!$B$2:$B$361,0))-32.3876)&gt;0.15,"",INDEX(Геокодування!$D$2:$D$361,MATCH("Прилуки, Чернігівська обл., "&amp;$A29,Геокодування!$B$2:$B$361,0))),""))))</f>
        <v>32.365535000000001</v>
      </c>
      <c r="T29" s="44" t="str">
        <f>IF($O29="","",IFERROR(INDEX('Координати майданчиків'!$B$4:$B$64,MATCH($A29&amp;IF($P29="","",", "&amp;$P29),'Координати майданчиків'!$B$4:$B$64,0)),IFERROR(INDEX('Координати майданчиків'!$B$4:$B$64,MATCH($A29,'Координати майданчиків'!$B$4:$B$64,0)),"")))</f>
        <v/>
      </c>
    </row>
    <row r="30" spans="1:20" x14ac:dyDescent="0.35">
      <c r="A30" s="26" t="str">
        <f t="shared" si="0"/>
        <v>2 пров. І. Сірка</v>
      </c>
      <c r="B30" s="26" t="str">
        <f t="shared" si="1"/>
        <v/>
      </c>
      <c r="C30" s="27" t="str" cm="1">
        <f t="array" ref="C30">IF($O30="","",_xlfn.TEXTJOIN(", ",TRUE,IF(EXACT('Дані_зв''язок'!$J$4:$J$1012,$O30)*('Дані_зв''язок'!$C$4:$C$1012=C$4),'Дані_зв''язок'!$D$4:$D$1012,"")))</f>
        <v/>
      </c>
      <c r="D30" s="27" t="str" cm="1">
        <f t="array" ref="D30">IF($O30="","",_xlfn.TEXTJOIN(", ",TRUE,IF(EXACT('Дані_зв''язок'!$J$4:$J$1012,$O30)*('Дані_зв''язок'!$C$4:$C$1012=D$4),'Дані_зв''язок'!$D$4:$D$1012,"")))</f>
        <v>12:30</v>
      </c>
      <c r="E30" s="27" t="str" cm="1">
        <f t="array" ref="E30">IF($O30="","",_xlfn.TEXTJOIN(", ",TRUE,IF(EXACT('Дані_зв''язок'!$J$4:$J$1012,$O30)*('Дані_зв''язок'!$C$4:$C$1012=E$4),'Дані_зв''язок'!$D$4:$D$1012,"")))</f>
        <v/>
      </c>
      <c r="F30" s="27" t="str" cm="1">
        <f t="array" ref="F30">IF($O30="","",_xlfn.TEXTJOIN(", ",TRUE,IF(EXACT('Дані_зв''язок'!$J$4:$J$1012,$O30)*('Дані_зв''язок'!$C$4:$C$1012=F$4),'Дані_зв''язок'!$D$4:$D$1012,"")))</f>
        <v/>
      </c>
      <c r="G30" s="27" t="str" cm="1">
        <f t="array" ref="G30">IF($O30="","",_xlfn.TEXTJOIN(", ",TRUE,IF(EXACT('Дані_зв''язок'!$J$4:$J$1012,$O30)*('Дані_зв''язок'!$C$4:$C$1012=G$4),'Дані_зв''язок'!$D$4:$D$1012,"")))</f>
        <v/>
      </c>
      <c r="H30" s="27" t="str" cm="1">
        <f t="array" ref="H30">IF($O30="","",_xlfn.TEXTJOIN(", ",TRUE,IF(EXACT('Дані_зв''язок'!$J$4:$J$1012,$O30)*('Дані_зв''язок'!$C$4:$C$1012=H$4),'Дані_зв''язок'!$D$4:$D$1012,"")))</f>
        <v/>
      </c>
      <c r="I30" s="27" t="str" cm="1">
        <f t="array" ref="I30">IF($O30="","",_xlfn.TEXTJOIN(", ",TRUE,IF(EXACT('Дані_зв''язок'!$J$4:$J$1012,$O30)*('Дані_зв''язок'!$C$4:$C$1012=I$4),'Дані_зв''язок'!$D$4:$D$1012,"")))</f>
        <v/>
      </c>
      <c r="J30" s="27" cm="1">
        <f t="array" ref="J30">IF($O30="","",COUNTIF(C30:I30,"?*")+SUMPRODUCT(LEN(C30:I30)-LEN(SUBSTITUTE(C30:I30,",",""))))</f>
        <v>1</v>
      </c>
      <c r="K30" s="28" t="str" cm="1">
        <f t="array" ref="K30">IF($O30="","",_xlfn.TEXTJOIN(", ",TRUE,IF(EXACT('Дані_зв''язок'!$J$4:$J$1012,$O30),'Дані_зв''язок'!$L$4:$L$1012,"")))</f>
        <v>№5</v>
      </c>
      <c r="L30" s="28" t="str" cm="1">
        <f t="array" ref="L30">IF($O30="","",_xlfn.TEXTJOIN(", ",TRUE,IF(EXACT('Дані_зв''язок'!$J$4:$J$1012,$O30),'Дані_зв''язок'!$M$4:$M$1012,"")))</f>
        <v>МАЗ 4381</v>
      </c>
      <c r="M30" s="27" t="str" cm="1">
        <f t="array" ref="M30">IF($O30="","",IF(SUMPRODUCT(MAX(EXACT('Дані_зв''язок'!$J$4:$J$1012,$O30)*IFERROR('Дані_зв''язок'!$H$4:$H$1012,0)))=0,"",SUMPRODUCT(MAX(EXACT('Дані_зв''язок'!$J$4:$J$1012,$O30)*IFERROR('Дані_зв''язок'!$H$4:$H$1012,0)))))</f>
        <v/>
      </c>
      <c r="O30" s="30" t="s">
        <v>1166</v>
      </c>
      <c r="P30" s="24" t="str" cm="1">
        <f t="array" ref="P30">IF($O30="","",IF($B30="","",IFERROR(IF(MIN(IFERROR(VALUE(TRIM(MID(SUBSTITUTE(SUBSTITUTE($B30,","," ")," ",REPT(" ",30)),{1;31;61;91;121;151;181},30))),""))=0,"",MIN(IFERROR(VALUE(TRIM(MID(SUBSTITUTE(SUBSTITUTE($B30,","," ")," ",REPT(" ",30)),{1;31;61;91;121;151;181},30))),""))),"")))</f>
        <v/>
      </c>
      <c r="Q30" s="23" t="str">
        <f t="shared" si="2"/>
        <v>Прилуки, Чернігівська обл., 2 пров. І. Сірка</v>
      </c>
      <c r="R30" s="35">
        <f>IF($O30="","",IFERROR(INDEX('Координати майданчиків'!$H$4:$H$64,MATCH($T30,'Координати майданчиків'!$B$4:$B$64,0)),IFERROR(IF(ABS(INDEX(Геокодування!$C$2:$C$361,MATCH($Q30,Геокодування!$B$2:$B$361,0))-50.5884)+ABS(INDEX(Геокодування!$D$2:$D$361,MATCH($Q30,Геокодування!$B$2:$B$361,0))-32.3876)&gt;0.15,"",INDEX(Геокодування!$C$2:$C$361,MATCH($Q30,Геокодування!$B$2:$B$361,0))),IFERROR(IF(ABS(INDEX(Геокодування!$C$2:$C$361,MATCH("Прилуки, Чернігівська обл., "&amp;$A30,Геокодування!$B$2:$B$361,0))-50.5884)+ABS(INDEX(Геокодування!$D$2:$D$361,MATCH("Прилуки, Чернігівська обл., "&amp;$A30,Геокодування!$B$2:$B$361,0))-32.3876)&gt;0.15,"",INDEX(Геокодування!$C$2:$C$361,MATCH("Прилуки, Чернігівська обл., "&amp;$A30,Геокодування!$B$2:$B$361,0))),""))))</f>
        <v>50.602615999999998</v>
      </c>
      <c r="S30" s="43">
        <f>IF($O30="","",IFERROR(INDEX('Координати майданчиків'!$I$4:$I$64,MATCH($T30,'Координати майданчиків'!$B$4:$B$64,0)),IFERROR(IF(ABS(INDEX(Геокодування!$C$2:$C$361,MATCH($Q30,Геокодування!$B$2:$B$361,0))-50.5884)+ABS(INDEX(Геокодування!$D$2:$D$361,MATCH($Q30,Геокодування!$B$2:$B$361,0))-32.3876)&gt;0.15,"",INDEX(Геокодування!$D$2:$D$361,MATCH($Q30,Геокодування!$B$2:$B$361,0))),IFERROR(IF(ABS(INDEX(Геокодування!$C$2:$C$361,MATCH("Прилуки, Чернігівська обл., "&amp;$A30,Геокодування!$B$2:$B$361,0))-50.5884)+ABS(INDEX(Геокодування!$D$2:$D$361,MATCH("Прилуки, Чернігівська обл., "&amp;$A30,Геокодування!$B$2:$B$361,0))-32.3876)&gt;0.15,"",INDEX(Геокодування!$D$2:$D$361,MATCH("Прилуки, Чернігівська обл., "&amp;$A30,Геокодування!$B$2:$B$361,0))),""))))</f>
        <v>32.330157999999997</v>
      </c>
      <c r="T30" s="44" t="str">
        <f>IF($O30="","",IFERROR(INDEX('Координати майданчиків'!$B$4:$B$64,MATCH($A30&amp;IF($P30="","",", "&amp;$P30),'Координати майданчиків'!$B$4:$B$64,0)),IFERROR(INDEX('Координати майданчиків'!$B$4:$B$64,MATCH($A30,'Координати майданчиків'!$B$4:$B$64,0)),"")))</f>
        <v/>
      </c>
    </row>
    <row r="31" spans="1:20" x14ac:dyDescent="0.35">
      <c r="A31" s="26" t="str">
        <f t="shared" si="0"/>
        <v>2 пров. Андріївський</v>
      </c>
      <c r="B31" s="26" t="str">
        <f t="shared" si="1"/>
        <v>Моноліт</v>
      </c>
      <c r="C31" s="27" t="str" cm="1">
        <f t="array" ref="C31">IF($O31="","",_xlfn.TEXTJOIN(", ",TRUE,IF(EXACT('Дані_зв''язок'!$J$4:$J$1012,$O31)*('Дані_зв''язок'!$C$4:$C$1012=C$4),'Дані_зв''язок'!$D$4:$D$1012,"")))</f>
        <v/>
      </c>
      <c r="D31" s="27" t="str" cm="1">
        <f t="array" ref="D31">IF($O31="","",_xlfn.TEXTJOIN(", ",TRUE,IF(EXACT('Дані_зв''язок'!$J$4:$J$1012,$O31)*('Дані_зв''язок'!$C$4:$C$1012=D$4),'Дані_зв''язок'!$D$4:$D$1012,"")))</f>
        <v>14:40</v>
      </c>
      <c r="E31" s="27" t="str" cm="1">
        <f t="array" ref="E31">IF($O31="","",_xlfn.TEXTJOIN(", ",TRUE,IF(EXACT('Дані_зв''язок'!$J$4:$J$1012,$O31)*('Дані_зв''язок'!$C$4:$C$1012=E$4),'Дані_зв''язок'!$D$4:$D$1012,"")))</f>
        <v/>
      </c>
      <c r="F31" s="27" t="str" cm="1">
        <f t="array" ref="F31">IF($O31="","",_xlfn.TEXTJOIN(", ",TRUE,IF(EXACT('Дані_зв''язок'!$J$4:$J$1012,$O31)*('Дані_зв''язок'!$C$4:$C$1012=F$4),'Дані_зв''язок'!$D$4:$D$1012,"")))</f>
        <v>14:25</v>
      </c>
      <c r="G31" s="27" t="str" cm="1">
        <f t="array" ref="G31">IF($O31="","",_xlfn.TEXTJOIN(", ",TRUE,IF(EXACT('Дані_зв''язок'!$J$4:$J$1012,$O31)*('Дані_зв''язок'!$C$4:$C$1012=G$4),'Дані_зв''язок'!$D$4:$D$1012,"")))</f>
        <v/>
      </c>
      <c r="H31" s="27" t="str" cm="1">
        <f t="array" ref="H31">IF($O31="","",_xlfn.TEXTJOIN(", ",TRUE,IF(EXACT('Дані_зв''язок'!$J$4:$J$1012,$O31)*('Дані_зв''язок'!$C$4:$C$1012=H$4),'Дані_зв''язок'!$D$4:$D$1012,"")))</f>
        <v/>
      </c>
      <c r="I31" s="27" t="str" cm="1">
        <f t="array" ref="I31">IF($O31="","",_xlfn.TEXTJOIN(", ",TRUE,IF(EXACT('Дані_зв''язок'!$J$4:$J$1012,$O31)*('Дані_зв''язок'!$C$4:$C$1012=I$4),'Дані_зв''язок'!$D$4:$D$1012,"")))</f>
        <v/>
      </c>
      <c r="J31" s="27" cm="1">
        <f t="array" ref="J31">IF($O31="","",COUNTIF(C31:I31,"?*")+SUMPRODUCT(LEN(C31:I31)-LEN(SUBSTITUTE(C31:I31,",",""))))</f>
        <v>2</v>
      </c>
      <c r="K31" s="28" t="str" cm="1">
        <f t="array" ref="K31">IF($O31="","",_xlfn.TEXTJOIN(", ",TRUE,IF(EXACT('Дані_зв''язок'!$J$4:$J$1012,$O31),'Дані_зв''язок'!$L$4:$L$1012,"")))</f>
        <v>№4</v>
      </c>
      <c r="L31" s="28" t="str" cm="1">
        <f t="array" ref="L31">IF($O31="","",_xlfn.TEXTJOIN(", ",TRUE,IF(EXACT('Дані_зв''язок'!$J$4:$J$1012,$O31),'Дані_зв''язок'!$M$4:$M$1012,"")))</f>
        <v>АТ 40-42/ROD21003</v>
      </c>
      <c r="M31" s="27" cm="1">
        <f t="array" ref="M31">IF($O31="","",IF(SUMPRODUCT(MAX(EXACT('Дані_зв''язок'!$J$4:$J$1012,$O31)*IFERROR('Дані_зв''язок'!$H$4:$H$1012,0)))=0,"",SUMPRODUCT(MAX(EXACT('Дані_зв''язок'!$J$4:$J$1012,$O31)*IFERROR('Дані_зв''язок'!$H$4:$H$1012,0)))))</f>
        <v>2</v>
      </c>
      <c r="O31" s="30" t="s">
        <v>1157</v>
      </c>
      <c r="P31" s="24" t="str" cm="1">
        <f t="array" ref="P31">IF($O31="","",IF($B31="","",IFERROR(IF(MIN(IFERROR(VALUE(TRIM(MID(SUBSTITUTE(SUBSTITUTE($B31,","," ")," ",REPT(" ",30)),{1;31;61;91;121;151;181},30))),""))=0,"",MIN(IFERROR(VALUE(TRIM(MID(SUBSTITUTE(SUBSTITUTE($B31,","," ")," ",REPT(" ",30)),{1;31;61;91;121;151;181},30))),""))),"")))</f>
        <v/>
      </c>
      <c r="Q31" s="23" t="str">
        <f t="shared" si="2"/>
        <v>Прилуки, Чернігівська обл., 2 пров. Андріївський</v>
      </c>
      <c r="R31" s="35">
        <f>IF($O31="","",IFERROR(INDEX('Координати майданчиків'!$H$4:$H$64,MATCH($T31,'Координати майданчиків'!$B$4:$B$64,0)),IFERROR(IF(ABS(INDEX(Геокодування!$C$2:$C$361,MATCH($Q31,Геокодування!$B$2:$B$361,0))-50.5884)+ABS(INDEX(Геокодування!$D$2:$D$361,MATCH($Q31,Геокодування!$B$2:$B$361,0))-32.3876)&gt;0.15,"",INDEX(Геокодування!$C$2:$C$361,MATCH($Q31,Геокодування!$B$2:$B$361,0))),IFERROR(IF(ABS(INDEX(Геокодування!$C$2:$C$361,MATCH("Прилуки, Чернігівська обл., "&amp;$A31,Геокодування!$B$2:$B$361,0))-50.5884)+ABS(INDEX(Геокодування!$D$2:$D$361,MATCH("Прилуки, Чернігівська обл., "&amp;$A31,Геокодування!$B$2:$B$361,0))-32.3876)&gt;0.15,"",INDEX(Геокодування!$C$2:$C$361,MATCH("Прилуки, Чернігівська обл., "&amp;$A31,Геокодування!$B$2:$B$361,0))),""))))</f>
        <v>50.591386999999997</v>
      </c>
      <c r="S31" s="43">
        <f>IF($O31="","",IFERROR(INDEX('Координати майданчиків'!$I$4:$I$64,MATCH($T31,'Координати майданчиків'!$B$4:$B$64,0)),IFERROR(IF(ABS(INDEX(Геокодування!$C$2:$C$361,MATCH($Q31,Геокодування!$B$2:$B$361,0))-50.5884)+ABS(INDEX(Геокодування!$D$2:$D$361,MATCH($Q31,Геокодування!$B$2:$B$361,0))-32.3876)&gt;0.15,"",INDEX(Геокодування!$D$2:$D$361,MATCH($Q31,Геокодування!$B$2:$B$361,0))),IFERROR(IF(ABS(INDEX(Геокодування!$C$2:$C$361,MATCH("Прилуки, Чернігівська обл., "&amp;$A31,Геокодування!$B$2:$B$361,0))-50.5884)+ABS(INDEX(Геокодування!$D$2:$D$361,MATCH("Прилуки, Чернігівська обл., "&amp;$A31,Геокодування!$B$2:$B$361,0))-32.3876)&gt;0.15,"",INDEX(Геокодування!$D$2:$D$361,MATCH("Прилуки, Чернігівська обл., "&amp;$A31,Геокодування!$B$2:$B$361,0))),""))))</f>
        <v>32.370229000000002</v>
      </c>
      <c r="T31" s="44" t="str">
        <f>IF($O31="","",IFERROR(INDEX('Координати майданчиків'!$B$4:$B$64,MATCH($A31&amp;IF($P31="","",", "&amp;$P31),'Координати майданчиків'!$B$4:$B$64,0)),IFERROR(INDEX('Координати майданчиків'!$B$4:$B$64,MATCH($A31,'Координати майданчиків'!$B$4:$B$64,0)),"")))</f>
        <v/>
      </c>
    </row>
    <row r="32" spans="1:20" x14ac:dyDescent="0.35">
      <c r="A32" s="26" t="str">
        <f t="shared" si="0"/>
        <v>2 пров. В. Стуса</v>
      </c>
      <c r="B32" s="26" t="str">
        <f t="shared" si="1"/>
        <v/>
      </c>
      <c r="C32" s="27" t="str" cm="1">
        <f t="array" ref="C32">IF($O32="","",_xlfn.TEXTJOIN(", ",TRUE,IF(EXACT('Дані_зв''язок'!$J$4:$J$1012,$O32)*('Дані_зв''язок'!$C$4:$C$1012=C$4),'Дані_зв''язок'!$D$4:$D$1012,"")))</f>
        <v/>
      </c>
      <c r="D32" s="27" t="str" cm="1">
        <f t="array" ref="D32">IF($O32="","",_xlfn.TEXTJOIN(", ",TRUE,IF(EXACT('Дані_зв''язок'!$J$4:$J$1012,$O32)*('Дані_зв''язок'!$C$4:$C$1012=D$4),'Дані_зв''язок'!$D$4:$D$1012,"")))</f>
        <v/>
      </c>
      <c r="E32" s="27" t="str" cm="1">
        <f t="array" ref="E32">IF($O32="","",_xlfn.TEXTJOIN(", ",TRUE,IF(EXACT('Дані_зв''язок'!$J$4:$J$1012,$O32)*('Дані_зв''язок'!$C$4:$C$1012=E$4),'Дані_зв''язок'!$D$4:$D$1012,"")))</f>
        <v/>
      </c>
      <c r="F32" s="27" t="str" cm="1">
        <f t="array" ref="F32">IF($O32="","",_xlfn.TEXTJOIN(", ",TRUE,IF(EXACT('Дані_зв''язок'!$J$4:$J$1012,$O32)*('Дані_зв''язок'!$C$4:$C$1012=F$4),'Дані_зв''язок'!$D$4:$D$1012,"")))</f>
        <v>12:55</v>
      </c>
      <c r="G32" s="27" t="str" cm="1">
        <f t="array" ref="G32">IF($O32="","",_xlfn.TEXTJOIN(", ",TRUE,IF(EXACT('Дані_зв''язок'!$J$4:$J$1012,$O32)*('Дані_зв''язок'!$C$4:$C$1012=G$4),'Дані_зв''язок'!$D$4:$D$1012,"")))</f>
        <v/>
      </c>
      <c r="H32" s="27" t="str" cm="1">
        <f t="array" ref="H32">IF($O32="","",_xlfn.TEXTJOIN(", ",TRUE,IF(EXACT('Дані_зв''язок'!$J$4:$J$1012,$O32)*('Дані_зв''язок'!$C$4:$C$1012=H$4),'Дані_зв''язок'!$D$4:$D$1012,"")))</f>
        <v/>
      </c>
      <c r="I32" s="27" t="str" cm="1">
        <f t="array" ref="I32">IF($O32="","",_xlfn.TEXTJOIN(", ",TRUE,IF(EXACT('Дані_зв''язок'!$J$4:$J$1012,$O32)*('Дані_зв''язок'!$C$4:$C$1012=I$4),'Дані_зв''язок'!$D$4:$D$1012,"")))</f>
        <v/>
      </c>
      <c r="J32" s="27" cm="1">
        <f t="array" ref="J32">IF($O32="","",COUNTIF(C32:I32,"?*")+SUMPRODUCT(LEN(C32:I32)-LEN(SUBSTITUTE(C32:I32,",",""))))</f>
        <v>1</v>
      </c>
      <c r="K32" s="28" t="str" cm="1">
        <f t="array" ref="K32">IF($O32="","",_xlfn.TEXTJOIN(", ",TRUE,IF(EXACT('Дані_зв''язок'!$J$4:$J$1012,$O32),'Дані_зв''язок'!$L$4:$L$1012,"")))</f>
        <v>№5</v>
      </c>
      <c r="L32" s="28" t="str" cm="1">
        <f t="array" ref="L32">IF($O32="","",_xlfn.TEXTJOIN(", ",TRUE,IF(EXACT('Дані_зв''язок'!$J$4:$J$1012,$O32),'Дані_зв''язок'!$M$4:$M$1012,"")))</f>
        <v>МАЗ 4381</v>
      </c>
      <c r="M32" s="27" t="str" cm="1">
        <f t="array" ref="M32">IF($O32="","",IF(SUMPRODUCT(MAX(EXACT('Дані_зв''язок'!$J$4:$J$1012,$O32)*IFERROR('Дані_зв''язок'!$H$4:$H$1012,0)))=0,"",SUMPRODUCT(MAX(EXACT('Дані_зв''язок'!$J$4:$J$1012,$O32)*IFERROR('Дані_зв''язок'!$H$4:$H$1012,0)))))</f>
        <v/>
      </c>
      <c r="O32" s="30" t="s">
        <v>1158</v>
      </c>
      <c r="P32" s="24" t="str" cm="1">
        <f t="array" ref="P32">IF($O32="","",IF($B32="","",IFERROR(IF(MIN(IFERROR(VALUE(TRIM(MID(SUBSTITUTE(SUBSTITUTE($B32,","," ")," ",REPT(" ",30)),{1;31;61;91;121;151;181},30))),""))=0,"",MIN(IFERROR(VALUE(TRIM(MID(SUBSTITUTE(SUBSTITUTE($B32,","," ")," ",REPT(" ",30)),{1;31;61;91;121;151;181},30))),""))),"")))</f>
        <v/>
      </c>
      <c r="Q32" s="23" t="str">
        <f t="shared" si="2"/>
        <v>Прилуки, Чернігівська обл., 2 пров. В. Стуса</v>
      </c>
      <c r="R32" s="35">
        <f>IF($O32="","",IFERROR(INDEX('Координати майданчиків'!$H$4:$H$64,MATCH($T32,'Координати майданчиків'!$B$4:$B$64,0)),IFERROR(IF(ABS(INDEX(Геокодування!$C$2:$C$361,MATCH($Q32,Геокодування!$B$2:$B$361,0))-50.5884)+ABS(INDEX(Геокодування!$D$2:$D$361,MATCH($Q32,Геокодування!$B$2:$B$361,0))-32.3876)&gt;0.15,"",INDEX(Геокодування!$C$2:$C$361,MATCH($Q32,Геокодування!$B$2:$B$361,0))),IFERROR(IF(ABS(INDEX(Геокодування!$C$2:$C$361,MATCH("Прилуки, Чернігівська обл., "&amp;$A32,Геокодування!$B$2:$B$361,0))-50.5884)+ABS(INDEX(Геокодування!$D$2:$D$361,MATCH("Прилуки, Чернігівська обл., "&amp;$A32,Геокодування!$B$2:$B$361,0))-32.3876)&gt;0.15,"",INDEX(Геокодування!$C$2:$C$361,MATCH("Прилуки, Чернігівська обл., "&amp;$A32,Геокодування!$B$2:$B$361,0))),""))))</f>
        <v>50.579768999999999</v>
      </c>
      <c r="S32" s="43">
        <f>IF($O32="","",IFERROR(INDEX('Координати майданчиків'!$I$4:$I$64,MATCH($T32,'Координати майданчиків'!$B$4:$B$64,0)),IFERROR(IF(ABS(INDEX(Геокодування!$C$2:$C$361,MATCH($Q32,Геокодування!$B$2:$B$361,0))-50.5884)+ABS(INDEX(Геокодування!$D$2:$D$361,MATCH($Q32,Геокодування!$B$2:$B$361,0))-32.3876)&gt;0.15,"",INDEX(Геокодування!$D$2:$D$361,MATCH($Q32,Геокодування!$B$2:$B$361,0))),IFERROR(IF(ABS(INDEX(Геокодування!$C$2:$C$361,MATCH("Прилуки, Чернігівська обл., "&amp;$A32,Геокодування!$B$2:$B$361,0))-50.5884)+ABS(INDEX(Геокодування!$D$2:$D$361,MATCH("Прилуки, Чернігівська обл., "&amp;$A32,Геокодування!$B$2:$B$361,0))-32.3876)&gt;0.15,"",INDEX(Геокодування!$D$2:$D$361,MATCH("Прилуки, Чернігівська обл., "&amp;$A32,Геокодування!$B$2:$B$361,0))),""))))</f>
        <v>32.420833000000002</v>
      </c>
      <c r="T32" s="44" t="str">
        <f>IF($O32="","",IFERROR(INDEX('Координати майданчиків'!$B$4:$B$64,MATCH($A32&amp;IF($P32="","",", "&amp;$P32),'Координати майданчиків'!$B$4:$B$64,0)),IFERROR(INDEX('Координати майданчиків'!$B$4:$B$64,MATCH($A32,'Координати майданчиків'!$B$4:$B$64,0)),"")))</f>
        <v/>
      </c>
    </row>
    <row r="33" spans="1:20" x14ac:dyDescent="0.35">
      <c r="A33" s="26" t="str">
        <f t="shared" si="0"/>
        <v>2 пров. В. Чорновола</v>
      </c>
      <c r="B33" s="26" t="str">
        <f t="shared" si="1"/>
        <v/>
      </c>
      <c r="C33" s="27" t="str" cm="1">
        <f t="array" ref="C33">IF($O33="","",_xlfn.TEXTJOIN(", ",TRUE,IF(EXACT('Дані_зв''язок'!$J$4:$J$1012,$O33)*('Дані_зв''язок'!$C$4:$C$1012=C$4),'Дані_зв''язок'!$D$4:$D$1012,"")))</f>
        <v/>
      </c>
      <c r="D33" s="27" t="str" cm="1">
        <f t="array" ref="D33">IF($O33="","",_xlfn.TEXTJOIN(", ",TRUE,IF(EXACT('Дані_зв''язок'!$J$4:$J$1012,$O33)*('Дані_зв''язок'!$C$4:$C$1012=D$4),'Дані_зв''язок'!$D$4:$D$1012,"")))</f>
        <v/>
      </c>
      <c r="E33" s="27" t="str" cm="1">
        <f t="array" ref="E33">IF($O33="","",_xlfn.TEXTJOIN(", ",TRUE,IF(EXACT('Дані_зв''язок'!$J$4:$J$1012,$O33)*('Дані_зв''язок'!$C$4:$C$1012=E$4),'Дані_зв''язок'!$D$4:$D$1012,"")))</f>
        <v/>
      </c>
      <c r="F33" s="27" t="str" cm="1">
        <f t="array" ref="F33">IF($O33="","",_xlfn.TEXTJOIN(", ",TRUE,IF(EXACT('Дані_зв''язок'!$J$4:$J$1012,$O33)*('Дані_зв''язок'!$C$4:$C$1012=F$4),'Дані_зв''язок'!$D$4:$D$1012,"")))</f>
        <v/>
      </c>
      <c r="G33" s="27" t="str" cm="1">
        <f t="array" ref="G33">IF($O33="","",_xlfn.TEXTJOIN(", ",TRUE,IF(EXACT('Дані_зв''язок'!$J$4:$J$1012,$O33)*('Дані_зв''язок'!$C$4:$C$1012=G$4),'Дані_зв''язок'!$D$4:$D$1012,"")))</f>
        <v>7:00</v>
      </c>
      <c r="H33" s="27" t="str" cm="1">
        <f t="array" ref="H33">IF($O33="","",_xlfn.TEXTJOIN(", ",TRUE,IF(EXACT('Дані_зв''язок'!$J$4:$J$1012,$O33)*('Дані_зв''язок'!$C$4:$C$1012=H$4),'Дані_зв''язок'!$D$4:$D$1012,"")))</f>
        <v/>
      </c>
      <c r="I33" s="27" t="str" cm="1">
        <f t="array" ref="I33">IF($O33="","",_xlfn.TEXTJOIN(", ",TRUE,IF(EXACT('Дані_зв''язок'!$J$4:$J$1012,$O33)*('Дані_зв''язок'!$C$4:$C$1012=I$4),'Дані_зв''язок'!$D$4:$D$1012,"")))</f>
        <v/>
      </c>
      <c r="J33" s="27" cm="1">
        <f t="array" ref="J33">IF($O33="","",COUNTIF(C33:I33,"?*")+SUMPRODUCT(LEN(C33:I33)-LEN(SUBSTITUTE(C33:I33,",",""))))</f>
        <v>1</v>
      </c>
      <c r="K33" s="28" t="str" cm="1">
        <f t="array" ref="K33">IF($O33="","",_xlfn.TEXTJOIN(", ",TRUE,IF(EXACT('Дані_зв''язок'!$J$4:$J$1012,$O33),'Дані_зв''язок'!$L$4:$L$1012,"")))</f>
        <v>№5</v>
      </c>
      <c r="L33" s="28" t="str" cm="1">
        <f t="array" ref="L33">IF($O33="","",_xlfn.TEXTJOIN(", ",TRUE,IF(EXACT('Дані_зв''язок'!$J$4:$J$1012,$O33),'Дані_зв''язок'!$M$4:$M$1012,"")))</f>
        <v>МАЗ 4381</v>
      </c>
      <c r="M33" s="27" t="str" cm="1">
        <f t="array" ref="M33">IF($O33="","",IF(SUMPRODUCT(MAX(EXACT('Дані_зв''язок'!$J$4:$J$1012,$O33)*IFERROR('Дані_зв''язок'!$H$4:$H$1012,0)))=0,"",SUMPRODUCT(MAX(EXACT('Дані_зв''язок'!$J$4:$J$1012,$O33)*IFERROR('Дані_зв''язок'!$H$4:$H$1012,0)))))</f>
        <v/>
      </c>
      <c r="O33" s="30" t="s">
        <v>1159</v>
      </c>
      <c r="P33" s="24" t="str" cm="1">
        <f t="array" ref="P33">IF($O33="","",IF($B33="","",IFERROR(IF(MIN(IFERROR(VALUE(TRIM(MID(SUBSTITUTE(SUBSTITUTE($B33,","," ")," ",REPT(" ",30)),{1;31;61;91;121;151;181},30))),""))=0,"",MIN(IFERROR(VALUE(TRIM(MID(SUBSTITUTE(SUBSTITUTE($B33,","," ")," ",REPT(" ",30)),{1;31;61;91;121;151;181},30))),""))),"")))</f>
        <v/>
      </c>
      <c r="Q33" s="23" t="str">
        <f t="shared" si="2"/>
        <v>Прилуки, Чернігівська обл., 2 пров. В. Чорновола</v>
      </c>
      <c r="R33" s="35">
        <f>IF($O33="","",IFERROR(INDEX('Координати майданчиків'!$H$4:$H$64,MATCH($T33,'Координати майданчиків'!$B$4:$B$64,0)),IFERROR(IF(ABS(INDEX(Геокодування!$C$2:$C$361,MATCH($Q33,Геокодування!$B$2:$B$361,0))-50.5884)+ABS(INDEX(Геокодування!$D$2:$D$361,MATCH($Q33,Геокодування!$B$2:$B$361,0))-32.3876)&gt;0.15,"",INDEX(Геокодування!$C$2:$C$361,MATCH($Q33,Геокодування!$B$2:$B$361,0))),IFERROR(IF(ABS(INDEX(Геокодування!$C$2:$C$361,MATCH("Прилуки, Чернігівська обл., "&amp;$A33,Геокодування!$B$2:$B$361,0))-50.5884)+ABS(INDEX(Геокодування!$D$2:$D$361,MATCH("Прилуки, Чернігівська обл., "&amp;$A33,Геокодування!$B$2:$B$361,0))-32.3876)&gt;0.15,"",INDEX(Геокодування!$C$2:$C$361,MATCH("Прилуки, Чернігівська обл., "&amp;$A33,Геокодування!$B$2:$B$361,0))),""))))</f>
        <v>50.589176999999999</v>
      </c>
      <c r="S33" s="43">
        <f>IF($O33="","",IFERROR(INDEX('Координати майданчиків'!$I$4:$I$64,MATCH($T33,'Координати майданчиків'!$B$4:$B$64,0)),IFERROR(IF(ABS(INDEX(Геокодування!$C$2:$C$361,MATCH($Q33,Геокодування!$B$2:$B$361,0))-50.5884)+ABS(INDEX(Геокодування!$D$2:$D$361,MATCH($Q33,Геокодування!$B$2:$B$361,0))-32.3876)&gt;0.15,"",INDEX(Геокодування!$D$2:$D$361,MATCH($Q33,Геокодування!$B$2:$B$361,0))),IFERROR(IF(ABS(INDEX(Геокодування!$C$2:$C$361,MATCH("Прилуки, Чернігівська обл., "&amp;$A33,Геокодування!$B$2:$B$361,0))-50.5884)+ABS(INDEX(Геокодування!$D$2:$D$361,MATCH("Прилуки, Чернігівська обл., "&amp;$A33,Геокодування!$B$2:$B$361,0))-32.3876)&gt;0.15,"",INDEX(Геокодування!$D$2:$D$361,MATCH("Прилуки, Чернігівська обл., "&amp;$A33,Геокодування!$B$2:$B$361,0))),""))))</f>
        <v>32.369007000000003</v>
      </c>
      <c r="T33" s="44" t="str">
        <f>IF($O33="","",IFERROR(INDEX('Координати майданчиків'!$B$4:$B$64,MATCH($A33&amp;IF($P33="","",", "&amp;$P33),'Координати майданчиків'!$B$4:$B$64,0)),IFERROR(INDEX('Координати майданчиків'!$B$4:$B$64,MATCH($A33,'Координати майданчиків'!$B$4:$B$64,0)),"")))</f>
        <v/>
      </c>
    </row>
    <row r="34" spans="1:20" x14ac:dyDescent="0.35">
      <c r="A34" s="26" t="str">
        <f t="shared" si="0"/>
        <v>2 пров. Героїв Прилук</v>
      </c>
      <c r="B34" s="26" t="str">
        <f t="shared" si="1"/>
        <v>4, Гаражі</v>
      </c>
      <c r="C34" s="27" t="str" cm="1">
        <f t="array" ref="C34">IF($O34="","",_xlfn.TEXTJOIN(", ",TRUE,IF(EXACT('Дані_зв''язок'!$J$4:$J$1012,$O34)*('Дані_зв''язок'!$C$4:$C$1012=C$4),'Дані_зв''язок'!$D$4:$D$1012,"")))</f>
        <v/>
      </c>
      <c r="D34" s="27" t="str" cm="1">
        <f t="array" ref="D34">IF($O34="","",_xlfn.TEXTJOIN(", ",TRUE,IF(EXACT('Дані_зв''язок'!$J$4:$J$1012,$O34)*('Дані_зв''язок'!$C$4:$C$1012=D$4),'Дані_зв''язок'!$D$4:$D$1012,"")))</f>
        <v/>
      </c>
      <c r="E34" s="27" t="str" cm="1">
        <f t="array" ref="E34">IF($O34="","",_xlfn.TEXTJOIN(", ",TRUE,IF(EXACT('Дані_зв''язок'!$J$4:$J$1012,$O34)*('Дані_зв''язок'!$C$4:$C$1012=E$4),'Дані_зв''язок'!$D$4:$D$1012,"")))</f>
        <v/>
      </c>
      <c r="F34" s="27" t="str" cm="1">
        <f t="array" ref="F34">IF($O34="","",_xlfn.TEXTJOIN(", ",TRUE,IF(EXACT('Дані_зв''язок'!$J$4:$J$1012,$O34)*('Дані_зв''язок'!$C$4:$C$1012=F$4),'Дані_зв''язок'!$D$4:$D$1012,"")))</f>
        <v/>
      </c>
      <c r="G34" s="27" t="str" cm="1">
        <f t="array" ref="G34">IF($O34="","",_xlfn.TEXTJOIN(", ",TRUE,IF(EXACT('Дані_зв''язок'!$J$4:$J$1012,$O34)*('Дані_зв''язок'!$C$4:$C$1012=G$4),'Дані_зв''язок'!$D$4:$D$1012,"")))</f>
        <v>9:30</v>
      </c>
      <c r="H34" s="27" t="str" cm="1">
        <f t="array" ref="H34">IF($O34="","",_xlfn.TEXTJOIN(", ",TRUE,IF(EXACT('Дані_зв''язок'!$J$4:$J$1012,$O34)*('Дані_зв''язок'!$C$4:$C$1012=H$4),'Дані_зв''язок'!$D$4:$D$1012,"")))</f>
        <v/>
      </c>
      <c r="I34" s="27" t="str" cm="1">
        <f t="array" ref="I34">IF($O34="","",_xlfn.TEXTJOIN(", ",TRUE,IF(EXACT('Дані_зв''язок'!$J$4:$J$1012,$O34)*('Дані_зв''язок'!$C$4:$C$1012=I$4),'Дані_зв''язок'!$D$4:$D$1012,"")))</f>
        <v/>
      </c>
      <c r="J34" s="27" cm="1">
        <f t="array" ref="J34">IF($O34="","",COUNTIF(C34:I34,"?*")+SUMPRODUCT(LEN(C34:I34)-LEN(SUBSTITUTE(C34:I34,",",""))))</f>
        <v>1</v>
      </c>
      <c r="K34" s="28" t="str" cm="1">
        <f t="array" ref="K34">IF($O34="","",_xlfn.TEXTJOIN(", ",TRUE,IF(EXACT('Дані_зв''язок'!$J$4:$J$1012,$O34),'Дані_зв''язок'!$L$4:$L$1012,"")))</f>
        <v>№6</v>
      </c>
      <c r="L34" s="28" t="str" cm="1">
        <f t="array" ref="L34">IF($O34="","",_xlfn.TEXTJOIN(", ",TRUE,IF(EXACT('Дані_зв''язок'!$J$4:$J$1012,$O34),'Дані_зв''язок'!$M$4:$M$1012,"")))</f>
        <v>АТ 4021</v>
      </c>
      <c r="M34" s="27" t="str" cm="1">
        <f t="array" ref="M34">IF($O34="","",IF(SUMPRODUCT(MAX(EXACT('Дані_зв''язок'!$J$4:$J$1012,$O34)*IFERROR('Дані_зв''язок'!$H$4:$H$1012,0)))=0,"",SUMPRODUCT(MAX(EXACT('Дані_зв''язок'!$J$4:$J$1012,$O34)*IFERROR('Дані_зв''язок'!$H$4:$H$1012,0)))))</f>
        <v/>
      </c>
      <c r="O34" s="30" t="s">
        <v>1160</v>
      </c>
      <c r="P34" s="24" cm="1">
        <f t="array" ref="P34">IF($O34="","",IF($B34="","",IFERROR(IF(MIN(IFERROR(VALUE(TRIM(MID(SUBSTITUTE(SUBSTITUTE($B34,","," ")," ",REPT(" ",30)),{1;31;61;91;121;151;181},30))),""))=0,"",MIN(IFERROR(VALUE(TRIM(MID(SUBSTITUTE(SUBSTITUTE($B34,","," ")," ",REPT(" ",30)),{1;31;61;91;121;151;181},30))),""))),"")))</f>
        <v>4</v>
      </c>
      <c r="Q34" s="23" t="str">
        <f t="shared" si="2"/>
        <v>Прилуки, Чернігівська обл., 2 пров. Героїв Прилук, 4</v>
      </c>
      <c r="R34" s="35">
        <f>IF($O34="","",IFERROR(INDEX('Координати майданчиків'!$H$4:$H$64,MATCH($T34,'Координати майданчиків'!$B$4:$B$64,0)),IFERROR(IF(ABS(INDEX(Геокодування!$C$2:$C$361,MATCH($Q34,Геокодування!$B$2:$B$361,0))-50.5884)+ABS(INDEX(Геокодування!$D$2:$D$361,MATCH($Q34,Геокодування!$B$2:$B$361,0))-32.3876)&gt;0.15,"",INDEX(Геокодування!$C$2:$C$361,MATCH($Q34,Геокодування!$B$2:$B$361,0))),IFERROR(IF(ABS(INDEX(Геокодування!$C$2:$C$361,MATCH("Прилуки, Чернігівська обл., "&amp;$A34,Геокодування!$B$2:$B$361,0))-50.5884)+ABS(INDEX(Геокодування!$D$2:$D$361,MATCH("Прилуки, Чернігівська обл., "&amp;$A34,Геокодування!$B$2:$B$361,0))-32.3876)&gt;0.15,"",INDEX(Геокодування!$C$2:$C$361,MATCH("Прилуки, Чернігівська обл., "&amp;$A34,Геокодування!$B$2:$B$361,0))),""))))</f>
        <v>50.609361999999997</v>
      </c>
      <c r="S34" s="43">
        <f>IF($O34="","",IFERROR(INDEX('Координати майданчиків'!$I$4:$I$64,MATCH($T34,'Координати майданчиків'!$B$4:$B$64,0)),IFERROR(IF(ABS(INDEX(Геокодування!$C$2:$C$361,MATCH($Q34,Геокодування!$B$2:$B$361,0))-50.5884)+ABS(INDEX(Геокодування!$D$2:$D$361,MATCH($Q34,Геокодування!$B$2:$B$361,0))-32.3876)&gt;0.15,"",INDEX(Геокодування!$D$2:$D$361,MATCH($Q34,Геокодування!$B$2:$B$361,0))),IFERROR(IF(ABS(INDEX(Геокодування!$C$2:$C$361,MATCH("Прилуки, Чернігівська обл., "&amp;$A34,Геокодування!$B$2:$B$361,0))-50.5884)+ABS(INDEX(Геокодування!$D$2:$D$361,MATCH("Прилуки, Чернігівська обл., "&amp;$A34,Геокодування!$B$2:$B$361,0))-32.3876)&gt;0.15,"",INDEX(Геокодування!$D$2:$D$361,MATCH("Прилуки, Чернігівська обл., "&amp;$A34,Геокодування!$B$2:$B$361,0))),""))))</f>
        <v>32.395558999999999</v>
      </c>
      <c r="T34" s="44" t="str">
        <f>IF($O34="","",IFERROR(INDEX('Координати майданчиків'!$B$4:$B$64,MATCH($A34&amp;IF($P34="","",", "&amp;$P34),'Координати майданчиків'!$B$4:$B$64,0)),IFERROR(INDEX('Координати майданчиків'!$B$4:$B$64,MATCH($A34,'Координати майданчиків'!$B$4:$B$64,0)),"")))</f>
        <v/>
      </c>
    </row>
    <row r="35" spans="1:20" x14ac:dyDescent="0.35">
      <c r="A35" s="26" t="str">
        <f t="shared" si="0"/>
        <v>2 пров. Героїв Чорнобиля</v>
      </c>
      <c r="B35" s="26" t="str">
        <f t="shared" si="1"/>
        <v>27,20  7,2</v>
      </c>
      <c r="C35" s="27" t="str" cm="1">
        <f t="array" ref="C35">IF($O35="","",_xlfn.TEXTJOIN(", ",TRUE,IF(EXACT('Дані_зв''язок'!$J$4:$J$1012,$O35)*('Дані_зв''язок'!$C$4:$C$1012=C$4),'Дані_зв''язок'!$D$4:$D$1012,"")))</f>
        <v/>
      </c>
      <c r="D35" s="27" t="str" cm="1">
        <f t="array" ref="D35">IF($O35="","",_xlfn.TEXTJOIN(", ",TRUE,IF(EXACT('Дані_зв''язок'!$J$4:$J$1012,$O35)*('Дані_зв''язок'!$C$4:$C$1012=D$4),'Дані_зв''язок'!$D$4:$D$1012,"")))</f>
        <v>13:45</v>
      </c>
      <c r="E35" s="27" t="str" cm="1">
        <f t="array" ref="E35">IF($O35="","",_xlfn.TEXTJOIN(", ",TRUE,IF(EXACT('Дані_зв''язок'!$J$4:$J$1012,$O35)*('Дані_зв''язок'!$C$4:$C$1012=E$4),'Дані_зв''язок'!$D$4:$D$1012,"")))</f>
        <v/>
      </c>
      <c r="F35" s="27" t="str" cm="1">
        <f t="array" ref="F35">IF($O35="","",_xlfn.TEXTJOIN(", ",TRUE,IF(EXACT('Дані_зв''язок'!$J$4:$J$1012,$O35)*('Дані_зв''язок'!$C$4:$C$1012=F$4),'Дані_зв''язок'!$D$4:$D$1012,"")))</f>
        <v/>
      </c>
      <c r="G35" s="27" t="str" cm="1">
        <f t="array" ref="G35">IF($O35="","",_xlfn.TEXTJOIN(", ",TRUE,IF(EXACT('Дані_зв''язок'!$J$4:$J$1012,$O35)*('Дані_зв''язок'!$C$4:$C$1012=G$4),'Дані_зв''язок'!$D$4:$D$1012,"")))</f>
        <v/>
      </c>
      <c r="H35" s="27" t="str" cm="1">
        <f t="array" ref="H35">IF($O35="","",_xlfn.TEXTJOIN(", ",TRUE,IF(EXACT('Дані_зв''язок'!$J$4:$J$1012,$O35)*('Дані_зв''язок'!$C$4:$C$1012=H$4),'Дані_зв''язок'!$D$4:$D$1012,"")))</f>
        <v/>
      </c>
      <c r="I35" s="27" t="str" cm="1">
        <f t="array" ref="I35">IF($O35="","",_xlfn.TEXTJOIN(", ",TRUE,IF(EXACT('Дані_зв''язок'!$J$4:$J$1012,$O35)*('Дані_зв''язок'!$C$4:$C$1012=I$4),'Дані_зв''язок'!$D$4:$D$1012,"")))</f>
        <v/>
      </c>
      <c r="J35" s="27" cm="1">
        <f t="array" ref="J35">IF($O35="","",COUNTIF(C35:I35,"?*")+SUMPRODUCT(LEN(C35:I35)-LEN(SUBSTITUTE(C35:I35,",",""))))</f>
        <v>1</v>
      </c>
      <c r="K35" s="28" t="str" cm="1">
        <f t="array" ref="K35">IF($O35="","",_xlfn.TEXTJOIN(", ",TRUE,IF(EXACT('Дані_зв''язок'!$J$4:$J$1012,$O35),'Дані_зв''язок'!$L$4:$L$1012,"")))</f>
        <v>№6</v>
      </c>
      <c r="L35" s="28" t="str" cm="1">
        <f t="array" ref="L35">IF($O35="","",_xlfn.TEXTJOIN(", ",TRUE,IF(EXACT('Дані_зв''язок'!$J$4:$J$1012,$O35),'Дані_зв''язок'!$M$4:$M$1012,"")))</f>
        <v>АТ 4021</v>
      </c>
      <c r="M35" s="27" t="str" cm="1">
        <f t="array" ref="M35">IF($O35="","",IF(SUMPRODUCT(MAX(EXACT('Дані_зв''язок'!$J$4:$J$1012,$O35)*IFERROR('Дані_зв''язок'!$H$4:$H$1012,0)))=0,"",SUMPRODUCT(MAX(EXACT('Дані_зв''язок'!$J$4:$J$1012,$O35)*IFERROR('Дані_зв''язок'!$H$4:$H$1012,0)))))</f>
        <v/>
      </c>
      <c r="O35" s="30" t="s">
        <v>1161</v>
      </c>
      <c r="P35" s="24" cm="1">
        <f t="array" ref="P35">IF($O35="","",IF($B35="","",IFERROR(IF(MIN(IFERROR(VALUE(TRIM(MID(SUBSTITUTE(SUBSTITUTE($B35,","," ")," ",REPT(" ",30)),{1;31;61;91;121;151;181},30))),""))=0,"",MIN(IFERROR(VALUE(TRIM(MID(SUBSTITUTE(SUBSTITUTE($B35,","," ")," ",REPT(" ",30)),{1;31;61;91;121;151;181},30))),""))),"")))</f>
        <v>2</v>
      </c>
      <c r="Q35" s="23" t="str">
        <f t="shared" si="2"/>
        <v>Прилуки, Чернігівська обл., 2 пров. Героїв Чорнобиля, 2</v>
      </c>
      <c r="R35" s="35">
        <f>IF($O35="","",IFERROR(INDEX('Координати майданчиків'!$H$4:$H$64,MATCH($T35,'Координати майданчиків'!$B$4:$B$64,0)),IFERROR(IF(ABS(INDEX(Геокодування!$C$2:$C$361,MATCH($Q35,Геокодування!$B$2:$B$361,0))-50.5884)+ABS(INDEX(Геокодування!$D$2:$D$361,MATCH($Q35,Геокодування!$B$2:$B$361,0))-32.3876)&gt;0.15,"",INDEX(Геокодування!$C$2:$C$361,MATCH($Q35,Геокодування!$B$2:$B$361,0))),IFERROR(IF(ABS(INDEX(Геокодування!$C$2:$C$361,MATCH("Прилуки, Чернігівська обл., "&amp;$A35,Геокодування!$B$2:$B$361,0))-50.5884)+ABS(INDEX(Геокодування!$D$2:$D$361,MATCH("Прилуки, Чернігівська обл., "&amp;$A35,Геокодування!$B$2:$B$361,0))-32.3876)&gt;0.15,"",INDEX(Геокодування!$C$2:$C$361,MATCH("Прилуки, Чернігівська обл., "&amp;$A35,Геокодування!$B$2:$B$361,0))),""))))</f>
        <v>50.594935</v>
      </c>
      <c r="S35" s="43">
        <f>IF($O35="","",IFERROR(INDEX('Координати майданчиків'!$I$4:$I$64,MATCH($T35,'Координати майданчиків'!$B$4:$B$64,0)),IFERROR(IF(ABS(INDEX(Геокодування!$C$2:$C$361,MATCH($Q35,Геокодування!$B$2:$B$361,0))-50.5884)+ABS(INDEX(Геокодування!$D$2:$D$361,MATCH($Q35,Геокодування!$B$2:$B$361,0))-32.3876)&gt;0.15,"",INDEX(Геокодування!$D$2:$D$361,MATCH($Q35,Геокодування!$B$2:$B$361,0))),IFERROR(IF(ABS(INDEX(Геокодування!$C$2:$C$361,MATCH("Прилуки, Чернігівська обл., "&amp;$A35,Геокодування!$B$2:$B$361,0))-50.5884)+ABS(INDEX(Геокодування!$D$2:$D$361,MATCH("Прилуки, Чернігівська обл., "&amp;$A35,Геокодування!$B$2:$B$361,0))-32.3876)&gt;0.15,"",INDEX(Геокодування!$D$2:$D$361,MATCH("Прилуки, Чернігівська обл., "&amp;$A35,Геокодування!$B$2:$B$361,0))),""))))</f>
        <v>32.415866999999999</v>
      </c>
      <c r="T35" s="44" t="str">
        <f>IF($O35="","",IFERROR(INDEX('Координати майданчиків'!$B$4:$B$64,MATCH($A35&amp;IF($P35="","",", "&amp;$P35),'Координати майданчиків'!$B$4:$B$64,0)),IFERROR(INDEX('Координати майданчиків'!$B$4:$B$64,MATCH($A35,'Координати майданчиків'!$B$4:$B$64,0)),"")))</f>
        <v/>
      </c>
    </row>
    <row r="36" spans="1:20" x14ac:dyDescent="0.35">
      <c r="A36" s="26" t="str">
        <f t="shared" si="0"/>
        <v>2 пров. Дослідний</v>
      </c>
      <c r="B36" s="26" t="str">
        <f t="shared" si="1"/>
        <v/>
      </c>
      <c r="C36" s="27" t="str" cm="1">
        <f t="array" ref="C36">IF($O36="","",_xlfn.TEXTJOIN(", ",TRUE,IF(EXACT('Дані_зв''язок'!$J$4:$J$1012,$O36)*('Дані_зв''язок'!$C$4:$C$1012=C$4),'Дані_зв''язок'!$D$4:$D$1012,"")))</f>
        <v>8:15</v>
      </c>
      <c r="D36" s="27" t="str" cm="1">
        <f t="array" ref="D36">IF($O36="","",_xlfn.TEXTJOIN(", ",TRUE,IF(EXACT('Дані_зв''язок'!$J$4:$J$1012,$O36)*('Дані_зв''язок'!$C$4:$C$1012=D$4),'Дані_зв''язок'!$D$4:$D$1012,"")))</f>
        <v/>
      </c>
      <c r="E36" s="27" t="str" cm="1">
        <f t="array" ref="E36">IF($O36="","",_xlfn.TEXTJOIN(", ",TRUE,IF(EXACT('Дані_зв''язок'!$J$4:$J$1012,$O36)*('Дані_зв''язок'!$C$4:$C$1012=E$4),'Дані_зв''язок'!$D$4:$D$1012,"")))</f>
        <v/>
      </c>
      <c r="F36" s="27" t="str" cm="1">
        <f t="array" ref="F36">IF($O36="","",_xlfn.TEXTJOIN(", ",TRUE,IF(EXACT('Дані_зв''язок'!$J$4:$J$1012,$O36)*('Дані_зв''язок'!$C$4:$C$1012=F$4),'Дані_зв''язок'!$D$4:$D$1012,"")))</f>
        <v/>
      </c>
      <c r="G36" s="27" t="str" cm="1">
        <f t="array" ref="G36">IF($O36="","",_xlfn.TEXTJOIN(", ",TRUE,IF(EXACT('Дані_зв''язок'!$J$4:$J$1012,$O36)*('Дані_зв''язок'!$C$4:$C$1012=G$4),'Дані_зв''язок'!$D$4:$D$1012,"")))</f>
        <v/>
      </c>
      <c r="H36" s="27" t="str" cm="1">
        <f t="array" ref="H36">IF($O36="","",_xlfn.TEXTJOIN(", ",TRUE,IF(EXACT('Дані_зв''язок'!$J$4:$J$1012,$O36)*('Дані_зв''язок'!$C$4:$C$1012=H$4),'Дані_зв''язок'!$D$4:$D$1012,"")))</f>
        <v/>
      </c>
      <c r="I36" s="27" t="str" cm="1">
        <f t="array" ref="I36">IF($O36="","",_xlfn.TEXTJOIN(", ",TRUE,IF(EXACT('Дані_зв''язок'!$J$4:$J$1012,$O36)*('Дані_зв''язок'!$C$4:$C$1012=I$4),'Дані_зв''язок'!$D$4:$D$1012,"")))</f>
        <v/>
      </c>
      <c r="J36" s="27" cm="1">
        <f t="array" ref="J36">IF($O36="","",COUNTIF(C36:I36,"?*")+SUMPRODUCT(LEN(C36:I36)-LEN(SUBSTITUTE(C36:I36,",",""))))</f>
        <v>1</v>
      </c>
      <c r="K36" s="28" t="str" cm="1">
        <f t="array" ref="K36">IF($O36="","",_xlfn.TEXTJOIN(", ",TRUE,IF(EXACT('Дані_зв''язок'!$J$4:$J$1012,$O36),'Дані_зв''язок'!$L$4:$L$1012,"")))</f>
        <v>№5</v>
      </c>
      <c r="L36" s="28" t="str" cm="1">
        <f t="array" ref="L36">IF($O36="","",_xlfn.TEXTJOIN(", ",TRUE,IF(EXACT('Дані_зв''язок'!$J$4:$J$1012,$O36),'Дані_зв''язок'!$M$4:$M$1012,"")))</f>
        <v>МАЗ 4381</v>
      </c>
      <c r="M36" s="27" t="str" cm="1">
        <f t="array" ref="M36">IF($O36="","",IF(SUMPRODUCT(MAX(EXACT('Дані_зв''язок'!$J$4:$J$1012,$O36)*IFERROR('Дані_зв''язок'!$H$4:$H$1012,0)))=0,"",SUMPRODUCT(MAX(EXACT('Дані_зв''язок'!$J$4:$J$1012,$O36)*IFERROR('Дані_зв''язок'!$H$4:$H$1012,0)))))</f>
        <v/>
      </c>
      <c r="O36" s="30" t="s">
        <v>1162</v>
      </c>
      <c r="P36" s="24" t="str" cm="1">
        <f t="array" ref="P36">IF($O36="","",IF($B36="","",IFERROR(IF(MIN(IFERROR(VALUE(TRIM(MID(SUBSTITUTE(SUBSTITUTE($B36,","," ")," ",REPT(" ",30)),{1;31;61;91;121;151;181},30))),""))=0,"",MIN(IFERROR(VALUE(TRIM(MID(SUBSTITUTE(SUBSTITUTE($B36,","," ")," ",REPT(" ",30)),{1;31;61;91;121;151;181},30))),""))),"")))</f>
        <v/>
      </c>
      <c r="Q36" s="23" t="str">
        <f t="shared" si="2"/>
        <v>Прилуки, Чернігівська обл., 2 пров. Дослідний</v>
      </c>
      <c r="R36" s="35">
        <f>IF($O36="","",IFERROR(INDEX('Координати майданчиків'!$H$4:$H$64,MATCH($T36,'Координати майданчиків'!$B$4:$B$64,0)),IFERROR(IF(ABS(INDEX(Геокодування!$C$2:$C$361,MATCH($Q36,Геокодування!$B$2:$B$361,0))-50.5884)+ABS(INDEX(Геокодування!$D$2:$D$361,MATCH($Q36,Геокодування!$B$2:$B$361,0))-32.3876)&gt;0.15,"",INDEX(Геокодування!$C$2:$C$361,MATCH($Q36,Геокодування!$B$2:$B$361,0))),IFERROR(IF(ABS(INDEX(Геокодування!$C$2:$C$361,MATCH("Прилуки, Чернігівська обл., "&amp;$A36,Геокодування!$B$2:$B$361,0))-50.5884)+ABS(INDEX(Геокодування!$D$2:$D$361,MATCH("Прилуки, Чернігівська обл., "&amp;$A36,Геокодування!$B$2:$B$361,0))-32.3876)&gt;0.15,"",INDEX(Геокодування!$C$2:$C$361,MATCH("Прилуки, Чернігівська обл., "&amp;$A36,Геокодування!$B$2:$B$361,0))),""))))</f>
        <v>50.577770000000001</v>
      </c>
      <c r="S36" s="43">
        <f>IF($O36="","",IFERROR(INDEX('Координати майданчиків'!$I$4:$I$64,MATCH($T36,'Координати майданчиків'!$B$4:$B$64,0)),IFERROR(IF(ABS(INDEX(Геокодування!$C$2:$C$361,MATCH($Q36,Геокодування!$B$2:$B$361,0))-50.5884)+ABS(INDEX(Геокодування!$D$2:$D$361,MATCH($Q36,Геокодування!$B$2:$B$361,0))-32.3876)&gt;0.15,"",INDEX(Геокодування!$D$2:$D$361,MATCH($Q36,Геокодування!$B$2:$B$361,0))),IFERROR(IF(ABS(INDEX(Геокодування!$C$2:$C$361,MATCH("Прилуки, Чернігівська обл., "&amp;$A36,Геокодування!$B$2:$B$361,0))-50.5884)+ABS(INDEX(Геокодування!$D$2:$D$361,MATCH("Прилуки, Чернігівська обл., "&amp;$A36,Геокодування!$B$2:$B$361,0))-32.3876)&gt;0.15,"",INDEX(Геокодування!$D$2:$D$361,MATCH("Прилуки, Чернігівська обл., "&amp;$A36,Геокодування!$B$2:$B$361,0))),""))))</f>
        <v>32.368592999999997</v>
      </c>
      <c r="T36" s="44" t="str">
        <f>IF($O36="","",IFERROR(INDEX('Координати майданчиків'!$B$4:$B$64,MATCH($A36&amp;IF($P36="","",", "&amp;$P36),'Координати майданчиків'!$B$4:$B$64,0)),IFERROR(INDEX('Координати майданчиків'!$B$4:$B$64,MATCH($A36,'Координати майданчиків'!$B$4:$B$64,0)),"")))</f>
        <v/>
      </c>
    </row>
    <row r="37" spans="1:20" x14ac:dyDescent="0.35">
      <c r="A37" s="26" t="str">
        <f t="shared" si="0"/>
        <v>2 пров. Зелений</v>
      </c>
      <c r="B37" s="26" t="str">
        <f t="shared" si="1"/>
        <v/>
      </c>
      <c r="C37" s="27" t="str" cm="1">
        <f t="array" ref="C37">IF($O37="","",_xlfn.TEXTJOIN(", ",TRUE,IF(EXACT('Дані_зв''язок'!$J$4:$J$1012,$O37)*('Дані_зв''язок'!$C$4:$C$1012=C$4),'Дані_зв''язок'!$D$4:$D$1012,"")))</f>
        <v>12:40</v>
      </c>
      <c r="D37" s="27" t="str" cm="1">
        <f t="array" ref="D37">IF($O37="","",_xlfn.TEXTJOIN(", ",TRUE,IF(EXACT('Дані_зв''язок'!$J$4:$J$1012,$O37)*('Дані_зв''язок'!$C$4:$C$1012=D$4),'Дані_зв''язок'!$D$4:$D$1012,"")))</f>
        <v/>
      </c>
      <c r="E37" s="27" t="str" cm="1">
        <f t="array" ref="E37">IF($O37="","",_xlfn.TEXTJOIN(", ",TRUE,IF(EXACT('Дані_зв''язок'!$J$4:$J$1012,$O37)*('Дані_зв''язок'!$C$4:$C$1012=E$4),'Дані_зв''язок'!$D$4:$D$1012,"")))</f>
        <v/>
      </c>
      <c r="F37" s="27" t="str" cm="1">
        <f t="array" ref="F37">IF($O37="","",_xlfn.TEXTJOIN(", ",TRUE,IF(EXACT('Дані_зв''язок'!$J$4:$J$1012,$O37)*('Дані_зв''язок'!$C$4:$C$1012=F$4),'Дані_зв''язок'!$D$4:$D$1012,"")))</f>
        <v/>
      </c>
      <c r="G37" s="27" t="str" cm="1">
        <f t="array" ref="G37">IF($O37="","",_xlfn.TEXTJOIN(", ",TRUE,IF(EXACT('Дані_зв''язок'!$J$4:$J$1012,$O37)*('Дані_зв''язок'!$C$4:$C$1012=G$4),'Дані_зв''язок'!$D$4:$D$1012,"")))</f>
        <v/>
      </c>
      <c r="H37" s="27" t="str" cm="1">
        <f t="array" ref="H37">IF($O37="","",_xlfn.TEXTJOIN(", ",TRUE,IF(EXACT('Дані_зв''язок'!$J$4:$J$1012,$O37)*('Дані_зв''язок'!$C$4:$C$1012=H$4),'Дані_зв''язок'!$D$4:$D$1012,"")))</f>
        <v/>
      </c>
      <c r="I37" s="27" t="str" cm="1">
        <f t="array" ref="I37">IF($O37="","",_xlfn.TEXTJOIN(", ",TRUE,IF(EXACT('Дані_зв''язок'!$J$4:$J$1012,$O37)*('Дані_зв''язок'!$C$4:$C$1012=I$4),'Дані_зв''язок'!$D$4:$D$1012,"")))</f>
        <v/>
      </c>
      <c r="J37" s="27" cm="1">
        <f t="array" ref="J37">IF($O37="","",COUNTIF(C37:I37,"?*")+SUMPRODUCT(LEN(C37:I37)-LEN(SUBSTITUTE(C37:I37,",",""))))</f>
        <v>1</v>
      </c>
      <c r="K37" s="28" t="str" cm="1">
        <f t="array" ref="K37">IF($O37="","",_xlfn.TEXTJOIN(", ",TRUE,IF(EXACT('Дані_зв''язок'!$J$4:$J$1012,$O37),'Дані_зв''язок'!$L$4:$L$1012,"")))</f>
        <v>№5</v>
      </c>
      <c r="L37" s="28" t="str" cm="1">
        <f t="array" ref="L37">IF($O37="","",_xlfn.TEXTJOIN(", ",TRUE,IF(EXACT('Дані_зв''язок'!$J$4:$J$1012,$O37),'Дані_зв''язок'!$M$4:$M$1012,"")))</f>
        <v>МАЗ 4381</v>
      </c>
      <c r="M37" s="27" t="str" cm="1">
        <f t="array" ref="M37">IF($O37="","",IF(SUMPRODUCT(MAX(EXACT('Дані_зв''язок'!$J$4:$J$1012,$O37)*IFERROR('Дані_зв''язок'!$H$4:$H$1012,0)))=0,"",SUMPRODUCT(MAX(EXACT('Дані_зв''язок'!$J$4:$J$1012,$O37)*IFERROR('Дані_зв''язок'!$H$4:$H$1012,0)))))</f>
        <v/>
      </c>
      <c r="O37" s="30" t="s">
        <v>1164</v>
      </c>
      <c r="P37" s="24" t="str" cm="1">
        <f t="array" ref="P37">IF($O37="","",IF($B37="","",IFERROR(IF(MIN(IFERROR(VALUE(TRIM(MID(SUBSTITUTE(SUBSTITUTE($B37,","," ")," ",REPT(" ",30)),{1;31;61;91;121;151;181},30))),""))=0,"",MIN(IFERROR(VALUE(TRIM(MID(SUBSTITUTE(SUBSTITUTE($B37,","," ")," ",REPT(" ",30)),{1;31;61;91;121;151;181},30))),""))),"")))</f>
        <v/>
      </c>
      <c r="Q37" s="23" t="str">
        <f t="shared" si="2"/>
        <v>Прилуки, Чернігівська обл., 2 пров. Зелений</v>
      </c>
      <c r="R37" s="69" t="str">
        <f>IF($O37="","",IFERROR(INDEX('Координати майданчиків'!$H$4:$H$64,MATCH($T37,'Координати майданчиків'!$B$4:$B$64,0)),IFERROR(IF(ABS(INDEX(Геокодування!$C$2:$C$361,MATCH($Q37,Геокодування!$B$2:$B$361,0))-50.5884)+ABS(INDEX(Геокодування!$D$2:$D$361,MATCH($Q37,Геокодування!$B$2:$B$361,0))-32.3876)&gt;0.15,"",INDEX(Геокодування!$C$2:$C$361,MATCH($Q37,Геокодування!$B$2:$B$361,0))),IFERROR(IF(ABS(INDEX(Геокодування!$C$2:$C$361,MATCH("Прилуки, Чернігівська обл., "&amp;$A37,Геокодування!$B$2:$B$361,0))-50.5884)+ABS(INDEX(Геокодування!$D$2:$D$361,MATCH("Прилуки, Чернігівська обл., "&amp;$A37,Геокодування!$B$2:$B$361,0))-32.3876)&gt;0.15,"",INDEX(Геокодування!$C$2:$C$361,MATCH("Прилуки, Чернігівська обл., "&amp;$A37,Геокодування!$B$2:$B$361,0))),""))))</f>
        <v/>
      </c>
      <c r="S37" s="69" t="str">
        <f>IF($O37="","",IFERROR(INDEX('Координати майданчиків'!$I$4:$I$64,MATCH($T37,'Координати майданчиків'!$B$4:$B$64,0)),IFERROR(IF(ABS(INDEX(Геокодування!$C$2:$C$361,MATCH($Q37,Геокодування!$B$2:$B$361,0))-50.5884)+ABS(INDEX(Геокодування!$D$2:$D$361,MATCH($Q37,Геокодування!$B$2:$B$361,0))-32.3876)&gt;0.15,"",INDEX(Геокодування!$D$2:$D$361,MATCH($Q37,Геокодування!$B$2:$B$361,0))),IFERROR(IF(ABS(INDEX(Геокодування!$C$2:$C$361,MATCH("Прилуки, Чернігівська обл., "&amp;$A37,Геокодування!$B$2:$B$361,0))-50.5884)+ABS(INDEX(Геокодування!$D$2:$D$361,MATCH("Прилуки, Чернігівська обл., "&amp;$A37,Геокодування!$B$2:$B$361,0))-32.3876)&gt;0.15,"",INDEX(Геокодування!$D$2:$D$361,MATCH("Прилуки, Чернігівська обл., "&amp;$A37,Геокодування!$B$2:$B$361,0))),""))))</f>
        <v/>
      </c>
      <c r="T37" s="44" t="str">
        <f>IF($O37="","",IFERROR(INDEX('Координати майданчиків'!$B$4:$B$64,MATCH($A37&amp;IF($P37="","",", "&amp;$P37),'Координати майданчиків'!$B$4:$B$64,0)),IFERROR(INDEX('Координати майданчиків'!$B$4:$B$64,MATCH($A37,'Координати майданчиків'!$B$4:$B$64,0)),"")))</f>
        <v/>
      </c>
    </row>
    <row r="38" spans="1:20" x14ac:dyDescent="0.35">
      <c r="A38" s="26" t="str">
        <f t="shared" si="0"/>
        <v>2 пров. Змагання</v>
      </c>
      <c r="B38" s="26" t="str">
        <f t="shared" si="1"/>
        <v/>
      </c>
      <c r="C38" s="27" t="str" cm="1">
        <f t="array" ref="C38">IF($O38="","",_xlfn.TEXTJOIN(", ",TRUE,IF(EXACT('Дані_зв''язок'!$J$4:$J$1012,$O38)*('Дані_зв''язок'!$C$4:$C$1012=C$4),'Дані_зв''язок'!$D$4:$D$1012,"")))</f>
        <v>13:30</v>
      </c>
      <c r="D38" s="27" t="str" cm="1">
        <f t="array" ref="D38">IF($O38="","",_xlfn.TEXTJOIN(", ",TRUE,IF(EXACT('Дані_зв''язок'!$J$4:$J$1012,$O38)*('Дані_зв''язок'!$C$4:$C$1012=D$4),'Дані_зв''язок'!$D$4:$D$1012,"")))</f>
        <v/>
      </c>
      <c r="E38" s="27" t="str" cm="1">
        <f t="array" ref="E38">IF($O38="","",_xlfn.TEXTJOIN(", ",TRUE,IF(EXACT('Дані_зв''язок'!$J$4:$J$1012,$O38)*('Дані_зв''язок'!$C$4:$C$1012=E$4),'Дані_зв''язок'!$D$4:$D$1012,"")))</f>
        <v/>
      </c>
      <c r="F38" s="27" t="str" cm="1">
        <f t="array" ref="F38">IF($O38="","",_xlfn.TEXTJOIN(", ",TRUE,IF(EXACT('Дані_зв''язок'!$J$4:$J$1012,$O38)*('Дані_зв''язок'!$C$4:$C$1012=F$4),'Дані_зв''язок'!$D$4:$D$1012,"")))</f>
        <v/>
      </c>
      <c r="G38" s="27" t="str" cm="1">
        <f t="array" ref="G38">IF($O38="","",_xlfn.TEXTJOIN(", ",TRUE,IF(EXACT('Дані_зв''язок'!$J$4:$J$1012,$O38)*('Дані_зв''язок'!$C$4:$C$1012=G$4),'Дані_зв''язок'!$D$4:$D$1012,"")))</f>
        <v/>
      </c>
      <c r="H38" s="27" t="str" cm="1">
        <f t="array" ref="H38">IF($O38="","",_xlfn.TEXTJOIN(", ",TRUE,IF(EXACT('Дані_зв''язок'!$J$4:$J$1012,$O38)*('Дані_зв''язок'!$C$4:$C$1012=H$4),'Дані_зв''язок'!$D$4:$D$1012,"")))</f>
        <v/>
      </c>
      <c r="I38" s="27" t="str" cm="1">
        <f t="array" ref="I38">IF($O38="","",_xlfn.TEXTJOIN(", ",TRUE,IF(EXACT('Дані_зв''язок'!$J$4:$J$1012,$O38)*('Дані_зв''язок'!$C$4:$C$1012=I$4),'Дані_зв''язок'!$D$4:$D$1012,"")))</f>
        <v/>
      </c>
      <c r="J38" s="27" cm="1">
        <f t="array" ref="J38">IF($O38="","",COUNTIF(C38:I38,"?*")+SUMPRODUCT(LEN(C38:I38)-LEN(SUBSTITUTE(C38:I38,",",""))))</f>
        <v>1</v>
      </c>
      <c r="K38" s="28" t="str" cm="1">
        <f t="array" ref="K38">IF($O38="","",_xlfn.TEXTJOIN(", ",TRUE,IF(EXACT('Дані_зв''язок'!$J$4:$J$1012,$O38),'Дані_зв''язок'!$L$4:$L$1012,"")))</f>
        <v>№5</v>
      </c>
      <c r="L38" s="28" t="str" cm="1">
        <f t="array" ref="L38">IF($O38="","",_xlfn.TEXTJOIN(", ",TRUE,IF(EXACT('Дані_зв''язок'!$J$4:$J$1012,$O38),'Дані_зв''язок'!$M$4:$M$1012,"")))</f>
        <v>МАЗ 4381</v>
      </c>
      <c r="M38" s="27" t="str" cm="1">
        <f t="array" ref="M38">IF($O38="","",IF(SUMPRODUCT(MAX(EXACT('Дані_зв''язок'!$J$4:$J$1012,$O38)*IFERROR('Дані_зв''язок'!$H$4:$H$1012,0)))=0,"",SUMPRODUCT(MAX(EXACT('Дані_зв''язок'!$J$4:$J$1012,$O38)*IFERROR('Дані_зв''язок'!$H$4:$H$1012,0)))))</f>
        <v/>
      </c>
      <c r="O38" s="30" t="s">
        <v>1165</v>
      </c>
      <c r="P38" s="24" t="str" cm="1">
        <f t="array" ref="P38">IF($O38="","",IF($B38="","",IFERROR(IF(MIN(IFERROR(VALUE(TRIM(MID(SUBSTITUTE(SUBSTITUTE($B38,","," ")," ",REPT(" ",30)),{1;31;61;91;121;151;181},30))),""))=0,"",MIN(IFERROR(VALUE(TRIM(MID(SUBSTITUTE(SUBSTITUTE($B38,","," ")," ",REPT(" ",30)),{1;31;61;91;121;151;181},30))),""))),"")))</f>
        <v/>
      </c>
      <c r="Q38" s="23" t="str">
        <f t="shared" si="2"/>
        <v>Прилуки, Чернігівська обл., 2 пров. Змагання</v>
      </c>
      <c r="R38" s="35">
        <f>IF($O38="","",IFERROR(INDEX('Координати майданчиків'!$H$4:$H$64,MATCH($T38,'Координати майданчиків'!$B$4:$B$64,0)),IFERROR(IF(ABS(INDEX(Геокодування!$C$2:$C$361,MATCH($Q38,Геокодування!$B$2:$B$361,0))-50.5884)+ABS(INDEX(Геокодування!$D$2:$D$361,MATCH($Q38,Геокодування!$B$2:$B$361,0))-32.3876)&gt;0.15,"",INDEX(Геокодування!$C$2:$C$361,MATCH($Q38,Геокодування!$B$2:$B$361,0))),IFERROR(IF(ABS(INDEX(Геокодування!$C$2:$C$361,MATCH("Прилуки, Чернігівська обл., "&amp;$A38,Геокодування!$B$2:$B$361,0))-50.5884)+ABS(INDEX(Геокодування!$D$2:$D$361,MATCH("Прилуки, Чернігівська обл., "&amp;$A38,Геокодування!$B$2:$B$361,0))-32.3876)&gt;0.15,"",INDEX(Геокодування!$C$2:$C$361,MATCH("Прилуки, Чернігівська обл., "&amp;$A38,Геокодування!$B$2:$B$361,0))),""))))</f>
        <v>50.589775000000003</v>
      </c>
      <c r="S38" s="43">
        <f>IF($O38="","",IFERROR(INDEX('Координати майданчиків'!$I$4:$I$64,MATCH($T38,'Координати майданчиків'!$B$4:$B$64,0)),IFERROR(IF(ABS(INDEX(Геокодування!$C$2:$C$361,MATCH($Q38,Геокодування!$B$2:$B$361,0))-50.5884)+ABS(INDEX(Геокодування!$D$2:$D$361,MATCH($Q38,Геокодування!$B$2:$B$361,0))-32.3876)&gt;0.15,"",INDEX(Геокодування!$D$2:$D$361,MATCH($Q38,Геокодування!$B$2:$B$361,0))),IFERROR(IF(ABS(INDEX(Геокодування!$C$2:$C$361,MATCH("Прилуки, Чернігівська обл., "&amp;$A38,Геокодування!$B$2:$B$361,0))-50.5884)+ABS(INDEX(Геокодування!$D$2:$D$361,MATCH("Прилуки, Чернігівська обл., "&amp;$A38,Геокодування!$B$2:$B$361,0))-32.3876)&gt;0.15,"",INDEX(Геокодування!$D$2:$D$361,MATCH("Прилуки, Чернігівська обл., "&amp;$A38,Геокодування!$B$2:$B$361,0))),""))))</f>
        <v>32.366114000000003</v>
      </c>
      <c r="T38" s="44" t="str">
        <f>IF($O38="","",IFERROR(INDEX('Координати майданчиків'!$B$4:$B$64,MATCH($A38&amp;IF($P38="","",", "&amp;$P38),'Координати майданчиків'!$B$4:$B$64,0)),IFERROR(INDEX('Координати майданчиків'!$B$4:$B$64,MATCH($A38,'Координати майданчиків'!$B$4:$B$64,0)),"")))</f>
        <v/>
      </c>
    </row>
    <row r="39" spans="1:20" x14ac:dyDescent="0.35">
      <c r="A39" s="26" t="str">
        <f t="shared" si="0"/>
        <v>2 пров. Межовий</v>
      </c>
      <c r="B39" s="26" t="str">
        <f t="shared" si="1"/>
        <v>3,4</v>
      </c>
      <c r="C39" s="27" t="str" cm="1">
        <f t="array" ref="C39">IF($O39="","",_xlfn.TEXTJOIN(", ",TRUE,IF(EXACT('Дані_зв''язок'!$J$4:$J$1012,$O39)*('Дані_зв''язок'!$C$4:$C$1012=C$4),'Дані_зв''язок'!$D$4:$D$1012,"")))</f>
        <v>12:15</v>
      </c>
      <c r="D39" s="27" t="str" cm="1">
        <f t="array" ref="D39">IF($O39="","",_xlfn.TEXTJOIN(", ",TRUE,IF(EXACT('Дані_зв''язок'!$J$4:$J$1012,$O39)*('Дані_зв''язок'!$C$4:$C$1012=D$4),'Дані_зв''язок'!$D$4:$D$1012,"")))</f>
        <v/>
      </c>
      <c r="E39" s="27" t="str" cm="1">
        <f t="array" ref="E39">IF($O39="","",_xlfn.TEXTJOIN(", ",TRUE,IF(EXACT('Дані_зв''язок'!$J$4:$J$1012,$O39)*('Дані_зв''язок'!$C$4:$C$1012=E$4),'Дані_зв''язок'!$D$4:$D$1012,"")))</f>
        <v/>
      </c>
      <c r="F39" s="27" t="str" cm="1">
        <f t="array" ref="F39">IF($O39="","",_xlfn.TEXTJOIN(", ",TRUE,IF(EXACT('Дані_зв''язок'!$J$4:$J$1012,$O39)*('Дані_зв''язок'!$C$4:$C$1012=F$4),'Дані_зв''язок'!$D$4:$D$1012,"")))</f>
        <v/>
      </c>
      <c r="G39" s="27" t="str" cm="1">
        <f t="array" ref="G39">IF($O39="","",_xlfn.TEXTJOIN(", ",TRUE,IF(EXACT('Дані_зв''язок'!$J$4:$J$1012,$O39)*('Дані_зв''язок'!$C$4:$C$1012=G$4),'Дані_зв''язок'!$D$4:$D$1012,"")))</f>
        <v/>
      </c>
      <c r="H39" s="27" t="str" cm="1">
        <f t="array" ref="H39">IF($O39="","",_xlfn.TEXTJOIN(", ",TRUE,IF(EXACT('Дані_зв''язок'!$J$4:$J$1012,$O39)*('Дані_зв''язок'!$C$4:$C$1012=H$4),'Дані_зв''язок'!$D$4:$D$1012,"")))</f>
        <v/>
      </c>
      <c r="I39" s="27" t="str" cm="1">
        <f t="array" ref="I39">IF($O39="","",_xlfn.TEXTJOIN(", ",TRUE,IF(EXACT('Дані_зв''язок'!$J$4:$J$1012,$O39)*('Дані_зв''язок'!$C$4:$C$1012=I$4),'Дані_зв''язок'!$D$4:$D$1012,"")))</f>
        <v/>
      </c>
      <c r="J39" s="27" cm="1">
        <f t="array" ref="J39">IF($O39="","",COUNTIF(C39:I39,"?*")+SUMPRODUCT(LEN(C39:I39)-LEN(SUBSTITUTE(C39:I39,",",""))))</f>
        <v>1</v>
      </c>
      <c r="K39" s="28" t="str" cm="1">
        <f t="array" ref="K39">IF($O39="","",_xlfn.TEXTJOIN(", ",TRUE,IF(EXACT('Дані_зв''язок'!$J$4:$J$1012,$O39),'Дані_зв''язок'!$L$4:$L$1012,"")))</f>
        <v>№6</v>
      </c>
      <c r="L39" s="28" t="str" cm="1">
        <f t="array" ref="L39">IF($O39="","",_xlfn.TEXTJOIN(", ",TRUE,IF(EXACT('Дані_зв''язок'!$J$4:$J$1012,$O39),'Дані_зв''язок'!$M$4:$M$1012,"")))</f>
        <v>АТ 4021</v>
      </c>
      <c r="M39" s="27" t="str" cm="1">
        <f t="array" ref="M39">IF($O39="","",IF(SUMPRODUCT(MAX(EXACT('Дані_зв''язок'!$J$4:$J$1012,$O39)*IFERROR('Дані_зв''язок'!$H$4:$H$1012,0)))=0,"",SUMPRODUCT(MAX(EXACT('Дані_зв''язок'!$J$4:$J$1012,$O39)*IFERROR('Дані_зв''язок'!$H$4:$H$1012,0)))))</f>
        <v/>
      </c>
      <c r="O39" s="30" t="s">
        <v>1167</v>
      </c>
      <c r="P39" s="24" cm="1">
        <f t="array" ref="P39">IF($O39="","",IF($B39="","",IFERROR(IF(MIN(IFERROR(VALUE(TRIM(MID(SUBSTITUTE(SUBSTITUTE($B39,","," ")," ",REPT(" ",30)),{1;31;61;91;121;151;181},30))),""))=0,"",MIN(IFERROR(VALUE(TRIM(MID(SUBSTITUTE(SUBSTITUTE($B39,","," ")," ",REPT(" ",30)),{1;31;61;91;121;151;181},30))),""))),"")))</f>
        <v>3</v>
      </c>
      <c r="Q39" s="23" t="str">
        <f t="shared" si="2"/>
        <v>Прилуки, Чернігівська обл., 2 пров. Межовий, 3</v>
      </c>
      <c r="R39" s="35">
        <f>IF($O39="","",IFERROR(INDEX('Координати майданчиків'!$H$4:$H$64,MATCH($T39,'Координати майданчиків'!$B$4:$B$64,0)),IFERROR(IF(ABS(INDEX(Геокодування!$C$2:$C$361,MATCH($Q39,Геокодування!$B$2:$B$361,0))-50.5884)+ABS(INDEX(Геокодування!$D$2:$D$361,MATCH($Q39,Геокодування!$B$2:$B$361,0))-32.3876)&gt;0.15,"",INDEX(Геокодування!$C$2:$C$361,MATCH($Q39,Геокодування!$B$2:$B$361,0))),IFERROR(IF(ABS(INDEX(Геокодування!$C$2:$C$361,MATCH("Прилуки, Чернігівська обл., "&amp;$A39,Геокодування!$B$2:$B$361,0))-50.5884)+ABS(INDEX(Геокодування!$D$2:$D$361,MATCH("Прилуки, Чернігівська обл., "&amp;$A39,Геокодування!$B$2:$B$361,0))-32.3876)&gt;0.15,"",INDEX(Геокодування!$C$2:$C$361,MATCH("Прилуки, Чернігівська обл., "&amp;$A39,Геокодування!$B$2:$B$361,0))),""))))</f>
        <v>50.607241000000002</v>
      </c>
      <c r="S39" s="43">
        <f>IF($O39="","",IFERROR(INDEX('Координати майданчиків'!$I$4:$I$64,MATCH($T39,'Координати майданчиків'!$B$4:$B$64,0)),IFERROR(IF(ABS(INDEX(Геокодування!$C$2:$C$361,MATCH($Q39,Геокодування!$B$2:$B$361,0))-50.5884)+ABS(INDEX(Геокодування!$D$2:$D$361,MATCH($Q39,Геокодування!$B$2:$B$361,0))-32.3876)&gt;0.15,"",INDEX(Геокодування!$D$2:$D$361,MATCH($Q39,Геокодування!$B$2:$B$361,0))),IFERROR(IF(ABS(INDEX(Геокодування!$C$2:$C$361,MATCH("Прилуки, Чернігівська обл., "&amp;$A39,Геокодування!$B$2:$B$361,0))-50.5884)+ABS(INDEX(Геокодування!$D$2:$D$361,MATCH("Прилуки, Чернігівська обл., "&amp;$A39,Геокодування!$B$2:$B$361,0))-32.3876)&gt;0.15,"",INDEX(Геокодування!$D$2:$D$361,MATCH("Прилуки, Чернігівська обл., "&amp;$A39,Геокодування!$B$2:$B$361,0))),""))))</f>
        <v>32.379970999999998</v>
      </c>
      <c r="T39" s="44" t="str">
        <f>IF($O39="","",IFERROR(INDEX('Координати майданчиків'!$B$4:$B$64,MATCH($A39&amp;IF($P39="","",", "&amp;$P39),'Координати майданчиків'!$B$4:$B$64,0)),IFERROR(INDEX('Координати майданчиків'!$B$4:$B$64,MATCH($A39,'Координати майданчиків'!$B$4:$B$64,0)),"")))</f>
        <v/>
      </c>
    </row>
    <row r="40" spans="1:20" x14ac:dyDescent="0.35">
      <c r="A40" s="26" t="str">
        <f t="shared" si="0"/>
        <v>2 пров. П. Комуни</v>
      </c>
      <c r="B40" s="26" t="str">
        <f t="shared" si="1"/>
        <v/>
      </c>
      <c r="C40" s="27" t="str" cm="1">
        <f t="array" ref="C40">IF($O40="","",_xlfn.TEXTJOIN(", ",TRUE,IF(EXACT('Дані_зв''язок'!$J$4:$J$1012,$O40)*('Дані_зв''язок'!$C$4:$C$1012=C$4),'Дані_зв''язок'!$D$4:$D$1012,"")))</f>
        <v>9:15</v>
      </c>
      <c r="D40" s="27" t="str" cm="1">
        <f t="array" ref="D40">IF($O40="","",_xlfn.TEXTJOIN(", ",TRUE,IF(EXACT('Дані_зв''язок'!$J$4:$J$1012,$O40)*('Дані_зв''язок'!$C$4:$C$1012=D$4),'Дані_зв''язок'!$D$4:$D$1012,"")))</f>
        <v/>
      </c>
      <c r="E40" s="27" t="str" cm="1">
        <f t="array" ref="E40">IF($O40="","",_xlfn.TEXTJOIN(", ",TRUE,IF(EXACT('Дані_зв''язок'!$J$4:$J$1012,$O40)*('Дані_зв''язок'!$C$4:$C$1012=E$4),'Дані_зв''язок'!$D$4:$D$1012,"")))</f>
        <v/>
      </c>
      <c r="F40" s="27" t="str" cm="1">
        <f t="array" ref="F40">IF($O40="","",_xlfn.TEXTJOIN(", ",TRUE,IF(EXACT('Дані_зв''язок'!$J$4:$J$1012,$O40)*('Дані_зв''язок'!$C$4:$C$1012=F$4),'Дані_зв''язок'!$D$4:$D$1012,"")))</f>
        <v/>
      </c>
      <c r="G40" s="27" t="str" cm="1">
        <f t="array" ref="G40">IF($O40="","",_xlfn.TEXTJOIN(", ",TRUE,IF(EXACT('Дані_зв''язок'!$J$4:$J$1012,$O40)*('Дані_зв''язок'!$C$4:$C$1012=G$4),'Дані_зв''язок'!$D$4:$D$1012,"")))</f>
        <v/>
      </c>
      <c r="H40" s="27" t="str" cm="1">
        <f t="array" ref="H40">IF($O40="","",_xlfn.TEXTJOIN(", ",TRUE,IF(EXACT('Дані_зв''язок'!$J$4:$J$1012,$O40)*('Дані_зв''язок'!$C$4:$C$1012=H$4),'Дані_зв''язок'!$D$4:$D$1012,"")))</f>
        <v/>
      </c>
      <c r="I40" s="27" t="str" cm="1">
        <f t="array" ref="I40">IF($O40="","",_xlfn.TEXTJOIN(", ",TRUE,IF(EXACT('Дані_зв''язок'!$J$4:$J$1012,$O40)*('Дані_зв''язок'!$C$4:$C$1012=I$4),'Дані_зв''язок'!$D$4:$D$1012,"")))</f>
        <v/>
      </c>
      <c r="J40" s="27" cm="1">
        <f t="array" ref="J40">IF($O40="","",COUNTIF(C40:I40,"?*")+SUMPRODUCT(LEN(C40:I40)-LEN(SUBSTITUTE(C40:I40,",",""))))</f>
        <v>1</v>
      </c>
      <c r="K40" s="28" t="str" cm="1">
        <f t="array" ref="K40">IF($O40="","",_xlfn.TEXTJOIN(", ",TRUE,IF(EXACT('Дані_зв''язок'!$J$4:$J$1012,$O40),'Дані_зв''язок'!$L$4:$L$1012,"")))</f>
        <v>№5</v>
      </c>
      <c r="L40" s="28" t="str" cm="1">
        <f t="array" ref="L40">IF($O40="","",_xlfn.TEXTJOIN(", ",TRUE,IF(EXACT('Дані_зв''язок'!$J$4:$J$1012,$O40),'Дані_зв''язок'!$M$4:$M$1012,"")))</f>
        <v>МАЗ 4381</v>
      </c>
      <c r="M40" s="27" t="str" cm="1">
        <f t="array" ref="M40">IF($O40="","",IF(SUMPRODUCT(MAX(EXACT('Дані_зв''язок'!$J$4:$J$1012,$O40)*IFERROR('Дані_зв''язок'!$H$4:$H$1012,0)))=0,"",SUMPRODUCT(MAX(EXACT('Дані_зв''язок'!$J$4:$J$1012,$O40)*IFERROR('Дані_зв''язок'!$H$4:$H$1012,0)))))</f>
        <v/>
      </c>
      <c r="O40" s="30" t="s">
        <v>1168</v>
      </c>
      <c r="P40" s="24" t="str" cm="1">
        <f t="array" ref="P40">IF($O40="","",IF($B40="","",IFERROR(IF(MIN(IFERROR(VALUE(TRIM(MID(SUBSTITUTE(SUBSTITUTE($B40,","," ")," ",REPT(" ",30)),{1;31;61;91;121;151;181},30))),""))=0,"",MIN(IFERROR(VALUE(TRIM(MID(SUBSTITUTE(SUBSTITUTE($B40,","," ")," ",REPT(" ",30)),{1;31;61;91;121;151;181},30))),""))),"")))</f>
        <v/>
      </c>
      <c r="Q40" s="23" t="str">
        <f t="shared" si="2"/>
        <v>Прилуки, Чернігівська обл., 2 пров. П. Комуни</v>
      </c>
      <c r="R40" s="35">
        <f>IF($O40="","",IFERROR(INDEX('Координати майданчиків'!$H$4:$H$64,MATCH($T40,'Координати майданчиків'!$B$4:$B$64,0)),IFERROR(IF(ABS(INDEX(Геокодування!$C$2:$C$361,MATCH($Q40,Геокодування!$B$2:$B$361,0))-50.5884)+ABS(INDEX(Геокодування!$D$2:$D$361,MATCH($Q40,Геокодування!$B$2:$B$361,0))-32.3876)&gt;0.15,"",INDEX(Геокодування!$C$2:$C$361,MATCH($Q40,Геокодування!$B$2:$B$361,0))),IFERROR(IF(ABS(INDEX(Геокодування!$C$2:$C$361,MATCH("Прилуки, Чернігівська обл., "&amp;$A40,Геокодування!$B$2:$B$361,0))-50.5884)+ABS(INDEX(Геокодування!$D$2:$D$361,MATCH("Прилуки, Чернігівська обл., "&amp;$A40,Геокодування!$B$2:$B$361,0))-32.3876)&gt;0.15,"",INDEX(Геокодування!$C$2:$C$361,MATCH("Прилуки, Чернігівська обл., "&amp;$A40,Геокодування!$B$2:$B$361,0))),""))))</f>
        <v>50.583222999999997</v>
      </c>
      <c r="S40" s="43">
        <f>IF($O40="","",IFERROR(INDEX('Координати майданчиків'!$I$4:$I$64,MATCH($T40,'Координати майданчиків'!$B$4:$B$64,0)),IFERROR(IF(ABS(INDEX(Геокодування!$C$2:$C$361,MATCH($Q40,Геокодування!$B$2:$B$361,0))-50.5884)+ABS(INDEX(Геокодування!$D$2:$D$361,MATCH($Q40,Геокодування!$B$2:$B$361,0))-32.3876)&gt;0.15,"",INDEX(Геокодування!$D$2:$D$361,MATCH($Q40,Геокодування!$B$2:$B$361,0))),IFERROR(IF(ABS(INDEX(Геокодування!$C$2:$C$361,MATCH("Прилуки, Чернігівська обл., "&amp;$A40,Геокодування!$B$2:$B$361,0))-50.5884)+ABS(INDEX(Геокодування!$D$2:$D$361,MATCH("Прилуки, Чернігівська обл., "&amp;$A40,Геокодування!$B$2:$B$361,0))-32.3876)&gt;0.15,"",INDEX(Геокодування!$D$2:$D$361,MATCH("Прилуки, Чернігівська обл., "&amp;$A40,Геокодування!$B$2:$B$361,0))),""))))</f>
        <v>32.393262999999997</v>
      </c>
      <c r="T40" s="44" t="str">
        <f>IF($O40="","",IFERROR(INDEX('Координати майданчиків'!$B$4:$B$64,MATCH($A40&amp;IF($P40="","",", "&amp;$P40),'Координати майданчиків'!$B$4:$B$64,0)),IFERROR(INDEX('Координати майданчиків'!$B$4:$B$64,MATCH($A40,'Координати майданчиків'!$B$4:$B$64,0)),"")))</f>
        <v/>
      </c>
    </row>
    <row r="41" spans="1:20" x14ac:dyDescent="0.35">
      <c r="A41" s="26" t="str">
        <f t="shared" si="0"/>
        <v>2 пров. Педагогічний</v>
      </c>
      <c r="B41" s="26" t="str">
        <f t="shared" si="1"/>
        <v>5,11  14,20</v>
      </c>
      <c r="C41" s="27" t="str" cm="1">
        <f t="array" ref="C41">IF($O41="","",_xlfn.TEXTJOIN(", ",TRUE,IF(EXACT('Дані_зв''язок'!$J$4:$J$1012,$O41)*('Дані_зв''язок'!$C$4:$C$1012=C$4),'Дані_зв''язок'!$D$4:$D$1012,"")))</f>
        <v/>
      </c>
      <c r="D41" s="27" t="str" cm="1">
        <f t="array" ref="D41">IF($O41="","",_xlfn.TEXTJOIN(", ",TRUE,IF(EXACT('Дані_зв''язок'!$J$4:$J$1012,$O41)*('Дані_зв''язок'!$C$4:$C$1012=D$4),'Дані_зв''язок'!$D$4:$D$1012,"")))</f>
        <v/>
      </c>
      <c r="E41" s="27" t="str" cm="1">
        <f t="array" ref="E41">IF($O41="","",_xlfn.TEXTJOIN(", ",TRUE,IF(EXACT('Дані_зв''язок'!$J$4:$J$1012,$O41)*('Дані_зв''язок'!$C$4:$C$1012=E$4),'Дані_зв''язок'!$D$4:$D$1012,"")))</f>
        <v>15:00</v>
      </c>
      <c r="F41" s="27" t="str" cm="1">
        <f t="array" ref="F41">IF($O41="","",_xlfn.TEXTJOIN(", ",TRUE,IF(EXACT('Дані_зв''язок'!$J$4:$J$1012,$O41)*('Дані_зв''язок'!$C$4:$C$1012=F$4),'Дані_зв''язок'!$D$4:$D$1012,"")))</f>
        <v/>
      </c>
      <c r="G41" s="27" t="str" cm="1">
        <f t="array" ref="G41">IF($O41="","",_xlfn.TEXTJOIN(", ",TRUE,IF(EXACT('Дані_зв''язок'!$J$4:$J$1012,$O41)*('Дані_зв''язок'!$C$4:$C$1012=G$4),'Дані_зв''язок'!$D$4:$D$1012,"")))</f>
        <v/>
      </c>
      <c r="H41" s="27" t="str" cm="1">
        <f t="array" ref="H41">IF($O41="","",_xlfn.TEXTJOIN(", ",TRUE,IF(EXACT('Дані_зв''язок'!$J$4:$J$1012,$O41)*('Дані_зв''язок'!$C$4:$C$1012=H$4),'Дані_зв''язок'!$D$4:$D$1012,"")))</f>
        <v/>
      </c>
      <c r="I41" s="27" t="str" cm="1">
        <f t="array" ref="I41">IF($O41="","",_xlfn.TEXTJOIN(", ",TRUE,IF(EXACT('Дані_зв''язок'!$J$4:$J$1012,$O41)*('Дані_зв''язок'!$C$4:$C$1012=I$4),'Дані_зв''язок'!$D$4:$D$1012,"")))</f>
        <v/>
      </c>
      <c r="J41" s="27" cm="1">
        <f t="array" ref="J41">IF($O41="","",COUNTIF(C41:I41,"?*")+SUMPRODUCT(LEN(C41:I41)-LEN(SUBSTITUTE(C41:I41,",",""))))</f>
        <v>1</v>
      </c>
      <c r="K41" s="28" t="str" cm="1">
        <f t="array" ref="K41">IF($O41="","",_xlfn.TEXTJOIN(", ",TRUE,IF(EXACT('Дані_зв''язок'!$J$4:$J$1012,$O41),'Дані_зв''язок'!$L$4:$L$1012,"")))</f>
        <v>№6</v>
      </c>
      <c r="L41" s="28" t="str" cm="1">
        <f t="array" ref="L41">IF($O41="","",_xlfn.TEXTJOIN(", ",TRUE,IF(EXACT('Дані_зв''язок'!$J$4:$J$1012,$O41),'Дані_зв''язок'!$M$4:$M$1012,"")))</f>
        <v>АТ 4021</v>
      </c>
      <c r="M41" s="27" t="str" cm="1">
        <f t="array" ref="M41">IF($O41="","",IF(SUMPRODUCT(MAX(EXACT('Дані_зв''язок'!$J$4:$J$1012,$O41)*IFERROR('Дані_зв''язок'!$H$4:$H$1012,0)))=0,"",SUMPRODUCT(MAX(EXACT('Дані_зв''язок'!$J$4:$J$1012,$O41)*IFERROR('Дані_зв''язок'!$H$4:$H$1012,0)))))</f>
        <v/>
      </c>
      <c r="O41" s="30" t="s">
        <v>1169</v>
      </c>
      <c r="P41" s="24" cm="1">
        <f t="array" ref="P41">IF($O41="","",IF($B41="","",IFERROR(IF(MIN(IFERROR(VALUE(TRIM(MID(SUBSTITUTE(SUBSTITUTE($B41,","," ")," ",REPT(" ",30)),{1;31;61;91;121;151;181},30))),""))=0,"",MIN(IFERROR(VALUE(TRIM(MID(SUBSTITUTE(SUBSTITUTE($B41,","," ")," ",REPT(" ",30)),{1;31;61;91;121;151;181},30))),""))),"")))</f>
        <v>5</v>
      </c>
      <c r="Q41" s="23" t="str">
        <f t="shared" si="2"/>
        <v>Прилуки, Чернігівська обл., 2 пров. Педагогічний, 5</v>
      </c>
      <c r="R41" s="35">
        <f>IF($O41="","",IFERROR(INDEX('Координати майданчиків'!$H$4:$H$64,MATCH($T41,'Координати майданчиків'!$B$4:$B$64,0)),IFERROR(IF(ABS(INDEX(Геокодування!$C$2:$C$361,MATCH($Q41,Геокодування!$B$2:$B$361,0))-50.5884)+ABS(INDEX(Геокодування!$D$2:$D$361,MATCH($Q41,Геокодування!$B$2:$B$361,0))-32.3876)&gt;0.15,"",INDEX(Геокодування!$C$2:$C$361,MATCH($Q41,Геокодування!$B$2:$B$361,0))),IFERROR(IF(ABS(INDEX(Геокодування!$C$2:$C$361,MATCH("Прилуки, Чернігівська обл., "&amp;$A41,Геокодування!$B$2:$B$361,0))-50.5884)+ABS(INDEX(Геокодування!$D$2:$D$361,MATCH("Прилуки, Чернігівська обл., "&amp;$A41,Геокодування!$B$2:$B$361,0))-32.3876)&gt;0.15,"",INDEX(Геокодування!$C$2:$C$361,MATCH("Прилуки, Чернігівська обл., "&amp;$A41,Геокодування!$B$2:$B$361,0))),""))))</f>
        <v>50.577751999999997</v>
      </c>
      <c r="S41" s="43">
        <f>IF($O41="","",IFERROR(INDEX('Координати майданчиків'!$I$4:$I$64,MATCH($T41,'Координати майданчиків'!$B$4:$B$64,0)),IFERROR(IF(ABS(INDEX(Геокодування!$C$2:$C$361,MATCH($Q41,Геокодування!$B$2:$B$361,0))-50.5884)+ABS(INDEX(Геокодування!$D$2:$D$361,MATCH($Q41,Геокодування!$B$2:$B$361,0))-32.3876)&gt;0.15,"",INDEX(Геокодування!$D$2:$D$361,MATCH($Q41,Геокодування!$B$2:$B$361,0))),IFERROR(IF(ABS(INDEX(Геокодування!$C$2:$C$361,MATCH("Прилуки, Чернігівська обл., "&amp;$A41,Геокодування!$B$2:$B$361,0))-50.5884)+ABS(INDEX(Геокодування!$D$2:$D$361,MATCH("Прилуки, Чернігівська обл., "&amp;$A41,Геокодування!$B$2:$B$361,0))-32.3876)&gt;0.15,"",INDEX(Геокодування!$D$2:$D$361,MATCH("Прилуки, Чернігівська обл., "&amp;$A41,Геокодування!$B$2:$B$361,0))),""))))</f>
        <v>32.425159000000001</v>
      </c>
      <c r="T41" s="44" t="str">
        <f>IF($O41="","",IFERROR(INDEX('Координати майданчиків'!$B$4:$B$64,MATCH($A41&amp;IF($P41="","",", "&amp;$P41),'Координати майданчиків'!$B$4:$B$64,0)),IFERROR(INDEX('Координати майданчиків'!$B$4:$B$64,MATCH($A41,'Координати майданчиків'!$B$4:$B$64,0)),"")))</f>
        <v/>
      </c>
    </row>
    <row r="42" spans="1:20" x14ac:dyDescent="0.35">
      <c r="A42" s="26" t="str">
        <f t="shared" si="0"/>
        <v>2 пров. Пирогівський</v>
      </c>
      <c r="B42" s="26" t="str">
        <f t="shared" si="1"/>
        <v>4,6  14,27</v>
      </c>
      <c r="C42" s="27" t="str" cm="1">
        <f t="array" ref="C42">IF($O42="","",_xlfn.TEXTJOIN(", ",TRUE,IF(EXACT('Дані_зв''язок'!$J$4:$J$1012,$O42)*('Дані_зв''язок'!$C$4:$C$1012=C$4),'Дані_зв''язок'!$D$4:$D$1012,"")))</f>
        <v>9:20</v>
      </c>
      <c r="D42" s="27" t="str" cm="1">
        <f t="array" ref="D42">IF($O42="","",_xlfn.TEXTJOIN(", ",TRUE,IF(EXACT('Дані_зв''язок'!$J$4:$J$1012,$O42)*('Дані_зв''язок'!$C$4:$C$1012=D$4),'Дані_зв''язок'!$D$4:$D$1012,"")))</f>
        <v/>
      </c>
      <c r="E42" s="27" t="str" cm="1">
        <f t="array" ref="E42">IF($O42="","",_xlfn.TEXTJOIN(", ",TRUE,IF(EXACT('Дані_зв''язок'!$J$4:$J$1012,$O42)*('Дані_зв''язок'!$C$4:$C$1012=E$4),'Дані_зв''язок'!$D$4:$D$1012,"")))</f>
        <v/>
      </c>
      <c r="F42" s="27" t="str" cm="1">
        <f t="array" ref="F42">IF($O42="","",_xlfn.TEXTJOIN(", ",TRUE,IF(EXACT('Дані_зв''язок'!$J$4:$J$1012,$O42)*('Дані_зв''язок'!$C$4:$C$1012=F$4),'Дані_зв''язок'!$D$4:$D$1012,"")))</f>
        <v/>
      </c>
      <c r="G42" s="27" t="str" cm="1">
        <f t="array" ref="G42">IF($O42="","",_xlfn.TEXTJOIN(", ",TRUE,IF(EXACT('Дані_зв''язок'!$J$4:$J$1012,$O42)*('Дані_зв''язок'!$C$4:$C$1012=G$4),'Дані_зв''язок'!$D$4:$D$1012,"")))</f>
        <v/>
      </c>
      <c r="H42" s="27" t="str" cm="1">
        <f t="array" ref="H42">IF($O42="","",_xlfn.TEXTJOIN(", ",TRUE,IF(EXACT('Дані_зв''язок'!$J$4:$J$1012,$O42)*('Дані_зв''язок'!$C$4:$C$1012=H$4),'Дані_зв''язок'!$D$4:$D$1012,"")))</f>
        <v/>
      </c>
      <c r="I42" s="27" t="str" cm="1">
        <f t="array" ref="I42">IF($O42="","",_xlfn.TEXTJOIN(", ",TRUE,IF(EXACT('Дані_зв''язок'!$J$4:$J$1012,$O42)*('Дані_зв''язок'!$C$4:$C$1012=I$4),'Дані_зв''язок'!$D$4:$D$1012,"")))</f>
        <v/>
      </c>
      <c r="J42" s="27" cm="1">
        <f t="array" ref="J42">IF($O42="","",COUNTIF(C42:I42,"?*")+SUMPRODUCT(LEN(C42:I42)-LEN(SUBSTITUTE(C42:I42,",",""))))</f>
        <v>1</v>
      </c>
      <c r="K42" s="28" t="str" cm="1">
        <f t="array" ref="K42">IF($O42="","",_xlfn.TEXTJOIN(", ",TRUE,IF(EXACT('Дані_зв''язок'!$J$4:$J$1012,$O42),'Дані_зв''язок'!$L$4:$L$1012,"")))</f>
        <v>№6</v>
      </c>
      <c r="L42" s="28" t="str" cm="1">
        <f t="array" ref="L42">IF($O42="","",_xlfn.TEXTJOIN(", ",TRUE,IF(EXACT('Дані_зв''язок'!$J$4:$J$1012,$O42),'Дані_зв''язок'!$M$4:$M$1012,"")))</f>
        <v>АТ 4021</v>
      </c>
      <c r="M42" s="27" t="str" cm="1">
        <f t="array" ref="M42">IF($O42="","",IF(SUMPRODUCT(MAX(EXACT('Дані_зв''язок'!$J$4:$J$1012,$O42)*IFERROR('Дані_зв''язок'!$H$4:$H$1012,0)))=0,"",SUMPRODUCT(MAX(EXACT('Дані_зв''язок'!$J$4:$J$1012,$O42)*IFERROR('Дані_зв''язок'!$H$4:$H$1012,0)))))</f>
        <v/>
      </c>
      <c r="O42" s="30" t="s">
        <v>1170</v>
      </c>
      <c r="P42" s="24" cm="1">
        <f t="array" ref="P42">IF($O42="","",IF($B42="","",IFERROR(IF(MIN(IFERROR(VALUE(TRIM(MID(SUBSTITUTE(SUBSTITUTE($B42,","," ")," ",REPT(" ",30)),{1;31;61;91;121;151;181},30))),""))=0,"",MIN(IFERROR(VALUE(TRIM(MID(SUBSTITUTE(SUBSTITUTE($B42,","," ")," ",REPT(" ",30)),{1;31;61;91;121;151;181},30))),""))),"")))</f>
        <v>4</v>
      </c>
      <c r="Q42" s="23" t="str">
        <f t="shared" si="2"/>
        <v>Прилуки, Чернігівська обл., 2 пров. Пирогівський, 4</v>
      </c>
      <c r="R42" s="35">
        <f>IF($O42="","",IFERROR(INDEX('Координати майданчиків'!$H$4:$H$64,MATCH($T42,'Координати майданчиків'!$B$4:$B$64,0)),IFERROR(IF(ABS(INDEX(Геокодування!$C$2:$C$361,MATCH($Q42,Геокодування!$B$2:$B$361,0))-50.5884)+ABS(INDEX(Геокодування!$D$2:$D$361,MATCH($Q42,Геокодування!$B$2:$B$361,0))-32.3876)&gt;0.15,"",INDEX(Геокодування!$C$2:$C$361,MATCH($Q42,Геокодування!$B$2:$B$361,0))),IFERROR(IF(ABS(INDEX(Геокодування!$C$2:$C$361,MATCH("Прилуки, Чернігівська обл., "&amp;$A42,Геокодування!$B$2:$B$361,0))-50.5884)+ABS(INDEX(Геокодування!$D$2:$D$361,MATCH("Прилуки, Чернігівська обл., "&amp;$A42,Геокодування!$B$2:$B$361,0))-32.3876)&gt;0.15,"",INDEX(Геокодування!$C$2:$C$361,MATCH("Прилуки, Чернігівська обл., "&amp;$A42,Геокодування!$B$2:$B$361,0))),""))))</f>
        <v>50.602676000000002</v>
      </c>
      <c r="S42" s="43">
        <f>IF($O42="","",IFERROR(INDEX('Координати майданчиків'!$I$4:$I$64,MATCH($T42,'Координати майданчиків'!$B$4:$B$64,0)),IFERROR(IF(ABS(INDEX(Геокодування!$C$2:$C$361,MATCH($Q42,Геокодування!$B$2:$B$361,0))-50.5884)+ABS(INDEX(Геокодування!$D$2:$D$361,MATCH($Q42,Геокодування!$B$2:$B$361,0))-32.3876)&gt;0.15,"",INDEX(Геокодування!$D$2:$D$361,MATCH($Q42,Геокодування!$B$2:$B$361,0))),IFERROR(IF(ABS(INDEX(Геокодування!$C$2:$C$361,MATCH("Прилуки, Чернігівська обл., "&amp;$A42,Геокодування!$B$2:$B$361,0))-50.5884)+ABS(INDEX(Геокодування!$D$2:$D$361,MATCH("Прилуки, Чернігівська обл., "&amp;$A42,Геокодування!$B$2:$B$361,0))-32.3876)&gt;0.15,"",INDEX(Геокодування!$D$2:$D$361,MATCH("Прилуки, Чернігівська обл., "&amp;$A42,Геокодування!$B$2:$B$361,0))),""))))</f>
        <v>32.328699</v>
      </c>
      <c r="T42" s="44" t="str">
        <f>IF($O42="","",IFERROR(INDEX('Координати майданчиків'!$B$4:$B$64,MATCH($A42&amp;IF($P42="","",", "&amp;$P42),'Координати майданчиків'!$B$4:$B$64,0)),IFERROR(INDEX('Координати майданчиків'!$B$4:$B$64,MATCH($A42,'Координати майданчиків'!$B$4:$B$64,0)),"")))</f>
        <v/>
      </c>
    </row>
    <row r="43" spans="1:20" x14ac:dyDescent="0.35">
      <c r="A43" s="26" t="str">
        <f t="shared" si="0"/>
        <v>2 пров. Рокітний</v>
      </c>
      <c r="B43" s="26" t="str">
        <f t="shared" si="1"/>
        <v/>
      </c>
      <c r="C43" s="27" t="str" cm="1">
        <f t="array" ref="C43">IF($O43="","",_xlfn.TEXTJOIN(", ",TRUE,IF(EXACT('Дані_зв''язок'!$J$4:$J$1012,$O43)*('Дані_зв''язок'!$C$4:$C$1012=C$4),'Дані_зв''язок'!$D$4:$D$1012,"")))</f>
        <v/>
      </c>
      <c r="D43" s="27" t="str" cm="1">
        <f t="array" ref="D43">IF($O43="","",_xlfn.TEXTJOIN(", ",TRUE,IF(EXACT('Дані_зв''язок'!$J$4:$J$1012,$O43)*('Дані_зв''язок'!$C$4:$C$1012=D$4),'Дані_зв''язок'!$D$4:$D$1012,"")))</f>
        <v/>
      </c>
      <c r="E43" s="27" t="str" cm="1">
        <f t="array" ref="E43">IF($O43="","",_xlfn.TEXTJOIN(", ",TRUE,IF(EXACT('Дані_зв''язок'!$J$4:$J$1012,$O43)*('Дані_зв''язок'!$C$4:$C$1012=E$4),'Дані_зв''язок'!$D$4:$D$1012,"")))</f>
        <v/>
      </c>
      <c r="F43" s="27" t="str" cm="1">
        <f t="array" ref="F43">IF($O43="","",_xlfn.TEXTJOIN(", ",TRUE,IF(EXACT('Дані_зв''язок'!$J$4:$J$1012,$O43)*('Дані_зв''язок'!$C$4:$C$1012=F$4),'Дані_зв''язок'!$D$4:$D$1012,"")))</f>
        <v>10:10</v>
      </c>
      <c r="G43" s="27" t="str" cm="1">
        <f t="array" ref="G43">IF($O43="","",_xlfn.TEXTJOIN(", ",TRUE,IF(EXACT('Дані_зв''язок'!$J$4:$J$1012,$O43)*('Дані_зв''язок'!$C$4:$C$1012=G$4),'Дані_зв''язок'!$D$4:$D$1012,"")))</f>
        <v/>
      </c>
      <c r="H43" s="27" t="str" cm="1">
        <f t="array" ref="H43">IF($O43="","",_xlfn.TEXTJOIN(", ",TRUE,IF(EXACT('Дані_зв''язок'!$J$4:$J$1012,$O43)*('Дані_зв''язок'!$C$4:$C$1012=H$4),'Дані_зв''язок'!$D$4:$D$1012,"")))</f>
        <v/>
      </c>
      <c r="I43" s="27" t="str" cm="1">
        <f t="array" ref="I43">IF($O43="","",_xlfn.TEXTJOIN(", ",TRUE,IF(EXACT('Дані_зв''язок'!$J$4:$J$1012,$O43)*('Дані_зв''язок'!$C$4:$C$1012=I$4),'Дані_зв''язок'!$D$4:$D$1012,"")))</f>
        <v/>
      </c>
      <c r="J43" s="27" cm="1">
        <f t="array" ref="J43">IF($O43="","",COUNTIF(C43:I43,"?*")+SUMPRODUCT(LEN(C43:I43)-LEN(SUBSTITUTE(C43:I43,",",""))))</f>
        <v>1</v>
      </c>
      <c r="K43" s="28" t="str" cm="1">
        <f t="array" ref="K43">IF($O43="","",_xlfn.TEXTJOIN(", ",TRUE,IF(EXACT('Дані_зв''язок'!$J$4:$J$1012,$O43),'Дані_зв''язок'!$L$4:$L$1012,"")))</f>
        <v>№5</v>
      </c>
      <c r="L43" s="28" t="str" cm="1">
        <f t="array" ref="L43">IF($O43="","",_xlfn.TEXTJOIN(", ",TRUE,IF(EXACT('Дані_зв''язок'!$J$4:$J$1012,$O43),'Дані_зв''язок'!$M$4:$M$1012,"")))</f>
        <v>МАЗ 4381</v>
      </c>
      <c r="M43" s="27" t="str" cm="1">
        <f t="array" ref="M43">IF($O43="","",IF(SUMPRODUCT(MAX(EXACT('Дані_зв''язок'!$J$4:$J$1012,$O43)*IFERROR('Дані_зв''язок'!$H$4:$H$1012,0)))=0,"",SUMPRODUCT(MAX(EXACT('Дані_зв''язок'!$J$4:$J$1012,$O43)*IFERROR('Дані_зв''язок'!$H$4:$H$1012,0)))))</f>
        <v/>
      </c>
      <c r="O43" s="30" t="s">
        <v>1171</v>
      </c>
      <c r="P43" s="24" t="str" cm="1">
        <f t="array" ref="P43">IF($O43="","",IF($B43="","",IFERROR(IF(MIN(IFERROR(VALUE(TRIM(MID(SUBSTITUTE(SUBSTITUTE($B43,","," ")," ",REPT(" ",30)),{1;31;61;91;121;151;181},30))),""))=0,"",MIN(IFERROR(VALUE(TRIM(MID(SUBSTITUTE(SUBSTITUTE($B43,","," ")," ",REPT(" ",30)),{1;31;61;91;121;151;181},30))),""))),"")))</f>
        <v/>
      </c>
      <c r="Q43" s="23" t="str">
        <f t="shared" si="2"/>
        <v>Прилуки, Чернігівська обл., 2 пров. Рокітний</v>
      </c>
      <c r="R43" s="35">
        <f>IF($O43="","",IFERROR(INDEX('Координати майданчиків'!$H$4:$H$64,MATCH($T43,'Координати майданчиків'!$B$4:$B$64,0)),IFERROR(IF(ABS(INDEX(Геокодування!$C$2:$C$361,MATCH($Q43,Геокодування!$B$2:$B$361,0))-50.5884)+ABS(INDEX(Геокодування!$D$2:$D$361,MATCH($Q43,Геокодування!$B$2:$B$361,0))-32.3876)&gt;0.15,"",INDEX(Геокодування!$C$2:$C$361,MATCH($Q43,Геокодування!$B$2:$B$361,0))),IFERROR(IF(ABS(INDEX(Геокодування!$C$2:$C$361,MATCH("Прилуки, Чернігівська обл., "&amp;$A43,Геокодування!$B$2:$B$361,0))-50.5884)+ABS(INDEX(Геокодування!$D$2:$D$361,MATCH("Прилуки, Чернігівська обл., "&amp;$A43,Геокодування!$B$2:$B$361,0))-32.3876)&gt;0.15,"",INDEX(Геокодування!$C$2:$C$361,MATCH("Прилуки, Чернігівська обл., "&amp;$A43,Геокодування!$B$2:$B$361,0))),""))))</f>
        <v>50.582515000000001</v>
      </c>
      <c r="S43" s="43">
        <f>IF($O43="","",IFERROR(INDEX('Координати майданчиків'!$I$4:$I$64,MATCH($T43,'Координати майданчиків'!$B$4:$B$64,0)),IFERROR(IF(ABS(INDEX(Геокодування!$C$2:$C$361,MATCH($Q43,Геокодування!$B$2:$B$361,0))-50.5884)+ABS(INDEX(Геокодування!$D$2:$D$361,MATCH($Q43,Геокодування!$B$2:$B$361,0))-32.3876)&gt;0.15,"",INDEX(Геокодування!$D$2:$D$361,MATCH($Q43,Геокодування!$B$2:$B$361,0))),IFERROR(IF(ABS(INDEX(Геокодування!$C$2:$C$361,MATCH("Прилуки, Чернігівська обл., "&amp;$A43,Геокодування!$B$2:$B$361,0))-50.5884)+ABS(INDEX(Геокодування!$D$2:$D$361,MATCH("Прилуки, Чернігівська обл., "&amp;$A43,Геокодування!$B$2:$B$361,0))-32.3876)&gt;0.15,"",INDEX(Геокодування!$D$2:$D$361,MATCH("Прилуки, Чернігівська обл., "&amp;$A43,Геокодування!$B$2:$B$361,0))),""))))</f>
        <v>32.374082000000001</v>
      </c>
      <c r="T43" s="44" t="str">
        <f>IF($O43="","",IFERROR(INDEX('Координати майданчиків'!$B$4:$B$64,MATCH($A43&amp;IF($P43="","",", "&amp;$P43),'Координати майданчиків'!$B$4:$B$64,0)),IFERROR(INDEX('Координати майданчиків'!$B$4:$B$64,MATCH($A43,'Координати майданчиків'!$B$4:$B$64,0)),"")))</f>
        <v/>
      </c>
    </row>
    <row r="44" spans="1:20" x14ac:dyDescent="0.35">
      <c r="A44" s="26" t="str">
        <f t="shared" si="0"/>
        <v>2 пров. Східний</v>
      </c>
      <c r="B44" s="26" t="str">
        <f t="shared" si="1"/>
        <v/>
      </c>
      <c r="C44" s="27" t="str" cm="1">
        <f t="array" ref="C44">IF($O44="","",_xlfn.TEXTJOIN(", ",TRUE,IF(EXACT('Дані_зв''язок'!$J$4:$J$1012,$O44)*('Дані_зв''язок'!$C$4:$C$1012=C$4),'Дані_зв''язок'!$D$4:$D$1012,"")))</f>
        <v/>
      </c>
      <c r="D44" s="27" t="str" cm="1">
        <f t="array" ref="D44">IF($O44="","",_xlfn.TEXTJOIN(", ",TRUE,IF(EXACT('Дані_зв''язок'!$J$4:$J$1012,$O44)*('Дані_зв''язок'!$C$4:$C$1012=D$4),'Дані_зв''язок'!$D$4:$D$1012,"")))</f>
        <v/>
      </c>
      <c r="E44" s="27" t="str" cm="1">
        <f t="array" ref="E44">IF($O44="","",_xlfn.TEXTJOIN(", ",TRUE,IF(EXACT('Дані_зв''язок'!$J$4:$J$1012,$O44)*('Дані_зв''язок'!$C$4:$C$1012=E$4),'Дані_зв''язок'!$D$4:$D$1012,"")))</f>
        <v/>
      </c>
      <c r="F44" s="27" t="str" cm="1">
        <f t="array" ref="F44">IF($O44="","",_xlfn.TEXTJOIN(", ",TRUE,IF(EXACT('Дані_зв''язок'!$J$4:$J$1012,$O44)*('Дані_зв''язок'!$C$4:$C$1012=F$4),'Дані_зв''язок'!$D$4:$D$1012,"")))</f>
        <v/>
      </c>
      <c r="G44" s="27" t="str" cm="1">
        <f t="array" ref="G44">IF($O44="","",_xlfn.TEXTJOIN(", ",TRUE,IF(EXACT('Дані_зв''язок'!$J$4:$J$1012,$O44)*('Дані_зв''язок'!$C$4:$C$1012=G$4),'Дані_зв''язок'!$D$4:$D$1012,"")))</f>
        <v>14:15</v>
      </c>
      <c r="H44" s="27" t="str" cm="1">
        <f t="array" ref="H44">IF($O44="","",_xlfn.TEXTJOIN(", ",TRUE,IF(EXACT('Дані_зв''язок'!$J$4:$J$1012,$O44)*('Дані_зв''язок'!$C$4:$C$1012=H$4),'Дані_зв''язок'!$D$4:$D$1012,"")))</f>
        <v/>
      </c>
      <c r="I44" s="27" t="str" cm="1">
        <f t="array" ref="I44">IF($O44="","",_xlfn.TEXTJOIN(", ",TRUE,IF(EXACT('Дані_зв''язок'!$J$4:$J$1012,$O44)*('Дані_зв''язок'!$C$4:$C$1012=I$4),'Дані_зв''язок'!$D$4:$D$1012,"")))</f>
        <v/>
      </c>
      <c r="J44" s="27" cm="1">
        <f t="array" ref="J44">IF($O44="","",COUNTIF(C44:I44,"?*")+SUMPRODUCT(LEN(C44:I44)-LEN(SUBSTITUTE(C44:I44,",",""))))</f>
        <v>1</v>
      </c>
      <c r="K44" s="28" t="str" cm="1">
        <f t="array" ref="K44">IF($O44="","",_xlfn.TEXTJOIN(", ",TRUE,IF(EXACT('Дані_зв''язок'!$J$4:$J$1012,$O44),'Дані_зв''язок'!$L$4:$L$1012,"")))</f>
        <v>№5</v>
      </c>
      <c r="L44" s="28" t="str" cm="1">
        <f t="array" ref="L44">IF($O44="","",_xlfn.TEXTJOIN(", ",TRUE,IF(EXACT('Дані_зв''язок'!$J$4:$J$1012,$O44),'Дані_зв''язок'!$M$4:$M$1012,"")))</f>
        <v>МАЗ 4381</v>
      </c>
      <c r="M44" s="27" t="str" cm="1">
        <f t="array" ref="M44">IF($O44="","",IF(SUMPRODUCT(MAX(EXACT('Дані_зв''язок'!$J$4:$J$1012,$O44)*IFERROR('Дані_зв''язок'!$H$4:$H$1012,0)))=0,"",SUMPRODUCT(MAX(EXACT('Дані_зв''язок'!$J$4:$J$1012,$O44)*IFERROR('Дані_зв''язок'!$H$4:$H$1012,0)))))</f>
        <v/>
      </c>
      <c r="O44" s="30" t="s">
        <v>1172</v>
      </c>
      <c r="P44" s="24" t="str" cm="1">
        <f t="array" ref="P44">IF($O44="","",IF($B44="","",IFERROR(IF(MIN(IFERROR(VALUE(TRIM(MID(SUBSTITUTE(SUBSTITUTE($B44,","," ")," ",REPT(" ",30)),{1;31;61;91;121;151;181},30))),""))=0,"",MIN(IFERROR(VALUE(TRIM(MID(SUBSTITUTE(SUBSTITUTE($B44,","," ")," ",REPT(" ",30)),{1;31;61;91;121;151;181},30))),""))),"")))</f>
        <v/>
      </c>
      <c r="Q44" s="23" t="str">
        <f t="shared" si="2"/>
        <v>Прилуки, Чернігівська обл., 2 пров. Східний</v>
      </c>
      <c r="R44" s="35">
        <f>IF($O44="","",IFERROR(INDEX('Координати майданчиків'!$H$4:$H$64,MATCH($T44,'Координати майданчиків'!$B$4:$B$64,0)),IFERROR(IF(ABS(INDEX(Геокодування!$C$2:$C$361,MATCH($Q44,Геокодування!$B$2:$B$361,0))-50.5884)+ABS(INDEX(Геокодування!$D$2:$D$361,MATCH($Q44,Геокодування!$B$2:$B$361,0))-32.3876)&gt;0.15,"",INDEX(Геокодування!$C$2:$C$361,MATCH($Q44,Геокодування!$B$2:$B$361,0))),IFERROR(IF(ABS(INDEX(Геокодування!$C$2:$C$361,MATCH("Прилуки, Чернігівська обл., "&amp;$A44,Геокодування!$B$2:$B$361,0))-50.5884)+ABS(INDEX(Геокодування!$D$2:$D$361,MATCH("Прилуки, Чернігівська обл., "&amp;$A44,Геокодування!$B$2:$B$361,0))-32.3876)&gt;0.15,"",INDEX(Геокодування!$C$2:$C$361,MATCH("Прилуки, Чернігівська обл., "&amp;$A44,Геокодування!$B$2:$B$361,0))),""))))</f>
        <v>50.581285999999999</v>
      </c>
      <c r="S44" s="43">
        <f>IF($O44="","",IFERROR(INDEX('Координати майданчиків'!$I$4:$I$64,MATCH($T44,'Координати майданчиків'!$B$4:$B$64,0)),IFERROR(IF(ABS(INDEX(Геокодування!$C$2:$C$361,MATCH($Q44,Геокодування!$B$2:$B$361,0))-50.5884)+ABS(INDEX(Геокодування!$D$2:$D$361,MATCH($Q44,Геокодування!$B$2:$B$361,0))-32.3876)&gt;0.15,"",INDEX(Геокодування!$D$2:$D$361,MATCH($Q44,Геокодування!$B$2:$B$361,0))),IFERROR(IF(ABS(INDEX(Геокодування!$C$2:$C$361,MATCH("Прилуки, Чернігівська обл., "&amp;$A44,Геокодування!$B$2:$B$361,0))-50.5884)+ABS(INDEX(Геокодування!$D$2:$D$361,MATCH("Прилуки, Чернігівська обл., "&amp;$A44,Геокодування!$B$2:$B$361,0))-32.3876)&gt;0.15,"",INDEX(Геокодування!$D$2:$D$361,MATCH("Прилуки, Чернігівська обл., "&amp;$A44,Геокодування!$B$2:$B$361,0))),""))))</f>
        <v>32.404271999999999</v>
      </c>
      <c r="T44" s="44" t="str">
        <f>IF($O44="","",IFERROR(INDEX('Координати майданчиків'!$B$4:$B$64,MATCH($A44&amp;IF($P44="","",", "&amp;$P44),'Координати майданчиків'!$B$4:$B$64,0)),IFERROR(INDEX('Координати майданчиків'!$B$4:$B$64,MATCH($A44,'Координати майданчиків'!$B$4:$B$64,0)),"")))</f>
        <v/>
      </c>
    </row>
    <row r="45" spans="1:20" x14ac:dyDescent="0.35">
      <c r="A45" s="26" t="str">
        <f t="shared" si="0"/>
        <v>2 пров. Удайський</v>
      </c>
      <c r="B45" s="26" t="str">
        <f t="shared" si="1"/>
        <v>12,4</v>
      </c>
      <c r="C45" s="27" t="str" cm="1">
        <f t="array" ref="C45">IF($O45="","",_xlfn.TEXTJOIN(", ",TRUE,IF(EXACT('Дані_зв''язок'!$J$4:$J$1012,$O45)*('Дані_зв''язок'!$C$4:$C$1012=C$4),'Дані_зв''язок'!$D$4:$D$1012,"")))</f>
        <v>15:15</v>
      </c>
      <c r="D45" s="27" t="str" cm="1">
        <f t="array" ref="D45">IF($O45="","",_xlfn.TEXTJOIN(", ",TRUE,IF(EXACT('Дані_зв''язок'!$J$4:$J$1012,$O45)*('Дані_зв''язок'!$C$4:$C$1012=D$4),'Дані_зв''язок'!$D$4:$D$1012,"")))</f>
        <v/>
      </c>
      <c r="E45" s="27" t="str" cm="1">
        <f t="array" ref="E45">IF($O45="","",_xlfn.TEXTJOIN(", ",TRUE,IF(EXACT('Дані_зв''язок'!$J$4:$J$1012,$O45)*('Дані_зв''язок'!$C$4:$C$1012=E$4),'Дані_зв''язок'!$D$4:$D$1012,"")))</f>
        <v/>
      </c>
      <c r="F45" s="27" t="str" cm="1">
        <f t="array" ref="F45">IF($O45="","",_xlfn.TEXTJOIN(", ",TRUE,IF(EXACT('Дані_зв''язок'!$J$4:$J$1012,$O45)*('Дані_зв''язок'!$C$4:$C$1012=F$4),'Дані_зв''язок'!$D$4:$D$1012,"")))</f>
        <v/>
      </c>
      <c r="G45" s="27" t="str" cm="1">
        <f t="array" ref="G45">IF($O45="","",_xlfn.TEXTJOIN(", ",TRUE,IF(EXACT('Дані_зв''язок'!$J$4:$J$1012,$O45)*('Дані_зв''язок'!$C$4:$C$1012=G$4),'Дані_зв''язок'!$D$4:$D$1012,"")))</f>
        <v/>
      </c>
      <c r="H45" s="27" t="str" cm="1">
        <f t="array" ref="H45">IF($O45="","",_xlfn.TEXTJOIN(", ",TRUE,IF(EXACT('Дані_зв''язок'!$J$4:$J$1012,$O45)*('Дані_зв''язок'!$C$4:$C$1012=H$4),'Дані_зв''язок'!$D$4:$D$1012,"")))</f>
        <v/>
      </c>
      <c r="I45" s="27" t="str" cm="1">
        <f t="array" ref="I45">IF($O45="","",_xlfn.TEXTJOIN(", ",TRUE,IF(EXACT('Дані_зв''язок'!$J$4:$J$1012,$O45)*('Дані_зв''язок'!$C$4:$C$1012=I$4),'Дані_зв''язок'!$D$4:$D$1012,"")))</f>
        <v/>
      </c>
      <c r="J45" s="27" cm="1">
        <f t="array" ref="J45">IF($O45="","",COUNTIF(C45:I45,"?*")+SUMPRODUCT(LEN(C45:I45)-LEN(SUBSTITUTE(C45:I45,",",""))))</f>
        <v>1</v>
      </c>
      <c r="K45" s="28" t="str" cm="1">
        <f t="array" ref="K45">IF($O45="","",_xlfn.TEXTJOIN(", ",TRUE,IF(EXACT('Дані_зв''язок'!$J$4:$J$1012,$O45),'Дані_зв''язок'!$L$4:$L$1012,"")))</f>
        <v>№6</v>
      </c>
      <c r="L45" s="28" t="str" cm="1">
        <f t="array" ref="L45">IF($O45="","",_xlfn.TEXTJOIN(", ",TRUE,IF(EXACT('Дані_зв''язок'!$J$4:$J$1012,$O45),'Дані_зв''язок'!$M$4:$M$1012,"")))</f>
        <v>АТ 4021</v>
      </c>
      <c r="M45" s="27" t="str" cm="1">
        <f t="array" ref="M45">IF($O45="","",IF(SUMPRODUCT(MAX(EXACT('Дані_зв''язок'!$J$4:$J$1012,$O45)*IFERROR('Дані_зв''язок'!$H$4:$H$1012,0)))=0,"",SUMPRODUCT(MAX(EXACT('Дані_зв''язок'!$J$4:$J$1012,$O45)*IFERROR('Дані_зв''язок'!$H$4:$H$1012,0)))))</f>
        <v/>
      </c>
      <c r="O45" s="30" t="s">
        <v>1173</v>
      </c>
      <c r="P45" s="24" cm="1">
        <f t="array" ref="P45">IF($O45="","",IF($B45="","",IFERROR(IF(MIN(IFERROR(VALUE(TRIM(MID(SUBSTITUTE(SUBSTITUTE($B45,","," ")," ",REPT(" ",30)),{1;31;61;91;121;151;181},30))),""))=0,"",MIN(IFERROR(VALUE(TRIM(MID(SUBSTITUTE(SUBSTITUTE($B45,","," ")," ",REPT(" ",30)),{1;31;61;91;121;151;181},30))),""))),"")))</f>
        <v>4</v>
      </c>
      <c r="Q45" s="23" t="str">
        <f t="shared" si="2"/>
        <v>Прилуки, Чернігівська обл., 2 пров. Удайський, 4</v>
      </c>
      <c r="R45" s="35">
        <f>IF($O45="","",IFERROR(INDEX('Координати майданчиків'!$H$4:$H$64,MATCH($T45,'Координати майданчиків'!$B$4:$B$64,0)),IFERROR(IF(ABS(INDEX(Геокодування!$C$2:$C$361,MATCH($Q45,Геокодування!$B$2:$B$361,0))-50.5884)+ABS(INDEX(Геокодування!$D$2:$D$361,MATCH($Q45,Геокодування!$B$2:$B$361,0))-32.3876)&gt;0.15,"",INDEX(Геокодування!$C$2:$C$361,MATCH($Q45,Геокодування!$B$2:$B$361,0))),IFERROR(IF(ABS(INDEX(Геокодування!$C$2:$C$361,MATCH("Прилуки, Чернігівська обл., "&amp;$A45,Геокодування!$B$2:$B$361,0))-50.5884)+ABS(INDEX(Геокодування!$D$2:$D$361,MATCH("Прилуки, Чернігівська обл., "&amp;$A45,Геокодування!$B$2:$B$361,0))-32.3876)&gt;0.15,"",INDEX(Геокодування!$C$2:$C$361,MATCH("Прилуки, Чернігівська обл., "&amp;$A45,Геокодування!$B$2:$B$361,0))),""))))</f>
        <v>50.591842999999997</v>
      </c>
      <c r="S45" s="43">
        <f>IF($O45="","",IFERROR(INDEX('Координати майданчиків'!$I$4:$I$64,MATCH($T45,'Координати майданчиків'!$B$4:$B$64,0)),IFERROR(IF(ABS(INDEX(Геокодування!$C$2:$C$361,MATCH($Q45,Геокодування!$B$2:$B$361,0))-50.5884)+ABS(INDEX(Геокодування!$D$2:$D$361,MATCH($Q45,Геокодування!$B$2:$B$361,0))-32.3876)&gt;0.15,"",INDEX(Геокодування!$D$2:$D$361,MATCH($Q45,Геокодування!$B$2:$B$361,0))),IFERROR(IF(ABS(INDEX(Геокодування!$C$2:$C$361,MATCH("Прилуки, Чернігівська обл., "&amp;$A45,Геокодування!$B$2:$B$361,0))-50.5884)+ABS(INDEX(Геокодування!$D$2:$D$361,MATCH("Прилуки, Чернігівська обл., "&amp;$A45,Геокодування!$B$2:$B$361,0))-32.3876)&gt;0.15,"",INDEX(Геокодування!$D$2:$D$361,MATCH("Прилуки, Чернігівська обл., "&amp;$A45,Геокодування!$B$2:$B$361,0))),""))))</f>
        <v>32.422511</v>
      </c>
      <c r="T45" s="44" t="str">
        <f>IF($O45="","",IFERROR(INDEX('Координати майданчиків'!$B$4:$B$64,MATCH($A45&amp;IF($P45="","",", "&amp;$P45),'Координати майданчиків'!$B$4:$B$64,0)),IFERROR(INDEX('Координати майданчиків'!$B$4:$B$64,MATCH($A45,'Координати майданчиків'!$B$4:$B$64,0)),"")))</f>
        <v/>
      </c>
    </row>
    <row r="46" spans="1:20" x14ac:dyDescent="0.35">
      <c r="A46" s="26" t="str">
        <f t="shared" si="0"/>
        <v>2 пров. Шевченка</v>
      </c>
      <c r="B46" s="26" t="str">
        <f t="shared" si="1"/>
        <v>4,15</v>
      </c>
      <c r="C46" s="27" t="str" cm="1">
        <f t="array" ref="C46">IF($O46="","",_xlfn.TEXTJOIN(", ",TRUE,IF(EXACT('Дані_зв''язок'!$J$4:$J$1012,$O46)*('Дані_зв''язок'!$C$4:$C$1012=C$4),'Дані_зв''язок'!$D$4:$D$1012,"")))</f>
        <v/>
      </c>
      <c r="D46" s="27" t="str" cm="1">
        <f t="array" ref="D46">IF($O46="","",_xlfn.TEXTJOIN(", ",TRUE,IF(EXACT('Дані_зв''язок'!$J$4:$J$1012,$O46)*('Дані_зв''язок'!$C$4:$C$1012=D$4),'Дані_зв''язок'!$D$4:$D$1012,"")))</f>
        <v>10:50</v>
      </c>
      <c r="E46" s="27" t="str" cm="1">
        <f t="array" ref="E46">IF($O46="","",_xlfn.TEXTJOIN(", ",TRUE,IF(EXACT('Дані_зв''язок'!$J$4:$J$1012,$O46)*('Дані_зв''язок'!$C$4:$C$1012=E$4),'Дані_зв''язок'!$D$4:$D$1012,"")))</f>
        <v/>
      </c>
      <c r="F46" s="27" t="str" cm="1">
        <f t="array" ref="F46">IF($O46="","",_xlfn.TEXTJOIN(", ",TRUE,IF(EXACT('Дані_зв''язок'!$J$4:$J$1012,$O46)*('Дані_зв''язок'!$C$4:$C$1012=F$4),'Дані_зв''язок'!$D$4:$D$1012,"")))</f>
        <v/>
      </c>
      <c r="G46" s="27" t="str" cm="1">
        <f t="array" ref="G46">IF($O46="","",_xlfn.TEXTJOIN(", ",TRUE,IF(EXACT('Дані_зв''язок'!$J$4:$J$1012,$O46)*('Дані_зв''язок'!$C$4:$C$1012=G$4),'Дані_зв''язок'!$D$4:$D$1012,"")))</f>
        <v/>
      </c>
      <c r="H46" s="27" t="str" cm="1">
        <f t="array" ref="H46">IF($O46="","",_xlfn.TEXTJOIN(", ",TRUE,IF(EXACT('Дані_зв''язок'!$J$4:$J$1012,$O46)*('Дані_зв''язок'!$C$4:$C$1012=H$4),'Дані_зв''язок'!$D$4:$D$1012,"")))</f>
        <v/>
      </c>
      <c r="I46" s="27" t="str" cm="1">
        <f t="array" ref="I46">IF($O46="","",_xlfn.TEXTJOIN(", ",TRUE,IF(EXACT('Дані_зв''язок'!$J$4:$J$1012,$O46)*('Дані_зв''язок'!$C$4:$C$1012=I$4),'Дані_зв''язок'!$D$4:$D$1012,"")))</f>
        <v/>
      </c>
      <c r="J46" s="27" cm="1">
        <f t="array" ref="J46">IF($O46="","",COUNTIF(C46:I46,"?*")+SUMPRODUCT(LEN(C46:I46)-LEN(SUBSTITUTE(C46:I46,",",""))))</f>
        <v>1</v>
      </c>
      <c r="K46" s="28" t="str" cm="1">
        <f t="array" ref="K46">IF($O46="","",_xlfn.TEXTJOIN(", ",TRUE,IF(EXACT('Дані_зв''язок'!$J$4:$J$1012,$O46),'Дані_зв''язок'!$L$4:$L$1012,"")))</f>
        <v>№6</v>
      </c>
      <c r="L46" s="28" t="str" cm="1">
        <f t="array" ref="L46">IF($O46="","",_xlfn.TEXTJOIN(", ",TRUE,IF(EXACT('Дані_зв''язок'!$J$4:$J$1012,$O46),'Дані_зв''язок'!$M$4:$M$1012,"")))</f>
        <v>АТ 4021</v>
      </c>
      <c r="M46" s="27" t="str" cm="1">
        <f t="array" ref="M46">IF($O46="","",IF(SUMPRODUCT(MAX(EXACT('Дані_зв''язок'!$J$4:$J$1012,$O46)*IFERROR('Дані_зв''язок'!$H$4:$H$1012,0)))=0,"",SUMPRODUCT(MAX(EXACT('Дані_зв''язок'!$J$4:$J$1012,$O46)*IFERROR('Дані_зв''язок'!$H$4:$H$1012,0)))))</f>
        <v/>
      </c>
      <c r="O46" s="30" t="s">
        <v>1174</v>
      </c>
      <c r="P46" s="24" cm="1">
        <f t="array" ref="P46">IF($O46="","",IF($B46="","",IFERROR(IF(MIN(IFERROR(VALUE(TRIM(MID(SUBSTITUTE(SUBSTITUTE($B46,","," ")," ",REPT(" ",30)),{1;31;61;91;121;151;181},30))),""))=0,"",MIN(IFERROR(VALUE(TRIM(MID(SUBSTITUTE(SUBSTITUTE($B46,","," ")," ",REPT(" ",30)),{1;31;61;91;121;151;181},30))),""))),"")))</f>
        <v>4</v>
      </c>
      <c r="Q46" s="23" t="str">
        <f t="shared" si="2"/>
        <v>Прилуки, Чернігівська обл., 2 пров. Шевченка, 4</v>
      </c>
      <c r="R46" s="35">
        <f>IF($O46="","",IFERROR(INDEX('Координати майданчиків'!$H$4:$H$64,MATCH($T46,'Координати майданчиків'!$B$4:$B$64,0)),IFERROR(IF(ABS(INDEX(Геокодування!$C$2:$C$361,MATCH($Q46,Геокодування!$B$2:$B$361,0))-50.5884)+ABS(INDEX(Геокодування!$D$2:$D$361,MATCH($Q46,Геокодування!$B$2:$B$361,0))-32.3876)&gt;0.15,"",INDEX(Геокодування!$C$2:$C$361,MATCH($Q46,Геокодування!$B$2:$B$361,0))),IFERROR(IF(ABS(INDEX(Геокодування!$C$2:$C$361,MATCH("Прилуки, Чернігівська обл., "&amp;$A46,Геокодування!$B$2:$B$361,0))-50.5884)+ABS(INDEX(Геокодування!$D$2:$D$361,MATCH("Прилуки, Чернігівська обл., "&amp;$A46,Геокодування!$B$2:$B$361,0))-32.3876)&gt;0.15,"",INDEX(Геокодування!$C$2:$C$361,MATCH("Прилуки, Чернігівська обл., "&amp;$A46,Геокодування!$B$2:$B$361,0))),""))))</f>
        <v>50.593749000000003</v>
      </c>
      <c r="S46" s="43">
        <f>IF($O46="","",IFERROR(INDEX('Координати майданчиків'!$I$4:$I$64,MATCH($T46,'Координати майданчиків'!$B$4:$B$64,0)),IFERROR(IF(ABS(INDEX(Геокодування!$C$2:$C$361,MATCH($Q46,Геокодування!$B$2:$B$361,0))-50.5884)+ABS(INDEX(Геокодування!$D$2:$D$361,MATCH($Q46,Геокодування!$B$2:$B$361,0))-32.3876)&gt;0.15,"",INDEX(Геокодування!$D$2:$D$361,MATCH($Q46,Геокодування!$B$2:$B$361,0))),IFERROR(IF(ABS(INDEX(Геокодування!$C$2:$C$361,MATCH("Прилуки, Чернігівська обл., "&amp;$A46,Геокодування!$B$2:$B$361,0))-50.5884)+ABS(INDEX(Геокодування!$D$2:$D$361,MATCH("Прилуки, Чернігівська обл., "&amp;$A46,Геокодування!$B$2:$B$361,0))-32.3876)&gt;0.15,"",INDEX(Геокодування!$D$2:$D$361,MATCH("Прилуки, Чернігівська обл., "&amp;$A46,Геокодування!$B$2:$B$361,0))),""))))</f>
        <v>32.415768</v>
      </c>
      <c r="T46" s="44" t="str">
        <f>IF($O46="","",IFERROR(INDEX('Координати майданчиків'!$B$4:$B$64,MATCH($A46&amp;IF($P46="","",", "&amp;$P46),'Координати майданчиків'!$B$4:$B$64,0)),IFERROR(INDEX('Координати майданчиків'!$B$4:$B$64,MATCH($A46,'Координати майданчиків'!$B$4:$B$64,0)),"")))</f>
        <v/>
      </c>
    </row>
    <row r="47" spans="1:20" x14ac:dyDescent="0.35">
      <c r="A47" s="26" t="str">
        <f t="shared" si="0"/>
        <v>3 пров. Європейський</v>
      </c>
      <c r="B47" s="26" t="str">
        <f t="shared" si="1"/>
        <v/>
      </c>
      <c r="C47" s="27" t="str" cm="1">
        <f t="array" ref="C47">IF($O47="","",_xlfn.TEXTJOIN(", ",TRUE,IF(EXACT('Дані_зв''язок'!$J$4:$J$1012,$O47)*('Дані_зв''язок'!$C$4:$C$1012=C$4),'Дані_зв''язок'!$D$4:$D$1012,"")))</f>
        <v/>
      </c>
      <c r="D47" s="27" t="str" cm="1">
        <f t="array" ref="D47">IF($O47="","",_xlfn.TEXTJOIN(", ",TRUE,IF(EXACT('Дані_зв''язок'!$J$4:$J$1012,$O47)*('Дані_зв''язок'!$C$4:$C$1012=D$4),'Дані_зв''язок'!$D$4:$D$1012,"")))</f>
        <v/>
      </c>
      <c r="E47" s="27" t="str" cm="1">
        <f t="array" ref="E47">IF($O47="","",_xlfn.TEXTJOIN(", ",TRUE,IF(EXACT('Дані_зв''язок'!$J$4:$J$1012,$O47)*('Дані_зв''язок'!$C$4:$C$1012=E$4),'Дані_зв''язок'!$D$4:$D$1012,"")))</f>
        <v>14:45</v>
      </c>
      <c r="F47" s="27" t="str" cm="1">
        <f t="array" ref="F47">IF($O47="","",_xlfn.TEXTJOIN(", ",TRUE,IF(EXACT('Дані_зв''язок'!$J$4:$J$1012,$O47)*('Дані_зв''язок'!$C$4:$C$1012=F$4),'Дані_зв''язок'!$D$4:$D$1012,"")))</f>
        <v/>
      </c>
      <c r="G47" s="27" t="str" cm="1">
        <f t="array" ref="G47">IF($O47="","",_xlfn.TEXTJOIN(", ",TRUE,IF(EXACT('Дані_зв''язок'!$J$4:$J$1012,$O47)*('Дані_зв''язок'!$C$4:$C$1012=G$4),'Дані_зв''язок'!$D$4:$D$1012,"")))</f>
        <v/>
      </c>
      <c r="H47" s="27" t="str" cm="1">
        <f t="array" ref="H47">IF($O47="","",_xlfn.TEXTJOIN(", ",TRUE,IF(EXACT('Дані_зв''язок'!$J$4:$J$1012,$O47)*('Дані_зв''язок'!$C$4:$C$1012=H$4),'Дані_зв''язок'!$D$4:$D$1012,"")))</f>
        <v/>
      </c>
      <c r="I47" s="27" t="str" cm="1">
        <f t="array" ref="I47">IF($O47="","",_xlfn.TEXTJOIN(", ",TRUE,IF(EXACT('Дані_зв''язок'!$J$4:$J$1012,$O47)*('Дані_зв''язок'!$C$4:$C$1012=I$4),'Дані_зв''язок'!$D$4:$D$1012,"")))</f>
        <v/>
      </c>
      <c r="J47" s="27" cm="1">
        <f t="array" ref="J47">IF($O47="","",COUNTIF(C47:I47,"?*")+SUMPRODUCT(LEN(C47:I47)-LEN(SUBSTITUTE(C47:I47,",",""))))</f>
        <v>1</v>
      </c>
      <c r="K47" s="28" t="str" cm="1">
        <f t="array" ref="K47">IF($O47="","",_xlfn.TEXTJOIN(", ",TRUE,IF(EXACT('Дані_зв''язок'!$J$4:$J$1012,$O47),'Дані_зв''язок'!$L$4:$L$1012,"")))</f>
        <v>№5</v>
      </c>
      <c r="L47" s="28" t="str" cm="1">
        <f t="array" ref="L47">IF($O47="","",_xlfn.TEXTJOIN(", ",TRUE,IF(EXACT('Дані_зв''язок'!$J$4:$J$1012,$O47),'Дані_зв''язок'!$M$4:$M$1012,"")))</f>
        <v>МАЗ 4381</v>
      </c>
      <c r="M47" s="27" t="str" cm="1">
        <f t="array" ref="M47">IF($O47="","",IF(SUMPRODUCT(MAX(EXACT('Дані_зв''язок'!$J$4:$J$1012,$O47)*IFERROR('Дані_зв''язок'!$H$4:$H$1012,0)))=0,"",SUMPRODUCT(MAX(EXACT('Дані_зв''язок'!$J$4:$J$1012,$O47)*IFERROR('Дані_зв''язок'!$H$4:$H$1012,0)))))</f>
        <v/>
      </c>
      <c r="O47" s="30" t="s">
        <v>1177</v>
      </c>
      <c r="P47" s="24" t="str" cm="1">
        <f t="array" ref="P47">IF($O47="","",IF($B47="","",IFERROR(IF(MIN(IFERROR(VALUE(TRIM(MID(SUBSTITUTE(SUBSTITUTE($B47,","," ")," ",REPT(" ",30)),{1;31;61;91;121;151;181},30))),""))=0,"",MIN(IFERROR(VALUE(TRIM(MID(SUBSTITUTE(SUBSTITUTE($B47,","," ")," ",REPT(" ",30)),{1;31;61;91;121;151;181},30))),""))),"")))</f>
        <v/>
      </c>
      <c r="Q47" s="23" t="str">
        <f t="shared" si="2"/>
        <v>Прилуки, Чернігівська обл., 3 пров. Європейський</v>
      </c>
      <c r="R47" s="35">
        <f>IF($O47="","",IFERROR(INDEX('Координати майданчиків'!$H$4:$H$64,MATCH($T47,'Координати майданчиків'!$B$4:$B$64,0)),IFERROR(IF(ABS(INDEX(Геокодування!$C$2:$C$361,MATCH($Q47,Геокодування!$B$2:$B$361,0))-50.5884)+ABS(INDEX(Геокодування!$D$2:$D$361,MATCH($Q47,Геокодування!$B$2:$B$361,0))-32.3876)&gt;0.15,"",INDEX(Геокодування!$C$2:$C$361,MATCH($Q47,Геокодування!$B$2:$B$361,0))),IFERROR(IF(ABS(INDEX(Геокодування!$C$2:$C$361,MATCH("Прилуки, Чернігівська обл., "&amp;$A47,Геокодування!$B$2:$B$361,0))-50.5884)+ABS(INDEX(Геокодування!$D$2:$D$361,MATCH("Прилуки, Чернігівська обл., "&amp;$A47,Геокодування!$B$2:$B$361,0))-32.3876)&gt;0.15,"",INDEX(Геокодування!$C$2:$C$361,MATCH("Прилуки, Чернігівська обл., "&amp;$A47,Геокодування!$B$2:$B$361,0))),""))))</f>
        <v>50.593848000000001</v>
      </c>
      <c r="S47" s="43">
        <f>IF($O47="","",IFERROR(INDEX('Координати майданчиків'!$I$4:$I$64,MATCH($T47,'Координати майданчиків'!$B$4:$B$64,0)),IFERROR(IF(ABS(INDEX(Геокодування!$C$2:$C$361,MATCH($Q47,Геокодування!$B$2:$B$361,0))-50.5884)+ABS(INDEX(Геокодування!$D$2:$D$361,MATCH($Q47,Геокодування!$B$2:$B$361,0))-32.3876)&gt;0.15,"",INDEX(Геокодування!$D$2:$D$361,MATCH($Q47,Геокодування!$B$2:$B$361,0))),IFERROR(IF(ABS(INDEX(Геокодування!$C$2:$C$361,MATCH("Прилуки, Чернігівська обл., "&amp;$A47,Геокодування!$B$2:$B$361,0))-50.5884)+ABS(INDEX(Геокодування!$D$2:$D$361,MATCH("Прилуки, Чернігівська обл., "&amp;$A47,Геокодування!$B$2:$B$361,0))-32.3876)&gt;0.15,"",INDEX(Геокодування!$D$2:$D$361,MATCH("Прилуки, Чернігівська обл., "&amp;$A47,Геокодування!$B$2:$B$361,0))),""))))</f>
        <v>32.365535000000001</v>
      </c>
      <c r="T47" s="44" t="str">
        <f>IF($O47="","",IFERROR(INDEX('Координати майданчиків'!$B$4:$B$64,MATCH($A47&amp;IF($P47="","",", "&amp;$P47),'Координати майданчиків'!$B$4:$B$64,0)),IFERROR(INDEX('Координати майданчиків'!$B$4:$B$64,MATCH($A47,'Координати майданчиків'!$B$4:$B$64,0)),"")))</f>
        <v/>
      </c>
    </row>
    <row r="48" spans="1:20" x14ac:dyDescent="0.35">
      <c r="A48" s="26" t="str">
        <f t="shared" si="0"/>
        <v>3 пров. І. Сірка</v>
      </c>
      <c r="B48" s="26" t="str">
        <f t="shared" si="1"/>
        <v/>
      </c>
      <c r="C48" s="27" t="str" cm="1">
        <f t="array" ref="C48">IF($O48="","",_xlfn.TEXTJOIN(", ",TRUE,IF(EXACT('Дані_зв''язок'!$J$4:$J$1012,$O48)*('Дані_зв''язок'!$C$4:$C$1012=C$4),'Дані_зв''язок'!$D$4:$D$1012,"")))</f>
        <v/>
      </c>
      <c r="D48" s="27" t="str" cm="1">
        <f t="array" ref="D48">IF($O48="","",_xlfn.TEXTJOIN(", ",TRUE,IF(EXACT('Дані_зв''язок'!$J$4:$J$1012,$O48)*('Дані_зв''язок'!$C$4:$C$1012=D$4),'Дані_зв''язок'!$D$4:$D$1012,"")))</f>
        <v>12:10</v>
      </c>
      <c r="E48" s="27" t="str" cm="1">
        <f t="array" ref="E48">IF($O48="","",_xlfn.TEXTJOIN(", ",TRUE,IF(EXACT('Дані_зв''язок'!$J$4:$J$1012,$O48)*('Дані_зв''язок'!$C$4:$C$1012=E$4),'Дані_зв''язок'!$D$4:$D$1012,"")))</f>
        <v/>
      </c>
      <c r="F48" s="27" t="str" cm="1">
        <f t="array" ref="F48">IF($O48="","",_xlfn.TEXTJOIN(", ",TRUE,IF(EXACT('Дані_зв''язок'!$J$4:$J$1012,$O48)*('Дані_зв''язок'!$C$4:$C$1012=F$4),'Дані_зв''язок'!$D$4:$D$1012,"")))</f>
        <v/>
      </c>
      <c r="G48" s="27" t="str" cm="1">
        <f t="array" ref="G48">IF($O48="","",_xlfn.TEXTJOIN(", ",TRUE,IF(EXACT('Дані_зв''язок'!$J$4:$J$1012,$O48)*('Дані_зв''язок'!$C$4:$C$1012=G$4),'Дані_зв''язок'!$D$4:$D$1012,"")))</f>
        <v/>
      </c>
      <c r="H48" s="27" t="str" cm="1">
        <f t="array" ref="H48">IF($O48="","",_xlfn.TEXTJOIN(", ",TRUE,IF(EXACT('Дані_зв''язок'!$J$4:$J$1012,$O48)*('Дані_зв''язок'!$C$4:$C$1012=H$4),'Дані_зв''язок'!$D$4:$D$1012,"")))</f>
        <v/>
      </c>
      <c r="I48" s="27" t="str" cm="1">
        <f t="array" ref="I48">IF($O48="","",_xlfn.TEXTJOIN(", ",TRUE,IF(EXACT('Дані_зв''язок'!$J$4:$J$1012,$O48)*('Дані_зв''язок'!$C$4:$C$1012=I$4),'Дані_зв''язок'!$D$4:$D$1012,"")))</f>
        <v/>
      </c>
      <c r="J48" s="27" cm="1">
        <f t="array" ref="J48">IF($O48="","",COUNTIF(C48:I48,"?*")+SUMPRODUCT(LEN(C48:I48)-LEN(SUBSTITUTE(C48:I48,",",""))))</f>
        <v>1</v>
      </c>
      <c r="K48" s="28" t="str" cm="1">
        <f t="array" ref="K48">IF($O48="","",_xlfn.TEXTJOIN(", ",TRUE,IF(EXACT('Дані_зв''язок'!$J$4:$J$1012,$O48),'Дані_зв''язок'!$L$4:$L$1012,"")))</f>
        <v>№5</v>
      </c>
      <c r="L48" s="28" t="str" cm="1">
        <f t="array" ref="L48">IF($O48="","",_xlfn.TEXTJOIN(", ",TRUE,IF(EXACT('Дані_зв''язок'!$J$4:$J$1012,$O48),'Дані_зв''язок'!$M$4:$M$1012,"")))</f>
        <v>МАЗ 4381</v>
      </c>
      <c r="M48" s="27" t="str" cm="1">
        <f t="array" ref="M48">IF($O48="","",IF(SUMPRODUCT(MAX(EXACT('Дані_зв''язок'!$J$4:$J$1012,$O48)*IFERROR('Дані_зв''язок'!$H$4:$H$1012,0)))=0,"",SUMPRODUCT(MAX(EXACT('Дані_зв''язок'!$J$4:$J$1012,$O48)*IFERROR('Дані_зв''язок'!$H$4:$H$1012,0)))))</f>
        <v/>
      </c>
      <c r="O48" s="30" t="s">
        <v>1179</v>
      </c>
      <c r="P48" s="24" t="str" cm="1">
        <f t="array" ref="P48">IF($O48="","",IF($B48="","",IFERROR(IF(MIN(IFERROR(VALUE(TRIM(MID(SUBSTITUTE(SUBSTITUTE($B48,","," ")," ",REPT(" ",30)),{1;31;61;91;121;151;181},30))),""))=0,"",MIN(IFERROR(VALUE(TRIM(MID(SUBSTITUTE(SUBSTITUTE($B48,","," ")," ",REPT(" ",30)),{1;31;61;91;121;151;181},30))),""))),"")))</f>
        <v/>
      </c>
      <c r="Q48" s="23" t="str">
        <f t="shared" si="2"/>
        <v>Прилуки, Чернігівська обл., 3 пров. І. Сірка</v>
      </c>
      <c r="R48" s="35">
        <f>IF($O48="","",IFERROR(INDEX('Координати майданчиків'!$H$4:$H$64,MATCH($T48,'Координати майданчиків'!$B$4:$B$64,0)),IFERROR(IF(ABS(INDEX(Геокодування!$C$2:$C$361,MATCH($Q48,Геокодування!$B$2:$B$361,0))-50.5884)+ABS(INDEX(Геокодування!$D$2:$D$361,MATCH($Q48,Геокодування!$B$2:$B$361,0))-32.3876)&gt;0.15,"",INDEX(Геокодування!$C$2:$C$361,MATCH($Q48,Геокодування!$B$2:$B$361,0))),IFERROR(IF(ABS(INDEX(Геокодування!$C$2:$C$361,MATCH("Прилуки, Чернігівська обл., "&amp;$A48,Геокодування!$B$2:$B$361,0))-50.5884)+ABS(INDEX(Геокодування!$D$2:$D$361,MATCH("Прилуки, Чернігівська обл., "&amp;$A48,Геокодування!$B$2:$B$361,0))-32.3876)&gt;0.15,"",INDEX(Геокодування!$C$2:$C$361,MATCH("Прилуки, Чернігівська обл., "&amp;$A48,Геокодування!$B$2:$B$361,0))),""))))</f>
        <v>50.60378</v>
      </c>
      <c r="S48" s="43">
        <f>IF($O48="","",IFERROR(INDEX('Координати майданчиків'!$I$4:$I$64,MATCH($T48,'Координати майданчиків'!$B$4:$B$64,0)),IFERROR(IF(ABS(INDEX(Геокодування!$C$2:$C$361,MATCH($Q48,Геокодування!$B$2:$B$361,0))-50.5884)+ABS(INDEX(Геокодування!$D$2:$D$361,MATCH($Q48,Геокодування!$B$2:$B$361,0))-32.3876)&gt;0.15,"",INDEX(Геокодування!$D$2:$D$361,MATCH($Q48,Геокодування!$B$2:$B$361,0))),IFERROR(IF(ABS(INDEX(Геокодування!$C$2:$C$361,MATCH("Прилуки, Чернігівська обл., "&amp;$A48,Геокодування!$B$2:$B$361,0))-50.5884)+ABS(INDEX(Геокодування!$D$2:$D$361,MATCH("Прилуки, Чернігівська обл., "&amp;$A48,Геокодування!$B$2:$B$361,0))-32.3876)&gt;0.15,"",INDEX(Геокодування!$D$2:$D$361,MATCH("Прилуки, Чернігівська обл., "&amp;$A48,Геокодування!$B$2:$B$361,0))),""))))</f>
        <v>32.330449999999999</v>
      </c>
      <c r="T48" s="44" t="str">
        <f>IF($O48="","",IFERROR(INDEX('Координати майданчиків'!$B$4:$B$64,MATCH($A48&amp;IF($P48="","",", "&amp;$P48),'Координати майданчиків'!$B$4:$B$64,0)),IFERROR(INDEX('Координати майданчиків'!$B$4:$B$64,MATCH($A48,'Координати майданчиків'!$B$4:$B$64,0)),"")))</f>
        <v/>
      </c>
    </row>
    <row r="49" spans="1:20" x14ac:dyDescent="0.35">
      <c r="A49" s="26" t="str">
        <f t="shared" si="0"/>
        <v>3 пров. Гімназичний</v>
      </c>
      <c r="B49" s="26" t="str">
        <f t="shared" si="1"/>
        <v>3,9</v>
      </c>
      <c r="C49" s="27" t="str" cm="1">
        <f t="array" ref="C49">IF($O49="","",_xlfn.TEXTJOIN(", ",TRUE,IF(EXACT('Дані_зв''язок'!$J$4:$J$1012,$O49)*('Дані_зв''язок'!$C$4:$C$1012=C$4),'Дані_зв''язок'!$D$4:$D$1012,"")))</f>
        <v/>
      </c>
      <c r="D49" s="27" t="str" cm="1">
        <f t="array" ref="D49">IF($O49="","",_xlfn.TEXTJOIN(", ",TRUE,IF(EXACT('Дані_зв''язок'!$J$4:$J$1012,$O49)*('Дані_зв''язок'!$C$4:$C$1012=D$4),'Дані_зв''язок'!$D$4:$D$1012,"")))</f>
        <v/>
      </c>
      <c r="E49" s="27" t="str" cm="1">
        <f t="array" ref="E49">IF($O49="","",_xlfn.TEXTJOIN(", ",TRUE,IF(EXACT('Дані_зв''язок'!$J$4:$J$1012,$O49)*('Дані_зв''язок'!$C$4:$C$1012=E$4),'Дані_зв''язок'!$D$4:$D$1012,"")))</f>
        <v/>
      </c>
      <c r="F49" s="27" t="str" cm="1">
        <f t="array" ref="F49">IF($O49="","",_xlfn.TEXTJOIN(", ",TRUE,IF(EXACT('Дані_зв''язок'!$J$4:$J$1012,$O49)*('Дані_зв''язок'!$C$4:$C$1012=F$4),'Дані_зв''язок'!$D$4:$D$1012,"")))</f>
        <v>14:00</v>
      </c>
      <c r="G49" s="27" t="str" cm="1">
        <f t="array" ref="G49">IF($O49="","",_xlfn.TEXTJOIN(", ",TRUE,IF(EXACT('Дані_зв''язок'!$J$4:$J$1012,$O49)*('Дані_зв''язок'!$C$4:$C$1012=G$4),'Дані_зв''язок'!$D$4:$D$1012,"")))</f>
        <v/>
      </c>
      <c r="H49" s="27" t="str" cm="1">
        <f t="array" ref="H49">IF($O49="","",_xlfn.TEXTJOIN(", ",TRUE,IF(EXACT('Дані_зв''язок'!$J$4:$J$1012,$O49)*('Дані_зв''язок'!$C$4:$C$1012=H$4),'Дані_зв''язок'!$D$4:$D$1012,"")))</f>
        <v/>
      </c>
      <c r="I49" s="27" t="str" cm="1">
        <f t="array" ref="I49">IF($O49="","",_xlfn.TEXTJOIN(", ",TRUE,IF(EXACT('Дані_зв''язок'!$J$4:$J$1012,$O49)*('Дані_зв''язок'!$C$4:$C$1012=I$4),'Дані_зв''язок'!$D$4:$D$1012,"")))</f>
        <v/>
      </c>
      <c r="J49" s="27" cm="1">
        <f t="array" ref="J49">IF($O49="","",COUNTIF(C49:I49,"?*")+SUMPRODUCT(LEN(C49:I49)-LEN(SUBSTITUTE(C49:I49,",",""))))</f>
        <v>1</v>
      </c>
      <c r="K49" s="28" t="str" cm="1">
        <f t="array" ref="K49">IF($O49="","",_xlfn.TEXTJOIN(", ",TRUE,IF(EXACT('Дані_зв''язок'!$J$4:$J$1012,$O49),'Дані_зв''язок'!$L$4:$L$1012,"")))</f>
        <v>№6</v>
      </c>
      <c r="L49" s="28" t="str" cm="1">
        <f t="array" ref="L49">IF($O49="","",_xlfn.TEXTJOIN(", ",TRUE,IF(EXACT('Дані_зв''язок'!$J$4:$J$1012,$O49),'Дані_зв''язок'!$M$4:$M$1012,"")))</f>
        <v>АТ 4021</v>
      </c>
      <c r="M49" s="27" t="str" cm="1">
        <f t="array" ref="M49">IF($O49="","",IF(SUMPRODUCT(MAX(EXACT('Дані_зв''язок'!$J$4:$J$1012,$O49)*IFERROR('Дані_зв''язок'!$H$4:$H$1012,0)))=0,"",SUMPRODUCT(MAX(EXACT('Дані_зв''язок'!$J$4:$J$1012,$O49)*IFERROR('Дані_зв''язок'!$H$4:$H$1012,0)))))</f>
        <v/>
      </c>
      <c r="O49" s="30" t="s">
        <v>1175</v>
      </c>
      <c r="P49" s="24" cm="1">
        <f t="array" ref="P49">IF($O49="","",IF($B49="","",IFERROR(IF(MIN(IFERROR(VALUE(TRIM(MID(SUBSTITUTE(SUBSTITUTE($B49,","," ")," ",REPT(" ",30)),{1;31;61;91;121;151;181},30))),""))=0,"",MIN(IFERROR(VALUE(TRIM(MID(SUBSTITUTE(SUBSTITUTE($B49,","," ")," ",REPT(" ",30)),{1;31;61;91;121;151;181},30))),""))),"")))</f>
        <v>3</v>
      </c>
      <c r="Q49" s="23" t="str">
        <f t="shared" si="2"/>
        <v>Прилуки, Чернігівська обл., 3 пров. Гімназичний, 3</v>
      </c>
      <c r="R49" s="35">
        <f>IF($O49="","",IFERROR(INDEX('Координати майданчиків'!$H$4:$H$64,MATCH($T49,'Координати майданчиків'!$B$4:$B$64,0)),IFERROR(IF(ABS(INDEX(Геокодування!$C$2:$C$361,MATCH($Q49,Геокодування!$B$2:$B$361,0))-50.5884)+ABS(INDEX(Геокодування!$D$2:$D$361,MATCH($Q49,Геокодування!$B$2:$B$361,0))-32.3876)&gt;0.15,"",INDEX(Геокодування!$C$2:$C$361,MATCH($Q49,Геокодування!$B$2:$B$361,0))),IFERROR(IF(ABS(INDEX(Геокодування!$C$2:$C$361,MATCH("Прилуки, Чернігівська обл., "&amp;$A49,Геокодування!$B$2:$B$361,0))-50.5884)+ABS(INDEX(Геокодування!$D$2:$D$361,MATCH("Прилуки, Чернігівська обл., "&amp;$A49,Геокодування!$B$2:$B$361,0))-32.3876)&gt;0.15,"",INDEX(Геокодування!$C$2:$C$361,MATCH("Прилуки, Чернігівська обл., "&amp;$A49,Геокодування!$B$2:$B$361,0))),""))))</f>
        <v>50.599603999999999</v>
      </c>
      <c r="S49" s="43">
        <f>IF($O49="","",IFERROR(INDEX('Координати майданчиків'!$I$4:$I$64,MATCH($T49,'Координати майданчиків'!$B$4:$B$64,0)),IFERROR(IF(ABS(INDEX(Геокодування!$C$2:$C$361,MATCH($Q49,Геокодування!$B$2:$B$361,0))-50.5884)+ABS(INDEX(Геокодування!$D$2:$D$361,MATCH($Q49,Геокодування!$B$2:$B$361,0))-32.3876)&gt;0.15,"",INDEX(Геокодування!$D$2:$D$361,MATCH($Q49,Геокодування!$B$2:$B$361,0))),IFERROR(IF(ABS(INDEX(Геокодування!$C$2:$C$361,MATCH("Прилуки, Чернігівська обл., "&amp;$A49,Геокодування!$B$2:$B$361,0))-50.5884)+ABS(INDEX(Геокодування!$D$2:$D$361,MATCH("Прилуки, Чернігівська обл., "&amp;$A49,Геокодування!$B$2:$B$361,0))-32.3876)&gt;0.15,"",INDEX(Геокодування!$D$2:$D$361,MATCH("Прилуки, Чернігівська обл., "&amp;$A49,Геокодування!$B$2:$B$361,0))),""))))</f>
        <v>32.396923000000001</v>
      </c>
      <c r="T49" s="44" t="str">
        <f>IF($O49="","",IFERROR(INDEX('Координати майданчиків'!$B$4:$B$64,MATCH($A49&amp;IF($P49="","",", "&amp;$P49),'Координати майданчиків'!$B$4:$B$64,0)),IFERROR(INDEX('Координати майданчиків'!$B$4:$B$64,MATCH($A49,'Координати майданчиків'!$B$4:$B$64,0)),"")))</f>
        <v/>
      </c>
    </row>
    <row r="50" spans="1:20" x14ac:dyDescent="0.35">
      <c r="A50" s="26" t="str">
        <f t="shared" si="0"/>
        <v>3 пров. Дослідний</v>
      </c>
      <c r="B50" s="26" t="str">
        <f t="shared" si="1"/>
        <v/>
      </c>
      <c r="C50" s="27" t="str" cm="1">
        <f t="array" ref="C50">IF($O50="","",_xlfn.TEXTJOIN(", ",TRUE,IF(EXACT('Дані_зв''язок'!$J$4:$J$1012,$O50)*('Дані_зв''язок'!$C$4:$C$1012=C$4),'Дані_зв''язок'!$D$4:$D$1012,"")))</f>
        <v>8:30</v>
      </c>
      <c r="D50" s="27" t="str" cm="1">
        <f t="array" ref="D50">IF($O50="","",_xlfn.TEXTJOIN(", ",TRUE,IF(EXACT('Дані_зв''язок'!$J$4:$J$1012,$O50)*('Дані_зв''язок'!$C$4:$C$1012=D$4),'Дані_зв''язок'!$D$4:$D$1012,"")))</f>
        <v/>
      </c>
      <c r="E50" s="27" t="str" cm="1">
        <f t="array" ref="E50">IF($O50="","",_xlfn.TEXTJOIN(", ",TRUE,IF(EXACT('Дані_зв''язок'!$J$4:$J$1012,$O50)*('Дані_зв''язок'!$C$4:$C$1012=E$4),'Дані_зв''язок'!$D$4:$D$1012,"")))</f>
        <v/>
      </c>
      <c r="F50" s="27" t="str" cm="1">
        <f t="array" ref="F50">IF($O50="","",_xlfn.TEXTJOIN(", ",TRUE,IF(EXACT('Дані_зв''язок'!$J$4:$J$1012,$O50)*('Дані_зв''язок'!$C$4:$C$1012=F$4),'Дані_зв''язок'!$D$4:$D$1012,"")))</f>
        <v/>
      </c>
      <c r="G50" s="27" t="str" cm="1">
        <f t="array" ref="G50">IF($O50="","",_xlfn.TEXTJOIN(", ",TRUE,IF(EXACT('Дані_зв''язок'!$J$4:$J$1012,$O50)*('Дані_зв''язок'!$C$4:$C$1012=G$4),'Дані_зв''язок'!$D$4:$D$1012,"")))</f>
        <v/>
      </c>
      <c r="H50" s="27" t="str" cm="1">
        <f t="array" ref="H50">IF($O50="","",_xlfn.TEXTJOIN(", ",TRUE,IF(EXACT('Дані_зв''язок'!$J$4:$J$1012,$O50)*('Дані_зв''язок'!$C$4:$C$1012=H$4),'Дані_зв''язок'!$D$4:$D$1012,"")))</f>
        <v/>
      </c>
      <c r="I50" s="27" t="str" cm="1">
        <f t="array" ref="I50">IF($O50="","",_xlfn.TEXTJOIN(", ",TRUE,IF(EXACT('Дані_зв''язок'!$J$4:$J$1012,$O50)*('Дані_зв''язок'!$C$4:$C$1012=I$4),'Дані_зв''язок'!$D$4:$D$1012,"")))</f>
        <v/>
      </c>
      <c r="J50" s="27" cm="1">
        <f t="array" ref="J50">IF($O50="","",COUNTIF(C50:I50,"?*")+SUMPRODUCT(LEN(C50:I50)-LEN(SUBSTITUTE(C50:I50,",",""))))</f>
        <v>1</v>
      </c>
      <c r="K50" s="28" t="str" cm="1">
        <f t="array" ref="K50">IF($O50="","",_xlfn.TEXTJOIN(", ",TRUE,IF(EXACT('Дані_зв''язок'!$J$4:$J$1012,$O50),'Дані_зв''язок'!$L$4:$L$1012,"")))</f>
        <v>№5</v>
      </c>
      <c r="L50" s="28" t="str" cm="1">
        <f t="array" ref="L50">IF($O50="","",_xlfn.TEXTJOIN(", ",TRUE,IF(EXACT('Дані_зв''язок'!$J$4:$J$1012,$O50),'Дані_зв''язок'!$M$4:$M$1012,"")))</f>
        <v>МАЗ 4381</v>
      </c>
      <c r="M50" s="27" t="str" cm="1">
        <f t="array" ref="M50">IF($O50="","",IF(SUMPRODUCT(MAX(EXACT('Дані_зв''язок'!$J$4:$J$1012,$O50)*IFERROR('Дані_зв''язок'!$H$4:$H$1012,0)))=0,"",SUMPRODUCT(MAX(EXACT('Дані_зв''язок'!$J$4:$J$1012,$O50)*IFERROR('Дані_зв''язок'!$H$4:$H$1012,0)))))</f>
        <v/>
      </c>
      <c r="O50" s="30" t="s">
        <v>1176</v>
      </c>
      <c r="P50" s="24" t="str" cm="1">
        <f t="array" ref="P50">IF($O50="","",IF($B50="","",IFERROR(IF(MIN(IFERROR(VALUE(TRIM(MID(SUBSTITUTE(SUBSTITUTE($B50,","," ")," ",REPT(" ",30)),{1;31;61;91;121;151;181},30))),""))=0,"",MIN(IFERROR(VALUE(TRIM(MID(SUBSTITUTE(SUBSTITUTE($B50,","," ")," ",REPT(" ",30)),{1;31;61;91;121;151;181},30))),""))),"")))</f>
        <v/>
      </c>
      <c r="Q50" s="23" t="str">
        <f t="shared" si="2"/>
        <v>Прилуки, Чернігівська обл., 3 пров. Дослідний</v>
      </c>
      <c r="R50" s="35">
        <f>IF($O50="","",IFERROR(INDEX('Координати майданчиків'!$H$4:$H$64,MATCH($T50,'Координати майданчиків'!$B$4:$B$64,0)),IFERROR(IF(ABS(INDEX(Геокодування!$C$2:$C$361,MATCH($Q50,Геокодування!$B$2:$B$361,0))-50.5884)+ABS(INDEX(Геокодування!$D$2:$D$361,MATCH($Q50,Геокодування!$B$2:$B$361,0))-32.3876)&gt;0.15,"",INDEX(Геокодування!$C$2:$C$361,MATCH($Q50,Геокодування!$B$2:$B$361,0))),IFERROR(IF(ABS(INDEX(Геокодування!$C$2:$C$361,MATCH("Прилуки, Чернігівська обл., "&amp;$A50,Геокодування!$B$2:$B$361,0))-50.5884)+ABS(INDEX(Геокодування!$D$2:$D$361,MATCH("Прилуки, Чернігівська обл., "&amp;$A50,Геокодування!$B$2:$B$361,0))-32.3876)&gt;0.15,"",INDEX(Геокодування!$C$2:$C$361,MATCH("Прилуки, Чернігівська обл., "&amp;$A50,Геокодування!$B$2:$B$361,0))),""))))</f>
        <v>50.577098999999997</v>
      </c>
      <c r="S50" s="43">
        <f>IF($O50="","",IFERROR(INDEX('Координати майданчиків'!$I$4:$I$64,MATCH($T50,'Координати майданчиків'!$B$4:$B$64,0)),IFERROR(IF(ABS(INDEX(Геокодування!$C$2:$C$361,MATCH($Q50,Геокодування!$B$2:$B$361,0))-50.5884)+ABS(INDEX(Геокодування!$D$2:$D$361,MATCH($Q50,Геокодування!$B$2:$B$361,0))-32.3876)&gt;0.15,"",INDEX(Геокодування!$D$2:$D$361,MATCH($Q50,Геокодування!$B$2:$B$361,0))),IFERROR(IF(ABS(INDEX(Геокодування!$C$2:$C$361,MATCH("Прилуки, Чернігівська обл., "&amp;$A50,Геокодування!$B$2:$B$361,0))-50.5884)+ABS(INDEX(Геокодування!$D$2:$D$361,MATCH("Прилуки, Чернігівська обл., "&amp;$A50,Геокодування!$B$2:$B$361,0))-32.3876)&gt;0.15,"",INDEX(Геокодування!$D$2:$D$361,MATCH("Прилуки, Чернігівська обл., "&amp;$A50,Геокодування!$B$2:$B$361,0))),""))))</f>
        <v>32.369692000000001</v>
      </c>
      <c r="T50" s="44" t="str">
        <f>IF($O50="","",IFERROR(INDEX('Координати майданчиків'!$B$4:$B$64,MATCH($A50&amp;IF($P50="","",", "&amp;$P50),'Координати майданчиків'!$B$4:$B$64,0)),IFERROR(INDEX('Координати майданчиків'!$B$4:$B$64,MATCH($A50,'Координати майданчиків'!$B$4:$B$64,0)),"")))</f>
        <v/>
      </c>
    </row>
    <row r="51" spans="1:20" x14ac:dyDescent="0.35">
      <c r="A51" s="26" t="str">
        <f t="shared" si="0"/>
        <v>3 пров. Замостянський</v>
      </c>
      <c r="B51" s="26" t="str">
        <f t="shared" si="1"/>
        <v>12,9,5</v>
      </c>
      <c r="C51" s="27" t="str" cm="1">
        <f t="array" ref="C51">IF($O51="","",_xlfn.TEXTJOIN(", ",TRUE,IF(EXACT('Дані_зв''язок'!$J$4:$J$1012,$O51)*('Дані_зв''язок'!$C$4:$C$1012=C$4),'Дані_зв''язок'!$D$4:$D$1012,"")))</f>
        <v/>
      </c>
      <c r="D51" s="27" t="str" cm="1">
        <f t="array" ref="D51">IF($O51="","",_xlfn.TEXTJOIN(", ",TRUE,IF(EXACT('Дані_зв''язок'!$J$4:$J$1012,$O51)*('Дані_зв''язок'!$C$4:$C$1012=D$4),'Дані_зв''язок'!$D$4:$D$1012,"")))</f>
        <v/>
      </c>
      <c r="E51" s="27" t="str" cm="1">
        <f t="array" ref="E51">IF($O51="","",_xlfn.TEXTJOIN(", ",TRUE,IF(EXACT('Дані_зв''язок'!$J$4:$J$1012,$O51)*('Дані_зв''язок'!$C$4:$C$1012=E$4),'Дані_зв''язок'!$D$4:$D$1012,"")))</f>
        <v/>
      </c>
      <c r="F51" s="27" t="str" cm="1">
        <f t="array" ref="F51">IF($O51="","",_xlfn.TEXTJOIN(", ",TRUE,IF(EXACT('Дані_зв''язок'!$J$4:$J$1012,$O51)*('Дані_зв''язок'!$C$4:$C$1012=F$4),'Дані_зв''язок'!$D$4:$D$1012,"")))</f>
        <v>9:35</v>
      </c>
      <c r="G51" s="27" t="str" cm="1">
        <f t="array" ref="G51">IF($O51="","",_xlfn.TEXTJOIN(", ",TRUE,IF(EXACT('Дані_зв''язок'!$J$4:$J$1012,$O51)*('Дані_зв''язок'!$C$4:$C$1012=G$4),'Дані_зв''язок'!$D$4:$D$1012,"")))</f>
        <v/>
      </c>
      <c r="H51" s="27" t="str" cm="1">
        <f t="array" ref="H51">IF($O51="","",_xlfn.TEXTJOIN(", ",TRUE,IF(EXACT('Дані_зв''язок'!$J$4:$J$1012,$O51)*('Дані_зв''язок'!$C$4:$C$1012=H$4),'Дані_зв''язок'!$D$4:$D$1012,"")))</f>
        <v/>
      </c>
      <c r="I51" s="27" t="str" cm="1">
        <f t="array" ref="I51">IF($O51="","",_xlfn.TEXTJOIN(", ",TRUE,IF(EXACT('Дані_зв''язок'!$J$4:$J$1012,$O51)*('Дані_зв''язок'!$C$4:$C$1012=I$4),'Дані_зв''язок'!$D$4:$D$1012,"")))</f>
        <v/>
      </c>
      <c r="J51" s="27" cm="1">
        <f t="array" ref="J51">IF($O51="","",COUNTIF(C51:I51,"?*")+SUMPRODUCT(LEN(C51:I51)-LEN(SUBSTITUTE(C51:I51,",",""))))</f>
        <v>1</v>
      </c>
      <c r="K51" s="28" t="str" cm="1">
        <f t="array" ref="K51">IF($O51="","",_xlfn.TEXTJOIN(", ",TRUE,IF(EXACT('Дані_зв''язок'!$J$4:$J$1012,$O51),'Дані_зв''язок'!$L$4:$L$1012,"")))</f>
        <v>№6</v>
      </c>
      <c r="L51" s="28" t="str" cm="1">
        <f t="array" ref="L51">IF($O51="","",_xlfn.TEXTJOIN(", ",TRUE,IF(EXACT('Дані_зв''язок'!$J$4:$J$1012,$O51),'Дані_зв''язок'!$M$4:$M$1012,"")))</f>
        <v>АТ 4021</v>
      </c>
      <c r="M51" s="27" t="str" cm="1">
        <f t="array" ref="M51">IF($O51="","",IF(SUMPRODUCT(MAX(EXACT('Дані_зв''язок'!$J$4:$J$1012,$O51)*IFERROR('Дані_зв''язок'!$H$4:$H$1012,0)))=0,"",SUMPRODUCT(MAX(EXACT('Дані_зв''язок'!$J$4:$J$1012,$O51)*IFERROR('Дані_зв''язок'!$H$4:$H$1012,0)))))</f>
        <v/>
      </c>
      <c r="O51" s="30" t="s">
        <v>1178</v>
      </c>
      <c r="P51" s="24" cm="1">
        <f t="array" ref="P51">IF($O51="","",IF($B51="","",IFERROR(IF(MIN(IFERROR(VALUE(TRIM(MID(SUBSTITUTE(SUBSTITUTE($B51,","," ")," ",REPT(" ",30)),{1;31;61;91;121;151;181},30))),""))=0,"",MIN(IFERROR(VALUE(TRIM(MID(SUBSTITUTE(SUBSTITUTE($B51,","," ")," ",REPT(" ",30)),{1;31;61;91;121;151;181},30))),""))),"")))</f>
        <v>5</v>
      </c>
      <c r="Q51" s="23" t="str">
        <f t="shared" si="2"/>
        <v>Прилуки, Чернігівська обл., 3 пров. Замостянський, 5</v>
      </c>
      <c r="R51" s="35">
        <f>IF($O51="","",IFERROR(INDEX('Координати майданчиків'!$H$4:$H$64,MATCH($T51,'Координати майданчиків'!$B$4:$B$64,0)),IFERROR(IF(ABS(INDEX(Геокодування!$C$2:$C$361,MATCH($Q51,Геокодування!$B$2:$B$361,0))-50.5884)+ABS(INDEX(Геокодування!$D$2:$D$361,MATCH($Q51,Геокодування!$B$2:$B$361,0))-32.3876)&gt;0.15,"",INDEX(Геокодування!$C$2:$C$361,MATCH($Q51,Геокодування!$B$2:$B$361,0))),IFERROR(IF(ABS(INDEX(Геокодування!$C$2:$C$361,MATCH("Прилуки, Чернігівська обл., "&amp;$A51,Геокодування!$B$2:$B$361,0))-50.5884)+ABS(INDEX(Геокодування!$D$2:$D$361,MATCH("Прилуки, Чернігівська обл., "&amp;$A51,Геокодування!$B$2:$B$361,0))-32.3876)&gt;0.15,"",INDEX(Геокодування!$C$2:$C$361,MATCH("Прилуки, Чернігівська обл., "&amp;$A51,Геокодування!$B$2:$B$361,0))),""))))</f>
        <v>50.613002999999999</v>
      </c>
      <c r="S51" s="43">
        <f>IF($O51="","",IFERROR(INDEX('Координати майданчиків'!$I$4:$I$64,MATCH($T51,'Координати майданчиків'!$B$4:$B$64,0)),IFERROR(IF(ABS(INDEX(Геокодування!$C$2:$C$361,MATCH($Q51,Геокодування!$B$2:$B$361,0))-50.5884)+ABS(INDEX(Геокодування!$D$2:$D$361,MATCH($Q51,Геокодування!$B$2:$B$361,0))-32.3876)&gt;0.15,"",INDEX(Геокодування!$D$2:$D$361,MATCH($Q51,Геокодування!$B$2:$B$361,0))),IFERROR(IF(ABS(INDEX(Геокодування!$C$2:$C$361,MATCH("Прилуки, Чернігівська обл., "&amp;$A51,Геокодування!$B$2:$B$361,0))-50.5884)+ABS(INDEX(Геокодування!$D$2:$D$361,MATCH("Прилуки, Чернігівська обл., "&amp;$A51,Геокодування!$B$2:$B$361,0))-32.3876)&gt;0.15,"",INDEX(Геокодування!$D$2:$D$361,MATCH("Прилуки, Чернігівська обл., "&amp;$A51,Геокодування!$B$2:$B$361,0))),""))))</f>
        <v>32.398581999999998</v>
      </c>
      <c r="T51" s="44" t="str">
        <f>IF($O51="","",IFERROR(INDEX('Координати майданчиків'!$B$4:$B$64,MATCH($A51&amp;IF($P51="","",", "&amp;$P51),'Координати майданчиків'!$B$4:$B$64,0)),IFERROR(INDEX('Координати майданчиків'!$B$4:$B$64,MATCH($A51,'Координати майданчиків'!$B$4:$B$64,0)),"")))</f>
        <v/>
      </c>
    </row>
    <row r="52" spans="1:20" x14ac:dyDescent="0.35">
      <c r="A52" s="26" t="str">
        <f t="shared" si="0"/>
        <v>3 пров. П. Комуни</v>
      </c>
      <c r="B52" s="26" t="str">
        <f t="shared" si="1"/>
        <v/>
      </c>
      <c r="C52" s="27" t="str" cm="1">
        <f t="array" ref="C52">IF($O52="","",_xlfn.TEXTJOIN(", ",TRUE,IF(EXACT('Дані_зв''язок'!$J$4:$J$1012,$O52)*('Дані_зв''язок'!$C$4:$C$1012=C$4),'Дані_зв''язок'!$D$4:$D$1012,"")))</f>
        <v>9:30</v>
      </c>
      <c r="D52" s="27" t="str" cm="1">
        <f t="array" ref="D52">IF($O52="","",_xlfn.TEXTJOIN(", ",TRUE,IF(EXACT('Дані_зв''язок'!$J$4:$J$1012,$O52)*('Дані_зв''язок'!$C$4:$C$1012=D$4),'Дані_зв''язок'!$D$4:$D$1012,"")))</f>
        <v/>
      </c>
      <c r="E52" s="27" t="str" cm="1">
        <f t="array" ref="E52">IF($O52="","",_xlfn.TEXTJOIN(", ",TRUE,IF(EXACT('Дані_зв''язок'!$J$4:$J$1012,$O52)*('Дані_зв''язок'!$C$4:$C$1012=E$4),'Дані_зв''язок'!$D$4:$D$1012,"")))</f>
        <v/>
      </c>
      <c r="F52" s="27" t="str" cm="1">
        <f t="array" ref="F52">IF($O52="","",_xlfn.TEXTJOIN(", ",TRUE,IF(EXACT('Дані_зв''язок'!$J$4:$J$1012,$O52)*('Дані_зв''язок'!$C$4:$C$1012=F$4),'Дані_зв''язок'!$D$4:$D$1012,"")))</f>
        <v/>
      </c>
      <c r="G52" s="27" t="str" cm="1">
        <f t="array" ref="G52">IF($O52="","",_xlfn.TEXTJOIN(", ",TRUE,IF(EXACT('Дані_зв''язок'!$J$4:$J$1012,$O52)*('Дані_зв''язок'!$C$4:$C$1012=G$4),'Дані_зв''язок'!$D$4:$D$1012,"")))</f>
        <v/>
      </c>
      <c r="H52" s="27" t="str" cm="1">
        <f t="array" ref="H52">IF($O52="","",_xlfn.TEXTJOIN(", ",TRUE,IF(EXACT('Дані_зв''язок'!$J$4:$J$1012,$O52)*('Дані_зв''язок'!$C$4:$C$1012=H$4),'Дані_зв''язок'!$D$4:$D$1012,"")))</f>
        <v/>
      </c>
      <c r="I52" s="27" t="str" cm="1">
        <f t="array" ref="I52">IF($O52="","",_xlfn.TEXTJOIN(", ",TRUE,IF(EXACT('Дані_зв''язок'!$J$4:$J$1012,$O52)*('Дані_зв''язок'!$C$4:$C$1012=I$4),'Дані_зв''язок'!$D$4:$D$1012,"")))</f>
        <v/>
      </c>
      <c r="J52" s="27" cm="1">
        <f t="array" ref="J52">IF($O52="","",COUNTIF(C52:I52,"?*")+SUMPRODUCT(LEN(C52:I52)-LEN(SUBSTITUTE(C52:I52,",",""))))</f>
        <v>1</v>
      </c>
      <c r="K52" s="28" t="str" cm="1">
        <f t="array" ref="K52">IF($O52="","",_xlfn.TEXTJOIN(", ",TRUE,IF(EXACT('Дані_зв''язок'!$J$4:$J$1012,$O52),'Дані_зв''язок'!$L$4:$L$1012,"")))</f>
        <v>№5</v>
      </c>
      <c r="L52" s="28" t="str" cm="1">
        <f t="array" ref="L52">IF($O52="","",_xlfn.TEXTJOIN(", ",TRUE,IF(EXACT('Дані_зв''язок'!$J$4:$J$1012,$O52),'Дані_зв''язок'!$M$4:$M$1012,"")))</f>
        <v>МАЗ 4381</v>
      </c>
      <c r="M52" s="27" t="str" cm="1">
        <f t="array" ref="M52">IF($O52="","",IF(SUMPRODUCT(MAX(EXACT('Дані_зв''язок'!$J$4:$J$1012,$O52)*IFERROR('Дані_зв''язок'!$H$4:$H$1012,0)))=0,"",SUMPRODUCT(MAX(EXACT('Дані_зв''язок'!$J$4:$J$1012,$O52)*IFERROR('Дані_зв''язок'!$H$4:$H$1012,0)))))</f>
        <v/>
      </c>
      <c r="O52" s="30" t="s">
        <v>1180</v>
      </c>
      <c r="P52" s="24" t="str" cm="1">
        <f t="array" ref="P52">IF($O52="","",IF($B52="","",IFERROR(IF(MIN(IFERROR(VALUE(TRIM(MID(SUBSTITUTE(SUBSTITUTE($B52,","," ")," ",REPT(" ",30)),{1;31;61;91;121;151;181},30))),""))=0,"",MIN(IFERROR(VALUE(TRIM(MID(SUBSTITUTE(SUBSTITUTE($B52,","," ")," ",REPT(" ",30)),{1;31;61;91;121;151;181},30))),""))),"")))</f>
        <v/>
      </c>
      <c r="Q52" s="23" t="str">
        <f t="shared" si="2"/>
        <v>Прилуки, Чернігівська обл., 3 пров. П. Комуни</v>
      </c>
      <c r="R52" s="35">
        <f>IF($O52="","",IFERROR(INDEX('Координати майданчиків'!$H$4:$H$64,MATCH($T52,'Координати майданчиків'!$B$4:$B$64,0)),IFERROR(IF(ABS(INDEX(Геокодування!$C$2:$C$361,MATCH($Q52,Геокодування!$B$2:$B$361,0))-50.5884)+ABS(INDEX(Геокодування!$D$2:$D$361,MATCH($Q52,Геокодування!$B$2:$B$361,0))-32.3876)&gt;0.15,"",INDEX(Геокодування!$C$2:$C$361,MATCH($Q52,Геокодування!$B$2:$B$361,0))),IFERROR(IF(ABS(INDEX(Геокодування!$C$2:$C$361,MATCH("Прилуки, Чернігівська обл., "&amp;$A52,Геокодування!$B$2:$B$361,0))-50.5884)+ABS(INDEX(Геокодування!$D$2:$D$361,MATCH("Прилуки, Чернігівська обл., "&amp;$A52,Геокодування!$B$2:$B$361,0))-32.3876)&gt;0.15,"",INDEX(Геокодування!$C$2:$C$361,MATCH("Прилуки, Чернігівська обл., "&amp;$A52,Геокодування!$B$2:$B$361,0))),""))))</f>
        <v>50.613002999999999</v>
      </c>
      <c r="S52" s="43">
        <f>IF($O52="","",IFERROR(INDEX('Координати майданчиків'!$I$4:$I$64,MATCH($T52,'Координати майданчиків'!$B$4:$B$64,0)),IFERROR(IF(ABS(INDEX(Геокодування!$C$2:$C$361,MATCH($Q52,Геокодування!$B$2:$B$361,0))-50.5884)+ABS(INDEX(Геокодування!$D$2:$D$361,MATCH($Q52,Геокодування!$B$2:$B$361,0))-32.3876)&gt;0.15,"",INDEX(Геокодування!$D$2:$D$361,MATCH($Q52,Геокодування!$B$2:$B$361,0))),IFERROR(IF(ABS(INDEX(Геокодування!$C$2:$C$361,MATCH("Прилуки, Чернігівська обл., "&amp;$A52,Геокодування!$B$2:$B$361,0))-50.5884)+ABS(INDEX(Геокодування!$D$2:$D$361,MATCH("Прилуки, Чернігівська обл., "&amp;$A52,Геокодування!$B$2:$B$361,0))-32.3876)&gt;0.15,"",INDEX(Геокодування!$D$2:$D$361,MATCH("Прилуки, Чернігівська обл., "&amp;$A52,Геокодування!$B$2:$B$361,0))),""))))</f>
        <v>32.398581999999998</v>
      </c>
      <c r="T52" s="44" t="str">
        <f>IF($O52="","",IFERROR(INDEX('Координати майданчиків'!$B$4:$B$64,MATCH($A52&amp;IF($P52="","",", "&amp;$P52),'Координати майданчиків'!$B$4:$B$64,0)),IFERROR(INDEX('Координати майданчиків'!$B$4:$B$64,MATCH($A52,'Координати майданчиків'!$B$4:$B$64,0)),"")))</f>
        <v/>
      </c>
    </row>
    <row r="53" spans="1:20" x14ac:dyDescent="0.35">
      <c r="A53" s="26" t="str">
        <f t="shared" si="0"/>
        <v>3 пров. Удайський</v>
      </c>
      <c r="B53" s="26" t="str">
        <f t="shared" si="1"/>
        <v>6,11  45,33</v>
      </c>
      <c r="C53" s="27" t="str" cm="1">
        <f t="array" ref="C53">IF($O53="","",_xlfn.TEXTJOIN(", ",TRUE,IF(EXACT('Дані_зв''язок'!$J$4:$J$1012,$O53)*('Дані_зв''язок'!$C$4:$C$1012=C$4),'Дані_зв''язок'!$D$4:$D$1012,"")))</f>
        <v>15:40</v>
      </c>
      <c r="D53" s="27" t="str" cm="1">
        <f t="array" ref="D53">IF($O53="","",_xlfn.TEXTJOIN(", ",TRUE,IF(EXACT('Дані_зв''язок'!$J$4:$J$1012,$O53)*('Дані_зв''язок'!$C$4:$C$1012=D$4),'Дані_зв''язок'!$D$4:$D$1012,"")))</f>
        <v/>
      </c>
      <c r="E53" s="27" t="str" cm="1">
        <f t="array" ref="E53">IF($O53="","",_xlfn.TEXTJOIN(", ",TRUE,IF(EXACT('Дані_зв''язок'!$J$4:$J$1012,$O53)*('Дані_зв''язок'!$C$4:$C$1012=E$4),'Дані_зв''язок'!$D$4:$D$1012,"")))</f>
        <v/>
      </c>
      <c r="F53" s="27" t="str" cm="1">
        <f t="array" ref="F53">IF($O53="","",_xlfn.TEXTJOIN(", ",TRUE,IF(EXACT('Дані_зв''язок'!$J$4:$J$1012,$O53)*('Дані_зв''язок'!$C$4:$C$1012=F$4),'Дані_зв''язок'!$D$4:$D$1012,"")))</f>
        <v/>
      </c>
      <c r="G53" s="27" t="str" cm="1">
        <f t="array" ref="G53">IF($O53="","",_xlfn.TEXTJOIN(", ",TRUE,IF(EXACT('Дані_зв''язок'!$J$4:$J$1012,$O53)*('Дані_зв''язок'!$C$4:$C$1012=G$4),'Дані_зв''язок'!$D$4:$D$1012,"")))</f>
        <v/>
      </c>
      <c r="H53" s="27" t="str" cm="1">
        <f t="array" ref="H53">IF($O53="","",_xlfn.TEXTJOIN(", ",TRUE,IF(EXACT('Дані_зв''язок'!$J$4:$J$1012,$O53)*('Дані_зв''язок'!$C$4:$C$1012=H$4),'Дані_зв''язок'!$D$4:$D$1012,"")))</f>
        <v/>
      </c>
      <c r="I53" s="27" t="str" cm="1">
        <f t="array" ref="I53">IF($O53="","",_xlfn.TEXTJOIN(", ",TRUE,IF(EXACT('Дані_зв''язок'!$J$4:$J$1012,$O53)*('Дані_зв''язок'!$C$4:$C$1012=I$4),'Дані_зв''язок'!$D$4:$D$1012,"")))</f>
        <v/>
      </c>
      <c r="J53" s="27" cm="1">
        <f t="array" ref="J53">IF($O53="","",COUNTIF(C53:I53,"?*")+SUMPRODUCT(LEN(C53:I53)-LEN(SUBSTITUTE(C53:I53,",",""))))</f>
        <v>1</v>
      </c>
      <c r="K53" s="28" t="str" cm="1">
        <f t="array" ref="K53">IF($O53="","",_xlfn.TEXTJOIN(", ",TRUE,IF(EXACT('Дані_зв''язок'!$J$4:$J$1012,$O53),'Дані_зв''язок'!$L$4:$L$1012,"")))</f>
        <v>№6</v>
      </c>
      <c r="L53" s="28" t="str" cm="1">
        <f t="array" ref="L53">IF($O53="","",_xlfn.TEXTJOIN(", ",TRUE,IF(EXACT('Дані_зв''язок'!$J$4:$J$1012,$O53),'Дані_зв''язок'!$M$4:$M$1012,"")))</f>
        <v>АТ 4021</v>
      </c>
      <c r="M53" s="27" t="str" cm="1">
        <f t="array" ref="M53">IF($O53="","",IF(SUMPRODUCT(MAX(EXACT('Дані_зв''язок'!$J$4:$J$1012,$O53)*IFERROR('Дані_зв''язок'!$H$4:$H$1012,0)))=0,"",SUMPRODUCT(MAX(EXACT('Дані_зв''язок'!$J$4:$J$1012,$O53)*IFERROR('Дані_зв''язок'!$H$4:$H$1012,0)))))</f>
        <v/>
      </c>
      <c r="O53" s="30" t="s">
        <v>1181</v>
      </c>
      <c r="P53" s="24" cm="1">
        <f t="array" ref="P53">IF($O53="","",IF($B53="","",IFERROR(IF(MIN(IFERROR(VALUE(TRIM(MID(SUBSTITUTE(SUBSTITUTE($B53,","," ")," ",REPT(" ",30)),{1;31;61;91;121;151;181},30))),""))=0,"",MIN(IFERROR(VALUE(TRIM(MID(SUBSTITUTE(SUBSTITUTE($B53,","," ")," ",REPT(" ",30)),{1;31;61;91;121;151;181},30))),""))),"")))</f>
        <v>6</v>
      </c>
      <c r="Q53" s="23" t="str">
        <f t="shared" si="2"/>
        <v>Прилуки, Чернігівська обл., 3 пров. Удайський, 6</v>
      </c>
      <c r="R53" s="35">
        <f>IF($O53="","",IFERROR(INDEX('Координати майданчиків'!$H$4:$H$64,MATCH($T53,'Координати майданчиків'!$B$4:$B$64,0)),IFERROR(IF(ABS(INDEX(Геокодування!$C$2:$C$361,MATCH($Q53,Геокодування!$B$2:$B$361,0))-50.5884)+ABS(INDEX(Геокодування!$D$2:$D$361,MATCH($Q53,Геокодування!$B$2:$B$361,0))-32.3876)&gt;0.15,"",INDEX(Геокодування!$C$2:$C$361,MATCH($Q53,Геокодування!$B$2:$B$361,0))),IFERROR(IF(ABS(INDEX(Геокодування!$C$2:$C$361,MATCH("Прилуки, Чернігівська обл., "&amp;$A53,Геокодування!$B$2:$B$361,0))-50.5884)+ABS(INDEX(Геокодування!$D$2:$D$361,MATCH("Прилуки, Чернігівська обл., "&amp;$A53,Геокодування!$B$2:$B$361,0))-32.3876)&gt;0.15,"",INDEX(Геокодування!$C$2:$C$361,MATCH("Прилуки, Чернігівська обл., "&amp;$A53,Геокодування!$B$2:$B$361,0))),""))))</f>
        <v>50.596961</v>
      </c>
      <c r="S53" s="43">
        <f>IF($O53="","",IFERROR(INDEX('Координати майданчиків'!$I$4:$I$64,MATCH($T53,'Координати майданчиків'!$B$4:$B$64,0)),IFERROR(IF(ABS(INDEX(Геокодування!$C$2:$C$361,MATCH($Q53,Геокодування!$B$2:$B$361,0))-50.5884)+ABS(INDEX(Геокодування!$D$2:$D$361,MATCH($Q53,Геокодування!$B$2:$B$361,0))-32.3876)&gt;0.15,"",INDEX(Геокодування!$D$2:$D$361,MATCH($Q53,Геокодування!$B$2:$B$361,0))),IFERROR(IF(ABS(INDEX(Геокодування!$C$2:$C$361,MATCH("Прилуки, Чернігівська обл., "&amp;$A53,Геокодування!$B$2:$B$361,0))-50.5884)+ABS(INDEX(Геокодування!$D$2:$D$361,MATCH("Прилуки, Чернігівська обл., "&amp;$A53,Геокодування!$B$2:$B$361,0))-32.3876)&gt;0.15,"",INDEX(Геокодування!$D$2:$D$361,MATCH("Прилуки, Чернігівська обл., "&amp;$A53,Геокодування!$B$2:$B$361,0))),""))))</f>
        <v>32.425527000000002</v>
      </c>
      <c r="T53" s="44" t="str">
        <f>IF($O53="","",IFERROR(INDEX('Координати майданчиків'!$B$4:$B$64,MATCH($A53&amp;IF($P53="","",", "&amp;$P53),'Координати майданчиків'!$B$4:$B$64,0)),IFERROR(INDEX('Координати майданчиків'!$B$4:$B$64,MATCH($A53,'Координати майданчиків'!$B$4:$B$64,0)),"")))</f>
        <v/>
      </c>
    </row>
    <row r="54" spans="1:20" x14ac:dyDescent="0.35">
      <c r="A54" s="26" t="str">
        <f t="shared" si="0"/>
        <v>4 пров. Дослідний</v>
      </c>
      <c r="B54" s="26" t="str">
        <f t="shared" si="1"/>
        <v/>
      </c>
      <c r="C54" s="27" t="str" cm="1">
        <f t="array" ref="C54">IF($O54="","",_xlfn.TEXTJOIN(", ",TRUE,IF(EXACT('Дані_зв''язок'!$J$4:$J$1012,$O54)*('Дані_зв''язок'!$C$4:$C$1012=C$4),'Дані_зв''язок'!$D$4:$D$1012,"")))</f>
        <v>8:40</v>
      </c>
      <c r="D54" s="27" t="str" cm="1">
        <f t="array" ref="D54">IF($O54="","",_xlfn.TEXTJOIN(", ",TRUE,IF(EXACT('Дані_зв''язок'!$J$4:$J$1012,$O54)*('Дані_зв''язок'!$C$4:$C$1012=D$4),'Дані_зв''язок'!$D$4:$D$1012,"")))</f>
        <v/>
      </c>
      <c r="E54" s="27" t="str" cm="1">
        <f t="array" ref="E54">IF($O54="","",_xlfn.TEXTJOIN(", ",TRUE,IF(EXACT('Дані_зв''язок'!$J$4:$J$1012,$O54)*('Дані_зв''язок'!$C$4:$C$1012=E$4),'Дані_зв''язок'!$D$4:$D$1012,"")))</f>
        <v/>
      </c>
      <c r="F54" s="27" t="str" cm="1">
        <f t="array" ref="F54">IF($O54="","",_xlfn.TEXTJOIN(", ",TRUE,IF(EXACT('Дані_зв''язок'!$J$4:$J$1012,$O54)*('Дані_зв''язок'!$C$4:$C$1012=F$4),'Дані_зв''язок'!$D$4:$D$1012,"")))</f>
        <v/>
      </c>
      <c r="G54" s="27" t="str" cm="1">
        <f t="array" ref="G54">IF($O54="","",_xlfn.TEXTJOIN(", ",TRUE,IF(EXACT('Дані_зв''язок'!$J$4:$J$1012,$O54)*('Дані_зв''язок'!$C$4:$C$1012=G$4),'Дані_зв''язок'!$D$4:$D$1012,"")))</f>
        <v/>
      </c>
      <c r="H54" s="27" t="str" cm="1">
        <f t="array" ref="H54">IF($O54="","",_xlfn.TEXTJOIN(", ",TRUE,IF(EXACT('Дані_зв''язок'!$J$4:$J$1012,$O54)*('Дані_зв''язок'!$C$4:$C$1012=H$4),'Дані_зв''язок'!$D$4:$D$1012,"")))</f>
        <v/>
      </c>
      <c r="I54" s="27" t="str" cm="1">
        <f t="array" ref="I54">IF($O54="","",_xlfn.TEXTJOIN(", ",TRUE,IF(EXACT('Дані_зв''язок'!$J$4:$J$1012,$O54)*('Дані_зв''язок'!$C$4:$C$1012=I$4),'Дані_зв''язок'!$D$4:$D$1012,"")))</f>
        <v/>
      </c>
      <c r="J54" s="27" cm="1">
        <f t="array" ref="J54">IF($O54="","",COUNTIF(C54:I54,"?*")+SUMPRODUCT(LEN(C54:I54)-LEN(SUBSTITUTE(C54:I54,",",""))))</f>
        <v>1</v>
      </c>
      <c r="K54" s="28" t="str" cm="1">
        <f t="array" ref="K54">IF($O54="","",_xlfn.TEXTJOIN(", ",TRUE,IF(EXACT('Дані_зв''язок'!$J$4:$J$1012,$O54),'Дані_зв''язок'!$L$4:$L$1012,"")))</f>
        <v>№5</v>
      </c>
      <c r="L54" s="28" t="str" cm="1">
        <f t="array" ref="L54">IF($O54="","",_xlfn.TEXTJOIN(", ",TRUE,IF(EXACT('Дані_зв''язок'!$J$4:$J$1012,$O54),'Дані_зв''язок'!$M$4:$M$1012,"")))</f>
        <v>МАЗ 4381</v>
      </c>
      <c r="M54" s="27" t="str" cm="1">
        <f t="array" ref="M54">IF($O54="","",IF(SUMPRODUCT(MAX(EXACT('Дані_зв''язок'!$J$4:$J$1012,$O54)*IFERROR('Дані_зв''язок'!$H$4:$H$1012,0)))=0,"",SUMPRODUCT(MAX(EXACT('Дані_зв''язок'!$J$4:$J$1012,$O54)*IFERROR('Дані_зв''язок'!$H$4:$H$1012,0)))))</f>
        <v/>
      </c>
      <c r="O54" s="30" t="s">
        <v>1182</v>
      </c>
      <c r="P54" s="24" t="str" cm="1">
        <f t="array" ref="P54">IF($O54="","",IF($B54="","",IFERROR(IF(MIN(IFERROR(VALUE(TRIM(MID(SUBSTITUTE(SUBSTITUTE($B54,","," ")," ",REPT(" ",30)),{1;31;61;91;121;151;181},30))),""))=0,"",MIN(IFERROR(VALUE(TRIM(MID(SUBSTITUTE(SUBSTITUTE($B54,","," ")," ",REPT(" ",30)),{1;31;61;91;121;151;181},30))),""))),"")))</f>
        <v/>
      </c>
      <c r="Q54" s="23" t="str">
        <f t="shared" si="2"/>
        <v>Прилуки, Чернігівська обл., 4 пров. Дослідний</v>
      </c>
      <c r="R54" s="35">
        <f>IF($O54="","",IFERROR(INDEX('Координати майданчиків'!$H$4:$H$64,MATCH($T54,'Координати майданчиків'!$B$4:$B$64,0)),IFERROR(IF(ABS(INDEX(Геокодування!$C$2:$C$361,MATCH($Q54,Геокодування!$B$2:$B$361,0))-50.5884)+ABS(INDEX(Геокодування!$D$2:$D$361,MATCH($Q54,Геокодування!$B$2:$B$361,0))-32.3876)&gt;0.15,"",INDEX(Геокодування!$C$2:$C$361,MATCH($Q54,Геокодування!$B$2:$B$361,0))),IFERROR(IF(ABS(INDEX(Геокодування!$C$2:$C$361,MATCH("Прилуки, Чернігівська обл., "&amp;$A54,Геокодування!$B$2:$B$361,0))-50.5884)+ABS(INDEX(Геокодування!$D$2:$D$361,MATCH("Прилуки, Чернігівська обл., "&amp;$A54,Геокодування!$B$2:$B$361,0))-32.3876)&gt;0.15,"",INDEX(Геокодування!$C$2:$C$361,MATCH("Прилуки, Чернігівська обл., "&amp;$A54,Геокодування!$B$2:$B$361,0))),""))))</f>
        <v>50.577098999999997</v>
      </c>
      <c r="S54" s="43">
        <f>IF($O54="","",IFERROR(INDEX('Координати майданчиків'!$I$4:$I$64,MATCH($T54,'Координати майданчиків'!$B$4:$B$64,0)),IFERROR(IF(ABS(INDEX(Геокодування!$C$2:$C$361,MATCH($Q54,Геокодування!$B$2:$B$361,0))-50.5884)+ABS(INDEX(Геокодування!$D$2:$D$361,MATCH($Q54,Геокодування!$B$2:$B$361,0))-32.3876)&gt;0.15,"",INDEX(Геокодування!$D$2:$D$361,MATCH($Q54,Геокодування!$B$2:$B$361,0))),IFERROR(IF(ABS(INDEX(Геокодування!$C$2:$C$361,MATCH("Прилуки, Чернігівська обл., "&amp;$A54,Геокодування!$B$2:$B$361,0))-50.5884)+ABS(INDEX(Геокодування!$D$2:$D$361,MATCH("Прилуки, Чернігівська обл., "&amp;$A54,Геокодування!$B$2:$B$361,0))-32.3876)&gt;0.15,"",INDEX(Геокодування!$D$2:$D$361,MATCH("Прилуки, Чернігівська обл., "&amp;$A54,Геокодування!$B$2:$B$361,0))),""))))</f>
        <v>32.369692000000001</v>
      </c>
      <c r="T54" s="44" t="str">
        <f>IF($O54="","",IFERROR(INDEX('Координати майданчиків'!$B$4:$B$64,MATCH($A54&amp;IF($P54="","",", "&amp;$P54),'Координати майданчиків'!$B$4:$B$64,0)),IFERROR(INDEX('Координати майданчиків'!$B$4:$B$64,MATCH($A54,'Координати майданчиків'!$B$4:$B$64,0)),"")))</f>
        <v/>
      </c>
    </row>
    <row r="55" spans="1:20" x14ac:dyDescent="0.35">
      <c r="A55" s="26" t="str">
        <f t="shared" si="0"/>
        <v>4 пров. Замостянський</v>
      </c>
      <c r="B55" s="26" t="str">
        <f t="shared" si="1"/>
        <v>1,3  6,14</v>
      </c>
      <c r="C55" s="27" t="str" cm="1">
        <f t="array" ref="C55">IF($O55="","",_xlfn.TEXTJOIN(", ",TRUE,IF(EXACT('Дані_зв''язок'!$J$4:$J$1012,$O55)*('Дані_зв''язок'!$C$4:$C$1012=C$4),'Дані_зв''язок'!$D$4:$D$1012,"")))</f>
        <v/>
      </c>
      <c r="D55" s="27" t="str" cm="1">
        <f t="array" ref="D55">IF($O55="","",_xlfn.TEXTJOIN(", ",TRUE,IF(EXACT('Дані_зв''язок'!$J$4:$J$1012,$O55)*('Дані_зв''язок'!$C$4:$C$1012=D$4),'Дані_зв''язок'!$D$4:$D$1012,"")))</f>
        <v/>
      </c>
      <c r="E55" s="27" t="str" cm="1">
        <f t="array" ref="E55">IF($O55="","",_xlfn.TEXTJOIN(", ",TRUE,IF(EXACT('Дані_зв''язок'!$J$4:$J$1012,$O55)*('Дані_зв''язок'!$C$4:$C$1012=E$4),'Дані_зв''язок'!$D$4:$D$1012,"")))</f>
        <v/>
      </c>
      <c r="F55" s="27" t="str" cm="1">
        <f t="array" ref="F55">IF($O55="","",_xlfn.TEXTJOIN(", ",TRUE,IF(EXACT('Дані_зв''язок'!$J$4:$J$1012,$O55)*('Дані_зв''язок'!$C$4:$C$1012=F$4),'Дані_зв''язок'!$D$4:$D$1012,"")))</f>
        <v>9:45</v>
      </c>
      <c r="G55" s="27" t="str" cm="1">
        <f t="array" ref="G55">IF($O55="","",_xlfn.TEXTJOIN(", ",TRUE,IF(EXACT('Дані_зв''язок'!$J$4:$J$1012,$O55)*('Дані_зв''язок'!$C$4:$C$1012=G$4),'Дані_зв''язок'!$D$4:$D$1012,"")))</f>
        <v/>
      </c>
      <c r="H55" s="27" t="str" cm="1">
        <f t="array" ref="H55">IF($O55="","",_xlfn.TEXTJOIN(", ",TRUE,IF(EXACT('Дані_зв''язок'!$J$4:$J$1012,$O55)*('Дані_зв''язок'!$C$4:$C$1012=H$4),'Дані_зв''язок'!$D$4:$D$1012,"")))</f>
        <v/>
      </c>
      <c r="I55" s="27" t="str" cm="1">
        <f t="array" ref="I55">IF($O55="","",_xlfn.TEXTJOIN(", ",TRUE,IF(EXACT('Дані_зв''язок'!$J$4:$J$1012,$O55)*('Дані_зв''язок'!$C$4:$C$1012=I$4),'Дані_зв''язок'!$D$4:$D$1012,"")))</f>
        <v/>
      </c>
      <c r="J55" s="27" cm="1">
        <f t="array" ref="J55">IF($O55="","",COUNTIF(C55:I55,"?*")+SUMPRODUCT(LEN(C55:I55)-LEN(SUBSTITUTE(C55:I55,",",""))))</f>
        <v>1</v>
      </c>
      <c r="K55" s="28" t="str" cm="1">
        <f t="array" ref="K55">IF($O55="","",_xlfn.TEXTJOIN(", ",TRUE,IF(EXACT('Дані_зв''язок'!$J$4:$J$1012,$O55),'Дані_зв''язок'!$L$4:$L$1012,"")))</f>
        <v>№6</v>
      </c>
      <c r="L55" s="28" t="str" cm="1">
        <f t="array" ref="L55">IF($O55="","",_xlfn.TEXTJOIN(", ",TRUE,IF(EXACT('Дані_зв''язок'!$J$4:$J$1012,$O55),'Дані_зв''язок'!$M$4:$M$1012,"")))</f>
        <v>АТ 4021</v>
      </c>
      <c r="M55" s="27" t="str" cm="1">
        <f t="array" ref="M55">IF($O55="","",IF(SUMPRODUCT(MAX(EXACT('Дані_зв''язок'!$J$4:$J$1012,$O55)*IFERROR('Дані_зв''язок'!$H$4:$H$1012,0)))=0,"",SUMPRODUCT(MAX(EXACT('Дані_зв''язок'!$J$4:$J$1012,$O55)*IFERROR('Дані_зв''язок'!$H$4:$H$1012,0)))))</f>
        <v/>
      </c>
      <c r="O55" s="30" t="s">
        <v>1183</v>
      </c>
      <c r="P55" s="24" cm="1">
        <f t="array" ref="P55">IF($O55="","",IF($B55="","",IFERROR(IF(MIN(IFERROR(VALUE(TRIM(MID(SUBSTITUTE(SUBSTITUTE($B55,","," ")," ",REPT(" ",30)),{1;31;61;91;121;151;181},30))),""))=0,"",MIN(IFERROR(VALUE(TRIM(MID(SUBSTITUTE(SUBSTITUTE($B55,","," ")," ",REPT(" ",30)),{1;31;61;91;121;151;181},30))),""))),"")))</f>
        <v>1</v>
      </c>
      <c r="Q55" s="23" t="str">
        <f t="shared" si="2"/>
        <v>Прилуки, Чернігівська обл., 4 пров. Замостянський, 1</v>
      </c>
      <c r="R55" s="35">
        <f>IF($O55="","",IFERROR(INDEX('Координати майданчиків'!$H$4:$H$64,MATCH($T55,'Координати майданчиків'!$B$4:$B$64,0)),IFERROR(IF(ABS(INDEX(Геокодування!$C$2:$C$361,MATCH($Q55,Геокодування!$B$2:$B$361,0))-50.5884)+ABS(INDEX(Геокодування!$D$2:$D$361,MATCH($Q55,Геокодування!$B$2:$B$361,0))-32.3876)&gt;0.15,"",INDEX(Геокодування!$C$2:$C$361,MATCH($Q55,Геокодування!$B$2:$B$361,0))),IFERROR(IF(ABS(INDEX(Геокодування!$C$2:$C$361,MATCH("Прилуки, Чернігівська обл., "&amp;$A55,Геокодування!$B$2:$B$361,0))-50.5884)+ABS(INDEX(Геокодування!$D$2:$D$361,MATCH("Прилуки, Чернігівська обл., "&amp;$A55,Геокодування!$B$2:$B$361,0))-32.3876)&gt;0.15,"",INDEX(Геокодування!$C$2:$C$361,MATCH("Прилуки, Чернігівська обл., "&amp;$A55,Геокодування!$B$2:$B$361,0))),""))))</f>
        <v>50.612690999999998</v>
      </c>
      <c r="S55" s="43">
        <f>IF($O55="","",IFERROR(INDEX('Координати майданчиків'!$I$4:$I$64,MATCH($T55,'Координати майданчиків'!$B$4:$B$64,0)),IFERROR(IF(ABS(INDEX(Геокодування!$C$2:$C$361,MATCH($Q55,Геокодування!$B$2:$B$361,0))-50.5884)+ABS(INDEX(Геокодування!$D$2:$D$361,MATCH($Q55,Геокодування!$B$2:$B$361,0))-32.3876)&gt;0.15,"",INDEX(Геокодування!$D$2:$D$361,MATCH($Q55,Геокодування!$B$2:$B$361,0))),IFERROR(IF(ABS(INDEX(Геокодування!$C$2:$C$361,MATCH("Прилуки, Чернігівська обл., "&amp;$A55,Геокодування!$B$2:$B$361,0))-50.5884)+ABS(INDEX(Геокодування!$D$2:$D$361,MATCH("Прилуки, Чернігівська обл., "&amp;$A55,Геокодування!$B$2:$B$361,0))-32.3876)&gt;0.15,"",INDEX(Геокодування!$D$2:$D$361,MATCH("Прилуки, Чернігівська обл., "&amp;$A55,Геокодування!$B$2:$B$361,0))),""))))</f>
        <v>32.399563000000001</v>
      </c>
      <c r="T55" s="44" t="str">
        <f>IF($O55="","",IFERROR(INDEX('Координати майданчиків'!$B$4:$B$64,MATCH($A55&amp;IF($P55="","",", "&amp;$P55),'Координати майданчиків'!$B$4:$B$64,0)),IFERROR(INDEX('Координати майданчиків'!$B$4:$B$64,MATCH($A55,'Координати майданчиків'!$B$4:$B$64,0)),"")))</f>
        <v/>
      </c>
    </row>
    <row r="56" spans="1:20" x14ac:dyDescent="0.35">
      <c r="A56" s="26" t="str">
        <f t="shared" si="0"/>
        <v>4 пров. Педагогічний</v>
      </c>
      <c r="B56" s="26" t="str">
        <f t="shared" si="1"/>
        <v>21,19  14</v>
      </c>
      <c r="C56" s="27" t="str" cm="1">
        <f t="array" ref="C56">IF($O56="","",_xlfn.TEXTJOIN(", ",TRUE,IF(EXACT('Дані_зв''язок'!$J$4:$J$1012,$O56)*('Дані_зв''язок'!$C$4:$C$1012=C$4),'Дані_зв''язок'!$D$4:$D$1012,"")))</f>
        <v/>
      </c>
      <c r="D56" s="27" t="str" cm="1">
        <f t="array" ref="D56">IF($O56="","",_xlfn.TEXTJOIN(", ",TRUE,IF(EXACT('Дані_зв''язок'!$J$4:$J$1012,$O56)*('Дані_зв''язок'!$C$4:$C$1012=D$4),'Дані_зв''язок'!$D$4:$D$1012,"")))</f>
        <v/>
      </c>
      <c r="E56" s="27" t="str" cm="1">
        <f t="array" ref="E56">IF($O56="","",_xlfn.TEXTJOIN(", ",TRUE,IF(EXACT('Дані_зв''язок'!$J$4:$J$1012,$O56)*('Дані_зв''язок'!$C$4:$C$1012=E$4),'Дані_зв''язок'!$D$4:$D$1012,"")))</f>
        <v>15:15</v>
      </c>
      <c r="F56" s="27" t="str" cm="1">
        <f t="array" ref="F56">IF($O56="","",_xlfn.TEXTJOIN(", ",TRUE,IF(EXACT('Дані_зв''язок'!$J$4:$J$1012,$O56)*('Дані_зв''язок'!$C$4:$C$1012=F$4),'Дані_зв''язок'!$D$4:$D$1012,"")))</f>
        <v/>
      </c>
      <c r="G56" s="27" t="str" cm="1">
        <f t="array" ref="G56">IF($O56="","",_xlfn.TEXTJOIN(", ",TRUE,IF(EXACT('Дані_зв''язок'!$J$4:$J$1012,$O56)*('Дані_зв''язок'!$C$4:$C$1012=G$4),'Дані_зв''язок'!$D$4:$D$1012,"")))</f>
        <v/>
      </c>
      <c r="H56" s="27" t="str" cm="1">
        <f t="array" ref="H56">IF($O56="","",_xlfn.TEXTJOIN(", ",TRUE,IF(EXACT('Дані_зв''язок'!$J$4:$J$1012,$O56)*('Дані_зв''язок'!$C$4:$C$1012=H$4),'Дані_зв''язок'!$D$4:$D$1012,"")))</f>
        <v/>
      </c>
      <c r="I56" s="27" t="str" cm="1">
        <f t="array" ref="I56">IF($O56="","",_xlfn.TEXTJOIN(", ",TRUE,IF(EXACT('Дані_зв''язок'!$J$4:$J$1012,$O56)*('Дані_зв''язок'!$C$4:$C$1012=I$4),'Дані_зв''язок'!$D$4:$D$1012,"")))</f>
        <v/>
      </c>
      <c r="J56" s="27" cm="1">
        <f t="array" ref="J56">IF($O56="","",COUNTIF(C56:I56,"?*")+SUMPRODUCT(LEN(C56:I56)-LEN(SUBSTITUTE(C56:I56,",",""))))</f>
        <v>1</v>
      </c>
      <c r="K56" s="28" t="str" cm="1">
        <f t="array" ref="K56">IF($O56="","",_xlfn.TEXTJOIN(", ",TRUE,IF(EXACT('Дані_зв''язок'!$J$4:$J$1012,$O56),'Дані_зв''язок'!$L$4:$L$1012,"")))</f>
        <v>№6</v>
      </c>
      <c r="L56" s="28" t="str" cm="1">
        <f t="array" ref="L56">IF($O56="","",_xlfn.TEXTJOIN(", ",TRUE,IF(EXACT('Дані_зв''язок'!$J$4:$J$1012,$O56),'Дані_зв''язок'!$M$4:$M$1012,"")))</f>
        <v>АТ 4021</v>
      </c>
      <c r="M56" s="27" t="str" cm="1">
        <f t="array" ref="M56">IF($O56="","",IF(SUMPRODUCT(MAX(EXACT('Дані_зв''язок'!$J$4:$J$1012,$O56)*IFERROR('Дані_зв''язок'!$H$4:$H$1012,0)))=0,"",SUMPRODUCT(MAX(EXACT('Дані_зв''язок'!$J$4:$J$1012,$O56)*IFERROR('Дані_зв''язок'!$H$4:$H$1012,0)))))</f>
        <v/>
      </c>
      <c r="O56" s="30" t="s">
        <v>1184</v>
      </c>
      <c r="P56" s="24" cm="1">
        <f t="array" ref="P56">IF($O56="","",IF($B56="","",IFERROR(IF(MIN(IFERROR(VALUE(TRIM(MID(SUBSTITUTE(SUBSTITUTE($B56,","," ")," ",REPT(" ",30)),{1;31;61;91;121;151;181},30))),""))=0,"",MIN(IFERROR(VALUE(TRIM(MID(SUBSTITUTE(SUBSTITUTE($B56,","," ")," ",REPT(" ",30)),{1;31;61;91;121;151;181},30))),""))),"")))</f>
        <v>14</v>
      </c>
      <c r="Q56" s="23" t="str">
        <f t="shared" si="2"/>
        <v>Прилуки, Чернігівська обл., 4 пров. Педагогічний, 14</v>
      </c>
      <c r="R56" s="35">
        <f>IF($O56="","",IFERROR(INDEX('Координати майданчиків'!$H$4:$H$64,MATCH($T56,'Координати майданчиків'!$B$4:$B$64,0)),IFERROR(IF(ABS(INDEX(Геокодування!$C$2:$C$361,MATCH($Q56,Геокодування!$B$2:$B$361,0))-50.5884)+ABS(INDEX(Геокодування!$D$2:$D$361,MATCH($Q56,Геокодування!$B$2:$B$361,0))-32.3876)&gt;0.15,"",INDEX(Геокодування!$C$2:$C$361,MATCH($Q56,Геокодування!$B$2:$B$361,0))),IFERROR(IF(ABS(INDEX(Геокодування!$C$2:$C$361,MATCH("Прилуки, Чернігівська обл., "&amp;$A56,Геокодування!$B$2:$B$361,0))-50.5884)+ABS(INDEX(Геокодування!$D$2:$D$361,MATCH("Прилуки, Чернігівська обл., "&amp;$A56,Геокодування!$B$2:$B$361,0))-32.3876)&gt;0.15,"",INDEX(Геокодування!$C$2:$C$361,MATCH("Прилуки, Чернігівська обл., "&amp;$A56,Геокодування!$B$2:$B$361,0))),""))))</f>
        <v>50.577866999999998</v>
      </c>
      <c r="S56" s="43">
        <f>IF($O56="","",IFERROR(INDEX('Координати майданчиків'!$I$4:$I$64,MATCH($T56,'Координати майданчиків'!$B$4:$B$64,0)),IFERROR(IF(ABS(INDEX(Геокодування!$C$2:$C$361,MATCH($Q56,Геокодування!$B$2:$B$361,0))-50.5884)+ABS(INDEX(Геокодування!$D$2:$D$361,MATCH($Q56,Геокодування!$B$2:$B$361,0))-32.3876)&gt;0.15,"",INDEX(Геокодування!$D$2:$D$361,MATCH($Q56,Геокодування!$B$2:$B$361,0))),IFERROR(IF(ABS(INDEX(Геокодування!$C$2:$C$361,MATCH("Прилуки, Чернігівська обл., "&amp;$A56,Геокодування!$B$2:$B$361,0))-50.5884)+ABS(INDEX(Геокодування!$D$2:$D$361,MATCH("Прилуки, Чернігівська обл., "&amp;$A56,Геокодування!$B$2:$B$361,0))-32.3876)&gt;0.15,"",INDEX(Геокодування!$D$2:$D$361,MATCH("Прилуки, Чернігівська обл., "&amp;$A56,Геокодування!$B$2:$B$361,0))),""))))</f>
        <v>32.422547999999999</v>
      </c>
      <c r="T56" s="44" t="str">
        <f>IF($O56="","",IFERROR(INDEX('Координати майданчиків'!$B$4:$B$64,MATCH($A56&amp;IF($P56="","",", "&amp;$P56),'Координати майданчиків'!$B$4:$B$64,0)),IFERROR(INDEX('Координати майданчиків'!$B$4:$B$64,MATCH($A56,'Координати майданчиків'!$B$4:$B$64,0)),"")))</f>
        <v/>
      </c>
    </row>
    <row r="57" spans="1:20" x14ac:dyDescent="0.35">
      <c r="A57" s="26" t="str">
        <f t="shared" si="0"/>
        <v>5 в'їзд Гоголя</v>
      </c>
      <c r="B57" s="26" t="str">
        <f t="shared" si="1"/>
        <v>6,11  13</v>
      </c>
      <c r="C57" s="27" t="str" cm="1">
        <f t="array" ref="C57">IF($O57="","",_xlfn.TEXTJOIN(", ",TRUE,IF(EXACT('Дані_зв''язок'!$J$4:$J$1012,$O57)*('Дані_зв''язок'!$C$4:$C$1012=C$4),'Дані_зв''язок'!$D$4:$D$1012,"")))</f>
        <v/>
      </c>
      <c r="D57" s="27" t="str" cm="1">
        <f t="array" ref="D57">IF($O57="","",_xlfn.TEXTJOIN(", ",TRUE,IF(EXACT('Дані_зв''язок'!$J$4:$J$1012,$O57)*('Дані_зв''язок'!$C$4:$C$1012=D$4),'Дані_зв''язок'!$D$4:$D$1012,"")))</f>
        <v/>
      </c>
      <c r="E57" s="27" t="str" cm="1">
        <f t="array" ref="E57">IF($O57="","",_xlfn.TEXTJOIN(", ",TRUE,IF(EXACT('Дані_зв''язок'!$J$4:$J$1012,$O57)*('Дані_зв''язок'!$C$4:$C$1012=E$4),'Дані_зв''язок'!$D$4:$D$1012,"")))</f>
        <v/>
      </c>
      <c r="F57" s="27" t="str" cm="1">
        <f t="array" ref="F57">IF($O57="","",_xlfn.TEXTJOIN(", ",TRUE,IF(EXACT('Дані_зв''язок'!$J$4:$J$1012,$O57)*('Дані_зв''язок'!$C$4:$C$1012=F$4),'Дані_зв''язок'!$D$4:$D$1012,"")))</f>
        <v/>
      </c>
      <c r="G57" s="27" t="str" cm="1">
        <f t="array" ref="G57">IF($O57="","",_xlfn.TEXTJOIN(", ",TRUE,IF(EXACT('Дані_зв''язок'!$J$4:$J$1012,$O57)*('Дані_зв''язок'!$C$4:$C$1012=G$4),'Дані_зв''язок'!$D$4:$D$1012,"")))</f>
        <v>11:55</v>
      </c>
      <c r="H57" s="27" t="str" cm="1">
        <f t="array" ref="H57">IF($O57="","",_xlfn.TEXTJOIN(", ",TRUE,IF(EXACT('Дані_зв''язок'!$J$4:$J$1012,$O57)*('Дані_зв''язок'!$C$4:$C$1012=H$4),'Дані_зв''язок'!$D$4:$D$1012,"")))</f>
        <v/>
      </c>
      <c r="I57" s="27" t="str" cm="1">
        <f t="array" ref="I57">IF($O57="","",_xlfn.TEXTJOIN(", ",TRUE,IF(EXACT('Дані_зв''язок'!$J$4:$J$1012,$O57)*('Дані_зв''язок'!$C$4:$C$1012=I$4),'Дані_зв''язок'!$D$4:$D$1012,"")))</f>
        <v/>
      </c>
      <c r="J57" s="27" cm="1">
        <f t="array" ref="J57">IF($O57="","",COUNTIF(C57:I57,"?*")+SUMPRODUCT(LEN(C57:I57)-LEN(SUBSTITUTE(C57:I57,",",""))))</f>
        <v>1</v>
      </c>
      <c r="K57" s="28" t="str" cm="1">
        <f t="array" ref="K57">IF($O57="","",_xlfn.TEXTJOIN(", ",TRUE,IF(EXACT('Дані_зв''язок'!$J$4:$J$1012,$O57),'Дані_зв''язок'!$L$4:$L$1012,"")))</f>
        <v>№6</v>
      </c>
      <c r="L57" s="28" t="str" cm="1">
        <f t="array" ref="L57">IF($O57="","",_xlfn.TEXTJOIN(", ",TRUE,IF(EXACT('Дані_зв''язок'!$J$4:$J$1012,$O57),'Дані_зв''язок'!$M$4:$M$1012,"")))</f>
        <v>АТ 4021</v>
      </c>
      <c r="M57" s="27" t="str" cm="1">
        <f t="array" ref="M57">IF($O57="","",IF(SUMPRODUCT(MAX(EXACT('Дані_зв''язок'!$J$4:$J$1012,$O57)*IFERROR('Дані_зв''язок'!$H$4:$H$1012,0)))=0,"",SUMPRODUCT(MAX(EXACT('Дані_зв''язок'!$J$4:$J$1012,$O57)*IFERROR('Дані_зв''язок'!$H$4:$H$1012,0)))))</f>
        <v/>
      </c>
      <c r="O57" s="30" t="s">
        <v>1185</v>
      </c>
      <c r="P57" s="24" cm="1">
        <f t="array" ref="P57">IF($O57="","",IF($B57="","",IFERROR(IF(MIN(IFERROR(VALUE(TRIM(MID(SUBSTITUTE(SUBSTITUTE($B57,","," ")," ",REPT(" ",30)),{1;31;61;91;121;151;181},30))),""))=0,"",MIN(IFERROR(VALUE(TRIM(MID(SUBSTITUTE(SUBSTITUTE($B57,","," ")," ",REPT(" ",30)),{1;31;61;91;121;151;181},30))),""))),"")))</f>
        <v>6</v>
      </c>
      <c r="Q57" s="23" t="str">
        <f t="shared" si="2"/>
        <v>Прилуки, Чернігівська обл., 5 в'їзд Гоголя, 6</v>
      </c>
      <c r="R57" s="35">
        <f>IF($O57="","",IFERROR(INDEX('Координати майданчиків'!$H$4:$H$64,MATCH($T57,'Координати майданчиків'!$B$4:$B$64,0)),IFERROR(IF(ABS(INDEX(Геокодування!$C$2:$C$361,MATCH($Q57,Геокодування!$B$2:$B$361,0))-50.5884)+ABS(INDEX(Геокодування!$D$2:$D$361,MATCH($Q57,Геокодування!$B$2:$B$361,0))-32.3876)&gt;0.15,"",INDEX(Геокодування!$C$2:$C$361,MATCH($Q57,Геокодування!$B$2:$B$361,0))),IFERROR(IF(ABS(INDEX(Геокодування!$C$2:$C$361,MATCH("Прилуки, Чернігівська обл., "&amp;$A57,Геокодування!$B$2:$B$361,0))-50.5884)+ABS(INDEX(Геокодування!$D$2:$D$361,MATCH("Прилуки, Чернігівська обл., "&amp;$A57,Геокодування!$B$2:$B$361,0))-32.3876)&gt;0.15,"",INDEX(Геокодування!$C$2:$C$361,MATCH("Прилуки, Чернігівська обл., "&amp;$A57,Геокодування!$B$2:$B$361,0))),""))))</f>
        <v>50.597794</v>
      </c>
      <c r="S57" s="43">
        <f>IF($O57="","",IFERROR(INDEX('Координати майданчиків'!$I$4:$I$64,MATCH($T57,'Координати майданчиків'!$B$4:$B$64,0)),IFERROR(IF(ABS(INDEX(Геокодування!$C$2:$C$361,MATCH($Q57,Геокодування!$B$2:$B$361,0))-50.5884)+ABS(INDEX(Геокодування!$D$2:$D$361,MATCH($Q57,Геокодування!$B$2:$B$361,0))-32.3876)&gt;0.15,"",INDEX(Геокодування!$D$2:$D$361,MATCH($Q57,Геокодування!$B$2:$B$361,0))),IFERROR(IF(ABS(INDEX(Геокодування!$C$2:$C$361,MATCH("Прилуки, Чернігівська обл., "&amp;$A57,Геокодування!$B$2:$B$361,0))-50.5884)+ABS(INDEX(Геокодування!$D$2:$D$361,MATCH("Прилуки, Чернігівська обл., "&amp;$A57,Геокодування!$B$2:$B$361,0))-32.3876)&gt;0.15,"",INDEX(Геокодування!$D$2:$D$361,MATCH("Прилуки, Чернігівська обл., "&amp;$A57,Геокодування!$B$2:$B$361,0))),""))))</f>
        <v>32.383831000000001</v>
      </c>
      <c r="T57" s="44" t="str">
        <f>IF($O57="","",IFERROR(INDEX('Координати майданчиків'!$B$4:$B$64,MATCH($A57&amp;IF($P57="","",", "&amp;$P57),'Координати майданчиків'!$B$4:$B$64,0)),IFERROR(INDEX('Координати майданчиків'!$B$4:$B$64,MATCH($A57,'Координати майданчиків'!$B$4:$B$64,0)),"")))</f>
        <v/>
      </c>
    </row>
    <row r="58" spans="1:20" x14ac:dyDescent="0.35">
      <c r="A58" s="26" t="str">
        <f t="shared" si="0"/>
        <v>6 км</v>
      </c>
      <c r="B58" s="26" t="str">
        <f t="shared" si="1"/>
        <v>ГПЗ</v>
      </c>
      <c r="C58" s="27" t="str" cm="1">
        <f t="array" ref="C58">IF($O58="","",_xlfn.TEXTJOIN(", ",TRUE,IF(EXACT('Дані_зв''язок'!$J$4:$J$1012,$O58)*('Дані_зв''язок'!$C$4:$C$1012=C$4),'Дані_зв''язок'!$D$4:$D$1012,"")))</f>
        <v/>
      </c>
      <c r="D58" s="27" t="str" cm="1">
        <f t="array" ref="D58">IF($O58="","",_xlfn.TEXTJOIN(", ",TRUE,IF(EXACT('Дані_зв''язок'!$J$4:$J$1012,$O58)*('Дані_зв''язок'!$C$4:$C$1012=D$4),'Дані_зв''язок'!$D$4:$D$1012,"")))</f>
        <v/>
      </c>
      <c r="E58" s="27" t="str" cm="1">
        <f t="array" ref="E58">IF($O58="","",_xlfn.TEXTJOIN(", ",TRUE,IF(EXACT('Дані_зв''язок'!$J$4:$J$1012,$O58)*('Дані_зв''язок'!$C$4:$C$1012=E$4),'Дані_зв''язок'!$D$4:$D$1012,"")))</f>
        <v/>
      </c>
      <c r="F58" s="27" t="str" cm="1">
        <f t="array" ref="F58">IF($O58="","",_xlfn.TEXTJOIN(", ",TRUE,IF(EXACT('Дані_зв''язок'!$J$4:$J$1012,$O58)*('Дані_зв''язок'!$C$4:$C$1012=F$4),'Дані_зв''язок'!$D$4:$D$1012,"")))</f>
        <v/>
      </c>
      <c r="G58" s="27" t="str" cm="1">
        <f t="array" ref="G58">IF($O58="","",_xlfn.TEXTJOIN(", ",TRUE,IF(EXACT('Дані_зв''язок'!$J$4:$J$1012,$O58)*('Дані_зв''язок'!$C$4:$C$1012=G$4),'Дані_зв''язок'!$D$4:$D$1012,"")))</f>
        <v/>
      </c>
      <c r="H58" s="27" t="str" cm="1">
        <f t="array" ref="H58">IF($O58="","",_xlfn.TEXTJOIN(", ",TRUE,IF(EXACT('Дані_зв''язок'!$J$4:$J$1012,$O58)*('Дані_зв''язок'!$C$4:$C$1012=H$4),'Дані_зв''язок'!$D$4:$D$1012,"")))</f>
        <v/>
      </c>
      <c r="I58" s="27" t="str" cm="1">
        <f t="array" ref="I58">IF($O58="","",_xlfn.TEXTJOIN(", ",TRUE,IF(EXACT('Дані_зв''язок'!$J$4:$J$1012,$O58)*('Дані_зв''язок'!$C$4:$C$1012=I$4),'Дані_зв''язок'!$D$4:$D$1012,"")))</f>
        <v>12:15</v>
      </c>
      <c r="J58" s="27" cm="1">
        <f t="array" ref="J58">IF($O58="","",COUNTIF(C58:I58,"?*")+SUMPRODUCT(LEN(C58:I58)-LEN(SUBSTITUTE(C58:I58,",",""))))</f>
        <v>1</v>
      </c>
      <c r="K58" s="28" t="str" cm="1">
        <f t="array" ref="K58">IF($O58="","",_xlfn.TEXTJOIN(", ",TRUE,IF(EXACT('Дані_зв''язок'!$J$4:$J$1012,$O58),'Дані_зв''язок'!$L$4:$L$1012,"")))</f>
        <v>№4</v>
      </c>
      <c r="L58" s="28" t="str" cm="1">
        <f t="array" ref="L58">IF($O58="","",_xlfn.TEXTJOIN(", ",TRUE,IF(EXACT('Дані_зв''язок'!$J$4:$J$1012,$O58),'Дані_зв''язок'!$M$4:$M$1012,"")))</f>
        <v>АТ 40-42/ROD21003</v>
      </c>
      <c r="M58" s="27" cm="1">
        <f t="array" ref="M58">IF($O58="","",IF(SUMPRODUCT(MAX(EXACT('Дані_зв''язок'!$J$4:$J$1012,$O58)*IFERROR('Дані_зв''язок'!$H$4:$H$1012,0)))=0,"",SUMPRODUCT(MAX(EXACT('Дані_зв''язок'!$J$4:$J$1012,$O58)*IFERROR('Дані_зв''язок'!$H$4:$H$1012,0)))))</f>
        <v>6</v>
      </c>
      <c r="O58" s="30" t="s">
        <v>1186</v>
      </c>
      <c r="P58" s="24" t="str" cm="1">
        <f t="array" ref="P58">IF($O58="","",IF($B58="","",IFERROR(IF(MIN(IFERROR(VALUE(TRIM(MID(SUBSTITUTE(SUBSTITUTE($B58,","," ")," ",REPT(" ",30)),{1;31;61;91;121;151;181},30))),""))=0,"",MIN(IFERROR(VALUE(TRIM(MID(SUBSTITUTE(SUBSTITUTE($B58,","," ")," ",REPT(" ",30)),{1;31;61;91;121;151;181},30))),""))),"")))</f>
        <v/>
      </c>
      <c r="Q58" s="23" t="str">
        <f t="shared" si="2"/>
        <v>Прилуки, Чернігівська обл., 6 км</v>
      </c>
      <c r="R58" s="35">
        <f>IF($O58="","",IFERROR(INDEX('Координати майданчиків'!$H$4:$H$64,MATCH($T58,'Координати майданчиків'!$B$4:$B$64,0)),IFERROR(IF(ABS(INDEX(Геокодування!$C$2:$C$361,MATCH($Q58,Геокодування!$B$2:$B$361,0))-50.5884)+ABS(INDEX(Геокодування!$D$2:$D$361,MATCH($Q58,Геокодування!$B$2:$B$361,0))-32.3876)&gt;0.15,"",INDEX(Геокодування!$C$2:$C$361,MATCH($Q58,Геокодування!$B$2:$B$361,0))),IFERROR(IF(ABS(INDEX(Геокодування!$C$2:$C$361,MATCH("Прилуки, Чернігівська обл., "&amp;$A58,Геокодування!$B$2:$B$361,0))-50.5884)+ABS(INDEX(Геокодування!$D$2:$D$361,MATCH("Прилуки, Чернігівська обл., "&amp;$A58,Геокодування!$B$2:$B$361,0))-32.3876)&gt;0.15,"",INDEX(Геокодування!$C$2:$C$361,MATCH("Прилуки, Чернігівська обл., "&amp;$A58,Геокодування!$B$2:$B$361,0))),""))))</f>
        <v>50.598985999999996</v>
      </c>
      <c r="S58" s="43">
        <f>IF($O58="","",IFERROR(INDEX('Координати майданчиків'!$I$4:$I$64,MATCH($T58,'Координати майданчиків'!$B$4:$B$64,0)),IFERROR(IF(ABS(INDEX(Геокодування!$C$2:$C$361,MATCH($Q58,Геокодування!$B$2:$B$361,0))-50.5884)+ABS(INDEX(Геокодування!$D$2:$D$361,MATCH($Q58,Геокодування!$B$2:$B$361,0))-32.3876)&gt;0.15,"",INDEX(Геокодування!$D$2:$D$361,MATCH($Q58,Геокодування!$B$2:$B$361,0))),IFERROR(IF(ABS(INDEX(Геокодування!$C$2:$C$361,MATCH("Прилуки, Чернігівська обл., "&amp;$A58,Геокодування!$B$2:$B$361,0))-50.5884)+ABS(INDEX(Геокодування!$D$2:$D$361,MATCH("Прилуки, Чернігівська обл., "&amp;$A58,Геокодування!$B$2:$B$361,0))-32.3876)&gt;0.15,"",INDEX(Геокодування!$D$2:$D$361,MATCH("Прилуки, Чернігівська обл., "&amp;$A58,Геокодування!$B$2:$B$361,0))),""))))</f>
        <v>32.327739000000001</v>
      </c>
      <c r="T58" s="44" t="str">
        <f>IF($O58="","",IFERROR(INDEX('Координати майданчиків'!$B$4:$B$64,MATCH($A58&amp;IF($P58="","",", "&amp;$P58),'Координати майданчиків'!$B$4:$B$64,0)),IFERROR(INDEX('Координати майданчиків'!$B$4:$B$64,MATCH($A58,'Координати майданчиків'!$B$4:$B$64,0)),"")))</f>
        <v/>
      </c>
    </row>
    <row r="59" spans="1:20" x14ac:dyDescent="0.35">
      <c r="A59" s="26" t="str">
        <f t="shared" si="0"/>
        <v>В/м 12</v>
      </c>
      <c r="B59" s="26" t="str">
        <f t="shared" si="1"/>
        <v/>
      </c>
      <c r="C59" s="27" t="str" cm="1">
        <f t="array" ref="C59">IF($O59="","",_xlfn.TEXTJOIN(", ",TRUE,IF(EXACT('Дані_зв''язок'!$J$4:$J$1012,$O59)*('Дані_зв''язок'!$C$4:$C$1012=C$4),'Дані_зв''язок'!$D$4:$D$1012,"")))</f>
        <v/>
      </c>
      <c r="D59" s="27" t="str" cm="1">
        <f t="array" ref="D59">IF($O59="","",_xlfn.TEXTJOIN(", ",TRUE,IF(EXACT('Дані_зв''язок'!$J$4:$J$1012,$O59)*('Дані_зв''язок'!$C$4:$C$1012=D$4),'Дані_зв''язок'!$D$4:$D$1012,"")))</f>
        <v/>
      </c>
      <c r="E59" s="27" t="str" cm="1">
        <f t="array" ref="E59">IF($O59="","",_xlfn.TEXTJOIN(", ",TRUE,IF(EXACT('Дані_зв''язок'!$J$4:$J$1012,$O59)*('Дані_зв''язок'!$C$4:$C$1012=E$4),'Дані_зв''язок'!$D$4:$D$1012,"")))</f>
        <v/>
      </c>
      <c r="F59" s="27" t="str" cm="1">
        <f t="array" ref="F59">IF($O59="","",_xlfn.TEXTJOIN(", ",TRUE,IF(EXACT('Дані_зв''язок'!$J$4:$J$1012,$O59)*('Дані_зв''язок'!$C$4:$C$1012=F$4),'Дані_зв''язок'!$D$4:$D$1012,"")))</f>
        <v>15:25</v>
      </c>
      <c r="G59" s="27" t="str" cm="1">
        <f t="array" ref="G59">IF($O59="","",_xlfn.TEXTJOIN(", ",TRUE,IF(EXACT('Дані_зв''язок'!$J$4:$J$1012,$O59)*('Дані_зв''язок'!$C$4:$C$1012=G$4),'Дані_зв''язок'!$D$4:$D$1012,"")))</f>
        <v/>
      </c>
      <c r="H59" s="27" t="str" cm="1">
        <f t="array" ref="H59">IF($O59="","",_xlfn.TEXTJOIN(", ",TRUE,IF(EXACT('Дані_зв''язок'!$J$4:$J$1012,$O59)*('Дані_зв''язок'!$C$4:$C$1012=H$4),'Дані_зв''язок'!$D$4:$D$1012,"")))</f>
        <v/>
      </c>
      <c r="I59" s="27" t="str" cm="1">
        <f t="array" ref="I59">IF($O59="","",_xlfn.TEXTJOIN(", ",TRUE,IF(EXACT('Дані_зв''язок'!$J$4:$J$1012,$O59)*('Дані_зв''язок'!$C$4:$C$1012=I$4),'Дані_зв''язок'!$D$4:$D$1012,"")))</f>
        <v>15:25</v>
      </c>
      <c r="J59" s="27" cm="1">
        <f t="array" ref="J59">IF($O59="","",COUNTIF(C59:I59,"?*")+SUMPRODUCT(LEN(C59:I59)-LEN(SUBSTITUTE(C59:I59,",",""))))</f>
        <v>2</v>
      </c>
      <c r="K59" s="28" t="str" cm="1">
        <f t="array" ref="K59">IF($O59="","",_xlfn.TEXTJOIN(", ",TRUE,IF(EXACT('Дані_зв''язок'!$J$4:$J$1012,$O59),'Дані_зв''язок'!$L$4:$L$1012,"")))</f>
        <v>№1</v>
      </c>
      <c r="L59" s="28" t="str" cm="1">
        <f t="array" ref="L59">IF($O59="","",_xlfn.TEXTJOIN(", ",TRUE,IF(EXACT('Дані_зв''язок'!$J$4:$J$1012,$O59),'Дані_зв''язок'!$M$4:$M$1012,"")))</f>
        <v>АТ-4021/1120</v>
      </c>
      <c r="M59" s="27" cm="1">
        <f t="array" ref="M59">IF($O59="","",IF(SUMPRODUCT(MAX(EXACT('Дані_зв''язок'!$J$4:$J$1012,$O59)*IFERROR('Дані_зв''язок'!$H$4:$H$1012,0)))=0,"",SUMPRODUCT(MAX(EXACT('Дані_зв''язок'!$J$4:$J$1012,$O59)*IFERROR('Дані_зв''язок'!$H$4:$H$1012,0)))))</f>
        <v>9</v>
      </c>
      <c r="O59" s="30" t="s">
        <v>1596</v>
      </c>
      <c r="P59" s="24" t="str" cm="1">
        <f t="array" ref="P59">IF($O59="","",IF($B59="","",IFERROR(IF(MIN(IFERROR(VALUE(TRIM(MID(SUBSTITUTE(SUBSTITUTE($B59,","," ")," ",REPT(" ",30)),{1;31;61;91;121;151;181},30))),""))=0,"",MIN(IFERROR(VALUE(TRIM(MID(SUBSTITUTE(SUBSTITUTE($B59,","," ")," ",REPT(" ",30)),{1;31;61;91;121;151;181},30))),""))),"")))</f>
        <v/>
      </c>
      <c r="Q59" s="23" t="str">
        <f t="shared" si="2"/>
        <v>Прилуки, Чернігівська обл., В/м 12</v>
      </c>
      <c r="R59" s="35">
        <f>IF($O59="","",IFERROR(INDEX('Координати майданчиків'!$H$4:$H$64,MATCH($T59,'Координати майданчиків'!$B$4:$B$64,0)),IFERROR(IF(ABS(INDEX(Геокодування!$C$2:$C$361,MATCH($Q59,Геокодування!$B$2:$B$361,0))-50.5884)+ABS(INDEX(Геокодування!$D$2:$D$361,MATCH($Q59,Геокодування!$B$2:$B$361,0))-32.3876)&gt;0.15,"",INDEX(Геокодування!$C$2:$C$361,MATCH($Q59,Геокодування!$B$2:$B$361,0))),IFERROR(IF(ABS(INDEX(Геокодування!$C$2:$C$361,MATCH("Прилуки, Чернігівська обл., "&amp;$A59,Геокодування!$B$2:$B$361,0))-50.5884)+ABS(INDEX(Геокодування!$D$2:$D$361,MATCH("Прилуки, Чернігівська обл., "&amp;$A59,Геокодування!$B$2:$B$361,0))-32.3876)&gt;0.15,"",INDEX(Геокодування!$C$2:$C$361,MATCH("Прилуки, Чернігівська обл., "&amp;$A59,Геокодування!$B$2:$B$361,0))),""))))</f>
        <v>50.587344000000002</v>
      </c>
      <c r="S59" s="43">
        <f>IF($O59="","",IFERROR(INDEX('Координати майданчиків'!$I$4:$I$64,MATCH($T59,'Координати майданчиків'!$B$4:$B$64,0)),IFERROR(IF(ABS(INDEX(Геокодування!$C$2:$C$361,MATCH($Q59,Геокодування!$B$2:$B$361,0))-50.5884)+ABS(INDEX(Геокодування!$D$2:$D$361,MATCH($Q59,Геокодування!$B$2:$B$361,0))-32.3876)&gt;0.15,"",INDEX(Геокодування!$D$2:$D$361,MATCH($Q59,Геокодування!$B$2:$B$361,0))),IFERROR(IF(ABS(INDEX(Геокодування!$C$2:$C$361,MATCH("Прилуки, Чернігівська обл., "&amp;$A59,Геокодування!$B$2:$B$361,0))-50.5884)+ABS(INDEX(Геокодування!$D$2:$D$361,MATCH("Прилуки, Чернігівська обл., "&amp;$A59,Геокодування!$B$2:$B$361,0))-32.3876)&gt;0.15,"",INDEX(Геокодування!$D$2:$D$361,MATCH("Прилуки, Чернігівська обл., "&amp;$A59,Геокодування!$B$2:$B$361,0))),""))))</f>
        <v>32.356355999999998</v>
      </c>
      <c r="T59" s="44" t="str">
        <f>IF($O59="","",IFERROR(INDEX('Координати майданчиків'!$B$4:$B$64,MATCH($A59&amp;IF($P59="","",", "&amp;$P59),'Координати майданчиків'!$B$4:$B$64,0)),IFERROR(INDEX('Координати майданчиків'!$B$4:$B$64,MATCH($A59,'Координати майданчиків'!$B$4:$B$64,0)),"")))</f>
        <v/>
      </c>
    </row>
    <row r="60" spans="1:20" x14ac:dyDescent="0.35">
      <c r="A60" s="26" t="str">
        <f t="shared" si="0"/>
        <v>В/м 12</v>
      </c>
      <c r="B60" s="26" t="str">
        <f t="shared" si="1"/>
        <v>Д/с 3</v>
      </c>
      <c r="C60" s="27" t="str" cm="1">
        <f t="array" ref="C60">IF($O60="","",_xlfn.TEXTJOIN(", ",TRUE,IF(EXACT('Дані_зв''язок'!$J$4:$J$1012,$O60)*('Дані_зв''язок'!$C$4:$C$1012=C$4),'Дані_зв''язок'!$D$4:$D$1012,"")))</f>
        <v>9:40</v>
      </c>
      <c r="D60" s="27" t="str" cm="1">
        <f t="array" ref="D60">IF($O60="","",_xlfn.TEXTJOIN(", ",TRUE,IF(EXACT('Дані_зв''язок'!$J$4:$J$1012,$O60)*('Дані_зв''язок'!$C$4:$C$1012=D$4),'Дані_зв''язок'!$D$4:$D$1012,"")))</f>
        <v/>
      </c>
      <c r="E60" s="27" t="str" cm="1">
        <f t="array" ref="E60">IF($O60="","",_xlfn.TEXTJOIN(", ",TRUE,IF(EXACT('Дані_зв''язок'!$J$4:$J$1012,$O60)*('Дані_зв''язок'!$C$4:$C$1012=E$4),'Дані_зв''язок'!$D$4:$D$1012,"")))</f>
        <v/>
      </c>
      <c r="F60" s="27" t="str" cm="1">
        <f t="array" ref="F60">IF($O60="","",_xlfn.TEXTJOIN(", ",TRUE,IF(EXACT('Дані_зв''язок'!$J$4:$J$1012,$O60)*('Дані_зв''язок'!$C$4:$C$1012=F$4),'Дані_зв''язок'!$D$4:$D$1012,"")))</f>
        <v/>
      </c>
      <c r="G60" s="27" t="str" cm="1">
        <f t="array" ref="G60">IF($O60="","",_xlfn.TEXTJOIN(", ",TRUE,IF(EXACT('Дані_зв''язок'!$J$4:$J$1012,$O60)*('Дані_зв''язок'!$C$4:$C$1012=G$4),'Дані_зв''язок'!$D$4:$D$1012,"")))</f>
        <v/>
      </c>
      <c r="H60" s="27" t="str" cm="1">
        <f t="array" ref="H60">IF($O60="","",_xlfn.TEXTJOIN(", ",TRUE,IF(EXACT('Дані_зв''язок'!$J$4:$J$1012,$O60)*('Дані_зв''язок'!$C$4:$C$1012=H$4),'Дані_зв''язок'!$D$4:$D$1012,"")))</f>
        <v/>
      </c>
      <c r="I60" s="27" t="str" cm="1">
        <f t="array" ref="I60">IF($O60="","",_xlfn.TEXTJOIN(", ",TRUE,IF(EXACT('Дані_зв''язок'!$J$4:$J$1012,$O60)*('Дані_зв''язок'!$C$4:$C$1012=I$4),'Дані_зв''язок'!$D$4:$D$1012,"")))</f>
        <v/>
      </c>
      <c r="J60" s="27" cm="1">
        <f t="array" ref="J60">IF($O60="","",COUNTIF(C60:I60,"?*")+SUMPRODUCT(LEN(C60:I60)-LEN(SUBSTITUTE(C60:I60,",",""))))</f>
        <v>1</v>
      </c>
      <c r="K60" s="28" t="str" cm="1">
        <f t="array" ref="K60">IF($O60="","",_xlfn.TEXTJOIN(", ",TRUE,IF(EXACT('Дані_зв''язок'!$J$4:$J$1012,$O60),'Дані_зв''язок'!$L$4:$L$1012,"")))</f>
        <v>№1</v>
      </c>
      <c r="L60" s="28" t="str" cm="1">
        <f t="array" ref="L60">IF($O60="","",_xlfn.TEXTJOIN(", ",TRUE,IF(EXACT('Дані_зв''язок'!$J$4:$J$1012,$O60),'Дані_зв''язок'!$M$4:$M$1012,"")))</f>
        <v>АТ-4021/1120</v>
      </c>
      <c r="M60" s="27" cm="1">
        <f t="array" ref="M60">IF($O60="","",IF(SUMPRODUCT(MAX(EXACT('Дані_зв''язок'!$J$4:$J$1012,$O60)*IFERROR('Дані_зв''язок'!$H$4:$H$1012,0)))=0,"",SUMPRODUCT(MAX(EXACT('Дані_зв''язок'!$J$4:$J$1012,$O60)*IFERROR('Дані_зв''язок'!$H$4:$H$1012,0)))))</f>
        <v>1</v>
      </c>
      <c r="O60" s="30" t="s">
        <v>1188</v>
      </c>
      <c r="P60" s="24" cm="1">
        <f t="array" ref="P60">IF($O60="","",IF($B60="","",IFERROR(IF(MIN(IFERROR(VALUE(TRIM(MID(SUBSTITUTE(SUBSTITUTE($B60,","," ")," ",REPT(" ",30)),{1;31;61;91;121;151;181},30))),""))=0,"",MIN(IFERROR(VALUE(TRIM(MID(SUBSTITUTE(SUBSTITUTE($B60,","," ")," ",REPT(" ",30)),{1;31;61;91;121;151;181},30))),""))),"")))</f>
        <v>3</v>
      </c>
      <c r="Q60" s="23" t="str">
        <f t="shared" si="2"/>
        <v>Прилуки, Чернігівська обл., В/м 12, 3</v>
      </c>
      <c r="R60" s="35">
        <f>IF($O60="","",IFERROR(INDEX('Координати майданчиків'!$H$4:$H$64,MATCH($T60,'Координати майданчиків'!$B$4:$B$64,0)),IFERROR(IF(ABS(INDEX(Геокодування!$C$2:$C$361,MATCH($Q60,Геокодування!$B$2:$B$361,0))-50.5884)+ABS(INDEX(Геокодування!$D$2:$D$361,MATCH($Q60,Геокодування!$B$2:$B$361,0))-32.3876)&gt;0.15,"",INDEX(Геокодування!$C$2:$C$361,MATCH($Q60,Геокодування!$B$2:$B$361,0))),IFERROR(IF(ABS(INDEX(Геокодування!$C$2:$C$361,MATCH("Прилуки, Чернігівська обл., "&amp;$A60,Геокодування!$B$2:$B$361,0))-50.5884)+ABS(INDEX(Геокодування!$D$2:$D$361,MATCH("Прилуки, Чернігівська обл., "&amp;$A60,Геокодування!$B$2:$B$361,0))-32.3876)&gt;0.15,"",INDEX(Геокодування!$C$2:$C$361,MATCH("Прилуки, Чернігівська обл., "&amp;$A60,Геокодування!$B$2:$B$361,0))),""))))</f>
        <v>50.577941000000003</v>
      </c>
      <c r="S60" s="43">
        <f>IF($O60="","",IFERROR(INDEX('Координати майданчиків'!$I$4:$I$64,MATCH($T60,'Координати майданчиків'!$B$4:$B$64,0)),IFERROR(IF(ABS(INDEX(Геокодування!$C$2:$C$361,MATCH($Q60,Геокодування!$B$2:$B$361,0))-50.5884)+ABS(INDEX(Геокодування!$D$2:$D$361,MATCH($Q60,Геокодування!$B$2:$B$361,0))-32.3876)&gt;0.15,"",INDEX(Геокодування!$D$2:$D$361,MATCH($Q60,Геокодування!$B$2:$B$361,0))),IFERROR(IF(ABS(INDEX(Геокодування!$C$2:$C$361,MATCH("Прилуки, Чернігівська обл., "&amp;$A60,Геокодування!$B$2:$B$361,0))-50.5884)+ABS(INDEX(Геокодування!$D$2:$D$361,MATCH("Прилуки, Чернігівська обл., "&amp;$A60,Геокодування!$B$2:$B$361,0))-32.3876)&gt;0.15,"",INDEX(Геокодування!$D$2:$D$361,MATCH("Прилуки, Чернігівська обл., "&amp;$A60,Геокодування!$B$2:$B$361,0))),""))))</f>
        <v>32.356090000000002</v>
      </c>
      <c r="T60" s="44" t="str">
        <f>IF($O60="","",IFERROR(INDEX('Координати майданчиків'!$B$4:$B$64,MATCH($A60&amp;IF($P60="","",", "&amp;$P60),'Координати майданчиків'!$B$4:$B$64,0)),IFERROR(INDEX('Координати майданчиків'!$B$4:$B$64,MATCH($A60,'Координати майданчиків'!$B$4:$B$64,0)),"")))</f>
        <v/>
      </c>
    </row>
    <row r="61" spans="1:20" x14ac:dyDescent="0.35">
      <c r="A61" s="26" t="str">
        <f t="shared" si="0"/>
        <v>В/м</v>
      </c>
      <c r="B61" s="26" t="str">
        <f t="shared" si="1"/>
        <v/>
      </c>
      <c r="C61" s="27" t="str" cm="1">
        <f t="array" ref="C61">IF($O61="","",_xlfn.TEXTJOIN(", ",TRUE,IF(EXACT('Дані_зв''язок'!$J$4:$J$1012,$O61)*('Дані_зв''язок'!$C$4:$C$1012=C$4),'Дані_зв''язок'!$D$4:$D$1012,"")))</f>
        <v>10:55</v>
      </c>
      <c r="D61" s="27" t="str" cm="1">
        <f t="array" ref="D61">IF($O61="","",_xlfn.TEXTJOIN(", ",TRUE,IF(EXACT('Дані_зв''язок'!$J$4:$J$1012,$O61)*('Дані_зв''язок'!$C$4:$C$1012=D$4),'Дані_зв''язок'!$D$4:$D$1012,"")))</f>
        <v>10:10</v>
      </c>
      <c r="E61" s="27" t="str" cm="1">
        <f t="array" ref="E61">IF($O61="","",_xlfn.TEXTJOIN(", ",TRUE,IF(EXACT('Дані_зв''язок'!$J$4:$J$1012,$O61)*('Дані_зв''язок'!$C$4:$C$1012=E$4),'Дані_зв''язок'!$D$4:$D$1012,"")))</f>
        <v>10:25</v>
      </c>
      <c r="F61" s="27" t="str" cm="1">
        <f t="array" ref="F61">IF($O61="","",_xlfn.TEXTJOIN(", ",TRUE,IF(EXACT('Дані_зв''язок'!$J$4:$J$1012,$O61)*('Дані_зв''язок'!$C$4:$C$1012=F$4),'Дані_зв''язок'!$D$4:$D$1012,"")))</f>
        <v/>
      </c>
      <c r="G61" s="27" t="str" cm="1">
        <f t="array" ref="G61">IF($O61="","",_xlfn.TEXTJOIN(", ",TRUE,IF(EXACT('Дані_зв''язок'!$J$4:$J$1012,$O61)*('Дані_зв''язок'!$C$4:$C$1012=G$4),'Дані_зв''язок'!$D$4:$D$1012,"")))</f>
        <v>11:00</v>
      </c>
      <c r="H61" s="27" t="str" cm="1">
        <f t="array" ref="H61">IF($O61="","",_xlfn.TEXTJOIN(", ",TRUE,IF(EXACT('Дані_зв''язок'!$J$4:$J$1012,$O61)*('Дані_зв''язок'!$C$4:$C$1012=H$4),'Дані_зв''язок'!$D$4:$D$1012,"")))</f>
        <v>10:10</v>
      </c>
      <c r="I61" s="27" t="str" cm="1">
        <f t="array" ref="I61">IF($O61="","",_xlfn.TEXTJOIN(", ",TRUE,IF(EXACT('Дані_зв''язок'!$J$4:$J$1012,$O61)*('Дані_зв''язок'!$C$4:$C$1012=I$4),'Дані_зв''язок'!$D$4:$D$1012,"")))</f>
        <v/>
      </c>
      <c r="J61" s="27" cm="1">
        <f t="array" ref="J61">IF($O61="","",COUNTIF(C61:I61,"?*")+SUMPRODUCT(LEN(C61:I61)-LEN(SUBSTITUTE(C61:I61,",",""))))</f>
        <v>5</v>
      </c>
      <c r="K61" s="28" t="str" cm="1">
        <f t="array" ref="K61">IF($O61="","",_xlfn.TEXTJOIN(", ",TRUE,IF(EXACT('Дані_зв''язок'!$J$4:$J$1012,$O61),'Дані_зв''язок'!$L$4:$L$1012,"")))</f>
        <v>№1</v>
      </c>
      <c r="L61" s="28" t="str" cm="1">
        <f t="array" ref="L61">IF($O61="","",_xlfn.TEXTJOIN(", ",TRUE,IF(EXACT('Дані_зв''язок'!$J$4:$J$1012,$O61),'Дані_зв''язок'!$M$4:$M$1012,"")))</f>
        <v>КАМАЗ 55111</v>
      </c>
      <c r="M61" s="27" cm="1">
        <f t="array" ref="M61">IF($O61="","",IF(SUMPRODUCT(MAX(EXACT('Дані_зв''язок'!$J$4:$J$1012,$O61)*IFERROR('Дані_зв''язок'!$H$4:$H$1012,0)))=0,"",SUMPRODUCT(MAX(EXACT('Дані_зв''язок'!$J$4:$J$1012,$O61)*IFERROR('Дані_зв''язок'!$H$4:$H$1012,0)))))</f>
        <v>8</v>
      </c>
      <c r="O61" s="30" t="s">
        <v>1190</v>
      </c>
      <c r="P61" s="24" t="str" cm="1">
        <f t="array" ref="P61">IF($O61="","",IF($B61="","",IFERROR(IF(MIN(IFERROR(VALUE(TRIM(MID(SUBSTITUTE(SUBSTITUTE($B61,","," ")," ",REPT(" ",30)),{1;31;61;91;121;151;181},30))),""))=0,"",MIN(IFERROR(VALUE(TRIM(MID(SUBSTITUTE(SUBSTITUTE($B61,","," ")," ",REPT(" ",30)),{1;31;61;91;121;151;181},30))),""))),"")))</f>
        <v/>
      </c>
      <c r="Q61" s="23" t="str">
        <f t="shared" si="2"/>
        <v>Прилуки, Чернігівська обл., В/м</v>
      </c>
      <c r="R61" s="35">
        <f>IF($O61="","",IFERROR(INDEX('Координати майданчиків'!$H$4:$H$64,MATCH($T61,'Координати майданчиків'!$B$4:$B$64,0)),IFERROR(IF(ABS(INDEX(Геокодування!$C$2:$C$361,MATCH($Q61,Геокодування!$B$2:$B$361,0))-50.5884)+ABS(INDEX(Геокодування!$D$2:$D$361,MATCH($Q61,Геокодування!$B$2:$B$361,0))-32.3876)&gt;0.15,"",INDEX(Геокодування!$C$2:$C$361,MATCH($Q61,Геокодування!$B$2:$B$361,0))),IFERROR(IF(ABS(INDEX(Геокодування!$C$2:$C$361,MATCH("Прилуки, Чернігівська обл., "&amp;$A61,Геокодування!$B$2:$B$361,0))-50.5884)+ABS(INDEX(Геокодування!$D$2:$D$361,MATCH("Прилуки, Чернігівська обл., "&amp;$A61,Геокодування!$B$2:$B$361,0))-32.3876)&gt;0.15,"",INDEX(Геокодування!$C$2:$C$361,MATCH("Прилуки, Чернігівська обл., "&amp;$A61,Геокодування!$B$2:$B$361,0))),""))))</f>
        <v>50.578887999999999</v>
      </c>
      <c r="S61" s="43">
        <f>IF($O61="","",IFERROR(INDEX('Координати майданчиків'!$I$4:$I$64,MATCH($T61,'Координати майданчиків'!$B$4:$B$64,0)),IFERROR(IF(ABS(INDEX(Геокодування!$C$2:$C$361,MATCH($Q61,Геокодування!$B$2:$B$361,0))-50.5884)+ABS(INDEX(Геокодування!$D$2:$D$361,MATCH($Q61,Геокодування!$B$2:$B$361,0))-32.3876)&gt;0.15,"",INDEX(Геокодування!$D$2:$D$361,MATCH($Q61,Геокодування!$B$2:$B$361,0))),IFERROR(IF(ABS(INDEX(Геокодування!$C$2:$C$361,MATCH("Прилуки, Чернігівська обл., "&amp;$A61,Геокодування!$B$2:$B$361,0))-50.5884)+ABS(INDEX(Геокодування!$D$2:$D$361,MATCH("Прилуки, Чернігівська обл., "&amp;$A61,Геокодування!$B$2:$B$361,0))-32.3876)&gt;0.15,"",INDEX(Геокодування!$D$2:$D$361,MATCH("Прилуки, Чернігівська обл., "&amp;$A61,Геокодування!$B$2:$B$361,0))),""))))</f>
        <v>32.355936999999997</v>
      </c>
      <c r="T61" s="44" t="str">
        <f>IF($O61="","",IFERROR(INDEX('Координати майданчиків'!$B$4:$B$64,MATCH($A61&amp;IF($P61="","",", "&amp;$P61),'Координати майданчиків'!$B$4:$B$64,0)),IFERROR(INDEX('Координати майданчиків'!$B$4:$B$64,MATCH($A61,'Координати майданчиків'!$B$4:$B$64,0)),"")))</f>
        <v/>
      </c>
    </row>
    <row r="62" spans="1:20" x14ac:dyDescent="0.35">
      <c r="A62" s="26" t="str">
        <f t="shared" si="0"/>
        <v>В/ч 12</v>
      </c>
      <c r="B62" s="26" t="str">
        <f t="shared" si="1"/>
        <v/>
      </c>
      <c r="C62" s="27" t="str" cm="1">
        <f t="array" ref="C62">IF($O62="","",_xlfn.TEXTJOIN(", ",TRUE,IF(EXACT('Дані_зв''язок'!$J$4:$J$1012,$O62)*('Дані_зв''язок'!$C$4:$C$1012=C$4),'Дані_зв''язок'!$D$4:$D$1012,"")))</f>
        <v/>
      </c>
      <c r="D62" s="27" t="str" cm="1">
        <f t="array" ref="D62">IF($O62="","",_xlfn.TEXTJOIN(", ",TRUE,IF(EXACT('Дані_зв''язок'!$J$4:$J$1012,$O62)*('Дані_зв''язок'!$C$4:$C$1012=D$4),'Дані_зв''язок'!$D$4:$D$1012,"")))</f>
        <v>14:00</v>
      </c>
      <c r="E62" s="27" t="str" cm="1">
        <f t="array" ref="E62">IF($O62="","",_xlfn.TEXTJOIN(", ",TRUE,IF(EXACT('Дані_зв''язок'!$J$4:$J$1012,$O62)*('Дані_зв''язок'!$C$4:$C$1012=E$4),'Дані_зв''язок'!$D$4:$D$1012,"")))</f>
        <v/>
      </c>
      <c r="F62" s="27" t="str" cm="1">
        <f t="array" ref="F62">IF($O62="","",_xlfn.TEXTJOIN(", ",TRUE,IF(EXACT('Дані_зв''язок'!$J$4:$J$1012,$O62)*('Дані_зв''язок'!$C$4:$C$1012=F$4),'Дані_зв''язок'!$D$4:$D$1012,"")))</f>
        <v>13:40</v>
      </c>
      <c r="G62" s="27" t="str" cm="1">
        <f t="array" ref="G62">IF($O62="","",_xlfn.TEXTJOIN(", ",TRUE,IF(EXACT('Дані_зв''язок'!$J$4:$J$1012,$O62)*('Дані_зв''язок'!$C$4:$C$1012=G$4),'Дані_зв''язок'!$D$4:$D$1012,"")))</f>
        <v>7:20</v>
      </c>
      <c r="H62" s="27" t="str" cm="1">
        <f t="array" ref="H62">IF($O62="","",_xlfn.TEXTJOIN(", ",TRUE,IF(EXACT('Дані_зв''язок'!$J$4:$J$1012,$O62)*('Дані_зв''язок'!$C$4:$C$1012=H$4),'Дані_зв''язок'!$D$4:$D$1012,"")))</f>
        <v/>
      </c>
      <c r="I62" s="27" t="str" cm="1">
        <f t="array" ref="I62">IF($O62="","",_xlfn.TEXTJOIN(", ",TRUE,IF(EXACT('Дані_зв''язок'!$J$4:$J$1012,$O62)*('Дані_зв''язок'!$C$4:$C$1012=I$4),'Дані_зв''язок'!$D$4:$D$1012,"")))</f>
        <v/>
      </c>
      <c r="J62" s="27" cm="1">
        <f t="array" ref="J62">IF($O62="","",COUNTIF(C62:I62,"?*")+SUMPRODUCT(LEN(C62:I62)-LEN(SUBSTITUTE(C62:I62,",",""))))</f>
        <v>3</v>
      </c>
      <c r="K62" s="28" t="str" cm="1">
        <f t="array" ref="K62">IF($O62="","",_xlfn.TEXTJOIN(", ",TRUE,IF(EXACT('Дані_зв''язок'!$J$4:$J$1012,$O62),'Дані_зв''язок'!$L$4:$L$1012,"")))</f>
        <v>№5</v>
      </c>
      <c r="L62" s="28" t="str" cm="1">
        <f t="array" ref="L62">IF($O62="","",_xlfn.TEXTJOIN(", ",TRUE,IF(EXACT('Дані_зв''язок'!$J$4:$J$1012,$O62),'Дані_зв''язок'!$M$4:$M$1012,"")))</f>
        <v>МАЗ 4381</v>
      </c>
      <c r="M62" s="27" t="str" cm="1">
        <f t="array" ref="M62">IF($O62="","",IF(SUMPRODUCT(MAX(EXACT('Дані_зв''язок'!$J$4:$J$1012,$O62)*IFERROR('Дані_зв''язок'!$H$4:$H$1012,0)))=0,"",SUMPRODUCT(MAX(EXACT('Дані_зв''язок'!$J$4:$J$1012,$O62)*IFERROR('Дані_зв''язок'!$H$4:$H$1012,0)))))</f>
        <v/>
      </c>
      <c r="O62" s="30" t="s">
        <v>1191</v>
      </c>
      <c r="P62" s="24" t="str" cm="1">
        <f t="array" ref="P62">IF($O62="","",IF($B62="","",IFERROR(IF(MIN(IFERROR(VALUE(TRIM(MID(SUBSTITUTE(SUBSTITUTE($B62,","," ")," ",REPT(" ",30)),{1;31;61;91;121;151;181},30))),""))=0,"",MIN(IFERROR(VALUE(TRIM(MID(SUBSTITUTE(SUBSTITUTE($B62,","," ")," ",REPT(" ",30)),{1;31;61;91;121;151;181},30))),""))),"")))</f>
        <v/>
      </c>
      <c r="Q62" s="23" t="str">
        <f t="shared" si="2"/>
        <v>Прилуки, Чернігівська обл., В/ч 12</v>
      </c>
      <c r="R62" s="35">
        <f>IF($O62="","",IFERROR(INDEX('Координати майданчиків'!$H$4:$H$64,MATCH($T62,'Координати майданчиків'!$B$4:$B$64,0)),IFERROR(IF(ABS(INDEX(Геокодування!$C$2:$C$361,MATCH($Q62,Геокодування!$B$2:$B$361,0))-50.5884)+ABS(INDEX(Геокодування!$D$2:$D$361,MATCH($Q62,Геокодування!$B$2:$B$361,0))-32.3876)&gt;0.15,"",INDEX(Геокодування!$C$2:$C$361,MATCH($Q62,Геокодування!$B$2:$B$361,0))),IFERROR(IF(ABS(INDEX(Геокодування!$C$2:$C$361,MATCH("Прилуки, Чернігівська обл., "&amp;$A62,Геокодування!$B$2:$B$361,0))-50.5884)+ABS(INDEX(Геокодування!$D$2:$D$361,MATCH("Прилуки, Чернігівська обл., "&amp;$A62,Геокодування!$B$2:$B$361,0))-32.3876)&gt;0.15,"",INDEX(Геокодування!$C$2:$C$361,MATCH("Прилуки, Чернігівська обл., "&amp;$A62,Геокодування!$B$2:$B$361,0))),""))))</f>
        <v>50.587344000000002</v>
      </c>
      <c r="S62" s="43">
        <f>IF($O62="","",IFERROR(INDEX('Координати майданчиків'!$I$4:$I$64,MATCH($T62,'Координати майданчиків'!$B$4:$B$64,0)),IFERROR(IF(ABS(INDEX(Геокодування!$C$2:$C$361,MATCH($Q62,Геокодування!$B$2:$B$361,0))-50.5884)+ABS(INDEX(Геокодування!$D$2:$D$361,MATCH($Q62,Геокодування!$B$2:$B$361,0))-32.3876)&gt;0.15,"",INDEX(Геокодування!$D$2:$D$361,MATCH($Q62,Геокодування!$B$2:$B$361,0))),IFERROR(IF(ABS(INDEX(Геокодування!$C$2:$C$361,MATCH("Прилуки, Чернігівська обл., "&amp;$A62,Геокодування!$B$2:$B$361,0))-50.5884)+ABS(INDEX(Геокодування!$D$2:$D$361,MATCH("Прилуки, Чернігівська обл., "&amp;$A62,Геокодування!$B$2:$B$361,0))-32.3876)&gt;0.15,"",INDEX(Геокодування!$D$2:$D$361,MATCH("Прилуки, Чернігівська обл., "&amp;$A62,Геокодування!$B$2:$B$361,0))),""))))</f>
        <v>32.356355999999998</v>
      </c>
      <c r="T62" s="44" t="str">
        <f>IF($O62="","",IFERROR(INDEX('Координати майданчиків'!$B$4:$B$64,MATCH($A62&amp;IF($P62="","",", "&amp;$P62),'Координати майданчиків'!$B$4:$B$64,0)),IFERROR(INDEX('Координати майданчиків'!$B$4:$B$64,MATCH($A62,'Координати майданчиків'!$B$4:$B$64,0)),"")))</f>
        <v/>
      </c>
    </row>
    <row r="63" spans="1:20" x14ac:dyDescent="0.35">
      <c r="A63" s="26" t="str">
        <f t="shared" si="0"/>
        <v>Замовлення</v>
      </c>
      <c r="B63" s="26" t="str">
        <f t="shared" si="1"/>
        <v/>
      </c>
      <c r="C63" s="27" t="str" cm="1">
        <f t="array" ref="C63">IF($O63="","",_xlfn.TEXTJOIN(", ",TRUE,IF(EXACT('Дані_зв''язок'!$J$4:$J$1012,$O63)*('Дані_зв''язок'!$C$4:$C$1012=C$4),'Дані_зв''язок'!$D$4:$D$1012,"")))</f>
        <v>14:55</v>
      </c>
      <c r="D63" s="27" t="str" cm="1">
        <f t="array" ref="D63">IF($O63="","",_xlfn.TEXTJOIN(", ",TRUE,IF(EXACT('Дані_зв''язок'!$J$4:$J$1012,$O63)*('Дані_зв''язок'!$C$4:$C$1012=D$4),'Дані_зв''язок'!$D$4:$D$1012,"")))</f>
        <v/>
      </c>
      <c r="E63" s="27" t="str" cm="1">
        <f t="array" ref="E63">IF($O63="","",_xlfn.TEXTJOIN(", ",TRUE,IF(EXACT('Дані_зв''язок'!$J$4:$J$1012,$O63)*('Дані_зв''язок'!$C$4:$C$1012=E$4),'Дані_зв''язок'!$D$4:$D$1012,"")))</f>
        <v/>
      </c>
      <c r="F63" s="27" t="str" cm="1">
        <f t="array" ref="F63">IF($O63="","",_xlfn.TEXTJOIN(", ",TRUE,IF(EXACT('Дані_зв''язок'!$J$4:$J$1012,$O63)*('Дані_зв''язок'!$C$4:$C$1012=F$4),'Дані_зв''язок'!$D$4:$D$1012,"")))</f>
        <v>10:55</v>
      </c>
      <c r="G63" s="27" t="str" cm="1">
        <f t="array" ref="G63">IF($O63="","",_xlfn.TEXTJOIN(", ",TRUE,IF(EXACT('Дані_зв''язок'!$J$4:$J$1012,$O63)*('Дані_зв''язок'!$C$4:$C$1012=G$4),'Дані_зв''язок'!$D$4:$D$1012,"")))</f>
        <v>15:15</v>
      </c>
      <c r="H63" s="27" t="str" cm="1">
        <f t="array" ref="H63">IF($O63="","",_xlfn.TEXTJOIN(", ",TRUE,IF(EXACT('Дані_зв''язок'!$J$4:$J$1012,$O63)*('Дані_зв''язок'!$C$4:$C$1012=H$4),'Дані_зв''язок'!$D$4:$D$1012,"")))</f>
        <v/>
      </c>
      <c r="I63" s="27" t="str" cm="1">
        <f t="array" ref="I63">IF($O63="","",_xlfn.TEXTJOIN(", ",TRUE,IF(EXACT('Дані_зв''язок'!$J$4:$J$1012,$O63)*('Дані_зв''язок'!$C$4:$C$1012=I$4),'Дані_зв''язок'!$D$4:$D$1012,"")))</f>
        <v/>
      </c>
      <c r="J63" s="27" cm="1">
        <f t="array" ref="J63">IF($O63="","",COUNTIF(C63:I63,"?*")+SUMPRODUCT(LEN(C63:I63)-LEN(SUBSTITUTE(C63:I63,",",""))))</f>
        <v>3</v>
      </c>
      <c r="K63" s="28" t="str" cm="1">
        <f t="array" ref="K63">IF($O63="","",_xlfn.TEXTJOIN(", ",TRUE,IF(EXACT('Дані_зв''язок'!$J$4:$J$1012,$O63),'Дані_зв''язок'!$L$4:$L$1012,"")))</f>
        <v>№5, №6</v>
      </c>
      <c r="L63" s="28" t="str" cm="1">
        <f t="array" ref="L63">IF($O63="","",_xlfn.TEXTJOIN(", ",TRUE,IF(EXACT('Дані_зв''язок'!$J$4:$J$1012,$O63),'Дані_зв''язок'!$M$4:$M$1012,"")))</f>
        <v>МАЗ 4381, АТ 4021</v>
      </c>
      <c r="M63" s="27" t="str" cm="1">
        <f t="array" ref="M63">IF($O63="","",IF(SUMPRODUCT(MAX(EXACT('Дані_зв''язок'!$J$4:$J$1012,$O63)*IFERROR('Дані_зв''язок'!$H$4:$H$1012,0)))=0,"",SUMPRODUCT(MAX(EXACT('Дані_зв''язок'!$J$4:$J$1012,$O63)*IFERROR('Дані_зв''язок'!$H$4:$H$1012,0)))))</f>
        <v/>
      </c>
      <c r="O63" s="30" t="s">
        <v>1549</v>
      </c>
      <c r="P63" s="24" t="str" cm="1">
        <f t="array" ref="P63">IF($O63="","",IF($B63="","",IFERROR(IF(MIN(IFERROR(VALUE(TRIM(MID(SUBSTITUTE(SUBSTITUTE($B63,","," ")," ",REPT(" ",30)),{1;31;61;91;121;151;181},30))),""))=0,"",MIN(IFERROR(VALUE(TRIM(MID(SUBSTITUTE(SUBSTITUTE($B63,","," ")," ",REPT(" ",30)),{1;31;61;91;121;151;181},30))),""))),"")))</f>
        <v/>
      </c>
      <c r="Q63" s="23" t="str">
        <f t="shared" si="2"/>
        <v>Прилуки, Чернігівська обл., Замовлення</v>
      </c>
      <c r="R63" s="35">
        <f>IF($O63="","",IFERROR(INDEX('Координати майданчиків'!$H$4:$H$64,MATCH($T63,'Координати майданчиків'!$B$4:$B$64,0)),IFERROR(IF(ABS(INDEX(Геокодування!$C$2:$C$361,MATCH($Q63,Геокодування!$B$2:$B$361,0))-50.5884)+ABS(INDEX(Геокодування!$D$2:$D$361,MATCH($Q63,Геокодування!$B$2:$B$361,0))-32.3876)&gt;0.15,"",INDEX(Геокодування!$C$2:$C$361,MATCH($Q63,Геокодування!$B$2:$B$361,0))),IFERROR(IF(ABS(INDEX(Геокодування!$C$2:$C$361,MATCH("Прилуки, Чернігівська обл., "&amp;$A63,Геокодування!$B$2:$B$361,0))-50.5884)+ABS(INDEX(Геокодування!$D$2:$D$361,MATCH("Прилуки, Чернігівська обл., "&amp;$A63,Геокодування!$B$2:$B$361,0))-32.3876)&gt;0.15,"",INDEX(Геокодування!$C$2:$C$361,MATCH("Прилуки, Чернігівська обл., "&amp;$A63,Геокодування!$B$2:$B$361,0))),""))))</f>
        <v>50.595086000000002</v>
      </c>
      <c r="S63" s="43">
        <f>IF($O63="","",IFERROR(INDEX('Координати майданчиків'!$I$4:$I$64,MATCH($T63,'Координати майданчиків'!$B$4:$B$64,0)),IFERROR(IF(ABS(INDEX(Геокодування!$C$2:$C$361,MATCH($Q63,Геокодування!$B$2:$B$361,0))-50.5884)+ABS(INDEX(Геокодування!$D$2:$D$361,MATCH($Q63,Геокодування!$B$2:$B$361,0))-32.3876)&gt;0.15,"",INDEX(Геокодування!$D$2:$D$361,MATCH($Q63,Геокодування!$B$2:$B$361,0))),IFERROR(IF(ABS(INDEX(Геокодування!$C$2:$C$361,MATCH("Прилуки, Чернігівська обл., "&amp;$A63,Геокодування!$B$2:$B$361,0))-50.5884)+ABS(INDEX(Геокодування!$D$2:$D$361,MATCH("Прилуки, Чернігівська обл., "&amp;$A63,Геокодування!$B$2:$B$361,0))-32.3876)&gt;0.15,"",INDEX(Геокодування!$D$2:$D$361,MATCH("Прилуки, Чернігівська обл., "&amp;$A63,Геокодування!$B$2:$B$361,0))),""))))</f>
        <v>32.386665999999998</v>
      </c>
      <c r="T63" s="44" t="str">
        <f>IF($O63="","",IFERROR(INDEX('Координати майданчиків'!$B$4:$B$64,MATCH($A63&amp;IF($P63="","",", "&amp;$P63),'Координати майданчиків'!$B$4:$B$64,0)),IFERROR(INDEX('Координати майданчиків'!$B$4:$B$64,MATCH($A63,'Координати майданчиків'!$B$4:$B$64,0)),"")))</f>
        <v/>
      </c>
    </row>
    <row r="64" spans="1:20" x14ac:dyDescent="0.35">
      <c r="A64" s="26" t="str">
        <f t="shared" si="0"/>
        <v>Котляревського</v>
      </c>
      <c r="B64" s="26" t="str">
        <f t="shared" si="1"/>
        <v>кафе "Бандера"</v>
      </c>
      <c r="C64" s="27" t="str" cm="1">
        <f t="array" ref="C64">IF($O64="","",_xlfn.TEXTJOIN(", ",TRUE,IF(EXACT('Дані_зв''язок'!$J$4:$J$1012,$O64)*('Дані_зв''язок'!$C$4:$C$1012=C$4),'Дані_зв''язок'!$D$4:$D$1012,"")))</f>
        <v>8:20</v>
      </c>
      <c r="D64" s="27" t="str" cm="1">
        <f t="array" ref="D64">IF($O64="","",_xlfn.TEXTJOIN(", ",TRUE,IF(EXACT('Дані_зв''язок'!$J$4:$J$1012,$O64)*('Дані_зв''язок'!$C$4:$C$1012=D$4),'Дані_зв''язок'!$D$4:$D$1012,"")))</f>
        <v>10:55</v>
      </c>
      <c r="E64" s="27" t="str" cm="1">
        <f t="array" ref="E64">IF($O64="","",_xlfn.TEXTJOIN(", ",TRUE,IF(EXACT('Дані_зв''язок'!$J$4:$J$1012,$O64)*('Дані_зв''язок'!$C$4:$C$1012=E$4),'Дані_зв''язок'!$D$4:$D$1012,"")))</f>
        <v/>
      </c>
      <c r="F64" s="27" t="str" cm="1">
        <f t="array" ref="F64">IF($O64="","",_xlfn.TEXTJOIN(", ",TRUE,IF(EXACT('Дані_зв''язок'!$J$4:$J$1012,$O64)*('Дані_зв''язок'!$C$4:$C$1012=F$4),'Дані_зв''язок'!$D$4:$D$1012,"")))</f>
        <v/>
      </c>
      <c r="G64" s="27" t="str" cm="1">
        <f t="array" ref="G64">IF($O64="","",_xlfn.TEXTJOIN(", ",TRUE,IF(EXACT('Дані_зв''язок'!$J$4:$J$1012,$O64)*('Дані_зв''язок'!$C$4:$C$1012=G$4),'Дані_зв''язок'!$D$4:$D$1012,"")))</f>
        <v/>
      </c>
      <c r="H64" s="27" t="str" cm="1">
        <f t="array" ref="H64">IF($O64="","",_xlfn.TEXTJOIN(", ",TRUE,IF(EXACT('Дані_зв''язок'!$J$4:$J$1012,$O64)*('Дані_зв''язок'!$C$4:$C$1012=H$4),'Дані_зв''язок'!$D$4:$D$1012,"")))</f>
        <v/>
      </c>
      <c r="I64" s="27" t="str" cm="1">
        <f t="array" ref="I64">IF($O64="","",_xlfn.TEXTJOIN(", ",TRUE,IF(EXACT('Дані_зв''язок'!$J$4:$J$1012,$O64)*('Дані_зв''язок'!$C$4:$C$1012=I$4),'Дані_зв''язок'!$D$4:$D$1012,"")))</f>
        <v/>
      </c>
      <c r="J64" s="27" cm="1">
        <f t="array" ref="J64">IF($O64="","",COUNTIF(C64:I64,"?*")+SUMPRODUCT(LEN(C64:I64)-LEN(SUBSTITUTE(C64:I64,",",""))))</f>
        <v>2</v>
      </c>
      <c r="K64" s="28" t="str" cm="1">
        <f t="array" ref="K64">IF($O64="","",_xlfn.TEXTJOIN(", ",TRUE,IF(EXACT('Дані_зв''язок'!$J$4:$J$1012,$O64),'Дані_зв''язок'!$L$4:$L$1012,"")))</f>
        <v>№3</v>
      </c>
      <c r="L64" s="28" t="str" cm="1">
        <f t="array" ref="L64">IF($O64="","",_xlfn.TEXTJOIN(", ",TRUE,IF(EXACT('Дані_зв''язок'!$J$4:$J$1012,$O64),'Дані_зв''язок'!$M$4:$M$1012,"")))</f>
        <v>МАЗ-4371</v>
      </c>
      <c r="M64" s="27" cm="1">
        <f t="array" ref="M64">IF($O64="","",IF(SUMPRODUCT(MAX(EXACT('Дані_зв''язок'!$J$4:$J$1012,$O64)*IFERROR('Дані_зв''язок'!$H$4:$H$1012,0)))=0,"",SUMPRODUCT(MAX(EXACT('Дані_зв''язок'!$J$4:$J$1012,$O64)*IFERROR('Дані_зв''язок'!$H$4:$H$1012,0)))))</f>
        <v>1</v>
      </c>
      <c r="O64" s="30" t="s">
        <v>1550</v>
      </c>
      <c r="P64" s="24" t="str" cm="1">
        <f t="array" ref="P64">IF($O64="","",IF($B64="","",IFERROR(IF(MIN(IFERROR(VALUE(TRIM(MID(SUBSTITUTE(SUBSTITUTE($B64,","," ")," ",REPT(" ",30)),{1;31;61;91;121;151;181},30))),""))=0,"",MIN(IFERROR(VALUE(TRIM(MID(SUBSTITUTE(SUBSTITUTE($B64,","," ")," ",REPT(" ",30)),{1;31;61;91;121;151;181},30))),""))),"")))</f>
        <v/>
      </c>
      <c r="Q64" s="23" t="str">
        <f t="shared" si="2"/>
        <v>Прилуки, Чернігівська обл., Котляревського</v>
      </c>
      <c r="R64" s="35">
        <f>IF($O64="","",IFERROR(INDEX('Координати майданчиків'!$H$4:$H$64,MATCH($T64,'Координати майданчиків'!$B$4:$B$64,0)),IFERROR(IF(ABS(INDEX(Геокодування!$C$2:$C$361,MATCH($Q64,Геокодування!$B$2:$B$361,0))-50.5884)+ABS(INDEX(Геокодування!$D$2:$D$361,MATCH($Q64,Геокодування!$B$2:$B$361,0))-32.3876)&gt;0.15,"",INDEX(Геокодування!$C$2:$C$361,MATCH($Q64,Геокодування!$B$2:$B$361,0))),IFERROR(IF(ABS(INDEX(Геокодування!$C$2:$C$361,MATCH("Прилуки, Чернігівська обл., "&amp;$A64,Геокодування!$B$2:$B$361,0))-50.5884)+ABS(INDEX(Геокодування!$D$2:$D$361,MATCH("Прилуки, Чернігівська обл., "&amp;$A64,Геокодування!$B$2:$B$361,0))-32.3876)&gt;0.15,"",INDEX(Геокодування!$C$2:$C$361,MATCH("Прилуки, Чернігівська обл., "&amp;$A64,Геокодування!$B$2:$B$361,0))),""))))</f>
        <v>50.595716000000003</v>
      </c>
      <c r="S64" s="43">
        <f>IF($O64="","",IFERROR(INDEX('Координати майданчиків'!$I$4:$I$64,MATCH($T64,'Координати майданчиків'!$B$4:$B$64,0)),IFERROR(IF(ABS(INDEX(Геокодування!$C$2:$C$361,MATCH($Q64,Геокодування!$B$2:$B$361,0))-50.5884)+ABS(INDEX(Геокодування!$D$2:$D$361,MATCH($Q64,Геокодування!$B$2:$B$361,0))-32.3876)&gt;0.15,"",INDEX(Геокодування!$D$2:$D$361,MATCH($Q64,Геокодування!$B$2:$B$361,0))),IFERROR(IF(ABS(INDEX(Геокодування!$C$2:$C$361,MATCH("Прилуки, Чернігівська обл., "&amp;$A64,Геокодування!$B$2:$B$361,0))-50.5884)+ABS(INDEX(Геокодування!$D$2:$D$361,MATCH("Прилуки, Чернігівська обл., "&amp;$A64,Геокодування!$B$2:$B$361,0))-32.3876)&gt;0.15,"",INDEX(Геокодування!$D$2:$D$361,MATCH("Прилуки, Чернігівська обл., "&amp;$A64,Геокодування!$B$2:$B$361,0))),""))))</f>
        <v>32.398581</v>
      </c>
      <c r="T64" s="44" t="str">
        <f>IF($O64="","",IFERROR(INDEX('Координати майданчиків'!$B$4:$B$64,MATCH($A64&amp;IF($P64="","",", "&amp;$P64),'Координати майданчиків'!$B$4:$B$64,0)),IFERROR(INDEX('Координати майданчиків'!$B$4:$B$64,MATCH($A64,'Координати майданчиків'!$B$4:$B$64,0)),"")))</f>
        <v/>
      </c>
    </row>
    <row r="65" spans="1:20" x14ac:dyDescent="0.35">
      <c r="A65" s="26" t="str">
        <f t="shared" si="0"/>
        <v>М'ясокомбінат</v>
      </c>
      <c r="B65" s="26" t="str">
        <f t="shared" si="1"/>
        <v/>
      </c>
      <c r="C65" s="27" t="str" cm="1">
        <f t="array" ref="C65">IF($O65="","",_xlfn.TEXTJOIN(", ",TRUE,IF(EXACT('Дані_зв''язок'!$J$4:$J$1012,$O65)*('Дані_зв''язок'!$C$4:$C$1012=C$4),'Дані_зв''язок'!$D$4:$D$1012,"")))</f>
        <v/>
      </c>
      <c r="D65" s="27" t="str" cm="1">
        <f t="array" ref="D65">IF($O65="","",_xlfn.TEXTJOIN(", ",TRUE,IF(EXACT('Дані_зв''язок'!$J$4:$J$1012,$O65)*('Дані_зв''язок'!$C$4:$C$1012=D$4),'Дані_зв''язок'!$D$4:$D$1012,"")))</f>
        <v/>
      </c>
      <c r="E65" s="27" t="str" cm="1">
        <f t="array" ref="E65">IF($O65="","",_xlfn.TEXTJOIN(", ",TRUE,IF(EXACT('Дані_зв''язок'!$J$4:$J$1012,$O65)*('Дані_зв''язок'!$C$4:$C$1012=E$4),'Дані_зв''язок'!$D$4:$D$1012,"")))</f>
        <v/>
      </c>
      <c r="F65" s="27" t="str" cm="1">
        <f t="array" ref="F65">IF($O65="","",_xlfn.TEXTJOIN(", ",TRUE,IF(EXACT('Дані_зв''язок'!$J$4:$J$1012,$O65)*('Дані_зв''язок'!$C$4:$C$1012=F$4),'Дані_зв''язок'!$D$4:$D$1012,"")))</f>
        <v>13:20</v>
      </c>
      <c r="G65" s="27" t="str" cm="1">
        <f t="array" ref="G65">IF($O65="","",_xlfn.TEXTJOIN(", ",TRUE,IF(EXACT('Дані_зв''язок'!$J$4:$J$1012,$O65)*('Дані_зв''язок'!$C$4:$C$1012=G$4),'Дані_зв''язок'!$D$4:$D$1012,"")))</f>
        <v/>
      </c>
      <c r="H65" s="27" t="str" cm="1">
        <f t="array" ref="H65">IF($O65="","",_xlfn.TEXTJOIN(", ",TRUE,IF(EXACT('Дані_зв''язок'!$J$4:$J$1012,$O65)*('Дані_зв''язок'!$C$4:$C$1012=H$4),'Дані_зв''язок'!$D$4:$D$1012,"")))</f>
        <v/>
      </c>
      <c r="I65" s="27" t="str" cm="1">
        <f t="array" ref="I65">IF($O65="","",_xlfn.TEXTJOIN(", ",TRUE,IF(EXACT('Дані_зв''язок'!$J$4:$J$1012,$O65)*('Дані_зв''язок'!$C$4:$C$1012=I$4),'Дані_зв''язок'!$D$4:$D$1012,"")))</f>
        <v/>
      </c>
      <c r="J65" s="27" cm="1">
        <f t="array" ref="J65">IF($O65="","",COUNTIF(C65:I65,"?*")+SUMPRODUCT(LEN(C65:I65)-LEN(SUBSTITUTE(C65:I65,",",""))))</f>
        <v>1</v>
      </c>
      <c r="K65" s="28" t="str" cm="1">
        <f t="array" ref="K65">IF($O65="","",_xlfn.TEXTJOIN(", ",TRUE,IF(EXACT('Дані_зв''язок'!$J$4:$J$1012,$O65),'Дані_зв''язок'!$L$4:$L$1012,"")))</f>
        <v>№5</v>
      </c>
      <c r="L65" s="28" t="str" cm="1">
        <f t="array" ref="L65">IF($O65="","",_xlfn.TEXTJOIN(", ",TRUE,IF(EXACT('Дані_зв''язок'!$J$4:$J$1012,$O65),'Дані_зв''язок'!$M$4:$M$1012,"")))</f>
        <v>МАЗ 4381</v>
      </c>
      <c r="M65" s="27" t="str" cm="1">
        <f t="array" ref="M65">IF($O65="","",IF(SUMPRODUCT(MAX(EXACT('Дані_зв''язок'!$J$4:$J$1012,$O65)*IFERROR('Дані_зв''язок'!$H$4:$H$1012,0)))=0,"",SUMPRODUCT(MAX(EXACT('Дані_зв''язок'!$J$4:$J$1012,$O65)*IFERROR('Дані_зв''язок'!$H$4:$H$1012,0)))))</f>
        <v/>
      </c>
      <c r="O65" s="30" t="s">
        <v>1552</v>
      </c>
      <c r="P65" s="24" t="str" cm="1">
        <f t="array" ref="P65">IF($O65="","",IF($B65="","",IFERROR(IF(MIN(IFERROR(VALUE(TRIM(MID(SUBSTITUTE(SUBSTITUTE($B65,","," ")," ",REPT(" ",30)),{1;31;61;91;121;151;181},30))),""))=0,"",MIN(IFERROR(VALUE(TRIM(MID(SUBSTITUTE(SUBSTITUTE($B65,","," ")," ",REPT(" ",30)),{1;31;61;91;121;151;181},30))),""))),"")))</f>
        <v/>
      </c>
      <c r="Q65" s="23" t="str">
        <f t="shared" si="2"/>
        <v>Прилуки, Чернігівська обл., М'ясокомбінат</v>
      </c>
      <c r="R65" s="35" t="str">
        <f>IF($O65="","",IFERROR(INDEX('Координати майданчиків'!$H$4:$H$64,MATCH($T65,'Координати майданчиків'!$B$4:$B$64,0)),IFERROR(IF(ABS(INDEX(Геокодування!$C$2:$C$361,MATCH($Q65,Геокодування!$B$2:$B$361,0))-50.5884)+ABS(INDEX(Геокодування!$D$2:$D$361,MATCH($Q65,Геокодування!$B$2:$B$361,0))-32.3876)&gt;0.15,"",INDEX(Геокодування!$C$2:$C$361,MATCH($Q65,Геокодування!$B$2:$B$361,0))),IFERROR(IF(ABS(INDEX(Геокодування!$C$2:$C$361,MATCH("Прилуки, Чернігівська обл., "&amp;$A65,Геокодування!$B$2:$B$361,0))-50.5884)+ABS(INDEX(Геокодування!$D$2:$D$361,MATCH("Прилуки, Чернігівська обл., "&amp;$A65,Геокодування!$B$2:$B$361,0))-32.3876)&gt;0.15,"",INDEX(Геокодування!$C$2:$C$361,MATCH("Прилуки, Чернігівська обл., "&amp;$A65,Геокодування!$B$2:$B$361,0))),""))))</f>
        <v/>
      </c>
      <c r="S65" s="43" t="str">
        <f>IF($O65="","",IFERROR(INDEX('Координати майданчиків'!$I$4:$I$64,MATCH($T65,'Координати майданчиків'!$B$4:$B$64,0)),IFERROR(IF(ABS(INDEX(Геокодування!$C$2:$C$361,MATCH($Q65,Геокодування!$B$2:$B$361,0))-50.5884)+ABS(INDEX(Геокодування!$D$2:$D$361,MATCH($Q65,Геокодування!$B$2:$B$361,0))-32.3876)&gt;0.15,"",INDEX(Геокодування!$D$2:$D$361,MATCH($Q65,Геокодування!$B$2:$B$361,0))),IFERROR(IF(ABS(INDEX(Геокодування!$C$2:$C$361,MATCH("Прилуки, Чернігівська обл., "&amp;$A65,Геокодування!$B$2:$B$361,0))-50.5884)+ABS(INDEX(Геокодування!$D$2:$D$361,MATCH("Прилуки, Чернігівська обл., "&amp;$A65,Геокодування!$B$2:$B$361,0))-32.3876)&gt;0.15,"",INDEX(Геокодування!$D$2:$D$361,MATCH("Прилуки, Чернігівська обл., "&amp;$A65,Геокодування!$B$2:$B$361,0))),""))))</f>
        <v/>
      </c>
      <c r="T65" s="44" t="str">
        <f>IF($O65="","",IFERROR(INDEX('Координати майданчиків'!$B$4:$B$64,MATCH($A65&amp;IF($P65="","",", "&amp;$P65),'Координати майданчиків'!$B$4:$B$64,0)),IFERROR(INDEX('Координати майданчиків'!$B$4:$B$64,MATCH($A65,'Координати майданчиків'!$B$4:$B$64,0)),"")))</f>
        <v/>
      </c>
    </row>
    <row r="66" spans="1:20" x14ac:dyDescent="0.35">
      <c r="A66" s="26" t="str">
        <f t="shared" si="0"/>
        <v>М-н "Ірина"</v>
      </c>
      <c r="B66" s="26" t="str">
        <f t="shared" si="1"/>
        <v/>
      </c>
      <c r="C66" s="27" t="str" cm="1">
        <f t="array" ref="C66">IF($O66="","",_xlfn.TEXTJOIN(", ",TRUE,IF(EXACT('Дані_зв''язок'!$J$4:$J$1012,$O66)*('Дані_зв''язок'!$C$4:$C$1012=C$4),'Дані_зв''язок'!$D$4:$D$1012,"")))</f>
        <v/>
      </c>
      <c r="D66" s="27" t="str" cm="1">
        <f t="array" ref="D66">IF($O66="","",_xlfn.TEXTJOIN(", ",TRUE,IF(EXACT('Дані_зв''язок'!$J$4:$J$1012,$O66)*('Дані_зв''язок'!$C$4:$C$1012=D$4),'Дані_зв''язок'!$D$4:$D$1012,"")))</f>
        <v/>
      </c>
      <c r="E66" s="27" t="str" cm="1">
        <f t="array" ref="E66">IF($O66="","",_xlfn.TEXTJOIN(", ",TRUE,IF(EXACT('Дані_зв''язок'!$J$4:$J$1012,$O66)*('Дані_зв''язок'!$C$4:$C$1012=E$4),'Дані_зв''язок'!$D$4:$D$1012,"")))</f>
        <v>9:45</v>
      </c>
      <c r="F66" s="27" t="str" cm="1">
        <f t="array" ref="F66">IF($O66="","",_xlfn.TEXTJOIN(", ",TRUE,IF(EXACT('Дані_зв''язок'!$J$4:$J$1012,$O66)*('Дані_зв''язок'!$C$4:$C$1012=F$4),'Дані_зв''язок'!$D$4:$D$1012,"")))</f>
        <v/>
      </c>
      <c r="G66" s="27" t="str" cm="1">
        <f t="array" ref="G66">IF($O66="","",_xlfn.TEXTJOIN(", ",TRUE,IF(EXACT('Дані_зв''язок'!$J$4:$J$1012,$O66)*('Дані_зв''язок'!$C$4:$C$1012=G$4),'Дані_зв''язок'!$D$4:$D$1012,"")))</f>
        <v/>
      </c>
      <c r="H66" s="27" t="str" cm="1">
        <f t="array" ref="H66">IF($O66="","",_xlfn.TEXTJOIN(", ",TRUE,IF(EXACT('Дані_зв''язок'!$J$4:$J$1012,$O66)*('Дані_зв''язок'!$C$4:$C$1012=H$4),'Дані_зв''язок'!$D$4:$D$1012,"")))</f>
        <v/>
      </c>
      <c r="I66" s="27" t="str" cm="1">
        <f t="array" ref="I66">IF($O66="","",_xlfn.TEXTJOIN(", ",TRUE,IF(EXACT('Дані_зв''язок'!$J$4:$J$1012,$O66)*('Дані_зв''язок'!$C$4:$C$1012=I$4),'Дані_зв''язок'!$D$4:$D$1012,"")))</f>
        <v/>
      </c>
      <c r="J66" s="27" cm="1">
        <f t="array" ref="J66">IF($O66="","",COUNTIF(C66:I66,"?*")+SUMPRODUCT(LEN(C66:I66)-LEN(SUBSTITUTE(C66:I66,",",""))))</f>
        <v>1</v>
      </c>
      <c r="K66" s="28" t="str" cm="1">
        <f t="array" ref="K66">IF($O66="","",_xlfn.TEXTJOIN(", ",TRUE,IF(EXACT('Дані_зв''язок'!$J$4:$J$1012,$O66),'Дані_зв''язок'!$L$4:$L$1012,"")))</f>
        <v>№5</v>
      </c>
      <c r="L66" s="28" t="str" cm="1">
        <f t="array" ref="L66">IF($O66="","",_xlfn.TEXTJOIN(", ",TRUE,IF(EXACT('Дані_зв''язок'!$J$4:$J$1012,$O66),'Дані_зв''язок'!$M$4:$M$1012,"")))</f>
        <v>МАЗ 4381</v>
      </c>
      <c r="M66" s="27" t="str" cm="1">
        <f t="array" ref="M66">IF($O66="","",IF(SUMPRODUCT(MAX(EXACT('Дані_зв''язок'!$J$4:$J$1012,$O66)*IFERROR('Дані_зв''язок'!$H$4:$H$1012,0)))=0,"",SUMPRODUCT(MAX(EXACT('Дані_зв''язок'!$J$4:$J$1012,$O66)*IFERROR('Дані_зв''язок'!$H$4:$H$1012,0)))))</f>
        <v/>
      </c>
      <c r="O66" s="30" t="s">
        <v>1551</v>
      </c>
      <c r="P66" s="24" t="str" cm="1">
        <f t="array" ref="P66">IF($O66="","",IF($B66="","",IFERROR(IF(MIN(IFERROR(VALUE(TRIM(MID(SUBSTITUTE(SUBSTITUTE($B66,","," ")," ",REPT(" ",30)),{1;31;61;91;121;151;181},30))),""))=0,"",MIN(IFERROR(VALUE(TRIM(MID(SUBSTITUTE(SUBSTITUTE($B66,","," ")," ",REPT(" ",30)),{1;31;61;91;121;151;181},30))),""))),"")))</f>
        <v/>
      </c>
      <c r="Q66" s="23" t="str">
        <f t="shared" si="2"/>
        <v>Прилуки, Чернігівська обл., М-н "Ірина"</v>
      </c>
      <c r="R66" s="35" t="str">
        <f>IF($O66="","",IFERROR(INDEX('Координати майданчиків'!$H$4:$H$64,MATCH($T66,'Координати майданчиків'!$B$4:$B$64,0)),IFERROR(IF(ABS(INDEX(Геокодування!$C$2:$C$361,MATCH($Q66,Геокодування!$B$2:$B$361,0))-50.5884)+ABS(INDEX(Геокодування!$D$2:$D$361,MATCH($Q66,Геокодування!$B$2:$B$361,0))-32.3876)&gt;0.15,"",INDEX(Геокодування!$C$2:$C$361,MATCH($Q66,Геокодування!$B$2:$B$361,0))),IFERROR(IF(ABS(INDEX(Геокодування!$C$2:$C$361,MATCH("Прилуки, Чернігівська обл., "&amp;$A66,Геокодування!$B$2:$B$361,0))-50.5884)+ABS(INDEX(Геокодування!$D$2:$D$361,MATCH("Прилуки, Чернігівська обл., "&amp;$A66,Геокодування!$B$2:$B$361,0))-32.3876)&gt;0.15,"",INDEX(Геокодування!$C$2:$C$361,MATCH("Прилуки, Чернігівська обл., "&amp;$A66,Геокодування!$B$2:$B$361,0))),""))))</f>
        <v/>
      </c>
      <c r="S66" s="43" t="str">
        <f>IF($O66="","",IFERROR(INDEX('Координати майданчиків'!$I$4:$I$64,MATCH($T66,'Координати майданчиків'!$B$4:$B$64,0)),IFERROR(IF(ABS(INDEX(Геокодування!$C$2:$C$361,MATCH($Q66,Геокодування!$B$2:$B$361,0))-50.5884)+ABS(INDEX(Геокодування!$D$2:$D$361,MATCH($Q66,Геокодування!$B$2:$B$361,0))-32.3876)&gt;0.15,"",INDEX(Геокодування!$D$2:$D$361,MATCH($Q66,Геокодування!$B$2:$B$361,0))),IFERROR(IF(ABS(INDEX(Геокодування!$C$2:$C$361,MATCH("Прилуки, Чернігівська обл., "&amp;$A66,Геокодування!$B$2:$B$361,0))-50.5884)+ABS(INDEX(Геокодування!$D$2:$D$361,MATCH("Прилуки, Чернігівська обл., "&amp;$A66,Геокодування!$B$2:$B$361,0))-32.3876)&gt;0.15,"",INDEX(Геокодування!$D$2:$D$361,MATCH("Прилуки, Чернігівська обл., "&amp;$A66,Геокодування!$B$2:$B$361,0))),""))))</f>
        <v/>
      </c>
      <c r="T66" s="44" t="str">
        <f>IF($O66="","",IFERROR(INDEX('Координати майданчиків'!$B$4:$B$64,MATCH($A66&amp;IF($P66="","",", "&amp;$P66),'Координати майданчиків'!$B$4:$B$64,0)),IFERROR(INDEX('Координати майданчиків'!$B$4:$B$64,MATCH($A66,'Координати майданчиків'!$B$4:$B$64,0)),"")))</f>
        <v/>
      </c>
    </row>
    <row r="67" spans="1:20" x14ac:dyDescent="0.35">
      <c r="A67" s="26" t="str">
        <f t="shared" si="0"/>
        <v>Привокзальну площа</v>
      </c>
      <c r="B67" s="26" t="str">
        <f t="shared" si="1"/>
        <v>Нова пошта 1</v>
      </c>
      <c r="C67" s="27" t="str" cm="1">
        <f t="array" ref="C67">IF($O67="","",_xlfn.TEXTJOIN(", ",TRUE,IF(EXACT('Дані_зв''язок'!$J$4:$J$1012,$O67)*('Дані_зв''язок'!$C$4:$C$1012=C$4),'Дані_зв''язок'!$D$4:$D$1012,"")))</f>
        <v>7:35</v>
      </c>
      <c r="D67" s="27" t="str" cm="1">
        <f t="array" ref="D67">IF($O67="","",_xlfn.TEXTJOIN(", ",TRUE,IF(EXACT('Дані_зв''язок'!$J$4:$J$1012,$O67)*('Дані_зв''язок'!$C$4:$C$1012=D$4),'Дані_зв''язок'!$D$4:$D$1012,"")))</f>
        <v/>
      </c>
      <c r="E67" s="27" t="str" cm="1">
        <f t="array" ref="E67">IF($O67="","",_xlfn.TEXTJOIN(", ",TRUE,IF(EXACT('Дані_зв''язок'!$J$4:$J$1012,$O67)*('Дані_зв''язок'!$C$4:$C$1012=E$4),'Дані_зв''язок'!$D$4:$D$1012,"")))</f>
        <v/>
      </c>
      <c r="F67" s="27" t="str" cm="1">
        <f t="array" ref="F67">IF($O67="","",_xlfn.TEXTJOIN(", ",TRUE,IF(EXACT('Дані_зв''язок'!$J$4:$J$1012,$O67)*('Дані_зв''язок'!$C$4:$C$1012=F$4),'Дані_зв''язок'!$D$4:$D$1012,"")))</f>
        <v/>
      </c>
      <c r="G67" s="27" t="str" cm="1">
        <f t="array" ref="G67">IF($O67="","",_xlfn.TEXTJOIN(", ",TRUE,IF(EXACT('Дані_зв''язок'!$J$4:$J$1012,$O67)*('Дані_зв''язок'!$C$4:$C$1012=G$4),'Дані_зв''язок'!$D$4:$D$1012,"")))</f>
        <v/>
      </c>
      <c r="H67" s="27" t="str" cm="1">
        <f t="array" ref="H67">IF($O67="","",_xlfn.TEXTJOIN(", ",TRUE,IF(EXACT('Дані_зв''язок'!$J$4:$J$1012,$O67)*('Дані_зв''язок'!$C$4:$C$1012=H$4),'Дані_зв''язок'!$D$4:$D$1012,"")))</f>
        <v/>
      </c>
      <c r="I67" s="27" t="str" cm="1">
        <f t="array" ref="I67">IF($O67="","",_xlfn.TEXTJOIN(", ",TRUE,IF(EXACT('Дані_зв''язок'!$J$4:$J$1012,$O67)*('Дані_зв''язок'!$C$4:$C$1012=I$4),'Дані_зв''язок'!$D$4:$D$1012,"")))</f>
        <v/>
      </c>
      <c r="J67" s="27" cm="1">
        <f t="array" ref="J67">IF($O67="","",COUNTIF(C67:I67,"?*")+SUMPRODUCT(LEN(C67:I67)-LEN(SUBSTITUTE(C67:I67,",",""))))</f>
        <v>1</v>
      </c>
      <c r="K67" s="28" t="str" cm="1">
        <f t="array" ref="K67">IF($O67="","",_xlfn.TEXTJOIN(", ",TRUE,IF(EXACT('Дані_зв''язок'!$J$4:$J$1012,$O67),'Дані_зв''язок'!$L$4:$L$1012,"")))</f>
        <v>№1</v>
      </c>
      <c r="L67" s="28" t="str" cm="1">
        <f t="array" ref="L67">IF($O67="","",_xlfn.TEXTJOIN(", ",TRUE,IF(EXACT('Дані_зв''язок'!$J$4:$J$1012,$O67),'Дані_зв''язок'!$M$4:$M$1012,"")))</f>
        <v>АТ-4021/1120</v>
      </c>
      <c r="M67" s="27" cm="1">
        <f t="array" ref="M67">IF($O67="","",IF(SUMPRODUCT(MAX(EXACT('Дані_зв''язок'!$J$4:$J$1012,$O67)*IFERROR('Дані_зв''язок'!$H$4:$H$1012,0)))=0,"",SUMPRODUCT(MAX(EXACT('Дані_зв''язок'!$J$4:$J$1012,$O67)*IFERROR('Дані_зв''язок'!$H$4:$H$1012,0)))))</f>
        <v>3</v>
      </c>
      <c r="O67" s="30" t="s">
        <v>1555</v>
      </c>
      <c r="P67" s="24" cm="1">
        <f t="array" ref="P67">IF($O67="","",IF($B67="","",IFERROR(IF(MIN(IFERROR(VALUE(TRIM(MID(SUBSTITUTE(SUBSTITUTE($B67,","," ")," ",REPT(" ",30)),{1;31;61;91;121;151;181},30))),""))=0,"",MIN(IFERROR(VALUE(TRIM(MID(SUBSTITUTE(SUBSTITUTE($B67,","," ")," ",REPT(" ",30)),{1;31;61;91;121;151;181},30))),""))),"")))</f>
        <v>1</v>
      </c>
      <c r="Q67" s="23" t="str">
        <f t="shared" si="2"/>
        <v>Прилуки, Чернігівська обл., Привокзальну площа, 1</v>
      </c>
      <c r="R67" s="35">
        <f>IF($O67="","",IFERROR(INDEX('Координати майданчиків'!$H$4:$H$64,MATCH($T67,'Координати майданчиків'!$B$4:$B$64,0)),IFERROR(IF(ABS(INDEX(Геокодування!$C$2:$C$361,MATCH($Q67,Геокодування!$B$2:$B$361,0))-50.5884)+ABS(INDEX(Геокодування!$D$2:$D$361,MATCH($Q67,Геокодування!$B$2:$B$361,0))-32.3876)&gt;0.15,"",INDEX(Геокодування!$C$2:$C$361,MATCH($Q67,Геокодування!$B$2:$B$361,0))),IFERROR(IF(ABS(INDEX(Геокодування!$C$2:$C$361,MATCH("Прилуки, Чернігівська обл., "&amp;$A67,Геокодування!$B$2:$B$361,0))-50.5884)+ABS(INDEX(Геокодування!$D$2:$D$361,MATCH("Прилуки, Чернігівська обл., "&amp;$A67,Геокодування!$B$2:$B$361,0))-32.3876)&gt;0.15,"",INDEX(Геокодування!$C$2:$C$361,MATCH("Прилуки, Чернігівська обл., "&amp;$A67,Геокодування!$B$2:$B$361,0))),""))))</f>
        <v>50.58267</v>
      </c>
      <c r="S67" s="43">
        <f>IF($O67="","",IFERROR(INDEX('Координати майданчиків'!$I$4:$I$64,MATCH($T67,'Координати майданчиків'!$B$4:$B$64,0)),IFERROR(IF(ABS(INDEX(Геокодування!$C$2:$C$361,MATCH($Q67,Геокодування!$B$2:$B$361,0))-50.5884)+ABS(INDEX(Геокодування!$D$2:$D$361,MATCH($Q67,Геокодування!$B$2:$B$361,0))-32.3876)&gt;0.15,"",INDEX(Геокодування!$D$2:$D$361,MATCH($Q67,Геокодування!$B$2:$B$361,0))),IFERROR(IF(ABS(INDEX(Геокодування!$C$2:$C$361,MATCH("Прилуки, Чернігівська обл., "&amp;$A67,Геокодування!$B$2:$B$361,0))-50.5884)+ABS(INDEX(Геокодування!$D$2:$D$361,MATCH("Прилуки, Чернігівська обл., "&amp;$A67,Геокодування!$B$2:$B$361,0))-32.3876)&gt;0.15,"",INDEX(Геокодування!$D$2:$D$361,MATCH("Прилуки, Чернігівська обл., "&amp;$A67,Геокодування!$B$2:$B$361,0))),""))))</f>
        <v>32.384785000000001</v>
      </c>
      <c r="T67" s="44" t="str">
        <f>IF($O67="","",IFERROR(INDEX('Координати майданчиків'!$B$4:$B$64,MATCH($A67&amp;IF($P67="","",", "&amp;$P67),'Координати майданчиків'!$B$4:$B$64,0)),IFERROR(INDEX('Координати майданчиків'!$B$4:$B$64,MATCH($A67,'Координати майданчиків'!$B$4:$B$64,0)),"")))</f>
        <v/>
      </c>
    </row>
    <row r="68" spans="1:20" x14ac:dyDescent="0.35">
      <c r="A68" s="26" t="str">
        <f t="shared" si="0"/>
        <v>Привокзальну площа</v>
      </c>
      <c r="B68" s="26" t="str">
        <f t="shared" si="1"/>
        <v>Шкільний</v>
      </c>
      <c r="C68" s="27" t="str" cm="1">
        <f t="array" ref="C68">IF($O68="","",_xlfn.TEXTJOIN(", ",TRUE,IF(EXACT('Дані_зв''язок'!$J$4:$J$1012,$O68)*('Дані_зв''язок'!$C$4:$C$1012=C$4),'Дані_зв''язок'!$D$4:$D$1012,"")))</f>
        <v>7:50</v>
      </c>
      <c r="D68" s="27" t="str" cm="1">
        <f t="array" ref="D68">IF($O68="","",_xlfn.TEXTJOIN(", ",TRUE,IF(EXACT('Дані_зв''язок'!$J$4:$J$1012,$O68)*('Дані_зв''язок'!$C$4:$C$1012=D$4),'Дані_зв''язок'!$D$4:$D$1012,"")))</f>
        <v/>
      </c>
      <c r="E68" s="27" t="str" cm="1">
        <f t="array" ref="E68">IF($O68="","",_xlfn.TEXTJOIN(", ",TRUE,IF(EXACT('Дані_зв''язок'!$J$4:$J$1012,$O68)*('Дані_зв''язок'!$C$4:$C$1012=E$4),'Дані_зв''язок'!$D$4:$D$1012,"")))</f>
        <v/>
      </c>
      <c r="F68" s="27" t="str" cm="1">
        <f t="array" ref="F68">IF($O68="","",_xlfn.TEXTJOIN(", ",TRUE,IF(EXACT('Дані_зв''язок'!$J$4:$J$1012,$O68)*('Дані_зв''язок'!$C$4:$C$1012=F$4),'Дані_зв''язок'!$D$4:$D$1012,"")))</f>
        <v/>
      </c>
      <c r="G68" s="27" t="str" cm="1">
        <f t="array" ref="G68">IF($O68="","",_xlfn.TEXTJOIN(", ",TRUE,IF(EXACT('Дані_зв''язок'!$J$4:$J$1012,$O68)*('Дані_зв''язок'!$C$4:$C$1012=G$4),'Дані_зв''язок'!$D$4:$D$1012,"")))</f>
        <v/>
      </c>
      <c r="H68" s="27" t="str" cm="1">
        <f t="array" ref="H68">IF($O68="","",_xlfn.TEXTJOIN(", ",TRUE,IF(EXACT('Дані_зв''язок'!$J$4:$J$1012,$O68)*('Дані_зв''язок'!$C$4:$C$1012=H$4),'Дані_зв''язок'!$D$4:$D$1012,"")))</f>
        <v/>
      </c>
      <c r="I68" s="27" t="str" cm="1">
        <f t="array" ref="I68">IF($O68="","",_xlfn.TEXTJOIN(", ",TRUE,IF(EXACT('Дані_зв''язок'!$J$4:$J$1012,$O68)*('Дані_зв''язок'!$C$4:$C$1012=I$4),'Дані_зв''язок'!$D$4:$D$1012,"")))</f>
        <v/>
      </c>
      <c r="J68" s="27" cm="1">
        <f t="array" ref="J68">IF($O68="","",COUNTIF(C68:I68,"?*")+SUMPRODUCT(LEN(C68:I68)-LEN(SUBSTITUTE(C68:I68,",",""))))</f>
        <v>1</v>
      </c>
      <c r="K68" s="28" t="str" cm="1">
        <f t="array" ref="K68">IF($O68="","",_xlfn.TEXTJOIN(", ",TRUE,IF(EXACT('Дані_зв''язок'!$J$4:$J$1012,$O68),'Дані_зв''язок'!$L$4:$L$1012,"")))</f>
        <v>№1</v>
      </c>
      <c r="L68" s="28" t="str" cm="1">
        <f t="array" ref="L68">IF($O68="","",_xlfn.TEXTJOIN(", ",TRUE,IF(EXACT('Дані_зв''язок'!$J$4:$J$1012,$O68),'Дані_зв''язок'!$M$4:$M$1012,"")))</f>
        <v>АТ-4021/1120</v>
      </c>
      <c r="M68" s="27" cm="1">
        <f t="array" ref="M68">IF($O68="","",IF(SUMPRODUCT(MAX(EXACT('Дані_зв''язок'!$J$4:$J$1012,$O68)*IFERROR('Дані_зв''язок'!$H$4:$H$1012,0)))=0,"",SUMPRODUCT(MAX(EXACT('Дані_зв''язок'!$J$4:$J$1012,$O68)*IFERROR('Дані_зв''язок'!$H$4:$H$1012,0)))))</f>
        <v>1</v>
      </c>
      <c r="O68" s="30" t="s">
        <v>1556</v>
      </c>
      <c r="P68" s="24" t="str" cm="1">
        <f t="array" ref="P68">IF($O68="","",IF($B68="","",IFERROR(IF(MIN(IFERROR(VALUE(TRIM(MID(SUBSTITUTE(SUBSTITUTE($B68,","," ")," ",REPT(" ",30)),{1;31;61;91;121;151;181},30))),""))=0,"",MIN(IFERROR(VALUE(TRIM(MID(SUBSTITUTE(SUBSTITUTE($B68,","," ")," ",REPT(" ",30)),{1;31;61;91;121;151;181},30))),""))),"")))</f>
        <v/>
      </c>
      <c r="Q68" s="23" t="str">
        <f t="shared" si="2"/>
        <v>Прилуки, Чернігівська обл., Привокзальну площа</v>
      </c>
      <c r="R68" s="35">
        <f>IF($O68="","",IFERROR(INDEX('Координати майданчиків'!$H$4:$H$64,MATCH($T68,'Координати майданчиків'!$B$4:$B$64,0)),IFERROR(IF(ABS(INDEX(Геокодування!$C$2:$C$361,MATCH($Q68,Геокодування!$B$2:$B$361,0))-50.5884)+ABS(INDEX(Геокодування!$D$2:$D$361,MATCH($Q68,Геокодування!$B$2:$B$361,0))-32.3876)&gt;0.15,"",INDEX(Геокодування!$C$2:$C$361,MATCH($Q68,Геокодування!$B$2:$B$361,0))),IFERROR(IF(ABS(INDEX(Геокодування!$C$2:$C$361,MATCH("Прилуки, Чернігівська обл., "&amp;$A68,Геокодування!$B$2:$B$361,0))-50.5884)+ABS(INDEX(Геокодування!$D$2:$D$361,MATCH("Прилуки, Чернігівська обл., "&amp;$A68,Геокодування!$B$2:$B$361,0))-32.3876)&gt;0.15,"",INDEX(Геокодування!$C$2:$C$361,MATCH("Прилуки, Чернігівська обл., "&amp;$A68,Геокодування!$B$2:$B$361,0))),""))))</f>
        <v>50.58267</v>
      </c>
      <c r="S68" s="43">
        <f>IF($O68="","",IFERROR(INDEX('Координати майданчиків'!$I$4:$I$64,MATCH($T68,'Координати майданчиків'!$B$4:$B$64,0)),IFERROR(IF(ABS(INDEX(Геокодування!$C$2:$C$361,MATCH($Q68,Геокодування!$B$2:$B$361,0))-50.5884)+ABS(INDEX(Геокодування!$D$2:$D$361,MATCH($Q68,Геокодування!$B$2:$B$361,0))-32.3876)&gt;0.15,"",INDEX(Геокодування!$D$2:$D$361,MATCH($Q68,Геокодування!$B$2:$B$361,0))),IFERROR(IF(ABS(INDEX(Геокодування!$C$2:$C$361,MATCH("Прилуки, Чернігівська обл., "&amp;$A68,Геокодування!$B$2:$B$361,0))-50.5884)+ABS(INDEX(Геокодування!$D$2:$D$361,MATCH("Прилуки, Чернігівська обл., "&amp;$A68,Геокодування!$B$2:$B$361,0))-32.3876)&gt;0.15,"",INDEX(Геокодування!$D$2:$D$361,MATCH("Прилуки, Чернігівська обл., "&amp;$A68,Геокодування!$B$2:$B$361,0))),""))))</f>
        <v>32.384785000000001</v>
      </c>
      <c r="T68" s="44" t="str">
        <f>IF($O68="","",IFERROR(INDEX('Координати майданчиків'!$B$4:$B$64,MATCH($A68&amp;IF($P68="","",", "&amp;$P68),'Координати майданчиків'!$B$4:$B$64,0)),IFERROR(INDEX('Координати майданчиків'!$B$4:$B$64,MATCH($A68,'Координати майданчиків'!$B$4:$B$64,0)),"")))</f>
        <v/>
      </c>
    </row>
    <row r="69" spans="1:20" x14ac:dyDescent="0.35">
      <c r="A69" s="26" t="str">
        <f t="shared" si="0"/>
        <v>Скоропадського</v>
      </c>
      <c r="B69" s="26" t="str">
        <f t="shared" si="1"/>
        <v/>
      </c>
      <c r="C69" s="27" t="str" cm="1">
        <f t="array" ref="C69">IF($O69="","",_xlfn.TEXTJOIN(", ",TRUE,IF(EXACT('Дані_зв''язок'!$J$4:$J$1012,$O69)*('Дані_зв''язок'!$C$4:$C$1012=C$4),'Дані_зв''язок'!$D$4:$D$1012,"")))</f>
        <v>8:10</v>
      </c>
      <c r="D69" s="27" t="str" cm="1">
        <f t="array" ref="D69">IF($O69="","",_xlfn.TEXTJOIN(", ",TRUE,IF(EXACT('Дані_зв''язок'!$J$4:$J$1012,$O69)*('Дані_зв''язок'!$C$4:$C$1012=D$4),'Дані_зв''язок'!$D$4:$D$1012,"")))</f>
        <v>8:25</v>
      </c>
      <c r="E69" s="27" t="str" cm="1">
        <f t="array" ref="E69">IF($O69="","",_xlfn.TEXTJOIN(", ",TRUE,IF(EXACT('Дані_зв''язок'!$J$4:$J$1012,$O69)*('Дані_зв''язок'!$C$4:$C$1012=E$4),'Дані_зв''язок'!$D$4:$D$1012,"")))</f>
        <v/>
      </c>
      <c r="F69" s="27" t="str" cm="1">
        <f t="array" ref="F69">IF($O69="","",_xlfn.TEXTJOIN(", ",TRUE,IF(EXACT('Дані_зв''язок'!$J$4:$J$1012,$O69)*('Дані_зв''язок'!$C$4:$C$1012=F$4),'Дані_зв''язок'!$D$4:$D$1012,"")))</f>
        <v/>
      </c>
      <c r="G69" s="27" t="str" cm="1">
        <f t="array" ref="G69">IF($O69="","",_xlfn.TEXTJOIN(", ",TRUE,IF(EXACT('Дані_зв''язок'!$J$4:$J$1012,$O69)*('Дані_зв''язок'!$C$4:$C$1012=G$4),'Дані_зв''язок'!$D$4:$D$1012,"")))</f>
        <v/>
      </c>
      <c r="H69" s="27" t="str" cm="1">
        <f t="array" ref="H69">IF($O69="","",_xlfn.TEXTJOIN(", ",TRUE,IF(EXACT('Дані_зв''язок'!$J$4:$J$1012,$O69)*('Дані_зв''язок'!$C$4:$C$1012=H$4),'Дані_зв''язок'!$D$4:$D$1012,"")))</f>
        <v/>
      </c>
      <c r="I69" s="27" t="str" cm="1">
        <f t="array" ref="I69">IF($O69="","",_xlfn.TEXTJOIN(", ",TRUE,IF(EXACT('Дані_зв''язок'!$J$4:$J$1012,$O69)*('Дані_зв''язок'!$C$4:$C$1012=I$4),'Дані_зв''язок'!$D$4:$D$1012,"")))</f>
        <v/>
      </c>
      <c r="J69" s="27" cm="1">
        <f t="array" ref="J69">IF($O69="","",COUNTIF(C69:I69,"?*")+SUMPRODUCT(LEN(C69:I69)-LEN(SUBSTITUTE(C69:I69,",",""))))</f>
        <v>2</v>
      </c>
      <c r="K69" s="28" t="str" cm="1">
        <f t="array" ref="K69">IF($O69="","",_xlfn.TEXTJOIN(", ",TRUE,IF(EXACT('Дані_зв''язок'!$J$4:$J$1012,$O69),'Дані_зв''язок'!$L$4:$L$1012,"")))</f>
        <v>№3</v>
      </c>
      <c r="L69" s="28" t="str" cm="1">
        <f t="array" ref="L69">IF($O69="","",_xlfn.TEXTJOIN(", ",TRUE,IF(EXACT('Дані_зв''язок'!$J$4:$J$1012,$O69),'Дані_зв''язок'!$M$4:$M$1012,"")))</f>
        <v>МАЗ-4371</v>
      </c>
      <c r="M69" s="27" cm="1">
        <f t="array" ref="M69">IF($O69="","",IF(SUMPRODUCT(MAX(EXACT('Дані_зв''язок'!$J$4:$J$1012,$O69)*IFERROR('Дані_зв''язок'!$H$4:$H$1012,0)))=0,"",SUMPRODUCT(MAX(EXACT('Дані_зв''язок'!$J$4:$J$1012,$O69)*IFERROR('Дані_зв''язок'!$H$4:$H$1012,0)))))</f>
        <v>3</v>
      </c>
      <c r="O69" s="30" t="s">
        <v>1593</v>
      </c>
      <c r="P69" s="24" t="str" cm="1">
        <f t="array" ref="P69">IF($O69="","",IF($B69="","",IFERROR(IF(MIN(IFERROR(VALUE(TRIM(MID(SUBSTITUTE(SUBSTITUTE($B69,","," ")," ",REPT(" ",30)),{1;31;61;91;121;151;181},30))),""))=0,"",MIN(IFERROR(VALUE(TRIM(MID(SUBSTITUTE(SUBSTITUTE($B69,","," ")," ",REPT(" ",30)),{1;31;61;91;121;151;181},30))),""))),"")))</f>
        <v/>
      </c>
      <c r="Q69" s="23" t="str">
        <f t="shared" si="2"/>
        <v>Прилуки, Чернігівська обл., Скоропадського</v>
      </c>
      <c r="R69" s="67" t="s">
        <v>1788</v>
      </c>
      <c r="S69" s="67" t="s">
        <v>1789</v>
      </c>
      <c r="T69" s="44" t="str">
        <f>IF($O69="","",IFERROR(INDEX('Координати майданчиків'!$B$4:$B$64,MATCH($A69&amp;IF($P69="","",", "&amp;$P69),'Координати майданчиків'!$B$4:$B$64,0)),IFERROR(INDEX('Координати майданчиків'!$B$4:$B$64,MATCH($A69,'Координати майданчиків'!$B$4:$B$64,0)),"")))</f>
        <v/>
      </c>
    </row>
    <row r="70" spans="1:20" x14ac:dyDescent="0.35">
      <c r="A70" s="26" t="str">
        <f t="shared" ref="A70:A133" si="3">IF($O70="","",LEFT($O70,FIND("|",$O70)-1))</f>
        <v>в'їзд Густинський</v>
      </c>
      <c r="B70" s="26" t="str">
        <f t="shared" ref="B70:B133" si="4">IF($O70="","",MID($O70,FIND("|",$O70)+1,999))</f>
        <v>8,1</v>
      </c>
      <c r="C70" s="27" t="str" cm="1">
        <f t="array" ref="C70">IF($O70="","",_xlfn.TEXTJOIN(", ",TRUE,IF(EXACT('Дані_зв''язок'!$J$4:$J$1012,$O70)*('Дані_зв''язок'!$C$4:$C$1012=C$4),'Дані_зв''язок'!$D$4:$D$1012,"")))</f>
        <v/>
      </c>
      <c r="D70" s="27" t="str" cm="1">
        <f t="array" ref="D70">IF($O70="","",_xlfn.TEXTJOIN(", ",TRUE,IF(EXACT('Дані_зв''язок'!$J$4:$J$1012,$O70)*('Дані_зв''язок'!$C$4:$C$1012=D$4),'Дані_зв''язок'!$D$4:$D$1012,"")))</f>
        <v/>
      </c>
      <c r="E70" s="27" t="str" cm="1">
        <f t="array" ref="E70">IF($O70="","",_xlfn.TEXTJOIN(", ",TRUE,IF(EXACT('Дані_зв''язок'!$J$4:$J$1012,$O70)*('Дані_зв''язок'!$C$4:$C$1012=E$4),'Дані_зв''язок'!$D$4:$D$1012,"")))</f>
        <v/>
      </c>
      <c r="F70" s="27" t="str" cm="1">
        <f t="array" ref="F70">IF($O70="","",_xlfn.TEXTJOIN(", ",TRUE,IF(EXACT('Дані_зв''язок'!$J$4:$J$1012,$O70)*('Дані_зв''язок'!$C$4:$C$1012=F$4),'Дані_зв''язок'!$D$4:$D$1012,"")))</f>
        <v>9:10</v>
      </c>
      <c r="G70" s="27" t="str" cm="1">
        <f t="array" ref="G70">IF($O70="","",_xlfn.TEXTJOIN(", ",TRUE,IF(EXACT('Дані_зв''язок'!$J$4:$J$1012,$O70)*('Дані_зв''язок'!$C$4:$C$1012=G$4),'Дані_зв''язок'!$D$4:$D$1012,"")))</f>
        <v/>
      </c>
      <c r="H70" s="27" t="str" cm="1">
        <f t="array" ref="H70">IF($O70="","",_xlfn.TEXTJOIN(", ",TRUE,IF(EXACT('Дані_зв''язок'!$J$4:$J$1012,$O70)*('Дані_зв''язок'!$C$4:$C$1012=H$4),'Дані_зв''язок'!$D$4:$D$1012,"")))</f>
        <v/>
      </c>
      <c r="I70" s="27" t="str" cm="1">
        <f t="array" ref="I70">IF($O70="","",_xlfn.TEXTJOIN(", ",TRUE,IF(EXACT('Дані_зв''язок'!$J$4:$J$1012,$O70)*('Дані_зв''язок'!$C$4:$C$1012=I$4),'Дані_зв''язок'!$D$4:$D$1012,"")))</f>
        <v/>
      </c>
      <c r="J70" s="27" cm="1">
        <f t="array" ref="J70">IF($O70="","",COUNTIF(C70:I70,"?*")+SUMPRODUCT(LEN(C70:I70)-LEN(SUBSTITUTE(C70:I70,",",""))))</f>
        <v>1</v>
      </c>
      <c r="K70" s="28" t="str" cm="1">
        <f t="array" ref="K70">IF($O70="","",_xlfn.TEXTJOIN(", ",TRUE,IF(EXACT('Дані_зв''язок'!$J$4:$J$1012,$O70),'Дані_зв''язок'!$L$4:$L$1012,"")))</f>
        <v>№6</v>
      </c>
      <c r="L70" s="28" t="str" cm="1">
        <f t="array" ref="L70">IF($O70="","",_xlfn.TEXTJOIN(", ",TRUE,IF(EXACT('Дані_зв''язок'!$J$4:$J$1012,$O70),'Дані_зв''язок'!$M$4:$M$1012,"")))</f>
        <v>АТ 4021</v>
      </c>
      <c r="M70" s="27" t="str" cm="1">
        <f t="array" ref="M70">IF($O70="","",IF(SUMPRODUCT(MAX(EXACT('Дані_зв''язок'!$J$4:$J$1012,$O70)*IFERROR('Дані_зв''язок'!$H$4:$H$1012,0)))=0,"",SUMPRODUCT(MAX(EXACT('Дані_зв''язок'!$J$4:$J$1012,$O70)*IFERROR('Дані_зв''язок'!$H$4:$H$1012,0)))))</f>
        <v/>
      </c>
      <c r="O70" s="30" t="s">
        <v>1193</v>
      </c>
      <c r="P70" s="24" cm="1">
        <f t="array" ref="P70">IF($O70="","",IF($B70="","",IFERROR(IF(MIN(IFERROR(VALUE(TRIM(MID(SUBSTITUTE(SUBSTITUTE($B70,","," ")," ",REPT(" ",30)),{1;31;61;91;121;151;181},30))),""))=0,"",MIN(IFERROR(VALUE(TRIM(MID(SUBSTITUTE(SUBSTITUTE($B70,","," ")," ",REPT(" ",30)),{1;31;61;91;121;151;181},30))),""))),"")))</f>
        <v>1</v>
      </c>
      <c r="Q70" s="23" t="str">
        <f t="shared" ref="Q70:Q133" si="5">IF($O70="","","Прилуки, Чернігівська обл., "&amp;$A70&amp;IF($P70="","",", "&amp;$P70))</f>
        <v>Прилуки, Чернігівська обл., в'їзд Густинський, 1</v>
      </c>
      <c r="R70" s="35">
        <f>IF($O70="","",IFERROR(INDEX('Координати майданчиків'!$H$4:$H$64,MATCH($T70,'Координати майданчиків'!$B$4:$B$64,0)),IFERROR(IF(ABS(INDEX(Геокодування!$C$2:$C$361,MATCH($Q70,Геокодування!$B$2:$B$361,0))-50.5884)+ABS(INDEX(Геокодування!$D$2:$D$361,MATCH($Q70,Геокодування!$B$2:$B$361,0))-32.3876)&gt;0.15,"",INDEX(Геокодування!$C$2:$C$361,MATCH($Q70,Геокодування!$B$2:$B$361,0))),IFERROR(IF(ABS(INDEX(Геокодування!$C$2:$C$361,MATCH("Прилуки, Чернігівська обл., "&amp;$A70,Геокодування!$B$2:$B$361,0))-50.5884)+ABS(INDEX(Геокодування!$D$2:$D$361,MATCH("Прилуки, Чернігівська обл., "&amp;$A70,Геокодування!$B$2:$B$361,0))-32.3876)&gt;0.15,"",INDEX(Геокодування!$C$2:$C$361,MATCH("Прилуки, Чернігівська обл., "&amp;$A70,Геокодування!$B$2:$B$361,0))),""))))</f>
        <v>50.612611000000001</v>
      </c>
      <c r="S70" s="43">
        <f>IF($O70="","",IFERROR(INDEX('Координати майданчиків'!$I$4:$I$64,MATCH($T70,'Координати майданчиків'!$B$4:$B$64,0)),IFERROR(IF(ABS(INDEX(Геокодування!$C$2:$C$361,MATCH($Q70,Геокодування!$B$2:$B$361,0))-50.5884)+ABS(INDEX(Геокодування!$D$2:$D$361,MATCH($Q70,Геокодування!$B$2:$B$361,0))-32.3876)&gt;0.15,"",INDEX(Геокодування!$D$2:$D$361,MATCH($Q70,Геокодування!$B$2:$B$361,0))),IFERROR(IF(ABS(INDEX(Геокодування!$C$2:$C$361,MATCH("Прилуки, Чернігівська обл., "&amp;$A70,Геокодування!$B$2:$B$361,0))-50.5884)+ABS(INDEX(Геокодування!$D$2:$D$361,MATCH("Прилуки, Чернігівська обл., "&amp;$A70,Геокодування!$B$2:$B$361,0))-32.3876)&gt;0.15,"",INDEX(Геокодування!$D$2:$D$361,MATCH("Прилуки, Чернігівська обл., "&amp;$A70,Геокодування!$B$2:$B$361,0))),""))))</f>
        <v>32.392440000000001</v>
      </c>
      <c r="T70" s="44" t="str">
        <f>IF($O70="","",IFERROR(INDEX('Координати майданчиків'!$B$4:$B$64,MATCH($A70&amp;IF($P70="","",", "&amp;$P70),'Координати майданчиків'!$B$4:$B$64,0)),IFERROR(INDEX('Координати майданчиків'!$B$4:$B$64,MATCH($A70,'Координати майданчиків'!$B$4:$B$64,0)),"")))</f>
        <v/>
      </c>
    </row>
    <row r="71" spans="1:20" ht="25" x14ac:dyDescent="0.35">
      <c r="A71" s="26" t="str">
        <f t="shared" si="3"/>
        <v>в/м 12</v>
      </c>
      <c r="B71" s="26" t="str">
        <f t="shared" si="4"/>
        <v/>
      </c>
      <c r="C71" s="27" t="str" cm="1">
        <f t="array" ref="C71">IF($O71="","",_xlfn.TEXTJOIN(", ",TRUE,IF(EXACT('Дані_зв''язок'!$J$4:$J$1012,$O71)*('Дані_зв''язок'!$C$4:$C$1012=C$4),'Дані_зв''язок'!$D$4:$D$1012,"")))</f>
        <v>14:40, ×</v>
      </c>
      <c r="D71" s="27" t="str" cm="1">
        <f t="array" ref="D71">IF($O71="","",_xlfn.TEXTJOIN(", ",TRUE,IF(EXACT('Дані_зв''язок'!$J$4:$J$1012,$O71)*('Дані_зв''язок'!$C$4:$C$1012=D$4),'Дані_зв''язок'!$D$4:$D$1012,"")))</f>
        <v>15:00</v>
      </c>
      <c r="E71" s="27" t="str" cm="1">
        <f t="array" ref="E71">IF($O71="","",_xlfn.TEXTJOIN(", ",TRUE,IF(EXACT('Дані_зв''язок'!$J$4:$J$1012,$O71)*('Дані_зв''язок'!$C$4:$C$1012=E$4),'Дані_зв''язок'!$D$4:$D$1012,"")))</f>
        <v>15:15</v>
      </c>
      <c r="F71" s="27" t="str" cm="1">
        <f t="array" ref="F71">IF($O71="","",_xlfn.TEXTJOIN(", ",TRUE,IF(EXACT('Дані_зв''язок'!$J$4:$J$1012,$O71)*('Дані_зв''язок'!$C$4:$C$1012=F$4),'Дані_зв''язок'!$D$4:$D$1012,"")))</f>
        <v>14:40</v>
      </c>
      <c r="G71" s="27" t="str" cm="1">
        <f t="array" ref="G71">IF($O71="","",_xlfn.TEXTJOIN(", ",TRUE,IF(EXACT('Дані_зв''язок'!$J$4:$J$1012,$O71)*('Дані_зв''язок'!$C$4:$C$1012=G$4),'Дані_зв''язок'!$D$4:$D$1012,"")))</f>
        <v>14:40</v>
      </c>
      <c r="H71" s="27" t="str" cm="1">
        <f t="array" ref="H71">IF($O71="","",_xlfn.TEXTJOIN(", ",TRUE,IF(EXACT('Дані_зв''язок'!$J$4:$J$1012,$O71)*('Дані_зв''язок'!$C$4:$C$1012=H$4),'Дані_зв''язок'!$D$4:$D$1012,"")))</f>
        <v>15:15</v>
      </c>
      <c r="I71" s="27" t="str" cm="1">
        <f t="array" ref="I71">IF($O71="","",_xlfn.TEXTJOIN(", ",TRUE,IF(EXACT('Дані_зв''язок'!$J$4:$J$1012,$O71)*('Дані_зв''язок'!$C$4:$C$1012=I$4),'Дані_зв''язок'!$D$4:$D$1012,"")))</f>
        <v>7:20</v>
      </c>
      <c r="J71" s="27" cm="1">
        <f t="array" ref="J71">IF($O71="","",COUNTIF(C71:I71,"?*")+SUMPRODUCT(LEN(C71:I71)-LEN(SUBSTITUTE(C71:I71,",",""))))</f>
        <v>8</v>
      </c>
      <c r="K71" s="28" t="str" cm="1">
        <f t="array" ref="K71">IF($O71="","",_xlfn.TEXTJOIN(", ",TRUE,IF(EXACT('Дані_зв''язок'!$J$4:$J$1012,$O71),'Дані_зв''язок'!$L$4:$L$1012,"")))</f>
        <v>№4, №2 (ВГВ)</v>
      </c>
      <c r="L71" s="28" t="str" cm="1">
        <f t="array" ref="L71">IF($O71="","",_xlfn.TEXTJOIN(", ",TRUE,IF(EXACT('Дані_зв''язок'!$J$4:$J$1012,$O71),'Дані_зв''язок'!$M$4:$M$1012,"")))</f>
        <v>АТ 40-42/ROD21003, Рено Лендер, ГАЗ 3309</v>
      </c>
      <c r="M71" s="27" cm="1">
        <f t="array" ref="M71">IF($O71="","",IF(SUMPRODUCT(MAX(EXACT('Дані_зв''язок'!$J$4:$J$1012,$O71)*IFERROR('Дані_зв''язок'!$H$4:$H$1012,0)))=0,"",SUMPRODUCT(MAX(EXACT('Дані_зв''язок'!$J$4:$J$1012,$O71)*IFERROR('Дані_зв''язок'!$H$4:$H$1012,0)))))</f>
        <v>4</v>
      </c>
      <c r="O71" s="30" t="s">
        <v>1187</v>
      </c>
      <c r="P71" s="24" t="str" cm="1">
        <f t="array" ref="P71">IF($O71="","",IF($B71="","",IFERROR(IF(MIN(IFERROR(VALUE(TRIM(MID(SUBSTITUTE(SUBSTITUTE($B71,","," ")," ",REPT(" ",30)),{1;31;61;91;121;151;181},30))),""))=0,"",MIN(IFERROR(VALUE(TRIM(MID(SUBSTITUTE(SUBSTITUTE($B71,","," ")," ",REPT(" ",30)),{1;31;61;91;121;151;181},30))),""))),"")))</f>
        <v/>
      </c>
      <c r="Q71" s="23" t="str">
        <f t="shared" si="5"/>
        <v>Прилуки, Чернігівська обл., в/м 12</v>
      </c>
      <c r="R71" s="35">
        <f>IF($O71="","",IFERROR(INDEX('Координати майданчиків'!$H$4:$H$64,MATCH($T71,'Координати майданчиків'!$B$4:$B$64,0)),IFERROR(IF(ABS(INDEX(Геокодування!$C$2:$C$361,MATCH($Q71,Геокодування!$B$2:$B$361,0))-50.5884)+ABS(INDEX(Геокодування!$D$2:$D$361,MATCH($Q71,Геокодування!$B$2:$B$361,0))-32.3876)&gt;0.15,"",INDEX(Геокодування!$C$2:$C$361,MATCH($Q71,Геокодування!$B$2:$B$361,0))),IFERROR(IF(ABS(INDEX(Геокодування!$C$2:$C$361,MATCH("Прилуки, Чернігівська обл., "&amp;$A71,Геокодування!$B$2:$B$361,0))-50.5884)+ABS(INDEX(Геокодування!$D$2:$D$361,MATCH("Прилуки, Чернігівська обл., "&amp;$A71,Геокодування!$B$2:$B$361,0))-32.3876)&gt;0.15,"",INDEX(Геокодування!$C$2:$C$361,MATCH("Прилуки, Чернігівська обл., "&amp;$A71,Геокодування!$B$2:$B$361,0))),""))))</f>
        <v>50.587344000000002</v>
      </c>
      <c r="S71" s="43">
        <f>IF($O71="","",IFERROR(INDEX('Координати майданчиків'!$I$4:$I$64,MATCH($T71,'Координати майданчиків'!$B$4:$B$64,0)),IFERROR(IF(ABS(INDEX(Геокодування!$C$2:$C$361,MATCH($Q71,Геокодування!$B$2:$B$361,0))-50.5884)+ABS(INDEX(Геокодування!$D$2:$D$361,MATCH($Q71,Геокодування!$B$2:$B$361,0))-32.3876)&gt;0.15,"",INDEX(Геокодування!$D$2:$D$361,MATCH($Q71,Геокодування!$B$2:$B$361,0))),IFERROR(IF(ABS(INDEX(Геокодування!$C$2:$C$361,MATCH("Прилуки, Чернігівська обл., "&amp;$A71,Геокодування!$B$2:$B$361,0))-50.5884)+ABS(INDEX(Геокодування!$D$2:$D$361,MATCH("Прилуки, Чернігівська обл., "&amp;$A71,Геокодування!$B$2:$B$361,0))-32.3876)&gt;0.15,"",INDEX(Геокодування!$D$2:$D$361,MATCH("Прилуки, Чернігівська обл., "&amp;$A71,Геокодування!$B$2:$B$361,0))),""))))</f>
        <v>32.356355999999998</v>
      </c>
      <c r="T71" s="44" t="str">
        <f>IF($O71="","",IFERROR(INDEX('Координати майданчиків'!$B$4:$B$64,MATCH($A71&amp;IF($P71="","",", "&amp;$P71),'Координати майданчиків'!$B$4:$B$64,0)),IFERROR(INDEX('Координати майданчиків'!$B$4:$B$64,MATCH($A71,'Координати майданчиків'!$B$4:$B$64,0)),"")))</f>
        <v/>
      </c>
    </row>
    <row r="72" spans="1:20" x14ac:dyDescent="0.35">
      <c r="A72" s="26" t="str">
        <f t="shared" si="3"/>
        <v>в/м 17</v>
      </c>
      <c r="B72" s="26" t="str">
        <f t="shared" si="4"/>
        <v/>
      </c>
      <c r="C72" s="27" t="str" cm="1">
        <f t="array" ref="C72">IF($O72="","",_xlfn.TEXTJOIN(", ",TRUE,IF(EXACT('Дані_зв''язок'!$J$4:$J$1012,$O72)*('Дані_зв''язок'!$C$4:$C$1012=C$4),'Дані_зв''язок'!$D$4:$D$1012,"")))</f>
        <v/>
      </c>
      <c r="D72" s="27" t="str" cm="1">
        <f t="array" ref="D72">IF($O72="","",_xlfn.TEXTJOIN(", ",TRUE,IF(EXACT('Дані_зв''язок'!$J$4:$J$1012,$O72)*('Дані_зв''язок'!$C$4:$C$1012=D$4),'Дані_зв''язок'!$D$4:$D$1012,"")))</f>
        <v/>
      </c>
      <c r="E72" s="27" t="str" cm="1">
        <f t="array" ref="E72">IF($O72="","",_xlfn.TEXTJOIN(", ",TRUE,IF(EXACT('Дані_зв''язок'!$J$4:$J$1012,$O72)*('Дані_зв''язок'!$C$4:$C$1012=E$4),'Дані_зв''язок'!$D$4:$D$1012,"")))</f>
        <v>14:50</v>
      </c>
      <c r="F72" s="27" t="str" cm="1">
        <f t="array" ref="F72">IF($O72="","",_xlfn.TEXTJOIN(", ",TRUE,IF(EXACT('Дані_зв''язок'!$J$4:$J$1012,$O72)*('Дані_зв''язок'!$C$4:$C$1012=F$4),'Дані_зв''язок'!$D$4:$D$1012,"")))</f>
        <v/>
      </c>
      <c r="G72" s="27" t="str" cm="1">
        <f t="array" ref="G72">IF($O72="","",_xlfn.TEXTJOIN(", ",TRUE,IF(EXACT('Дані_зв''язок'!$J$4:$J$1012,$O72)*('Дані_зв''язок'!$C$4:$C$1012=G$4),'Дані_зв''язок'!$D$4:$D$1012,"")))</f>
        <v/>
      </c>
      <c r="H72" s="27" t="str" cm="1">
        <f t="array" ref="H72">IF($O72="","",_xlfn.TEXTJOIN(", ",TRUE,IF(EXACT('Дані_зв''язок'!$J$4:$J$1012,$O72)*('Дані_зв''язок'!$C$4:$C$1012=H$4),'Дані_зв''язок'!$D$4:$D$1012,"")))</f>
        <v>14:50</v>
      </c>
      <c r="I72" s="27" t="str" cm="1">
        <f t="array" ref="I72">IF($O72="","",_xlfn.TEXTJOIN(", ",TRUE,IF(EXACT('Дані_зв''язок'!$J$4:$J$1012,$O72)*('Дані_зв''язок'!$C$4:$C$1012=I$4),'Дані_зв''язок'!$D$4:$D$1012,"")))</f>
        <v/>
      </c>
      <c r="J72" s="27" cm="1">
        <f t="array" ref="J72">IF($O72="","",COUNTIF(C72:I72,"?*")+SUMPRODUCT(LEN(C72:I72)-LEN(SUBSTITUTE(C72:I72,",",""))))</f>
        <v>2</v>
      </c>
      <c r="K72" s="28" t="str" cm="1">
        <f t="array" ref="K72">IF($O72="","",_xlfn.TEXTJOIN(", ",TRUE,IF(EXACT('Дані_зв''язок'!$J$4:$J$1012,$O72),'Дані_зв''язок'!$L$4:$L$1012,"")))</f>
        <v>№4</v>
      </c>
      <c r="L72" s="28" t="str" cm="1">
        <f t="array" ref="L72">IF($O72="","",_xlfn.TEXTJOIN(", ",TRUE,IF(EXACT('Дані_зв''язок'!$J$4:$J$1012,$O72),'Дані_зв''язок'!$M$4:$M$1012,"")))</f>
        <v>ГАЗ 3309</v>
      </c>
      <c r="M72" s="27" cm="1">
        <f t="array" ref="M72">IF($O72="","",IF(SUMPRODUCT(MAX(EXACT('Дані_зв''язок'!$J$4:$J$1012,$O72)*IFERROR('Дані_зв''язок'!$H$4:$H$1012,0)))=0,"",SUMPRODUCT(MAX(EXACT('Дані_зв''язок'!$J$4:$J$1012,$O72)*IFERROR('Дані_зв''язок'!$H$4:$H$1012,0)))))</f>
        <v>2</v>
      </c>
      <c r="O72" s="30" t="s">
        <v>1189</v>
      </c>
      <c r="P72" s="24" t="str" cm="1">
        <f t="array" ref="P72">IF($O72="","",IF($B72="","",IFERROR(IF(MIN(IFERROR(VALUE(TRIM(MID(SUBSTITUTE(SUBSTITUTE($B72,","," ")," ",REPT(" ",30)),{1;31;61;91;121;151;181},30))),""))=0,"",MIN(IFERROR(VALUE(TRIM(MID(SUBSTITUTE(SUBSTITUTE($B72,","," ")," ",REPT(" ",30)),{1;31;61;91;121;151;181},30))),""))),"")))</f>
        <v/>
      </c>
      <c r="Q72" s="23" t="str">
        <f t="shared" si="5"/>
        <v>Прилуки, Чернігівська обл., в/м 17</v>
      </c>
      <c r="R72" s="35">
        <f>IF($O72="","",IFERROR(INDEX('Координати майданчиків'!$H$4:$H$64,MATCH($T72,'Координати майданчиків'!$B$4:$B$64,0)),IFERROR(IF(ABS(INDEX(Геокодування!$C$2:$C$361,MATCH($Q72,Геокодування!$B$2:$B$361,0))-50.5884)+ABS(INDEX(Геокодування!$D$2:$D$361,MATCH($Q72,Геокодування!$B$2:$B$361,0))-32.3876)&gt;0.15,"",INDEX(Геокодування!$C$2:$C$361,MATCH($Q72,Геокодування!$B$2:$B$361,0))),IFERROR(IF(ABS(INDEX(Геокодування!$C$2:$C$361,MATCH("Прилуки, Чернігівська обл., "&amp;$A72,Геокодування!$B$2:$B$361,0))-50.5884)+ABS(INDEX(Геокодування!$D$2:$D$361,MATCH("Прилуки, Чернігівська обл., "&amp;$A72,Геокодування!$B$2:$B$361,0))-32.3876)&gt;0.15,"",INDEX(Геокодування!$C$2:$C$361,MATCH("Прилуки, Чернігівська обл., "&amp;$A72,Геокодування!$B$2:$B$361,0))),""))))</f>
        <v>50.578887999999999</v>
      </c>
      <c r="S72" s="43">
        <f>IF($O72="","",IFERROR(INDEX('Координати майданчиків'!$I$4:$I$64,MATCH($T72,'Координати майданчиків'!$B$4:$B$64,0)),IFERROR(IF(ABS(INDEX(Геокодування!$C$2:$C$361,MATCH($Q72,Геокодування!$B$2:$B$361,0))-50.5884)+ABS(INDEX(Геокодування!$D$2:$D$361,MATCH($Q72,Геокодування!$B$2:$B$361,0))-32.3876)&gt;0.15,"",INDEX(Геокодування!$D$2:$D$361,MATCH($Q72,Геокодування!$B$2:$B$361,0))),IFERROR(IF(ABS(INDEX(Геокодування!$C$2:$C$361,MATCH("Прилуки, Чернігівська обл., "&amp;$A72,Геокодування!$B$2:$B$361,0))-50.5884)+ABS(INDEX(Геокодування!$D$2:$D$361,MATCH("Прилуки, Чернігівська обл., "&amp;$A72,Геокодування!$B$2:$B$361,0))-32.3876)&gt;0.15,"",INDEX(Геокодування!$D$2:$D$361,MATCH("Прилуки, Чернігівська обл., "&amp;$A72,Геокодування!$B$2:$B$361,0))),""))))</f>
        <v>32.355936999999997</v>
      </c>
      <c r="T72" s="44" t="str">
        <f>IF($O72="","",IFERROR(INDEX('Координати майданчиків'!$B$4:$B$64,MATCH($A72&amp;IF($P72="","",", "&amp;$P72),'Координати майданчиків'!$B$4:$B$64,0)),IFERROR(INDEX('Координати майданчиків'!$B$4:$B$64,MATCH($A72,'Координати майданчиків'!$B$4:$B$64,0)),"")))</f>
        <v/>
      </c>
    </row>
    <row r="73" spans="1:20" x14ac:dyDescent="0.35">
      <c r="A73" s="26" t="str">
        <f t="shared" si="3"/>
        <v>вул. 18 Вересня</v>
      </c>
      <c r="B73" s="26" t="str">
        <f t="shared" si="4"/>
        <v/>
      </c>
      <c r="C73" s="27" t="str" cm="1">
        <f t="array" ref="C73">IF($O73="","",_xlfn.TEXTJOIN(", ",TRUE,IF(EXACT('Дані_зв''язок'!$J$4:$J$1012,$O73)*('Дані_зв''язок'!$C$4:$C$1012=C$4),'Дані_зв''язок'!$D$4:$D$1012,"")))</f>
        <v>7:30</v>
      </c>
      <c r="D73" s="27" t="str" cm="1">
        <f t="array" ref="D73">IF($O73="","",_xlfn.TEXTJOIN(", ",TRUE,IF(EXACT('Дані_зв''язок'!$J$4:$J$1012,$O73)*('Дані_зв''язок'!$C$4:$C$1012=D$4),'Дані_зв''язок'!$D$4:$D$1012,"")))</f>
        <v/>
      </c>
      <c r="E73" s="27" t="str" cm="1">
        <f t="array" ref="E73">IF($O73="","",_xlfn.TEXTJOIN(", ",TRUE,IF(EXACT('Дані_зв''язок'!$J$4:$J$1012,$O73)*('Дані_зв''язок'!$C$4:$C$1012=E$4),'Дані_зв''язок'!$D$4:$D$1012,"")))</f>
        <v>8:15</v>
      </c>
      <c r="F73" s="27" t="str" cm="1">
        <f t="array" ref="F73">IF($O73="","",_xlfn.TEXTJOIN(", ",TRUE,IF(EXACT('Дані_зв''язок'!$J$4:$J$1012,$O73)*('Дані_зв''язок'!$C$4:$C$1012=F$4),'Дані_зв''язок'!$D$4:$D$1012,"")))</f>
        <v/>
      </c>
      <c r="G73" s="27" t="str" cm="1">
        <f t="array" ref="G73">IF($O73="","",_xlfn.TEXTJOIN(", ",TRUE,IF(EXACT('Дані_зв''язок'!$J$4:$J$1012,$O73)*('Дані_зв''язок'!$C$4:$C$1012=G$4),'Дані_зв''язок'!$D$4:$D$1012,"")))</f>
        <v>11:55</v>
      </c>
      <c r="H73" s="27" t="str" cm="1">
        <f t="array" ref="H73">IF($O73="","",_xlfn.TEXTJOIN(", ",TRUE,IF(EXACT('Дані_зв''язок'!$J$4:$J$1012,$O73)*('Дані_зв''язок'!$C$4:$C$1012=H$4),'Дані_зв''язок'!$D$4:$D$1012,"")))</f>
        <v/>
      </c>
      <c r="I73" s="27" t="str" cm="1">
        <f t="array" ref="I73">IF($O73="","",_xlfn.TEXTJOIN(", ",TRUE,IF(EXACT('Дані_зв''язок'!$J$4:$J$1012,$O73)*('Дані_зв''язок'!$C$4:$C$1012=I$4),'Дані_зв''язок'!$D$4:$D$1012,"")))</f>
        <v/>
      </c>
      <c r="J73" s="27" cm="1">
        <f t="array" ref="J73">IF($O73="","",COUNTIF(C73:I73,"?*")+SUMPRODUCT(LEN(C73:I73)-LEN(SUBSTITUTE(C73:I73,",",""))))</f>
        <v>3</v>
      </c>
      <c r="K73" s="28" t="str" cm="1">
        <f t="array" ref="K73">IF($O73="","",_xlfn.TEXTJOIN(", ",TRUE,IF(EXACT('Дані_зв''язок'!$J$4:$J$1012,$O73),'Дані_зв''язок'!$L$4:$L$1012,"")))</f>
        <v>№5</v>
      </c>
      <c r="L73" s="28" t="str" cm="1">
        <f t="array" ref="L73">IF($O73="","",_xlfn.TEXTJOIN(", ",TRUE,IF(EXACT('Дані_зв''язок'!$J$4:$J$1012,$O73),'Дані_зв''язок'!$M$4:$M$1012,"")))</f>
        <v>МАЗ 4381</v>
      </c>
      <c r="M73" s="27" t="str" cm="1">
        <f t="array" ref="M73">IF($O73="","",IF(SUMPRODUCT(MAX(EXACT('Дані_зв''язок'!$J$4:$J$1012,$O73)*IFERROR('Дані_зв''язок'!$H$4:$H$1012,0)))=0,"",SUMPRODUCT(MAX(EXACT('Дані_зв''язок'!$J$4:$J$1012,$O73)*IFERROR('Дані_зв''язок'!$H$4:$H$1012,0)))))</f>
        <v/>
      </c>
      <c r="O73" s="30" t="s">
        <v>1194</v>
      </c>
      <c r="P73" s="24" t="str" cm="1">
        <f t="array" ref="P73">IF($O73="","",IF($B73="","",IFERROR(IF(MIN(IFERROR(VALUE(TRIM(MID(SUBSTITUTE(SUBSTITUTE($B73,","," ")," ",REPT(" ",30)),{1;31;61;91;121;151;181},30))),""))=0,"",MIN(IFERROR(VALUE(TRIM(MID(SUBSTITUTE(SUBSTITUTE($B73,","," ")," ",REPT(" ",30)),{1;31;61;91;121;151;181},30))),""))),"")))</f>
        <v/>
      </c>
      <c r="Q73" s="23" t="str">
        <f t="shared" si="5"/>
        <v>Прилуки, Чернігівська обл., вул. 18 Вересня</v>
      </c>
      <c r="R73" s="35">
        <f>IF($O73="","",IFERROR(INDEX('Координати майданчиків'!$H$4:$H$64,MATCH($T73,'Координати майданчиків'!$B$4:$B$64,0)),IFERROR(IF(ABS(INDEX(Геокодування!$C$2:$C$361,MATCH($Q73,Геокодування!$B$2:$B$361,0))-50.5884)+ABS(INDEX(Геокодування!$D$2:$D$361,MATCH($Q73,Геокодування!$B$2:$B$361,0))-32.3876)&gt;0.15,"",INDEX(Геокодування!$C$2:$C$361,MATCH($Q73,Геокодування!$B$2:$B$361,0))),IFERROR(IF(ABS(INDEX(Геокодування!$C$2:$C$361,MATCH("Прилуки, Чернігівська обл., "&amp;$A73,Геокодування!$B$2:$B$361,0))-50.5884)+ABS(INDEX(Геокодування!$D$2:$D$361,MATCH("Прилуки, Чернігівська обл., "&amp;$A73,Геокодування!$B$2:$B$361,0))-32.3876)&gt;0.15,"",INDEX(Геокодування!$C$2:$C$361,MATCH("Прилуки, Чернігівська обл., "&amp;$A73,Геокодування!$B$2:$B$361,0))),""))))</f>
        <v>50.584609999999998</v>
      </c>
      <c r="S73" s="43">
        <f>IF($O73="","",IFERROR(INDEX('Координати майданчиків'!$I$4:$I$64,MATCH($T73,'Координати майданчиків'!$B$4:$B$64,0)),IFERROR(IF(ABS(INDEX(Геокодування!$C$2:$C$361,MATCH($Q73,Геокодування!$B$2:$B$361,0))-50.5884)+ABS(INDEX(Геокодування!$D$2:$D$361,MATCH($Q73,Геокодування!$B$2:$B$361,0))-32.3876)&gt;0.15,"",INDEX(Геокодування!$D$2:$D$361,MATCH($Q73,Геокодування!$B$2:$B$361,0))),IFERROR(IF(ABS(INDEX(Геокодування!$C$2:$C$361,MATCH("Прилуки, Чернігівська обл., "&amp;$A73,Геокодування!$B$2:$B$361,0))-50.5884)+ABS(INDEX(Геокодування!$D$2:$D$361,MATCH("Прилуки, Чернігівська обл., "&amp;$A73,Геокодування!$B$2:$B$361,0))-32.3876)&gt;0.15,"",INDEX(Геокодування!$D$2:$D$361,MATCH("Прилуки, Чернігівська обл., "&amp;$A73,Геокодування!$B$2:$B$361,0))),""))))</f>
        <v>32.368777000000001</v>
      </c>
      <c r="T73" s="44" t="str">
        <f>IF($O73="","",IFERROR(INDEX('Координати майданчиків'!$B$4:$B$64,MATCH($A73&amp;IF($P73="","",", "&amp;$P73),'Координати майданчиків'!$B$4:$B$64,0)),IFERROR(INDEX('Координати майданчиків'!$B$4:$B$64,MATCH($A73,'Координати майданчиків'!$B$4:$B$64,0)),"")))</f>
        <v/>
      </c>
    </row>
    <row r="74" spans="1:20" x14ac:dyDescent="0.35">
      <c r="A74" s="26" t="str">
        <f t="shared" si="3"/>
        <v>вул. 18 Вересня</v>
      </c>
      <c r="B74" s="26" t="str">
        <f t="shared" si="4"/>
        <v>Д/с 4</v>
      </c>
      <c r="C74" s="27" t="str" cm="1">
        <f t="array" ref="C74">IF($O74="","",_xlfn.TEXTJOIN(", ",TRUE,IF(EXACT('Дані_зв''язок'!$J$4:$J$1012,$O74)*('Дані_зв''язок'!$C$4:$C$1012=C$4),'Дані_зв''язок'!$D$4:$D$1012,"")))</f>
        <v>8:25</v>
      </c>
      <c r="D74" s="27" t="str" cm="1">
        <f t="array" ref="D74">IF($O74="","",_xlfn.TEXTJOIN(", ",TRUE,IF(EXACT('Дані_зв''язок'!$J$4:$J$1012,$O74)*('Дані_зв''язок'!$C$4:$C$1012=D$4),'Дані_зв''язок'!$D$4:$D$1012,"")))</f>
        <v/>
      </c>
      <c r="E74" s="27" t="str" cm="1">
        <f t="array" ref="E74">IF($O74="","",_xlfn.TEXTJOIN(", ",TRUE,IF(EXACT('Дані_зв''язок'!$J$4:$J$1012,$O74)*('Дані_зв''язок'!$C$4:$C$1012=E$4),'Дані_зв''язок'!$D$4:$D$1012,"")))</f>
        <v/>
      </c>
      <c r="F74" s="27" t="str" cm="1">
        <f t="array" ref="F74">IF($O74="","",_xlfn.TEXTJOIN(", ",TRUE,IF(EXACT('Дані_зв''язок'!$J$4:$J$1012,$O74)*('Дані_зв''язок'!$C$4:$C$1012=F$4),'Дані_зв''язок'!$D$4:$D$1012,"")))</f>
        <v/>
      </c>
      <c r="G74" s="27" t="str" cm="1">
        <f t="array" ref="G74">IF($O74="","",_xlfn.TEXTJOIN(", ",TRUE,IF(EXACT('Дані_зв''язок'!$J$4:$J$1012,$O74)*('Дані_зв''язок'!$C$4:$C$1012=G$4),'Дані_зв''язок'!$D$4:$D$1012,"")))</f>
        <v/>
      </c>
      <c r="H74" s="27" t="str" cm="1">
        <f t="array" ref="H74">IF($O74="","",_xlfn.TEXTJOIN(", ",TRUE,IF(EXACT('Дані_зв''язок'!$J$4:$J$1012,$O74)*('Дані_зв''язок'!$C$4:$C$1012=H$4),'Дані_зв''язок'!$D$4:$D$1012,"")))</f>
        <v/>
      </c>
      <c r="I74" s="27" t="str" cm="1">
        <f t="array" ref="I74">IF($O74="","",_xlfn.TEXTJOIN(", ",TRUE,IF(EXACT('Дані_зв''язок'!$J$4:$J$1012,$O74)*('Дані_зв''язок'!$C$4:$C$1012=I$4),'Дані_зв''язок'!$D$4:$D$1012,"")))</f>
        <v/>
      </c>
      <c r="J74" s="27" cm="1">
        <f t="array" ref="J74">IF($O74="","",COUNTIF(C74:I74,"?*")+SUMPRODUCT(LEN(C74:I74)-LEN(SUBSTITUTE(C74:I74,",",""))))</f>
        <v>1</v>
      </c>
      <c r="K74" s="28" t="str" cm="1">
        <f t="array" ref="K74">IF($O74="","",_xlfn.TEXTJOIN(", ",TRUE,IF(EXACT('Дані_зв''язок'!$J$4:$J$1012,$O74),'Дані_зв''язок'!$L$4:$L$1012,"")))</f>
        <v>№1</v>
      </c>
      <c r="L74" s="28" t="str" cm="1">
        <f t="array" ref="L74">IF($O74="","",_xlfn.TEXTJOIN(", ",TRUE,IF(EXACT('Дані_зв''язок'!$J$4:$J$1012,$O74),'Дані_зв''язок'!$M$4:$M$1012,"")))</f>
        <v>АТ-4021/1120</v>
      </c>
      <c r="M74" s="27" cm="1">
        <f t="array" ref="M74">IF($O74="","",IF(SUMPRODUCT(MAX(EXACT('Дані_зв''язок'!$J$4:$J$1012,$O74)*IFERROR('Дані_зв''язок'!$H$4:$H$1012,0)))=0,"",SUMPRODUCT(MAX(EXACT('Дані_зв''язок'!$J$4:$J$1012,$O74)*IFERROR('Дані_зв''язок'!$H$4:$H$1012,0)))))</f>
        <v>1</v>
      </c>
      <c r="O74" s="30" t="s">
        <v>1195</v>
      </c>
      <c r="P74" s="24" cm="1">
        <f t="array" ref="P74">IF($O74="","",IF($B74="","",IFERROR(IF(MIN(IFERROR(VALUE(TRIM(MID(SUBSTITUTE(SUBSTITUTE($B74,","," ")," ",REPT(" ",30)),{1;31;61;91;121;151;181},30))),""))=0,"",MIN(IFERROR(VALUE(TRIM(MID(SUBSTITUTE(SUBSTITUTE($B74,","," ")," ",REPT(" ",30)),{1;31;61;91;121;151;181},30))),""))),"")))</f>
        <v>4</v>
      </c>
      <c r="Q74" s="23" t="str">
        <f t="shared" si="5"/>
        <v>Прилуки, Чернігівська обл., вул. 18 Вересня, 4</v>
      </c>
      <c r="R74" s="35">
        <f>IF($O74="","",IFERROR(INDEX('Координати майданчиків'!$H$4:$H$64,MATCH($T74,'Координати майданчиків'!$B$4:$B$64,0)),IFERROR(IF(ABS(INDEX(Геокодування!$C$2:$C$361,MATCH($Q74,Геокодування!$B$2:$B$361,0))-50.5884)+ABS(INDEX(Геокодування!$D$2:$D$361,MATCH($Q74,Геокодування!$B$2:$B$361,0))-32.3876)&gt;0.15,"",INDEX(Геокодування!$C$2:$C$361,MATCH($Q74,Геокодування!$B$2:$B$361,0))),IFERROR(IF(ABS(INDEX(Геокодування!$C$2:$C$361,MATCH("Прилуки, Чернігівська обл., "&amp;$A74,Геокодування!$B$2:$B$361,0))-50.5884)+ABS(INDEX(Геокодування!$D$2:$D$361,MATCH("Прилуки, Чернігівська обл., "&amp;$A74,Геокодування!$B$2:$B$361,0))-32.3876)&gt;0.15,"",INDEX(Геокодування!$C$2:$C$361,MATCH("Прилуки, Чернігівська обл., "&amp;$A74,Геокодування!$B$2:$B$361,0))),""))))</f>
        <v>50.584609999999998</v>
      </c>
      <c r="S74" s="43">
        <f>IF($O74="","",IFERROR(INDEX('Координати майданчиків'!$I$4:$I$64,MATCH($T74,'Координати майданчиків'!$B$4:$B$64,0)),IFERROR(IF(ABS(INDEX(Геокодування!$C$2:$C$361,MATCH($Q74,Геокодування!$B$2:$B$361,0))-50.5884)+ABS(INDEX(Геокодування!$D$2:$D$361,MATCH($Q74,Геокодування!$B$2:$B$361,0))-32.3876)&gt;0.15,"",INDEX(Геокодування!$D$2:$D$361,MATCH($Q74,Геокодування!$B$2:$B$361,0))),IFERROR(IF(ABS(INDEX(Геокодування!$C$2:$C$361,MATCH("Прилуки, Чернігівська обл., "&amp;$A74,Геокодування!$B$2:$B$361,0))-50.5884)+ABS(INDEX(Геокодування!$D$2:$D$361,MATCH("Прилуки, Чернігівська обл., "&amp;$A74,Геокодування!$B$2:$B$361,0))-32.3876)&gt;0.15,"",INDEX(Геокодування!$D$2:$D$361,MATCH("Прилуки, Чернігівська обл., "&amp;$A74,Геокодування!$B$2:$B$361,0))),""))))</f>
        <v>32.368777000000001</v>
      </c>
      <c r="T74" s="44" t="str">
        <f>IF($O74="","",IFERROR(INDEX('Координати майданчиків'!$B$4:$B$64,MATCH($A74&amp;IF($P74="","",", "&amp;$P74),'Координати майданчиків'!$B$4:$B$64,0)),IFERROR(INDEX('Координати майданчиків'!$B$4:$B$64,MATCH($A74,'Координати майданчиків'!$B$4:$B$64,0)),"")))</f>
        <v/>
      </c>
    </row>
    <row r="75" spans="1:20" x14ac:dyDescent="0.35">
      <c r="A75" s="26" t="str">
        <f t="shared" si="3"/>
        <v>вул. 2-га Південна</v>
      </c>
      <c r="B75" s="26" t="str">
        <f t="shared" si="4"/>
        <v/>
      </c>
      <c r="C75" s="27" t="str" cm="1">
        <f t="array" ref="C75">IF($O75="","",_xlfn.TEXTJOIN(", ",TRUE,IF(EXACT('Дані_зв''язок'!$J$4:$J$1012,$O75)*('Дані_зв''язок'!$C$4:$C$1012=C$4),'Дані_зв''язок'!$D$4:$D$1012,"")))</f>
        <v>11:10</v>
      </c>
      <c r="D75" s="27" t="str" cm="1">
        <f t="array" ref="D75">IF($O75="","",_xlfn.TEXTJOIN(", ",TRUE,IF(EXACT('Дані_зв''язок'!$J$4:$J$1012,$O75)*('Дані_зв''язок'!$C$4:$C$1012=D$4),'Дані_зв''язок'!$D$4:$D$1012,"")))</f>
        <v/>
      </c>
      <c r="E75" s="27" t="str" cm="1">
        <f t="array" ref="E75">IF($O75="","",_xlfn.TEXTJOIN(", ",TRUE,IF(EXACT('Дані_зв''язок'!$J$4:$J$1012,$O75)*('Дані_зв''язок'!$C$4:$C$1012=E$4),'Дані_зв''язок'!$D$4:$D$1012,"")))</f>
        <v/>
      </c>
      <c r="F75" s="27" t="str" cm="1">
        <f t="array" ref="F75">IF($O75="","",_xlfn.TEXTJOIN(", ",TRUE,IF(EXACT('Дані_зв''язок'!$J$4:$J$1012,$O75)*('Дані_зв''язок'!$C$4:$C$1012=F$4),'Дані_зв''язок'!$D$4:$D$1012,"")))</f>
        <v/>
      </c>
      <c r="G75" s="27" t="str" cm="1">
        <f t="array" ref="G75">IF($O75="","",_xlfn.TEXTJOIN(", ",TRUE,IF(EXACT('Дані_зв''язок'!$J$4:$J$1012,$O75)*('Дані_зв''язок'!$C$4:$C$1012=G$4),'Дані_зв''язок'!$D$4:$D$1012,"")))</f>
        <v/>
      </c>
      <c r="H75" s="27" t="str" cm="1">
        <f t="array" ref="H75">IF($O75="","",_xlfn.TEXTJOIN(", ",TRUE,IF(EXACT('Дані_зв''язок'!$J$4:$J$1012,$O75)*('Дані_зв''язок'!$C$4:$C$1012=H$4),'Дані_зв''язок'!$D$4:$D$1012,"")))</f>
        <v/>
      </c>
      <c r="I75" s="27" t="str" cm="1">
        <f t="array" ref="I75">IF($O75="","",_xlfn.TEXTJOIN(", ",TRUE,IF(EXACT('Дані_зв''язок'!$J$4:$J$1012,$O75)*('Дані_зв''язок'!$C$4:$C$1012=I$4),'Дані_зв''язок'!$D$4:$D$1012,"")))</f>
        <v/>
      </c>
      <c r="J75" s="27" cm="1">
        <f t="array" ref="J75">IF($O75="","",COUNTIF(C75:I75,"?*")+SUMPRODUCT(LEN(C75:I75)-LEN(SUBSTITUTE(C75:I75,",",""))))</f>
        <v>1</v>
      </c>
      <c r="K75" s="28" t="str" cm="1">
        <f t="array" ref="K75">IF($O75="","",_xlfn.TEXTJOIN(", ",TRUE,IF(EXACT('Дані_зв''язок'!$J$4:$J$1012,$O75),'Дані_зв''язок'!$L$4:$L$1012,"")))</f>
        <v>№5</v>
      </c>
      <c r="L75" s="28" t="str" cm="1">
        <f t="array" ref="L75">IF($O75="","",_xlfn.TEXTJOIN(", ",TRUE,IF(EXACT('Дані_зв''язок'!$J$4:$J$1012,$O75),'Дані_зв''язок'!$M$4:$M$1012,"")))</f>
        <v>МАЗ 4381</v>
      </c>
      <c r="M75" s="27" t="str" cm="1">
        <f t="array" ref="M75">IF($O75="","",IF(SUMPRODUCT(MAX(EXACT('Дані_зв''язок'!$J$4:$J$1012,$O75)*IFERROR('Дані_зв''язок'!$H$4:$H$1012,0)))=0,"",SUMPRODUCT(MAX(EXACT('Дані_зв''язок'!$J$4:$J$1012,$O75)*IFERROR('Дані_зв''язок'!$H$4:$H$1012,0)))))</f>
        <v/>
      </c>
      <c r="O75" s="30" t="s">
        <v>1196</v>
      </c>
      <c r="P75" s="24" t="str" cm="1">
        <f t="array" ref="P75">IF($O75="","",IF($B75="","",IFERROR(IF(MIN(IFERROR(VALUE(TRIM(MID(SUBSTITUTE(SUBSTITUTE($B75,","," ")," ",REPT(" ",30)),{1;31;61;91;121;151;181},30))),""))=0,"",MIN(IFERROR(VALUE(TRIM(MID(SUBSTITUTE(SUBSTITUTE($B75,","," ")," ",REPT(" ",30)),{1;31;61;91;121;151;181},30))),""))),"")))</f>
        <v/>
      </c>
      <c r="Q75" s="23" t="str">
        <f t="shared" si="5"/>
        <v>Прилуки, Чернігівська обл., вул. 2-га Південна</v>
      </c>
      <c r="R75" s="35">
        <f>IF($O75="","",IFERROR(INDEX('Координати майданчиків'!$H$4:$H$64,MATCH($T75,'Координати майданчиків'!$B$4:$B$64,0)),IFERROR(IF(ABS(INDEX(Геокодування!$C$2:$C$361,MATCH($Q75,Геокодування!$B$2:$B$361,0))-50.5884)+ABS(INDEX(Геокодування!$D$2:$D$361,MATCH($Q75,Геокодування!$B$2:$B$361,0))-32.3876)&gt;0.15,"",INDEX(Геокодування!$C$2:$C$361,MATCH($Q75,Геокодування!$B$2:$B$361,0))),IFERROR(IF(ABS(INDEX(Геокодування!$C$2:$C$361,MATCH("Прилуки, Чернігівська обл., "&amp;$A75,Геокодування!$B$2:$B$361,0))-50.5884)+ABS(INDEX(Геокодування!$D$2:$D$361,MATCH("Прилуки, Чернігівська обл., "&amp;$A75,Геокодування!$B$2:$B$361,0))-32.3876)&gt;0.15,"",INDEX(Геокодування!$C$2:$C$361,MATCH("Прилуки, Чернігівська обл., "&amp;$A75,Геокодування!$B$2:$B$361,0))),""))))</f>
        <v>50.573889999999999</v>
      </c>
      <c r="S75" s="43">
        <f>IF($O75="","",IFERROR(INDEX('Координати майданчиків'!$I$4:$I$64,MATCH($T75,'Координати майданчиків'!$B$4:$B$64,0)),IFERROR(IF(ABS(INDEX(Геокодування!$C$2:$C$361,MATCH($Q75,Геокодування!$B$2:$B$361,0))-50.5884)+ABS(INDEX(Геокодування!$D$2:$D$361,MATCH($Q75,Геокодування!$B$2:$B$361,0))-32.3876)&gt;0.15,"",INDEX(Геокодування!$D$2:$D$361,MATCH($Q75,Геокодування!$B$2:$B$361,0))),IFERROR(IF(ABS(INDEX(Геокодування!$C$2:$C$361,MATCH("Прилуки, Чернігівська обл., "&amp;$A75,Геокодування!$B$2:$B$361,0))-50.5884)+ABS(INDEX(Геокодування!$D$2:$D$361,MATCH("Прилуки, Чернігівська обл., "&amp;$A75,Геокодування!$B$2:$B$361,0))-32.3876)&gt;0.15,"",INDEX(Геокодування!$D$2:$D$361,MATCH("Прилуки, Чернігівська обл., "&amp;$A75,Геокодування!$B$2:$B$361,0))),""))))</f>
        <v>32.379990999999997</v>
      </c>
      <c r="T75" s="44" t="str">
        <f>IF($O75="","",IFERROR(INDEX('Координати майданчиків'!$B$4:$B$64,MATCH($A75&amp;IF($P75="","",", "&amp;$P75),'Координати майданчиків'!$B$4:$B$64,0)),IFERROR(INDEX('Координати майданчиків'!$B$4:$B$64,MATCH($A75,'Координати майданчиків'!$B$4:$B$64,0)),"")))</f>
        <v/>
      </c>
    </row>
    <row r="76" spans="1:20" x14ac:dyDescent="0.35">
      <c r="A76" s="26" t="str">
        <f t="shared" si="3"/>
        <v>вул. Європейська</v>
      </c>
      <c r="B76" s="26" t="str">
        <f t="shared" si="4"/>
        <v/>
      </c>
      <c r="C76" s="27" t="str" cm="1">
        <f t="array" ref="C76">IF($O76="","",_xlfn.TEXTJOIN(", ",TRUE,IF(EXACT('Дані_зв''язок'!$J$4:$J$1012,$O76)*('Дані_зв''язок'!$C$4:$C$1012=C$4),'Дані_зв''язок'!$D$4:$D$1012,"")))</f>
        <v/>
      </c>
      <c r="D76" s="27" t="str" cm="1">
        <f t="array" ref="D76">IF($O76="","",_xlfn.TEXTJOIN(", ",TRUE,IF(EXACT('Дані_зв''язок'!$J$4:$J$1012,$O76)*('Дані_зв''язок'!$C$4:$C$1012=D$4),'Дані_зв''язок'!$D$4:$D$1012,"")))</f>
        <v/>
      </c>
      <c r="E76" s="27" t="str" cm="1">
        <f t="array" ref="E76">IF($O76="","",_xlfn.TEXTJOIN(", ",TRUE,IF(EXACT('Дані_зв''язок'!$J$4:$J$1012,$O76)*('Дані_зв''язок'!$C$4:$C$1012=E$4),'Дані_зв''язок'!$D$4:$D$1012,"")))</f>
        <v>14:15</v>
      </c>
      <c r="F76" s="27" t="str" cm="1">
        <f t="array" ref="F76">IF($O76="","",_xlfn.TEXTJOIN(", ",TRUE,IF(EXACT('Дані_зв''язок'!$J$4:$J$1012,$O76)*('Дані_зв''язок'!$C$4:$C$1012=F$4),'Дані_зв''язок'!$D$4:$D$1012,"")))</f>
        <v>8:10</v>
      </c>
      <c r="G76" s="27" t="str" cm="1">
        <f t="array" ref="G76">IF($O76="","",_xlfn.TEXTJOIN(", ",TRUE,IF(EXACT('Дані_зв''язок'!$J$4:$J$1012,$O76)*('Дані_зв''язок'!$C$4:$C$1012=G$4),'Дані_зв''язок'!$D$4:$D$1012,"")))</f>
        <v/>
      </c>
      <c r="H76" s="27" t="str" cm="1">
        <f t="array" ref="H76">IF($O76="","",_xlfn.TEXTJOIN(", ",TRUE,IF(EXACT('Дані_зв''язок'!$J$4:$J$1012,$O76)*('Дані_зв''язок'!$C$4:$C$1012=H$4),'Дані_зв''язок'!$D$4:$D$1012,"")))</f>
        <v/>
      </c>
      <c r="I76" s="27" t="str" cm="1">
        <f t="array" ref="I76">IF($O76="","",_xlfn.TEXTJOIN(", ",TRUE,IF(EXACT('Дані_зв''язок'!$J$4:$J$1012,$O76)*('Дані_зв''язок'!$C$4:$C$1012=I$4),'Дані_зв''язок'!$D$4:$D$1012,"")))</f>
        <v/>
      </c>
      <c r="J76" s="27" cm="1">
        <f t="array" ref="J76">IF($O76="","",COUNTIF(C76:I76,"?*")+SUMPRODUCT(LEN(C76:I76)-LEN(SUBSTITUTE(C76:I76,",",""))))</f>
        <v>2</v>
      </c>
      <c r="K76" s="28" t="str" cm="1">
        <f t="array" ref="K76">IF($O76="","",_xlfn.TEXTJOIN(", ",TRUE,IF(EXACT('Дані_зв''язок'!$J$4:$J$1012,$O76),'Дані_зв''язок'!$L$4:$L$1012,"")))</f>
        <v>№5</v>
      </c>
      <c r="L76" s="28" t="str" cm="1">
        <f t="array" ref="L76">IF($O76="","",_xlfn.TEXTJOIN(", ",TRUE,IF(EXACT('Дані_зв''язок'!$J$4:$J$1012,$O76),'Дані_зв''язок'!$M$4:$M$1012,"")))</f>
        <v>МАЗ 4381</v>
      </c>
      <c r="M76" s="27" t="str" cm="1">
        <f t="array" ref="M76">IF($O76="","",IF(SUMPRODUCT(MAX(EXACT('Дані_зв''язок'!$J$4:$J$1012,$O76)*IFERROR('Дані_зв''язок'!$H$4:$H$1012,0)))=0,"",SUMPRODUCT(MAX(EXACT('Дані_зв''язок'!$J$4:$J$1012,$O76)*IFERROR('Дані_зв''язок'!$H$4:$H$1012,0)))))</f>
        <v/>
      </c>
      <c r="O76" s="30" t="s">
        <v>1282</v>
      </c>
      <c r="P76" s="24" t="str" cm="1">
        <f t="array" ref="P76">IF($O76="","",IF($B76="","",IFERROR(IF(MIN(IFERROR(VALUE(TRIM(MID(SUBSTITUTE(SUBSTITUTE($B76,","," ")," ",REPT(" ",30)),{1;31;61;91;121;151;181},30))),""))=0,"",MIN(IFERROR(VALUE(TRIM(MID(SUBSTITUTE(SUBSTITUTE($B76,","," ")," ",REPT(" ",30)),{1;31;61;91;121;151;181},30))),""))),"")))</f>
        <v/>
      </c>
      <c r="Q76" s="23" t="str">
        <f t="shared" si="5"/>
        <v>Прилуки, Чернігівська обл., вул. Європейська</v>
      </c>
      <c r="R76" s="35">
        <f>IF($O76="","",IFERROR(INDEX('Координати майданчиків'!$H$4:$H$64,MATCH($T76,'Координати майданчиків'!$B$4:$B$64,0)),IFERROR(IF(ABS(INDEX(Геокодування!$C$2:$C$361,MATCH($Q76,Геокодування!$B$2:$B$361,0))-50.5884)+ABS(INDEX(Геокодування!$D$2:$D$361,MATCH($Q76,Геокодування!$B$2:$B$361,0))-32.3876)&gt;0.15,"",INDEX(Геокодування!$C$2:$C$361,MATCH($Q76,Геокодування!$B$2:$B$361,0))),IFERROR(IF(ABS(INDEX(Геокодування!$C$2:$C$361,MATCH("Прилуки, Чернігівська обл., "&amp;$A76,Геокодування!$B$2:$B$361,0))-50.5884)+ABS(INDEX(Геокодування!$D$2:$D$361,MATCH("Прилуки, Чернігівська обл., "&amp;$A76,Геокодування!$B$2:$B$361,0))-32.3876)&gt;0.15,"",INDEX(Геокодування!$C$2:$C$361,MATCH("Прилуки, Чернігівська обл., "&amp;$A76,Геокодування!$B$2:$B$361,0))),""))))</f>
        <v>50.588745000000003</v>
      </c>
      <c r="S76" s="43">
        <f>IF($O76="","",IFERROR(INDEX('Координати майданчиків'!$I$4:$I$64,MATCH($T76,'Координати майданчиків'!$B$4:$B$64,0)),IFERROR(IF(ABS(INDEX(Геокодування!$C$2:$C$361,MATCH($Q76,Геокодування!$B$2:$B$361,0))-50.5884)+ABS(INDEX(Геокодування!$D$2:$D$361,MATCH($Q76,Геокодування!$B$2:$B$361,0))-32.3876)&gt;0.15,"",INDEX(Геокодування!$D$2:$D$361,MATCH($Q76,Геокодування!$B$2:$B$361,0))),IFERROR(IF(ABS(INDEX(Геокодування!$C$2:$C$361,MATCH("Прилуки, Чернігівська обл., "&amp;$A76,Геокодування!$B$2:$B$361,0))-50.5884)+ABS(INDEX(Геокодування!$D$2:$D$361,MATCH("Прилуки, Чернігівська обл., "&amp;$A76,Геокодування!$B$2:$B$361,0))-32.3876)&gt;0.15,"",INDEX(Геокодування!$D$2:$D$361,MATCH("Прилуки, Чернігівська обл., "&amp;$A76,Геокодування!$B$2:$B$361,0))),""))))</f>
        <v>32.395423999999998</v>
      </c>
      <c r="T76" s="44" t="str">
        <f>IF($O76="","",IFERROR(INDEX('Координати майданчиків'!$B$4:$B$64,MATCH($A76&amp;IF($P76="","",", "&amp;$P76),'Координати майданчиків'!$B$4:$B$64,0)),IFERROR(INDEX('Координати майданчиків'!$B$4:$B$64,MATCH($A76,'Координати майданчиків'!$B$4:$B$64,0)),"")))</f>
        <v/>
      </c>
    </row>
    <row r="77" spans="1:20" x14ac:dyDescent="0.35">
      <c r="A77" s="26" t="str">
        <f t="shared" si="3"/>
        <v>вул. Європейська</v>
      </c>
      <c r="B77" s="26" t="str">
        <f t="shared" si="4"/>
        <v>"Акваріум"</v>
      </c>
      <c r="C77" s="27" t="str" cm="1">
        <f t="array" ref="C77">IF($O77="","",_xlfn.TEXTJOIN(", ",TRUE,IF(EXACT('Дані_зв''язок'!$J$4:$J$1012,$O77)*('Дані_зв''язок'!$C$4:$C$1012=C$4),'Дані_зв''язок'!$D$4:$D$1012,"")))</f>
        <v>14:25</v>
      </c>
      <c r="D77" s="27" t="str" cm="1">
        <f t="array" ref="D77">IF($O77="","",_xlfn.TEXTJOIN(", ",TRUE,IF(EXACT('Дані_зв''язок'!$J$4:$J$1012,$O77)*('Дані_зв''язок'!$C$4:$C$1012=D$4),'Дані_зв''язок'!$D$4:$D$1012,"")))</f>
        <v/>
      </c>
      <c r="E77" s="27" t="str" cm="1">
        <f t="array" ref="E77">IF($O77="","",_xlfn.TEXTJOIN(", ",TRUE,IF(EXACT('Дані_зв''язок'!$J$4:$J$1012,$O77)*('Дані_зв''язок'!$C$4:$C$1012=E$4),'Дані_зв''язок'!$D$4:$D$1012,"")))</f>
        <v/>
      </c>
      <c r="F77" s="27" t="str" cm="1">
        <f t="array" ref="F77">IF($O77="","",_xlfn.TEXTJOIN(", ",TRUE,IF(EXACT('Дані_зв''язок'!$J$4:$J$1012,$O77)*('Дані_зв''язок'!$C$4:$C$1012=F$4),'Дані_зв''язок'!$D$4:$D$1012,"")))</f>
        <v/>
      </c>
      <c r="G77" s="27" t="str" cm="1">
        <f t="array" ref="G77">IF($O77="","",_xlfn.TEXTJOIN(", ",TRUE,IF(EXACT('Дані_зв''язок'!$J$4:$J$1012,$O77)*('Дані_зв''язок'!$C$4:$C$1012=G$4),'Дані_зв''язок'!$D$4:$D$1012,"")))</f>
        <v/>
      </c>
      <c r="H77" s="27" t="str" cm="1">
        <f t="array" ref="H77">IF($O77="","",_xlfn.TEXTJOIN(", ",TRUE,IF(EXACT('Дані_зв''язок'!$J$4:$J$1012,$O77)*('Дані_зв''язок'!$C$4:$C$1012=H$4),'Дані_зв''язок'!$D$4:$D$1012,"")))</f>
        <v/>
      </c>
      <c r="I77" s="27" t="str" cm="1">
        <f t="array" ref="I77">IF($O77="","",_xlfn.TEXTJOIN(", ",TRUE,IF(EXACT('Дані_зв''язок'!$J$4:$J$1012,$O77)*('Дані_зв''язок'!$C$4:$C$1012=I$4),'Дані_зв''язок'!$D$4:$D$1012,"")))</f>
        <v/>
      </c>
      <c r="J77" s="27" cm="1">
        <f t="array" ref="J77">IF($O77="","",COUNTIF(C77:I77,"?*")+SUMPRODUCT(LEN(C77:I77)-LEN(SUBSTITUTE(C77:I77,",",""))))</f>
        <v>1</v>
      </c>
      <c r="K77" s="28" t="str" cm="1">
        <f t="array" ref="K77">IF($O77="","",_xlfn.TEXTJOIN(", ",TRUE,IF(EXACT('Дані_зв''язок'!$J$4:$J$1012,$O77),'Дані_зв''язок'!$L$4:$L$1012,"")))</f>
        <v>№1</v>
      </c>
      <c r="L77" s="28" t="str" cm="1">
        <f t="array" ref="L77">IF($O77="","",_xlfn.TEXTJOIN(", ",TRUE,IF(EXACT('Дані_зв''язок'!$J$4:$J$1012,$O77),'Дані_зв''язок'!$M$4:$M$1012,"")))</f>
        <v>АТ-4021/1120</v>
      </c>
      <c r="M77" s="27" cm="1">
        <f t="array" ref="M77">IF($O77="","",IF(SUMPRODUCT(MAX(EXACT('Дані_зв''язок'!$J$4:$J$1012,$O77)*IFERROR('Дані_зв''язок'!$H$4:$H$1012,0)))=0,"",SUMPRODUCT(MAX(EXACT('Дані_зв''язок'!$J$4:$J$1012,$O77)*IFERROR('Дані_зв''язок'!$H$4:$H$1012,0)))))</f>
        <v>1</v>
      </c>
      <c r="O77" s="30" t="s">
        <v>1283</v>
      </c>
      <c r="P77" s="24" t="str" cm="1">
        <f t="array" ref="P77">IF($O77="","",IF($B77="","",IFERROR(IF(MIN(IFERROR(VALUE(TRIM(MID(SUBSTITUTE(SUBSTITUTE($B77,","," ")," ",REPT(" ",30)),{1;31;61;91;121;151;181},30))),""))=0,"",MIN(IFERROR(VALUE(TRIM(MID(SUBSTITUTE(SUBSTITUTE($B77,","," ")," ",REPT(" ",30)),{1;31;61;91;121;151;181},30))),""))),"")))</f>
        <v/>
      </c>
      <c r="Q77" s="23" t="str">
        <f t="shared" si="5"/>
        <v>Прилуки, Чернігівська обл., вул. Європейська</v>
      </c>
      <c r="R77" s="35">
        <f>IF($O77="","",IFERROR(INDEX('Координати майданчиків'!$H$4:$H$64,MATCH($T77,'Координати майданчиків'!$B$4:$B$64,0)),IFERROR(IF(ABS(INDEX(Геокодування!$C$2:$C$361,MATCH($Q77,Геокодування!$B$2:$B$361,0))-50.5884)+ABS(INDEX(Геокодування!$D$2:$D$361,MATCH($Q77,Геокодування!$B$2:$B$361,0))-32.3876)&gt;0.15,"",INDEX(Геокодування!$C$2:$C$361,MATCH($Q77,Геокодування!$B$2:$B$361,0))),IFERROR(IF(ABS(INDEX(Геокодування!$C$2:$C$361,MATCH("Прилуки, Чернігівська обл., "&amp;$A77,Геокодування!$B$2:$B$361,0))-50.5884)+ABS(INDEX(Геокодування!$D$2:$D$361,MATCH("Прилуки, Чернігівська обл., "&amp;$A77,Геокодування!$B$2:$B$361,0))-32.3876)&gt;0.15,"",INDEX(Геокодування!$C$2:$C$361,MATCH("Прилуки, Чернігівська обл., "&amp;$A77,Геокодування!$B$2:$B$361,0))),""))))</f>
        <v>50.588745000000003</v>
      </c>
      <c r="S77" s="43">
        <f>IF($O77="","",IFERROR(INDEX('Координати майданчиків'!$I$4:$I$64,MATCH($T77,'Координати майданчиків'!$B$4:$B$64,0)),IFERROR(IF(ABS(INDEX(Геокодування!$C$2:$C$361,MATCH($Q77,Геокодування!$B$2:$B$361,0))-50.5884)+ABS(INDEX(Геокодування!$D$2:$D$361,MATCH($Q77,Геокодування!$B$2:$B$361,0))-32.3876)&gt;0.15,"",INDEX(Геокодування!$D$2:$D$361,MATCH($Q77,Геокодування!$B$2:$B$361,0))),IFERROR(IF(ABS(INDEX(Геокодування!$C$2:$C$361,MATCH("Прилуки, Чернігівська обл., "&amp;$A77,Геокодування!$B$2:$B$361,0))-50.5884)+ABS(INDEX(Геокодування!$D$2:$D$361,MATCH("Прилуки, Чернігівська обл., "&amp;$A77,Геокодування!$B$2:$B$361,0))-32.3876)&gt;0.15,"",INDEX(Геокодування!$D$2:$D$361,MATCH("Прилуки, Чернігівська обл., "&amp;$A77,Геокодування!$B$2:$B$361,0))),""))))</f>
        <v>32.395423999999998</v>
      </c>
      <c r="T77" s="44" t="str">
        <f>IF($O77="","",IFERROR(INDEX('Координати майданчиків'!$B$4:$B$64,MATCH($A77&amp;IF($P77="","",", "&amp;$P77),'Координати майданчиків'!$B$4:$B$64,0)),IFERROR(INDEX('Координати майданчиків'!$B$4:$B$64,MATCH($A77,'Координати майданчиків'!$B$4:$B$64,0)),"")))</f>
        <v/>
      </c>
    </row>
    <row r="78" spans="1:20" x14ac:dyDescent="0.35">
      <c r="A78" s="26" t="str">
        <f t="shared" si="3"/>
        <v>вул. Європейська</v>
      </c>
      <c r="B78" s="26" t="str">
        <f t="shared" si="4"/>
        <v>(двір Вокзальна, 19)</v>
      </c>
      <c r="C78" s="27" t="str" cm="1">
        <f t="array" ref="C78">IF($O78="","",_xlfn.TEXTJOIN(", ",TRUE,IF(EXACT('Дані_зв''язок'!$J$4:$J$1012,$O78)*('Дані_зв''язок'!$C$4:$C$1012=C$4),'Дані_зв''язок'!$D$4:$D$1012,"")))</f>
        <v>9:45</v>
      </c>
      <c r="D78" s="27" t="str" cm="1">
        <f t="array" ref="D78">IF($O78="","",_xlfn.TEXTJOIN(", ",TRUE,IF(EXACT('Дані_зв''язок'!$J$4:$J$1012,$O78)*('Дані_зв''язок'!$C$4:$C$1012=D$4),'Дані_зв''язок'!$D$4:$D$1012,"")))</f>
        <v>13:45</v>
      </c>
      <c r="E78" s="27" t="str" cm="1">
        <f t="array" ref="E78">IF($O78="","",_xlfn.TEXTJOIN(", ",TRUE,IF(EXACT('Дані_зв''язок'!$J$4:$J$1012,$O78)*('Дані_зв''язок'!$C$4:$C$1012=E$4),'Дані_зв''язок'!$D$4:$D$1012,"")))</f>
        <v>12:45</v>
      </c>
      <c r="F78" s="27" t="str" cm="1">
        <f t="array" ref="F78">IF($O78="","",_xlfn.TEXTJOIN(", ",TRUE,IF(EXACT('Дані_зв''язок'!$J$4:$J$1012,$O78)*('Дані_зв''язок'!$C$4:$C$1012=F$4),'Дані_зв''язок'!$D$4:$D$1012,"")))</f>
        <v>15:20</v>
      </c>
      <c r="G78" s="27" t="str" cm="1">
        <f t="array" ref="G78">IF($O78="","",_xlfn.TEXTJOIN(", ",TRUE,IF(EXACT('Дані_зв''язок'!$J$4:$J$1012,$O78)*('Дані_зв''язок'!$C$4:$C$1012=G$4),'Дані_зв''язок'!$D$4:$D$1012,"")))</f>
        <v>14:00</v>
      </c>
      <c r="H78" s="27" t="str" cm="1">
        <f t="array" ref="H78">IF($O78="","",_xlfn.TEXTJOIN(", ",TRUE,IF(EXACT('Дані_зв''язок'!$J$4:$J$1012,$O78)*('Дані_зв''язок'!$C$4:$C$1012=H$4),'Дані_зв''язок'!$D$4:$D$1012,"")))</f>
        <v>14:40</v>
      </c>
      <c r="I78" s="27" t="str" cm="1">
        <f t="array" ref="I78">IF($O78="","",_xlfn.TEXTJOIN(", ",TRUE,IF(EXACT('Дані_зв''язок'!$J$4:$J$1012,$O78)*('Дані_зв''язок'!$C$4:$C$1012=I$4),'Дані_зв''язок'!$D$4:$D$1012,"")))</f>
        <v>15:20</v>
      </c>
      <c r="J78" s="27" cm="1">
        <f t="array" ref="J78">IF($O78="","",COUNTIF(C78:I78,"?*")+SUMPRODUCT(LEN(C78:I78)-LEN(SUBSTITUTE(C78:I78,",",""))))</f>
        <v>7</v>
      </c>
      <c r="K78" s="28" t="str" cm="1">
        <f t="array" ref="K78">IF($O78="","",_xlfn.TEXTJOIN(", ",TRUE,IF(EXACT('Дані_зв''язок'!$J$4:$J$1012,$O78),'Дані_зв''язок'!$L$4:$L$1012,"")))</f>
        <v>№3</v>
      </c>
      <c r="L78" s="28" t="str" cm="1">
        <f t="array" ref="L78">IF($O78="","",_xlfn.TEXTJOIN(", ",TRUE,IF(EXACT('Дані_зв''язок'!$J$4:$J$1012,$O78),'Дані_зв''язок'!$M$4:$M$1012,"")))</f>
        <v>МАЗ-4371, ГАЗ 3309</v>
      </c>
      <c r="M78" s="27" cm="1">
        <f t="array" ref="M78">IF($O78="","",IF(SUMPRODUCT(MAX(EXACT('Дані_зв''язок'!$J$4:$J$1012,$O78)*IFERROR('Дані_зв''язок'!$H$4:$H$1012,0)))=0,"",SUMPRODUCT(MAX(EXACT('Дані_зв''язок'!$J$4:$J$1012,$O78)*IFERROR('Дані_зв''язок'!$H$4:$H$1012,0)))))</f>
        <v>4</v>
      </c>
      <c r="O78" s="30" t="s">
        <v>1284</v>
      </c>
      <c r="P78" s="24" t="str" cm="1">
        <f t="array" ref="P78">IF($O78="","",IF($B78="","",IFERROR(IF(MIN(IFERROR(VALUE(TRIM(MID(SUBSTITUTE(SUBSTITUTE($B78,","," ")," ",REPT(" ",30)),{1;31;61;91;121;151;181},30))),""))=0,"",MIN(IFERROR(VALUE(TRIM(MID(SUBSTITUTE(SUBSTITUTE($B78,","," ")," ",REPT(" ",30)),{1;31;61;91;121;151;181},30))),""))),"")))</f>
        <v/>
      </c>
      <c r="Q78" s="23" t="str">
        <f t="shared" si="5"/>
        <v>Прилуки, Чернігівська обл., вул. Європейська</v>
      </c>
      <c r="R78" s="35">
        <f>IF($O78="","",IFERROR(INDEX('Координати майданчиків'!$H$4:$H$64,MATCH($T78,'Координати майданчиків'!$B$4:$B$64,0)),IFERROR(IF(ABS(INDEX(Геокодування!$C$2:$C$361,MATCH($Q78,Геокодування!$B$2:$B$361,0))-50.5884)+ABS(INDEX(Геокодування!$D$2:$D$361,MATCH($Q78,Геокодування!$B$2:$B$361,0))-32.3876)&gt;0.15,"",INDEX(Геокодування!$C$2:$C$361,MATCH($Q78,Геокодування!$B$2:$B$361,0))),IFERROR(IF(ABS(INDEX(Геокодування!$C$2:$C$361,MATCH("Прилуки, Чернігівська обл., "&amp;$A78,Геокодування!$B$2:$B$361,0))-50.5884)+ABS(INDEX(Геокодування!$D$2:$D$361,MATCH("Прилуки, Чернігівська обл., "&amp;$A78,Геокодування!$B$2:$B$361,0))-32.3876)&gt;0.15,"",INDEX(Геокодування!$C$2:$C$361,MATCH("Прилуки, Чернігівська обл., "&amp;$A78,Геокодування!$B$2:$B$361,0))),""))))</f>
        <v>50.588745000000003</v>
      </c>
      <c r="S78" s="43">
        <f>IF($O78="","",IFERROR(INDEX('Координати майданчиків'!$I$4:$I$64,MATCH($T78,'Координати майданчиків'!$B$4:$B$64,0)),IFERROR(IF(ABS(INDEX(Геокодування!$C$2:$C$361,MATCH($Q78,Геокодування!$B$2:$B$361,0))-50.5884)+ABS(INDEX(Геокодування!$D$2:$D$361,MATCH($Q78,Геокодування!$B$2:$B$361,0))-32.3876)&gt;0.15,"",INDEX(Геокодування!$D$2:$D$361,MATCH($Q78,Геокодування!$B$2:$B$361,0))),IFERROR(IF(ABS(INDEX(Геокодування!$C$2:$C$361,MATCH("Прилуки, Чернігівська обл., "&amp;$A78,Геокодування!$B$2:$B$361,0))-50.5884)+ABS(INDEX(Геокодування!$D$2:$D$361,MATCH("Прилуки, Чернігівська обл., "&amp;$A78,Геокодування!$B$2:$B$361,0))-32.3876)&gt;0.15,"",INDEX(Геокодування!$D$2:$D$361,MATCH("Прилуки, Чернігівська обл., "&amp;$A78,Геокодування!$B$2:$B$361,0))),""))))</f>
        <v>32.395423999999998</v>
      </c>
      <c r="T78" s="44" t="str">
        <f>IF($O78="","",IFERROR(INDEX('Координати майданчиків'!$B$4:$B$64,MATCH($A78&amp;IF($P78="","",", "&amp;$P78),'Координати майданчиків'!$B$4:$B$64,0)),IFERROR(INDEX('Координати майданчиків'!$B$4:$B$64,MATCH($A78,'Координати майданчиків'!$B$4:$B$64,0)),"")))</f>
        <v/>
      </c>
    </row>
    <row r="79" spans="1:20" x14ac:dyDescent="0.35">
      <c r="A79" s="26" t="str">
        <f t="shared" si="3"/>
        <v>вул. Європейська</v>
      </c>
      <c r="B79" s="26" t="str">
        <f t="shared" si="4"/>
        <v>110</v>
      </c>
      <c r="C79" s="27" t="str" cm="1">
        <f t="array" ref="C79">IF($O79="","",_xlfn.TEXTJOIN(", ",TRUE,IF(EXACT('Дані_зв''язок'!$J$4:$J$1012,$O79)*('Дані_зв''язок'!$C$4:$C$1012=C$4),'Дані_зв''язок'!$D$4:$D$1012,"")))</f>
        <v>12:15</v>
      </c>
      <c r="D79" s="27" t="str" cm="1">
        <f t="array" ref="D79">IF($O79="","",_xlfn.TEXTJOIN(", ",TRUE,IF(EXACT('Дані_зв''язок'!$J$4:$J$1012,$O79)*('Дані_зв''язок'!$C$4:$C$1012=D$4),'Дані_зв''язок'!$D$4:$D$1012,"")))</f>
        <v>14:00</v>
      </c>
      <c r="E79" s="27" t="str" cm="1">
        <f t="array" ref="E79">IF($O79="","",_xlfn.TEXTJOIN(", ",TRUE,IF(EXACT('Дані_зв''язок'!$J$4:$J$1012,$O79)*('Дані_зв''язок'!$C$4:$C$1012=E$4),'Дані_зв''язок'!$D$4:$D$1012,"")))</f>
        <v>12:30</v>
      </c>
      <c r="F79" s="27" t="str" cm="1">
        <f t="array" ref="F79">IF($O79="","",_xlfn.TEXTJOIN(", ",TRUE,IF(EXACT('Дані_зв''язок'!$J$4:$J$1012,$O79)*('Дані_зв''язок'!$C$4:$C$1012=F$4),'Дані_зв''язок'!$D$4:$D$1012,"")))</f>
        <v>14:55</v>
      </c>
      <c r="G79" s="27" t="str" cm="1">
        <f t="array" ref="G79">IF($O79="","",_xlfn.TEXTJOIN(", ",TRUE,IF(EXACT('Дані_зв''язок'!$J$4:$J$1012,$O79)*('Дані_зв''язок'!$C$4:$C$1012=G$4),'Дані_зв''язок'!$D$4:$D$1012,"")))</f>
        <v>12:30</v>
      </c>
      <c r="H79" s="27" t="str" cm="1">
        <f t="array" ref="H79">IF($O79="","",_xlfn.TEXTJOIN(", ",TRUE,IF(EXACT('Дані_зв''язок'!$J$4:$J$1012,$O79)*('Дані_зв''язок'!$C$4:$C$1012=H$4),'Дані_зв''язок'!$D$4:$D$1012,"")))</f>
        <v>14:25</v>
      </c>
      <c r="I79" s="27" t="str" cm="1">
        <f t="array" ref="I79">IF($O79="","",_xlfn.TEXTJOIN(", ",TRUE,IF(EXACT('Дані_зв''язок'!$J$4:$J$1012,$O79)*('Дані_зв''язок'!$C$4:$C$1012=I$4),'Дані_зв''язок'!$D$4:$D$1012,"")))</f>
        <v>14:55</v>
      </c>
      <c r="J79" s="27" cm="1">
        <f t="array" ref="J79">IF($O79="","",COUNTIF(C79:I79,"?*")+SUMPRODUCT(LEN(C79:I79)-LEN(SUBSTITUTE(C79:I79,",",""))))</f>
        <v>7</v>
      </c>
      <c r="K79" s="28" t="str" cm="1">
        <f t="array" ref="K79">IF($O79="","",_xlfn.TEXTJOIN(", ",TRUE,IF(EXACT('Дані_зв''язок'!$J$4:$J$1012,$O79),'Дані_зв''язок'!$L$4:$L$1012,"")))</f>
        <v>№3</v>
      </c>
      <c r="L79" s="28" t="str" cm="1">
        <f t="array" ref="L79">IF($O79="","",_xlfn.TEXTJOIN(", ",TRUE,IF(EXACT('Дані_зв''язок'!$J$4:$J$1012,$O79),'Дані_зв''язок'!$M$4:$M$1012,"")))</f>
        <v>МАЗ-4371, ГАЗ 3309</v>
      </c>
      <c r="M79" s="27" cm="1">
        <f t="array" ref="M79">IF($O79="","",IF(SUMPRODUCT(MAX(EXACT('Дані_зв''язок'!$J$4:$J$1012,$O79)*IFERROR('Дані_зв''язок'!$H$4:$H$1012,0)))=0,"",SUMPRODUCT(MAX(EXACT('Дані_зв''язок'!$J$4:$J$1012,$O79)*IFERROR('Дані_зв''язок'!$H$4:$H$1012,0)))))</f>
        <v>5</v>
      </c>
      <c r="O79" s="30" t="s">
        <v>1285</v>
      </c>
      <c r="P79" s="24" cm="1">
        <f t="array" ref="P79">IF($O79="","",IF($B79="","",IFERROR(IF(MIN(IFERROR(VALUE(TRIM(MID(SUBSTITUTE(SUBSTITUTE($B79,","," ")," ",REPT(" ",30)),{1;31;61;91;121;151;181},30))),""))=0,"",MIN(IFERROR(VALUE(TRIM(MID(SUBSTITUTE(SUBSTITUTE($B79,","," ")," ",REPT(" ",30)),{1;31;61;91;121;151;181},30))),""))),"")))</f>
        <v>110</v>
      </c>
      <c r="Q79" s="23" t="str">
        <f t="shared" si="5"/>
        <v>Прилуки, Чернігівська обл., вул. Європейська, 110</v>
      </c>
      <c r="R79" s="35">
        <f>IF($O79="","",IFERROR(INDEX('Координати майданчиків'!$H$4:$H$64,MATCH($T79,'Координати майданчиків'!$B$4:$B$64,0)),IFERROR(IF(ABS(INDEX(Геокодування!$C$2:$C$361,MATCH($Q79,Геокодування!$B$2:$B$361,0))-50.5884)+ABS(INDEX(Геокодування!$D$2:$D$361,MATCH($Q79,Геокодування!$B$2:$B$361,0))-32.3876)&gt;0.15,"",INDEX(Геокодування!$C$2:$C$361,MATCH($Q79,Геокодування!$B$2:$B$361,0))),IFERROR(IF(ABS(INDEX(Геокодування!$C$2:$C$361,MATCH("Прилуки, Чернігівська обл., "&amp;$A79,Геокодування!$B$2:$B$361,0))-50.5884)+ABS(INDEX(Геокодування!$D$2:$D$361,MATCH("Прилуки, Чернігівська обл., "&amp;$A79,Геокодування!$B$2:$B$361,0))-32.3876)&gt;0.15,"",INDEX(Геокодування!$C$2:$C$361,MATCH("Прилуки, Чернігівська обл., "&amp;$A79,Геокодування!$B$2:$B$361,0))),""))))</f>
        <v>50.589849999999998</v>
      </c>
      <c r="S79" s="43">
        <f>IF($O79="","",IFERROR(INDEX('Координати майданчиків'!$I$4:$I$64,MATCH($T79,'Координати майданчиків'!$B$4:$B$64,0)),IFERROR(IF(ABS(INDEX(Геокодування!$C$2:$C$361,MATCH($Q79,Геокодування!$B$2:$B$361,0))-50.5884)+ABS(INDEX(Геокодування!$D$2:$D$361,MATCH($Q79,Геокодування!$B$2:$B$361,0))-32.3876)&gt;0.15,"",INDEX(Геокодування!$D$2:$D$361,MATCH($Q79,Геокодування!$B$2:$B$361,0))),IFERROR(IF(ABS(INDEX(Геокодування!$C$2:$C$361,MATCH("Прилуки, Чернігівська обл., "&amp;$A79,Геокодування!$B$2:$B$361,0))-50.5884)+ABS(INDEX(Геокодування!$D$2:$D$361,MATCH("Прилуки, Чернігівська обл., "&amp;$A79,Геокодування!$B$2:$B$361,0))-32.3876)&gt;0.15,"",INDEX(Геокодування!$D$2:$D$361,MATCH("Прилуки, Чернігівська обл., "&amp;$A79,Геокодування!$B$2:$B$361,0))),""))))</f>
        <v>32.383110000000002</v>
      </c>
      <c r="T79" s="44" t="str">
        <f>IF($O79="","",IFERROR(INDEX('Координати майданчиків'!$B$4:$B$64,MATCH($A79&amp;IF($P79="","",", "&amp;$P79),'Координати майданчиків'!$B$4:$B$64,0)),IFERROR(INDEX('Координати майданчиків'!$B$4:$B$64,MATCH($A79,'Координати майданчиків'!$B$4:$B$64,0)),"")))</f>
        <v>вул. Європейська, 110</v>
      </c>
    </row>
    <row r="80" spans="1:20" x14ac:dyDescent="0.35">
      <c r="A80" s="26" t="str">
        <f t="shared" si="3"/>
        <v>вул. Європейська</v>
      </c>
      <c r="B80" s="26" t="str">
        <f t="shared" si="4"/>
        <v>дит.лікарня</v>
      </c>
      <c r="C80" s="27" t="str" cm="1">
        <f t="array" ref="C80">IF($O80="","",_xlfn.TEXTJOIN(", ",TRUE,IF(EXACT('Дані_зв''язок'!$J$4:$J$1012,$O80)*('Дані_зв''язок'!$C$4:$C$1012=C$4),'Дані_зв''язок'!$D$4:$D$1012,"")))</f>
        <v>14:15</v>
      </c>
      <c r="D80" s="27" t="str" cm="1">
        <f t="array" ref="D80">IF($O80="","",_xlfn.TEXTJOIN(", ",TRUE,IF(EXACT('Дані_зв''язок'!$J$4:$J$1012,$O80)*('Дані_зв''язок'!$C$4:$C$1012=D$4),'Дані_зв''язок'!$D$4:$D$1012,"")))</f>
        <v/>
      </c>
      <c r="E80" s="27" t="str" cm="1">
        <f t="array" ref="E80">IF($O80="","",_xlfn.TEXTJOIN(", ",TRUE,IF(EXACT('Дані_зв''язок'!$J$4:$J$1012,$O80)*('Дані_зв''язок'!$C$4:$C$1012=E$4),'Дані_зв''язок'!$D$4:$D$1012,"")))</f>
        <v/>
      </c>
      <c r="F80" s="27" t="str" cm="1">
        <f t="array" ref="F80">IF($O80="","",_xlfn.TEXTJOIN(", ",TRUE,IF(EXACT('Дані_зв''язок'!$J$4:$J$1012,$O80)*('Дані_зв''язок'!$C$4:$C$1012=F$4),'Дані_зв''язок'!$D$4:$D$1012,"")))</f>
        <v/>
      </c>
      <c r="G80" s="27" t="str" cm="1">
        <f t="array" ref="G80">IF($O80="","",_xlfn.TEXTJOIN(", ",TRUE,IF(EXACT('Дані_зв''язок'!$J$4:$J$1012,$O80)*('Дані_зв''язок'!$C$4:$C$1012=G$4),'Дані_зв''язок'!$D$4:$D$1012,"")))</f>
        <v/>
      </c>
      <c r="H80" s="27" t="str" cm="1">
        <f t="array" ref="H80">IF($O80="","",_xlfn.TEXTJOIN(", ",TRUE,IF(EXACT('Дані_зв''язок'!$J$4:$J$1012,$O80)*('Дані_зв''язок'!$C$4:$C$1012=H$4),'Дані_зв''язок'!$D$4:$D$1012,"")))</f>
        <v/>
      </c>
      <c r="I80" s="27" t="str" cm="1">
        <f t="array" ref="I80">IF($O80="","",_xlfn.TEXTJOIN(", ",TRUE,IF(EXACT('Дані_зв''язок'!$J$4:$J$1012,$O80)*('Дані_зв''язок'!$C$4:$C$1012=I$4),'Дані_зв''язок'!$D$4:$D$1012,"")))</f>
        <v/>
      </c>
      <c r="J80" s="27" cm="1">
        <f t="array" ref="J80">IF($O80="","",COUNTIF(C80:I80,"?*")+SUMPRODUCT(LEN(C80:I80)-LEN(SUBSTITUTE(C80:I80,",",""))))</f>
        <v>1</v>
      </c>
      <c r="K80" s="28" t="str" cm="1">
        <f t="array" ref="K80">IF($O80="","",_xlfn.TEXTJOIN(", ",TRUE,IF(EXACT('Дані_зв''язок'!$J$4:$J$1012,$O80),'Дані_зв''язок'!$L$4:$L$1012,"")))</f>
        <v>№3</v>
      </c>
      <c r="L80" s="28" t="str" cm="1">
        <f t="array" ref="L80">IF($O80="","",_xlfn.TEXTJOIN(", ",TRUE,IF(EXACT('Дані_зв''язок'!$J$4:$J$1012,$O80),'Дані_зв''язок'!$M$4:$M$1012,"")))</f>
        <v>ГАЗ 3309</v>
      </c>
      <c r="M80" s="27" cm="1">
        <f t="array" ref="M80">IF($O80="","",IF(SUMPRODUCT(MAX(EXACT('Дані_зв''язок'!$J$4:$J$1012,$O80)*IFERROR('Дані_зв''язок'!$H$4:$H$1012,0)))=0,"",SUMPRODUCT(MAX(EXACT('Дані_зв''язок'!$J$4:$J$1012,$O80)*IFERROR('Дані_зв''язок'!$H$4:$H$1012,0)))))</f>
        <v>2</v>
      </c>
      <c r="O80" s="30" t="s">
        <v>1286</v>
      </c>
      <c r="P80" s="24" t="str" cm="1">
        <f t="array" ref="P80">IF($O80="","",IF($B80="","",IFERROR(IF(MIN(IFERROR(VALUE(TRIM(MID(SUBSTITUTE(SUBSTITUTE($B80,","," ")," ",REPT(" ",30)),{1;31;61;91;121;151;181},30))),""))=0,"",MIN(IFERROR(VALUE(TRIM(MID(SUBSTITUTE(SUBSTITUTE($B80,","," ")," ",REPT(" ",30)),{1;31;61;91;121;151;181},30))),""))),"")))</f>
        <v/>
      </c>
      <c r="Q80" s="23" t="str">
        <f t="shared" si="5"/>
        <v>Прилуки, Чернігівська обл., вул. Європейська</v>
      </c>
      <c r="R80" s="35">
        <f>IF($O80="","",IFERROR(INDEX('Координати майданчиків'!$H$4:$H$64,MATCH($T80,'Координати майданчиків'!$B$4:$B$64,0)),IFERROR(IF(ABS(INDEX(Геокодування!$C$2:$C$361,MATCH($Q80,Геокодування!$B$2:$B$361,0))-50.5884)+ABS(INDEX(Геокодування!$D$2:$D$361,MATCH($Q80,Геокодування!$B$2:$B$361,0))-32.3876)&gt;0.15,"",INDEX(Геокодування!$C$2:$C$361,MATCH($Q80,Геокодування!$B$2:$B$361,0))),IFERROR(IF(ABS(INDEX(Геокодування!$C$2:$C$361,MATCH("Прилуки, Чернігівська обл., "&amp;$A80,Геокодування!$B$2:$B$361,0))-50.5884)+ABS(INDEX(Геокодування!$D$2:$D$361,MATCH("Прилуки, Чернігівська обл., "&amp;$A80,Геокодування!$B$2:$B$361,0))-32.3876)&gt;0.15,"",INDEX(Геокодування!$C$2:$C$361,MATCH("Прилуки, Чернігівська обл., "&amp;$A80,Геокодування!$B$2:$B$361,0))),""))))</f>
        <v>50.588745000000003</v>
      </c>
      <c r="S80" s="43">
        <f>IF($O80="","",IFERROR(INDEX('Координати майданчиків'!$I$4:$I$64,MATCH($T80,'Координати майданчиків'!$B$4:$B$64,0)),IFERROR(IF(ABS(INDEX(Геокодування!$C$2:$C$361,MATCH($Q80,Геокодування!$B$2:$B$361,0))-50.5884)+ABS(INDEX(Геокодування!$D$2:$D$361,MATCH($Q80,Геокодування!$B$2:$B$361,0))-32.3876)&gt;0.15,"",INDEX(Геокодування!$D$2:$D$361,MATCH($Q80,Геокодування!$B$2:$B$361,0))),IFERROR(IF(ABS(INDEX(Геокодування!$C$2:$C$361,MATCH("Прилуки, Чернігівська обл., "&amp;$A80,Геокодування!$B$2:$B$361,0))-50.5884)+ABS(INDEX(Геокодування!$D$2:$D$361,MATCH("Прилуки, Чернігівська обл., "&amp;$A80,Геокодування!$B$2:$B$361,0))-32.3876)&gt;0.15,"",INDEX(Геокодування!$D$2:$D$361,MATCH("Прилуки, Чернігівська обл., "&amp;$A80,Геокодування!$B$2:$B$361,0))),""))))</f>
        <v>32.395423999999998</v>
      </c>
      <c r="T80" s="44" t="str">
        <f>IF($O80="","",IFERROR(INDEX('Координати майданчиків'!$B$4:$B$64,MATCH($A80&amp;IF($P80="","",", "&amp;$P80),'Координати майданчиків'!$B$4:$B$64,0)),IFERROR(INDEX('Координати майданчиків'!$B$4:$B$64,MATCH($A80,'Координати майданчиків'!$B$4:$B$64,0)),"")))</f>
        <v/>
      </c>
    </row>
    <row r="81" spans="1:20" x14ac:dyDescent="0.35">
      <c r="A81" s="26" t="str">
        <f t="shared" si="3"/>
        <v>вул. Європейська</v>
      </c>
      <c r="B81" s="26" t="str">
        <f t="shared" si="4"/>
        <v>м-н Акваріум</v>
      </c>
      <c r="C81" s="27" t="str" cm="1">
        <f t="array" ref="C81">IF($O81="","",_xlfn.TEXTJOIN(", ",TRUE,IF(EXACT('Дані_зв''язок'!$J$4:$J$1012,$O81)*('Дані_зв''язок'!$C$4:$C$1012=C$4),'Дані_зв''язок'!$D$4:$D$1012,"")))</f>
        <v/>
      </c>
      <c r="D81" s="27" t="str" cm="1">
        <f t="array" ref="D81">IF($O81="","",_xlfn.TEXTJOIN(", ",TRUE,IF(EXACT('Дані_зв''язок'!$J$4:$J$1012,$O81)*('Дані_зв''язок'!$C$4:$C$1012=D$4),'Дані_зв''язок'!$D$4:$D$1012,"")))</f>
        <v/>
      </c>
      <c r="E81" s="27" t="str" cm="1">
        <f t="array" ref="E81">IF($O81="","",_xlfn.TEXTJOIN(", ",TRUE,IF(EXACT('Дані_зв''язок'!$J$4:$J$1012,$O81)*('Дані_зв''язок'!$C$4:$C$1012=E$4),'Дані_зв''язок'!$D$4:$D$1012,"")))</f>
        <v>15:20</v>
      </c>
      <c r="F81" s="27" t="str" cm="1">
        <f t="array" ref="F81">IF($O81="","",_xlfn.TEXTJOIN(", ",TRUE,IF(EXACT('Дані_зв''язок'!$J$4:$J$1012,$O81)*('Дані_зв''язок'!$C$4:$C$1012=F$4),'Дані_зв''язок'!$D$4:$D$1012,"")))</f>
        <v/>
      </c>
      <c r="G81" s="27" t="str" cm="1">
        <f t="array" ref="G81">IF($O81="","",_xlfn.TEXTJOIN(", ",TRUE,IF(EXACT('Дані_зв''язок'!$J$4:$J$1012,$O81)*('Дані_зв''язок'!$C$4:$C$1012=G$4),'Дані_зв''язок'!$D$4:$D$1012,"")))</f>
        <v/>
      </c>
      <c r="H81" s="27" t="str" cm="1">
        <f t="array" ref="H81">IF($O81="","",_xlfn.TEXTJOIN(", ",TRUE,IF(EXACT('Дані_зв''язок'!$J$4:$J$1012,$O81)*('Дані_зв''язок'!$C$4:$C$1012=H$4),'Дані_зв''язок'!$D$4:$D$1012,"")))</f>
        <v/>
      </c>
      <c r="I81" s="27" t="str" cm="1">
        <f t="array" ref="I81">IF($O81="","",_xlfn.TEXTJOIN(", ",TRUE,IF(EXACT('Дані_зв''язок'!$J$4:$J$1012,$O81)*('Дані_зв''язок'!$C$4:$C$1012=I$4),'Дані_зв''язок'!$D$4:$D$1012,"")))</f>
        <v/>
      </c>
      <c r="J81" s="27" cm="1">
        <f t="array" ref="J81">IF($O81="","",COUNTIF(C81:I81,"?*")+SUMPRODUCT(LEN(C81:I81)-LEN(SUBSTITUTE(C81:I81,",",""))))</f>
        <v>1</v>
      </c>
      <c r="K81" s="28" t="str" cm="1">
        <f t="array" ref="K81">IF($O81="","",_xlfn.TEXTJOIN(", ",TRUE,IF(EXACT('Дані_зв''язок'!$J$4:$J$1012,$O81),'Дані_зв''язок'!$L$4:$L$1012,"")))</f>
        <v>№5</v>
      </c>
      <c r="L81" s="28" t="str" cm="1">
        <f t="array" ref="L81">IF($O81="","",_xlfn.TEXTJOIN(", ",TRUE,IF(EXACT('Дані_зв''язок'!$J$4:$J$1012,$O81),'Дані_зв''язок'!$M$4:$M$1012,"")))</f>
        <v>МАЗ 4381</v>
      </c>
      <c r="M81" s="27" t="str" cm="1">
        <f t="array" ref="M81">IF($O81="","",IF(SUMPRODUCT(MAX(EXACT('Дані_зв''язок'!$J$4:$J$1012,$O81)*IFERROR('Дані_зв''язок'!$H$4:$H$1012,0)))=0,"",SUMPRODUCT(MAX(EXACT('Дані_зв''язок'!$J$4:$J$1012,$O81)*IFERROR('Дані_зв''язок'!$H$4:$H$1012,0)))))</f>
        <v/>
      </c>
      <c r="O81" s="30" t="s">
        <v>1287</v>
      </c>
      <c r="P81" s="24" t="str" cm="1">
        <f t="array" ref="P81">IF($O81="","",IF($B81="","",IFERROR(IF(MIN(IFERROR(VALUE(TRIM(MID(SUBSTITUTE(SUBSTITUTE($B81,","," ")," ",REPT(" ",30)),{1;31;61;91;121;151;181},30))),""))=0,"",MIN(IFERROR(VALUE(TRIM(MID(SUBSTITUTE(SUBSTITUTE($B81,","," ")," ",REPT(" ",30)),{1;31;61;91;121;151;181},30))),""))),"")))</f>
        <v/>
      </c>
      <c r="Q81" s="23" t="str">
        <f t="shared" si="5"/>
        <v>Прилуки, Чернігівська обл., вул. Європейська</v>
      </c>
      <c r="R81" s="35">
        <f>IF($O81="","",IFERROR(INDEX('Координати майданчиків'!$H$4:$H$64,MATCH($T81,'Координати майданчиків'!$B$4:$B$64,0)),IFERROR(IF(ABS(INDEX(Геокодування!$C$2:$C$361,MATCH($Q81,Геокодування!$B$2:$B$361,0))-50.5884)+ABS(INDEX(Геокодування!$D$2:$D$361,MATCH($Q81,Геокодування!$B$2:$B$361,0))-32.3876)&gt;0.15,"",INDEX(Геокодування!$C$2:$C$361,MATCH($Q81,Геокодування!$B$2:$B$361,0))),IFERROR(IF(ABS(INDEX(Геокодування!$C$2:$C$361,MATCH("Прилуки, Чернігівська обл., "&amp;$A81,Геокодування!$B$2:$B$361,0))-50.5884)+ABS(INDEX(Геокодування!$D$2:$D$361,MATCH("Прилуки, Чернігівська обл., "&amp;$A81,Геокодування!$B$2:$B$361,0))-32.3876)&gt;0.15,"",INDEX(Геокодування!$C$2:$C$361,MATCH("Прилуки, Чернігівська обл., "&amp;$A81,Геокодування!$B$2:$B$361,0))),""))))</f>
        <v>50.588745000000003</v>
      </c>
      <c r="S81" s="43">
        <f>IF($O81="","",IFERROR(INDEX('Координати майданчиків'!$I$4:$I$64,MATCH($T81,'Координати майданчиків'!$B$4:$B$64,0)),IFERROR(IF(ABS(INDEX(Геокодування!$C$2:$C$361,MATCH($Q81,Геокодування!$B$2:$B$361,0))-50.5884)+ABS(INDEX(Геокодування!$D$2:$D$361,MATCH($Q81,Геокодування!$B$2:$B$361,0))-32.3876)&gt;0.15,"",INDEX(Геокодування!$D$2:$D$361,MATCH($Q81,Геокодування!$B$2:$B$361,0))),IFERROR(IF(ABS(INDEX(Геокодування!$C$2:$C$361,MATCH("Прилуки, Чернігівська обл., "&amp;$A81,Геокодування!$B$2:$B$361,0))-50.5884)+ABS(INDEX(Геокодування!$D$2:$D$361,MATCH("Прилуки, Чернігівська обл., "&amp;$A81,Геокодування!$B$2:$B$361,0))-32.3876)&gt;0.15,"",INDEX(Геокодування!$D$2:$D$361,MATCH("Прилуки, Чернігівська обл., "&amp;$A81,Геокодування!$B$2:$B$361,0))),""))))</f>
        <v>32.395423999999998</v>
      </c>
      <c r="T81" s="44" t="str">
        <f>IF($O81="","",IFERROR(INDEX('Координати майданчиків'!$B$4:$B$64,MATCH($A81&amp;IF($P81="","",", "&amp;$P81),'Координати майданчиків'!$B$4:$B$64,0)),IFERROR(INDEX('Координати майданчиків'!$B$4:$B$64,MATCH($A81,'Координати майданчиків'!$B$4:$B$64,0)),"")))</f>
        <v/>
      </c>
    </row>
    <row r="82" spans="1:20" x14ac:dyDescent="0.35">
      <c r="A82" s="26" t="str">
        <f t="shared" si="3"/>
        <v>вул. Європейська</v>
      </c>
      <c r="B82" s="26" t="str">
        <f t="shared" si="4"/>
        <v>стовпи</v>
      </c>
      <c r="C82" s="27" t="str" cm="1">
        <f t="array" ref="C82">IF($O82="","",_xlfn.TEXTJOIN(", ",TRUE,IF(EXACT('Дані_зв''язок'!$J$4:$J$1012,$O82)*('Дані_зв''язок'!$C$4:$C$1012=C$4),'Дані_зв''язок'!$D$4:$D$1012,"")))</f>
        <v>7:25</v>
      </c>
      <c r="D82" s="27" t="str" cm="1">
        <f t="array" ref="D82">IF($O82="","",_xlfn.TEXTJOIN(", ",TRUE,IF(EXACT('Дані_зв''язок'!$J$4:$J$1012,$O82)*('Дані_зв''язок'!$C$4:$C$1012=D$4),'Дані_зв''язок'!$D$4:$D$1012,"")))</f>
        <v>7:25</v>
      </c>
      <c r="E82" s="27" t="str" cm="1">
        <f t="array" ref="E82">IF($O82="","",_xlfn.TEXTJOIN(", ",TRUE,IF(EXACT('Дані_зв''язок'!$J$4:$J$1012,$O82)*('Дані_зв''язок'!$C$4:$C$1012=E$4),'Дані_зв''язок'!$D$4:$D$1012,"")))</f>
        <v>7:25</v>
      </c>
      <c r="F82" s="27" t="str" cm="1">
        <f t="array" ref="F82">IF($O82="","",_xlfn.TEXTJOIN(", ",TRUE,IF(EXACT('Дані_зв''язок'!$J$4:$J$1012,$O82)*('Дані_зв''язок'!$C$4:$C$1012=F$4),'Дані_зв''язок'!$D$4:$D$1012,"")))</f>
        <v>8:40</v>
      </c>
      <c r="G82" s="27" t="str" cm="1">
        <f t="array" ref="G82">IF($O82="","",_xlfn.TEXTJOIN(", ",TRUE,IF(EXACT('Дані_зв''язок'!$J$4:$J$1012,$O82)*('Дані_зв''язок'!$C$4:$C$1012=G$4),'Дані_зв''язок'!$D$4:$D$1012,"")))</f>
        <v>7:25</v>
      </c>
      <c r="H82" s="27" t="str" cm="1">
        <f t="array" ref="H82">IF($O82="","",_xlfn.TEXTJOIN(", ",TRUE,IF(EXACT('Дані_зв''язок'!$J$4:$J$1012,$O82)*('Дані_зв''язок'!$C$4:$C$1012=H$4),'Дані_зв''язок'!$D$4:$D$1012,"")))</f>
        <v>7:25</v>
      </c>
      <c r="I82" s="27" t="str" cm="1">
        <f t="array" ref="I82">IF($O82="","",_xlfn.TEXTJOIN(", ",TRUE,IF(EXACT('Дані_зв''язок'!$J$4:$J$1012,$O82)*('Дані_зв''язок'!$C$4:$C$1012=I$4),'Дані_зв''язок'!$D$4:$D$1012,"")))</f>
        <v>8:40</v>
      </c>
      <c r="J82" s="27" cm="1">
        <f t="array" ref="J82">IF($O82="","",COUNTIF(C82:I82,"?*")+SUMPRODUCT(LEN(C82:I82)-LEN(SUBSTITUTE(C82:I82,",",""))))</f>
        <v>7</v>
      </c>
      <c r="K82" s="28" t="str" cm="1">
        <f t="array" ref="K82">IF($O82="","",_xlfn.TEXTJOIN(", ",TRUE,IF(EXACT('Дані_зв''язок'!$J$4:$J$1012,$O82),'Дані_зв''язок'!$L$4:$L$1012,"")))</f>
        <v>№1</v>
      </c>
      <c r="L82" s="28" t="str" cm="1">
        <f t="array" ref="L82">IF($O82="","",_xlfn.TEXTJOIN(", ",TRUE,IF(EXACT('Дані_зв''язок'!$J$4:$J$1012,$O82),'Дані_зв''язок'!$M$4:$M$1012,"")))</f>
        <v>КАМАЗ 55111, АТ-4021/1120</v>
      </c>
      <c r="M82" s="27" cm="1">
        <f t="array" ref="M82">IF($O82="","",IF(SUMPRODUCT(MAX(EXACT('Дані_зв''язок'!$J$4:$J$1012,$O82)*IFERROR('Дані_зв''язок'!$H$4:$H$1012,0)))=0,"",SUMPRODUCT(MAX(EXACT('Дані_зв''язок'!$J$4:$J$1012,$O82)*IFERROR('Дані_зв''язок'!$H$4:$H$1012,0)))))</f>
        <v>5</v>
      </c>
      <c r="O82" s="30" t="s">
        <v>1288</v>
      </c>
      <c r="P82" s="24" t="str" cm="1">
        <f t="array" ref="P82">IF($O82="","",IF($B82="","",IFERROR(IF(MIN(IFERROR(VALUE(TRIM(MID(SUBSTITUTE(SUBSTITUTE($B82,","," ")," ",REPT(" ",30)),{1;31;61;91;121;151;181},30))),""))=0,"",MIN(IFERROR(VALUE(TRIM(MID(SUBSTITUTE(SUBSTITUTE($B82,","," ")," ",REPT(" ",30)),{1;31;61;91;121;151;181},30))),""))),"")))</f>
        <v/>
      </c>
      <c r="Q82" s="23" t="str">
        <f t="shared" si="5"/>
        <v>Прилуки, Чернігівська обл., вул. Європейська</v>
      </c>
      <c r="R82" s="35">
        <f>IF($O82="","",IFERROR(INDEX('Координати майданчиків'!$H$4:$H$64,MATCH($T82,'Координати майданчиків'!$B$4:$B$64,0)),IFERROR(IF(ABS(INDEX(Геокодування!$C$2:$C$361,MATCH($Q82,Геокодування!$B$2:$B$361,0))-50.5884)+ABS(INDEX(Геокодування!$D$2:$D$361,MATCH($Q82,Геокодування!$B$2:$B$361,0))-32.3876)&gt;0.15,"",INDEX(Геокодування!$C$2:$C$361,MATCH($Q82,Геокодування!$B$2:$B$361,0))),IFERROR(IF(ABS(INDEX(Геокодування!$C$2:$C$361,MATCH("Прилуки, Чернігівська обл., "&amp;$A82,Геокодування!$B$2:$B$361,0))-50.5884)+ABS(INDEX(Геокодування!$D$2:$D$361,MATCH("Прилуки, Чернігівська обл., "&amp;$A82,Геокодування!$B$2:$B$361,0))-32.3876)&gt;0.15,"",INDEX(Геокодування!$C$2:$C$361,MATCH("Прилуки, Чернігівська обл., "&amp;$A82,Геокодування!$B$2:$B$361,0))),""))))</f>
        <v>50.588745000000003</v>
      </c>
      <c r="S82" s="43">
        <f>IF($O82="","",IFERROR(INDEX('Координати майданчиків'!$I$4:$I$64,MATCH($T82,'Координати майданчиків'!$B$4:$B$64,0)),IFERROR(IF(ABS(INDEX(Геокодування!$C$2:$C$361,MATCH($Q82,Геокодування!$B$2:$B$361,0))-50.5884)+ABS(INDEX(Геокодування!$D$2:$D$361,MATCH($Q82,Геокодування!$B$2:$B$361,0))-32.3876)&gt;0.15,"",INDEX(Геокодування!$D$2:$D$361,MATCH($Q82,Геокодування!$B$2:$B$361,0))),IFERROR(IF(ABS(INDEX(Геокодування!$C$2:$C$361,MATCH("Прилуки, Чернігівська обл., "&amp;$A82,Геокодування!$B$2:$B$361,0))-50.5884)+ABS(INDEX(Геокодування!$D$2:$D$361,MATCH("Прилуки, Чернігівська обл., "&amp;$A82,Геокодування!$B$2:$B$361,0))-32.3876)&gt;0.15,"",INDEX(Геокодування!$D$2:$D$361,MATCH("Прилуки, Чернігівська обл., "&amp;$A82,Геокодування!$B$2:$B$361,0))),""))))</f>
        <v>32.395423999999998</v>
      </c>
      <c r="T82" s="44" t="str">
        <f>IF($O82="","",IFERROR(INDEX('Координати майданчиків'!$B$4:$B$64,MATCH($A82&amp;IF($P82="","",", "&amp;$P82),'Координати майданчиків'!$B$4:$B$64,0)),IFERROR(INDEX('Координати майданчиків'!$B$4:$B$64,MATCH($A82,'Координати майданчиків'!$B$4:$B$64,0)),"")))</f>
        <v/>
      </c>
    </row>
    <row r="83" spans="1:20" x14ac:dyDescent="0.35">
      <c r="A83" s="26" t="str">
        <f t="shared" si="3"/>
        <v>вул. І. Богуна</v>
      </c>
      <c r="B83" s="26" t="str">
        <f t="shared" si="4"/>
        <v/>
      </c>
      <c r="C83" s="27" t="str" cm="1">
        <f t="array" ref="C83">IF($O83="","",_xlfn.TEXTJOIN(", ",TRUE,IF(EXACT('Дані_зв''язок'!$J$4:$J$1012,$O83)*('Дані_зв''язок'!$C$4:$C$1012=C$4),'Дані_зв''язок'!$D$4:$D$1012,"")))</f>
        <v>7:20, 7:40</v>
      </c>
      <c r="D83" s="27" t="str" cm="1">
        <f t="array" ref="D83">IF($O83="","",_xlfn.TEXTJOIN(", ",TRUE,IF(EXACT('Дані_зв''язок'!$J$4:$J$1012,$O83)*('Дані_зв''язок'!$C$4:$C$1012=D$4),'Дані_зв''язок'!$D$4:$D$1012,"")))</f>
        <v/>
      </c>
      <c r="E83" s="27" t="str" cm="1">
        <f t="array" ref="E83">IF($O83="","",_xlfn.TEXTJOIN(", ",TRUE,IF(EXACT('Дані_зв''язок'!$J$4:$J$1012,$O83)*('Дані_зв''язок'!$C$4:$C$1012=E$4),'Дані_зв''язок'!$D$4:$D$1012,"")))</f>
        <v/>
      </c>
      <c r="F83" s="27" t="str" cm="1">
        <f t="array" ref="F83">IF($O83="","",_xlfn.TEXTJOIN(", ",TRUE,IF(EXACT('Дані_зв''язок'!$J$4:$J$1012,$O83)*('Дані_зв''язок'!$C$4:$C$1012=F$4),'Дані_зв''язок'!$D$4:$D$1012,"")))</f>
        <v>7:40</v>
      </c>
      <c r="G83" s="27" t="str" cm="1">
        <f t="array" ref="G83">IF($O83="","",_xlfn.TEXTJOIN(", ",TRUE,IF(EXACT('Дані_зв''язок'!$J$4:$J$1012,$O83)*('Дані_зв''язок'!$C$4:$C$1012=G$4),'Дані_зв''язок'!$D$4:$D$1012,"")))</f>
        <v>11:45</v>
      </c>
      <c r="H83" s="27" t="str" cm="1">
        <f t="array" ref="H83">IF($O83="","",_xlfn.TEXTJOIN(", ",TRUE,IF(EXACT('Дані_зв''язок'!$J$4:$J$1012,$O83)*('Дані_зв''язок'!$C$4:$C$1012=H$4),'Дані_зв''язок'!$D$4:$D$1012,"")))</f>
        <v/>
      </c>
      <c r="I83" s="27" t="str" cm="1">
        <f t="array" ref="I83">IF($O83="","",_xlfn.TEXTJOIN(", ",TRUE,IF(EXACT('Дані_зв''язок'!$J$4:$J$1012,$O83)*('Дані_зв''язок'!$C$4:$C$1012=I$4),'Дані_зв''язок'!$D$4:$D$1012,"")))</f>
        <v/>
      </c>
      <c r="J83" s="27" cm="1">
        <f t="array" ref="J83">IF($O83="","",COUNTIF(C83:I83,"?*")+SUMPRODUCT(LEN(C83:I83)-LEN(SUBSTITUTE(C83:I83,",",""))))</f>
        <v>4</v>
      </c>
      <c r="K83" s="28" t="str" cm="1">
        <f t="array" ref="K83">IF($O83="","",_xlfn.TEXTJOIN(", ",TRUE,IF(EXACT('Дані_зв''язок'!$J$4:$J$1012,$O83),'Дані_зв''язок'!$L$4:$L$1012,"")))</f>
        <v>№5</v>
      </c>
      <c r="L83" s="28" t="str" cm="1">
        <f t="array" ref="L83">IF($O83="","",_xlfn.TEXTJOIN(", ",TRUE,IF(EXACT('Дані_зв''язок'!$J$4:$J$1012,$O83),'Дані_зв''язок'!$M$4:$M$1012,"")))</f>
        <v>МАЗ 4381</v>
      </c>
      <c r="M83" s="27" t="str" cm="1">
        <f t="array" ref="M83">IF($O83="","",IF(SUMPRODUCT(MAX(EXACT('Дані_зв''язок'!$J$4:$J$1012,$O83)*IFERROR('Дані_зв''язок'!$H$4:$H$1012,0)))=0,"",SUMPRODUCT(MAX(EXACT('Дані_зв''язок'!$J$4:$J$1012,$O83)*IFERROR('Дані_зв''язок'!$H$4:$H$1012,0)))))</f>
        <v/>
      </c>
      <c r="O83" s="30" t="s">
        <v>1306</v>
      </c>
      <c r="P83" s="24" t="str" cm="1">
        <f t="array" ref="P83">IF($O83="","",IF($B83="","",IFERROR(IF(MIN(IFERROR(VALUE(TRIM(MID(SUBSTITUTE(SUBSTITUTE($B83,","," ")," ",REPT(" ",30)),{1;31;61;91;121;151;181},30))),""))=0,"",MIN(IFERROR(VALUE(TRIM(MID(SUBSTITUTE(SUBSTITUTE($B83,","," ")," ",REPT(" ",30)),{1;31;61;91;121;151;181},30))),""))),"")))</f>
        <v/>
      </c>
      <c r="Q83" s="23" t="str">
        <f t="shared" si="5"/>
        <v>Прилуки, Чернігівська обл., вул. І. Богуна</v>
      </c>
      <c r="R83" s="35">
        <f>IF($O83="","",IFERROR(INDEX('Координати майданчиків'!$H$4:$H$64,MATCH($T83,'Координати майданчиків'!$B$4:$B$64,0)),IFERROR(IF(ABS(INDEX(Геокодування!$C$2:$C$361,MATCH($Q83,Геокодування!$B$2:$B$361,0))-50.5884)+ABS(INDEX(Геокодування!$D$2:$D$361,MATCH($Q83,Геокодування!$B$2:$B$361,0))-32.3876)&gt;0.15,"",INDEX(Геокодування!$C$2:$C$361,MATCH($Q83,Геокодування!$B$2:$B$361,0))),IFERROR(IF(ABS(INDEX(Геокодування!$C$2:$C$361,MATCH("Прилуки, Чернігівська обл., "&amp;$A83,Геокодування!$B$2:$B$361,0))-50.5884)+ABS(INDEX(Геокодування!$D$2:$D$361,MATCH("Прилуки, Чернігівська обл., "&amp;$A83,Геокодування!$B$2:$B$361,0))-32.3876)&gt;0.15,"",INDEX(Геокодування!$C$2:$C$361,MATCH("Прилуки, Чернігівська обл., "&amp;$A83,Геокодування!$B$2:$B$361,0))),""))))</f>
        <v>50.582774000000001</v>
      </c>
      <c r="S83" s="43">
        <f>IF($O83="","",IFERROR(INDEX('Координати майданчиків'!$I$4:$I$64,MATCH($T83,'Координати майданчиків'!$B$4:$B$64,0)),IFERROR(IF(ABS(INDEX(Геокодування!$C$2:$C$361,MATCH($Q83,Геокодування!$B$2:$B$361,0))-50.5884)+ABS(INDEX(Геокодування!$D$2:$D$361,MATCH($Q83,Геокодування!$B$2:$B$361,0))-32.3876)&gt;0.15,"",INDEX(Геокодування!$D$2:$D$361,MATCH($Q83,Геокодування!$B$2:$B$361,0))),IFERROR(IF(ABS(INDEX(Геокодування!$C$2:$C$361,MATCH("Прилуки, Чернігівська обл., "&amp;$A83,Геокодування!$B$2:$B$361,0))-50.5884)+ABS(INDEX(Геокодування!$D$2:$D$361,MATCH("Прилуки, Чернігівська обл., "&amp;$A83,Геокодування!$B$2:$B$361,0))-32.3876)&gt;0.15,"",INDEX(Геокодування!$D$2:$D$361,MATCH("Прилуки, Чернігівська обл., "&amp;$A83,Геокодування!$B$2:$B$361,0))),""))))</f>
        <v>32.373091000000002</v>
      </c>
      <c r="T83" s="44" t="str">
        <f>IF($O83="","",IFERROR(INDEX('Координати майданчиків'!$B$4:$B$64,MATCH($A83&amp;IF($P83="","",", "&amp;$P83),'Координати майданчиків'!$B$4:$B$64,0)),IFERROR(INDEX('Координати майданчиків'!$B$4:$B$64,MATCH($A83,'Координати майданчиків'!$B$4:$B$64,0)),"")))</f>
        <v/>
      </c>
    </row>
    <row r="84" spans="1:20" x14ac:dyDescent="0.35">
      <c r="A84" s="26" t="str">
        <f t="shared" si="3"/>
        <v>вул. І. Білгородського</v>
      </c>
      <c r="B84" s="26" t="str">
        <f t="shared" si="4"/>
        <v>13,26  33</v>
      </c>
      <c r="C84" s="27" t="str" cm="1">
        <f t="array" ref="C84">IF($O84="","",_xlfn.TEXTJOIN(", ",TRUE,IF(EXACT('Дані_зв''язок'!$J$4:$J$1012,$O84)*('Дані_зв''язок'!$C$4:$C$1012=C$4),'Дані_зв''язок'!$D$4:$D$1012,"")))</f>
        <v/>
      </c>
      <c r="D84" s="27" t="str" cm="1">
        <f t="array" ref="D84">IF($O84="","",_xlfn.TEXTJOIN(", ",TRUE,IF(EXACT('Дані_зв''язок'!$J$4:$J$1012,$O84)*('Дані_зв''язок'!$C$4:$C$1012=D$4),'Дані_зв''язок'!$D$4:$D$1012,"")))</f>
        <v/>
      </c>
      <c r="E84" s="27" t="str" cm="1">
        <f t="array" ref="E84">IF($O84="","",_xlfn.TEXTJOIN(", ",TRUE,IF(EXACT('Дані_зв''язок'!$J$4:$J$1012,$O84)*('Дані_зв''язок'!$C$4:$C$1012=E$4),'Дані_зв''язок'!$D$4:$D$1012,"")))</f>
        <v/>
      </c>
      <c r="F84" s="27" t="str" cm="1">
        <f t="array" ref="F84">IF($O84="","",_xlfn.TEXTJOIN(", ",TRUE,IF(EXACT('Дані_зв''язок'!$J$4:$J$1012,$O84)*('Дані_зв''язок'!$C$4:$C$1012=F$4),'Дані_зв''язок'!$D$4:$D$1012,"")))</f>
        <v>8:15</v>
      </c>
      <c r="G84" s="27" t="str" cm="1">
        <f t="array" ref="G84">IF($O84="","",_xlfn.TEXTJOIN(", ",TRUE,IF(EXACT('Дані_зв''язок'!$J$4:$J$1012,$O84)*('Дані_зв''язок'!$C$4:$C$1012=G$4),'Дані_зв''язок'!$D$4:$D$1012,"")))</f>
        <v/>
      </c>
      <c r="H84" s="27" t="str" cm="1">
        <f t="array" ref="H84">IF($O84="","",_xlfn.TEXTJOIN(", ",TRUE,IF(EXACT('Дані_зв''язок'!$J$4:$J$1012,$O84)*('Дані_зв''язок'!$C$4:$C$1012=H$4),'Дані_зв''язок'!$D$4:$D$1012,"")))</f>
        <v/>
      </c>
      <c r="I84" s="27" t="str" cm="1">
        <f t="array" ref="I84">IF($O84="","",_xlfn.TEXTJOIN(", ",TRUE,IF(EXACT('Дані_зв''язок'!$J$4:$J$1012,$O84)*('Дані_зв''язок'!$C$4:$C$1012=I$4),'Дані_зв''язок'!$D$4:$D$1012,"")))</f>
        <v/>
      </c>
      <c r="J84" s="27" cm="1">
        <f t="array" ref="J84">IF($O84="","",COUNTIF(C84:I84,"?*")+SUMPRODUCT(LEN(C84:I84)-LEN(SUBSTITUTE(C84:I84,",",""))))</f>
        <v>1</v>
      </c>
      <c r="K84" s="28" t="str" cm="1">
        <f t="array" ref="K84">IF($O84="","",_xlfn.TEXTJOIN(", ",TRUE,IF(EXACT('Дані_зв''язок'!$J$4:$J$1012,$O84),'Дані_зв''язок'!$L$4:$L$1012,"")))</f>
        <v>№6</v>
      </c>
      <c r="L84" s="28" t="str" cm="1">
        <f t="array" ref="L84">IF($O84="","",_xlfn.TEXTJOIN(", ",TRUE,IF(EXACT('Дані_зв''язок'!$J$4:$J$1012,$O84),'Дані_зв''язок'!$M$4:$M$1012,"")))</f>
        <v>АТ 4021</v>
      </c>
      <c r="M84" s="27" t="str" cm="1">
        <f t="array" ref="M84">IF($O84="","",IF(SUMPRODUCT(MAX(EXACT('Дані_зв''язок'!$J$4:$J$1012,$O84)*IFERROR('Дані_зв''язок'!$H$4:$H$1012,0)))=0,"",SUMPRODUCT(MAX(EXACT('Дані_зв''язок'!$J$4:$J$1012,$O84)*IFERROR('Дані_зв''язок'!$H$4:$H$1012,0)))))</f>
        <v/>
      </c>
      <c r="O84" s="30" t="s">
        <v>1302</v>
      </c>
      <c r="P84" s="24" cm="1">
        <f t="array" ref="P84">IF($O84="","",IF($B84="","",IFERROR(IF(MIN(IFERROR(VALUE(TRIM(MID(SUBSTITUTE(SUBSTITUTE($B84,","," ")," ",REPT(" ",30)),{1;31;61;91;121;151;181},30))),""))=0,"",MIN(IFERROR(VALUE(TRIM(MID(SUBSTITUTE(SUBSTITUTE($B84,","," ")," ",REPT(" ",30)),{1;31;61;91;121;151;181},30))),""))),"")))</f>
        <v>13</v>
      </c>
      <c r="Q84" s="23" t="str">
        <f t="shared" si="5"/>
        <v>Прилуки, Чернігівська обл., вул. І. Білгородського, 13</v>
      </c>
      <c r="R84" s="35">
        <f>IF($O84="","",IFERROR(INDEX('Координати майданчиків'!$H$4:$H$64,MATCH($T84,'Координати майданчиків'!$B$4:$B$64,0)),IFERROR(IF(ABS(INDEX(Геокодування!$C$2:$C$361,MATCH($Q84,Геокодування!$B$2:$B$361,0))-50.5884)+ABS(INDEX(Геокодування!$D$2:$D$361,MATCH($Q84,Геокодування!$B$2:$B$361,0))-32.3876)&gt;0.15,"",INDEX(Геокодування!$C$2:$C$361,MATCH($Q84,Геокодування!$B$2:$B$361,0))),IFERROR(IF(ABS(INDEX(Геокодування!$C$2:$C$361,MATCH("Прилуки, Чернігівська обл., "&amp;$A84,Геокодування!$B$2:$B$361,0))-50.5884)+ABS(INDEX(Геокодування!$D$2:$D$361,MATCH("Прилуки, Чернігівська обл., "&amp;$A84,Геокодування!$B$2:$B$361,0))-32.3876)&gt;0.15,"",INDEX(Геокодування!$C$2:$C$361,MATCH("Прилуки, Чернігівська обл., "&amp;$A84,Геокодування!$B$2:$B$361,0))),""))))</f>
        <v>50.597251</v>
      </c>
      <c r="S84" s="43">
        <f>IF($O84="","",IFERROR(INDEX('Координати майданчиків'!$I$4:$I$64,MATCH($T84,'Координати майданчиків'!$B$4:$B$64,0)),IFERROR(IF(ABS(INDEX(Геокодування!$C$2:$C$361,MATCH($Q84,Геокодування!$B$2:$B$361,0))-50.5884)+ABS(INDEX(Геокодування!$D$2:$D$361,MATCH($Q84,Геокодування!$B$2:$B$361,0))-32.3876)&gt;0.15,"",INDEX(Геокодування!$D$2:$D$361,MATCH($Q84,Геокодування!$B$2:$B$361,0))),IFERROR(IF(ABS(INDEX(Геокодування!$C$2:$C$361,MATCH("Прилуки, Чернігівська обл., "&amp;$A84,Геокодування!$B$2:$B$361,0))-50.5884)+ABS(INDEX(Геокодування!$D$2:$D$361,MATCH("Прилуки, Чернігівська обл., "&amp;$A84,Геокодування!$B$2:$B$361,0))-32.3876)&gt;0.15,"",INDEX(Геокодування!$D$2:$D$361,MATCH("Прилуки, Чернігівська обл., "&amp;$A84,Геокодування!$B$2:$B$361,0))),""))))</f>
        <v>32.387461999999999</v>
      </c>
      <c r="T84" s="44" t="str">
        <f>IF($O84="","",IFERROR(INDEX('Координати майданчиків'!$B$4:$B$64,MATCH($A84&amp;IF($P84="","",", "&amp;$P84),'Координати майданчиків'!$B$4:$B$64,0)),IFERROR(INDEX('Координати майданчиків'!$B$4:$B$64,MATCH($A84,'Координати майданчиків'!$B$4:$B$64,0)),"")))</f>
        <v/>
      </c>
    </row>
    <row r="85" spans="1:20" x14ac:dyDescent="0.35">
      <c r="A85" s="26" t="str">
        <f t="shared" si="3"/>
        <v>вул. І. Білгородського</v>
      </c>
      <c r="B85" s="26" t="str">
        <f t="shared" si="4"/>
        <v>28,25  15,10</v>
      </c>
      <c r="C85" s="27" t="str" cm="1">
        <f t="array" ref="C85">IF($O85="","",_xlfn.TEXTJOIN(", ",TRUE,IF(EXACT('Дані_зв''язок'!$J$4:$J$1012,$O85)*('Дані_зв''язок'!$C$4:$C$1012=C$4),'Дані_зв''язок'!$D$4:$D$1012,"")))</f>
        <v>8:45</v>
      </c>
      <c r="D85" s="27" t="str" cm="1">
        <f t="array" ref="D85">IF($O85="","",_xlfn.TEXTJOIN(", ",TRUE,IF(EXACT('Дані_зв''язок'!$J$4:$J$1012,$O85)*('Дані_зв''язок'!$C$4:$C$1012=D$4),'Дані_зв''язок'!$D$4:$D$1012,"")))</f>
        <v/>
      </c>
      <c r="E85" s="27" t="str" cm="1">
        <f t="array" ref="E85">IF($O85="","",_xlfn.TEXTJOIN(", ",TRUE,IF(EXACT('Дані_зв''язок'!$J$4:$J$1012,$O85)*('Дані_зв''язок'!$C$4:$C$1012=E$4),'Дані_зв''язок'!$D$4:$D$1012,"")))</f>
        <v/>
      </c>
      <c r="F85" s="27" t="str" cm="1">
        <f t="array" ref="F85">IF($O85="","",_xlfn.TEXTJOIN(", ",TRUE,IF(EXACT('Дані_зв''язок'!$J$4:$J$1012,$O85)*('Дані_зв''язок'!$C$4:$C$1012=F$4),'Дані_зв''язок'!$D$4:$D$1012,"")))</f>
        <v/>
      </c>
      <c r="G85" s="27" t="str" cm="1">
        <f t="array" ref="G85">IF($O85="","",_xlfn.TEXTJOIN(", ",TRUE,IF(EXACT('Дані_зв''язок'!$J$4:$J$1012,$O85)*('Дані_зв''язок'!$C$4:$C$1012=G$4),'Дані_зв''язок'!$D$4:$D$1012,"")))</f>
        <v/>
      </c>
      <c r="H85" s="27" t="str" cm="1">
        <f t="array" ref="H85">IF($O85="","",_xlfn.TEXTJOIN(", ",TRUE,IF(EXACT('Дані_зв''язок'!$J$4:$J$1012,$O85)*('Дані_зв''язок'!$C$4:$C$1012=H$4),'Дані_зв''язок'!$D$4:$D$1012,"")))</f>
        <v/>
      </c>
      <c r="I85" s="27" t="str" cm="1">
        <f t="array" ref="I85">IF($O85="","",_xlfn.TEXTJOIN(", ",TRUE,IF(EXACT('Дані_зв''язок'!$J$4:$J$1012,$O85)*('Дані_зв''язок'!$C$4:$C$1012=I$4),'Дані_зв''язок'!$D$4:$D$1012,"")))</f>
        <v/>
      </c>
      <c r="J85" s="27" cm="1">
        <f t="array" ref="J85">IF($O85="","",COUNTIF(C85:I85,"?*")+SUMPRODUCT(LEN(C85:I85)-LEN(SUBSTITUTE(C85:I85,",",""))))</f>
        <v>1</v>
      </c>
      <c r="K85" s="28" t="str" cm="1">
        <f t="array" ref="K85">IF($O85="","",_xlfn.TEXTJOIN(", ",TRUE,IF(EXACT('Дані_зв''язок'!$J$4:$J$1012,$O85),'Дані_зв''язок'!$L$4:$L$1012,"")))</f>
        <v>№6</v>
      </c>
      <c r="L85" s="28" t="str" cm="1">
        <f t="array" ref="L85">IF($O85="","",_xlfn.TEXTJOIN(", ",TRUE,IF(EXACT('Дані_зв''язок'!$J$4:$J$1012,$O85),'Дані_зв''язок'!$M$4:$M$1012,"")))</f>
        <v>АТ 4021</v>
      </c>
      <c r="M85" s="27" t="str" cm="1">
        <f t="array" ref="M85">IF($O85="","",IF(SUMPRODUCT(MAX(EXACT('Дані_зв''язок'!$J$4:$J$1012,$O85)*IFERROR('Дані_зв''язок'!$H$4:$H$1012,0)))=0,"",SUMPRODUCT(MAX(EXACT('Дані_зв''язок'!$J$4:$J$1012,$O85)*IFERROR('Дані_зв''язок'!$H$4:$H$1012,0)))))</f>
        <v/>
      </c>
      <c r="O85" s="30" t="s">
        <v>1303</v>
      </c>
      <c r="P85" s="24" cm="1">
        <f t="array" ref="P85">IF($O85="","",IF($B85="","",IFERROR(IF(MIN(IFERROR(VALUE(TRIM(MID(SUBSTITUTE(SUBSTITUTE($B85,","," ")," ",REPT(" ",30)),{1;31;61;91;121;151;181},30))),""))=0,"",MIN(IFERROR(VALUE(TRIM(MID(SUBSTITUTE(SUBSTITUTE($B85,","," ")," ",REPT(" ",30)),{1;31;61;91;121;151;181},30))),""))),"")))</f>
        <v>10</v>
      </c>
      <c r="Q85" s="23" t="str">
        <f t="shared" si="5"/>
        <v>Прилуки, Чернігівська обл., вул. І. Білгородського, 10</v>
      </c>
      <c r="R85" s="35">
        <f>IF($O85="","",IFERROR(INDEX('Координати майданчиків'!$H$4:$H$64,MATCH($T85,'Координати майданчиків'!$B$4:$B$64,0)),IFERROR(IF(ABS(INDEX(Геокодування!$C$2:$C$361,MATCH($Q85,Геокодування!$B$2:$B$361,0))-50.5884)+ABS(INDEX(Геокодування!$D$2:$D$361,MATCH($Q85,Геокодування!$B$2:$B$361,0))-32.3876)&gt;0.15,"",INDEX(Геокодування!$C$2:$C$361,MATCH($Q85,Геокодування!$B$2:$B$361,0))),IFERROR(IF(ABS(INDEX(Геокодування!$C$2:$C$361,MATCH("Прилуки, Чернігівська обл., "&amp;$A85,Геокодування!$B$2:$B$361,0))-50.5884)+ABS(INDEX(Геокодування!$D$2:$D$361,MATCH("Прилуки, Чернігівська обл., "&amp;$A85,Геокодування!$B$2:$B$361,0))-32.3876)&gt;0.15,"",INDEX(Геокодування!$C$2:$C$361,MATCH("Прилуки, Чернігівська обл., "&amp;$A85,Геокодування!$B$2:$B$361,0))),""))))</f>
        <v>50.597251</v>
      </c>
      <c r="S85" s="43">
        <f>IF($O85="","",IFERROR(INDEX('Координати майданчиків'!$I$4:$I$64,MATCH($T85,'Координати майданчиків'!$B$4:$B$64,0)),IFERROR(IF(ABS(INDEX(Геокодування!$C$2:$C$361,MATCH($Q85,Геокодування!$B$2:$B$361,0))-50.5884)+ABS(INDEX(Геокодування!$D$2:$D$361,MATCH($Q85,Геокодування!$B$2:$B$361,0))-32.3876)&gt;0.15,"",INDEX(Геокодування!$D$2:$D$361,MATCH($Q85,Геокодування!$B$2:$B$361,0))),IFERROR(IF(ABS(INDEX(Геокодування!$C$2:$C$361,MATCH("Прилуки, Чернігівська обл., "&amp;$A85,Геокодування!$B$2:$B$361,0))-50.5884)+ABS(INDEX(Геокодування!$D$2:$D$361,MATCH("Прилуки, Чернігівська обл., "&amp;$A85,Геокодування!$B$2:$B$361,0))-32.3876)&gt;0.15,"",INDEX(Геокодування!$D$2:$D$361,MATCH("Прилуки, Чернігівська обл., "&amp;$A85,Геокодування!$B$2:$B$361,0))),""))))</f>
        <v>32.387461999999999</v>
      </c>
      <c r="T85" s="44" t="str">
        <f>IF($O85="","",IFERROR(INDEX('Координати майданчиків'!$B$4:$B$64,MATCH($A85&amp;IF($P85="","",", "&amp;$P85),'Координати майданчиків'!$B$4:$B$64,0)),IFERROR(INDEX('Координати майданчиків'!$B$4:$B$64,MATCH($A85,'Координати майданчиків'!$B$4:$B$64,0)),"")))</f>
        <v/>
      </c>
    </row>
    <row r="86" spans="1:20" x14ac:dyDescent="0.35">
      <c r="A86" s="26" t="str">
        <f t="shared" si="3"/>
        <v>вул. І. Білгородського</v>
      </c>
      <c r="B86" s="26" t="str">
        <f t="shared" si="4"/>
        <v>82,55  48,41</v>
      </c>
      <c r="C86" s="27" t="str" cm="1">
        <f t="array" ref="C86">IF($O86="","",_xlfn.TEXTJOIN(", ",TRUE,IF(EXACT('Дані_зв''язок'!$J$4:$J$1012,$O86)*('Дані_зв''язок'!$C$4:$C$1012=C$4),'Дані_зв''язок'!$D$4:$D$1012,"")))</f>
        <v/>
      </c>
      <c r="D86" s="27" t="str" cm="1">
        <f t="array" ref="D86">IF($O86="","",_xlfn.TEXTJOIN(", ",TRUE,IF(EXACT('Дані_зв''язок'!$J$4:$J$1012,$O86)*('Дані_зв''язок'!$C$4:$C$1012=D$4),'Дані_зв''язок'!$D$4:$D$1012,"")))</f>
        <v/>
      </c>
      <c r="E86" s="27" t="str" cm="1">
        <f t="array" ref="E86">IF($O86="","",_xlfn.TEXTJOIN(", ",TRUE,IF(EXACT('Дані_зв''язок'!$J$4:$J$1012,$O86)*('Дані_зв''язок'!$C$4:$C$1012=E$4),'Дані_зв''язок'!$D$4:$D$1012,"")))</f>
        <v/>
      </c>
      <c r="F86" s="27" t="str" cm="1">
        <f t="array" ref="F86">IF($O86="","",_xlfn.TEXTJOIN(", ",TRUE,IF(EXACT('Дані_зв''язок'!$J$4:$J$1012,$O86)*('Дані_зв''язок'!$C$4:$C$1012=F$4),'Дані_зв''язок'!$D$4:$D$1012,"")))</f>
        <v/>
      </c>
      <c r="G86" s="27" t="str" cm="1">
        <f t="array" ref="G86">IF($O86="","",_xlfn.TEXTJOIN(", ",TRUE,IF(EXACT('Дані_зв''язок'!$J$4:$J$1012,$O86)*('Дані_зв''язок'!$C$4:$C$1012=G$4),'Дані_зв''язок'!$D$4:$D$1012,"")))</f>
        <v>7:45</v>
      </c>
      <c r="H86" s="27" t="str" cm="1">
        <f t="array" ref="H86">IF($O86="","",_xlfn.TEXTJOIN(", ",TRUE,IF(EXACT('Дані_зв''язок'!$J$4:$J$1012,$O86)*('Дані_зв''язок'!$C$4:$C$1012=H$4),'Дані_зв''язок'!$D$4:$D$1012,"")))</f>
        <v/>
      </c>
      <c r="I86" s="27" t="str" cm="1">
        <f t="array" ref="I86">IF($O86="","",_xlfn.TEXTJOIN(", ",TRUE,IF(EXACT('Дані_зв''язок'!$J$4:$J$1012,$O86)*('Дані_зв''язок'!$C$4:$C$1012=I$4),'Дані_зв''язок'!$D$4:$D$1012,"")))</f>
        <v/>
      </c>
      <c r="J86" s="27" cm="1">
        <f t="array" ref="J86">IF($O86="","",COUNTIF(C86:I86,"?*")+SUMPRODUCT(LEN(C86:I86)-LEN(SUBSTITUTE(C86:I86,",",""))))</f>
        <v>1</v>
      </c>
      <c r="K86" s="28" t="str" cm="1">
        <f t="array" ref="K86">IF($O86="","",_xlfn.TEXTJOIN(", ",TRUE,IF(EXACT('Дані_зв''язок'!$J$4:$J$1012,$O86),'Дані_зв''язок'!$L$4:$L$1012,"")))</f>
        <v>№6</v>
      </c>
      <c r="L86" s="28" t="str" cm="1">
        <f t="array" ref="L86">IF($O86="","",_xlfn.TEXTJOIN(", ",TRUE,IF(EXACT('Дані_зв''язок'!$J$4:$J$1012,$O86),'Дані_зв''язок'!$M$4:$M$1012,"")))</f>
        <v>АТ 4021</v>
      </c>
      <c r="M86" s="27" t="str" cm="1">
        <f t="array" ref="M86">IF($O86="","",IF(SUMPRODUCT(MAX(EXACT('Дані_зв''язок'!$J$4:$J$1012,$O86)*IFERROR('Дані_зв''язок'!$H$4:$H$1012,0)))=0,"",SUMPRODUCT(MAX(EXACT('Дані_зв''язок'!$J$4:$J$1012,$O86)*IFERROR('Дані_зв''язок'!$H$4:$H$1012,0)))))</f>
        <v/>
      </c>
      <c r="O86" s="30" t="s">
        <v>1304</v>
      </c>
      <c r="P86" s="24" cm="1">
        <f t="array" ref="P86">IF($O86="","",IF($B86="","",IFERROR(IF(MIN(IFERROR(VALUE(TRIM(MID(SUBSTITUTE(SUBSTITUTE($B86,","," ")," ",REPT(" ",30)),{1;31;61;91;121;151;181},30))),""))=0,"",MIN(IFERROR(VALUE(TRIM(MID(SUBSTITUTE(SUBSTITUTE($B86,","," ")," ",REPT(" ",30)),{1;31;61;91;121;151;181},30))),""))),"")))</f>
        <v>41</v>
      </c>
      <c r="Q86" s="23" t="str">
        <f t="shared" si="5"/>
        <v>Прилуки, Чернігівська обл., вул. І. Білгородського, 41</v>
      </c>
      <c r="R86" s="35">
        <f>IF($O86="","",IFERROR(INDEX('Координати майданчиків'!$H$4:$H$64,MATCH($T86,'Координати майданчиків'!$B$4:$B$64,0)),IFERROR(IF(ABS(INDEX(Геокодування!$C$2:$C$361,MATCH($Q86,Геокодування!$B$2:$B$361,0))-50.5884)+ABS(INDEX(Геокодування!$D$2:$D$361,MATCH($Q86,Геокодування!$B$2:$B$361,0))-32.3876)&gt;0.15,"",INDEX(Геокодування!$C$2:$C$361,MATCH($Q86,Геокодування!$B$2:$B$361,0))),IFERROR(IF(ABS(INDEX(Геокодування!$C$2:$C$361,MATCH("Прилуки, Чернігівська обл., "&amp;$A86,Геокодування!$B$2:$B$361,0))-50.5884)+ABS(INDEX(Геокодування!$D$2:$D$361,MATCH("Прилуки, Чернігівська обл., "&amp;$A86,Геокодування!$B$2:$B$361,0))-32.3876)&gt;0.15,"",INDEX(Геокодування!$C$2:$C$361,MATCH("Прилуки, Чернігівська обл., "&amp;$A86,Геокодування!$B$2:$B$361,0))),""))))</f>
        <v>50.597251</v>
      </c>
      <c r="S86" s="43">
        <f>IF($O86="","",IFERROR(INDEX('Координати майданчиків'!$I$4:$I$64,MATCH($T86,'Координати майданчиків'!$B$4:$B$64,0)),IFERROR(IF(ABS(INDEX(Геокодування!$C$2:$C$361,MATCH($Q86,Геокодування!$B$2:$B$361,0))-50.5884)+ABS(INDEX(Геокодування!$D$2:$D$361,MATCH($Q86,Геокодування!$B$2:$B$361,0))-32.3876)&gt;0.15,"",INDEX(Геокодування!$D$2:$D$361,MATCH($Q86,Геокодування!$B$2:$B$361,0))),IFERROR(IF(ABS(INDEX(Геокодування!$C$2:$C$361,MATCH("Прилуки, Чернігівська обл., "&amp;$A86,Геокодування!$B$2:$B$361,0))-50.5884)+ABS(INDEX(Геокодування!$D$2:$D$361,MATCH("Прилуки, Чернігівська обл., "&amp;$A86,Геокодування!$B$2:$B$361,0))-32.3876)&gt;0.15,"",INDEX(Геокодування!$D$2:$D$361,MATCH("Прилуки, Чернігівська обл., "&amp;$A86,Геокодування!$B$2:$B$361,0))),""))))</f>
        <v>32.387461999999999</v>
      </c>
      <c r="T86" s="44" t="str">
        <f>IF($O86="","",IFERROR(INDEX('Координати майданчиків'!$B$4:$B$64,MATCH($A86&amp;IF($P86="","",", "&amp;$P86),'Координати майданчиків'!$B$4:$B$64,0)),IFERROR(INDEX('Координати майданчиків'!$B$4:$B$64,MATCH($A86,'Координати майданчиків'!$B$4:$B$64,0)),"")))</f>
        <v/>
      </c>
    </row>
    <row r="87" spans="1:20" x14ac:dyDescent="0.35">
      <c r="A87" s="26" t="str">
        <f t="shared" si="3"/>
        <v>вул. І. Білгородського</v>
      </c>
      <c r="B87" s="26" t="str">
        <f t="shared" si="4"/>
        <v>96</v>
      </c>
      <c r="C87" s="27" t="str" cm="1">
        <f t="array" ref="C87">IF($O87="","",_xlfn.TEXTJOIN(", ",TRUE,IF(EXACT('Дані_зв''язок'!$J$4:$J$1012,$O87)*('Дані_зв''язок'!$C$4:$C$1012=C$4),'Дані_зв''язок'!$D$4:$D$1012,"")))</f>
        <v/>
      </c>
      <c r="D87" s="27" t="str" cm="1">
        <f t="array" ref="D87">IF($O87="","",_xlfn.TEXTJOIN(", ",TRUE,IF(EXACT('Дані_зв''язок'!$J$4:$J$1012,$O87)*('Дані_зв''язок'!$C$4:$C$1012=D$4),'Дані_зв''язок'!$D$4:$D$1012,"")))</f>
        <v/>
      </c>
      <c r="E87" s="27" t="str" cm="1">
        <f t="array" ref="E87">IF($O87="","",_xlfn.TEXTJOIN(", ",TRUE,IF(EXACT('Дані_зв''язок'!$J$4:$J$1012,$O87)*('Дані_зв''язок'!$C$4:$C$1012=E$4),'Дані_зв''язок'!$D$4:$D$1012,"")))</f>
        <v>8:00</v>
      </c>
      <c r="F87" s="27" t="str" cm="1">
        <f t="array" ref="F87">IF($O87="","",_xlfn.TEXTJOIN(", ",TRUE,IF(EXACT('Дані_зв''язок'!$J$4:$J$1012,$O87)*('Дані_зв''язок'!$C$4:$C$1012=F$4),'Дані_зв''язок'!$D$4:$D$1012,"")))</f>
        <v/>
      </c>
      <c r="G87" s="27" t="str" cm="1">
        <f t="array" ref="G87">IF($O87="","",_xlfn.TEXTJOIN(", ",TRUE,IF(EXACT('Дані_зв''язок'!$J$4:$J$1012,$O87)*('Дані_зв''язок'!$C$4:$C$1012=G$4),'Дані_зв''язок'!$D$4:$D$1012,"")))</f>
        <v/>
      </c>
      <c r="H87" s="27" t="str" cm="1">
        <f t="array" ref="H87">IF($O87="","",_xlfn.TEXTJOIN(", ",TRUE,IF(EXACT('Дані_зв''язок'!$J$4:$J$1012,$O87)*('Дані_зв''язок'!$C$4:$C$1012=H$4),'Дані_зв''язок'!$D$4:$D$1012,"")))</f>
        <v/>
      </c>
      <c r="I87" s="27" t="str" cm="1">
        <f t="array" ref="I87">IF($O87="","",_xlfn.TEXTJOIN(", ",TRUE,IF(EXACT('Дані_зв''язок'!$J$4:$J$1012,$O87)*('Дані_зв''язок'!$C$4:$C$1012=I$4),'Дані_зв''язок'!$D$4:$D$1012,"")))</f>
        <v/>
      </c>
      <c r="J87" s="27" cm="1">
        <f t="array" ref="J87">IF($O87="","",COUNTIF(C87:I87,"?*")+SUMPRODUCT(LEN(C87:I87)-LEN(SUBSTITUTE(C87:I87,",",""))))</f>
        <v>1</v>
      </c>
      <c r="K87" s="28" t="str" cm="1">
        <f t="array" ref="K87">IF($O87="","",_xlfn.TEXTJOIN(", ",TRUE,IF(EXACT('Дані_зв''язок'!$J$4:$J$1012,$O87),'Дані_зв''язок'!$L$4:$L$1012,"")))</f>
        <v>№6</v>
      </c>
      <c r="L87" s="28" t="str" cm="1">
        <f t="array" ref="L87">IF($O87="","",_xlfn.TEXTJOIN(", ",TRUE,IF(EXACT('Дані_зв''язок'!$J$4:$J$1012,$O87),'Дані_зв''язок'!$M$4:$M$1012,"")))</f>
        <v>АТ 4021</v>
      </c>
      <c r="M87" s="27" t="str" cm="1">
        <f t="array" ref="M87">IF($O87="","",IF(SUMPRODUCT(MAX(EXACT('Дані_зв''язок'!$J$4:$J$1012,$O87)*IFERROR('Дані_зв''язок'!$H$4:$H$1012,0)))=0,"",SUMPRODUCT(MAX(EXACT('Дані_зв''язок'!$J$4:$J$1012,$O87)*IFERROR('Дані_зв''язок'!$H$4:$H$1012,0)))))</f>
        <v/>
      </c>
      <c r="O87" s="30" t="s">
        <v>1305</v>
      </c>
      <c r="P87" s="24" cm="1">
        <f t="array" ref="P87">IF($O87="","",IF($B87="","",IFERROR(IF(MIN(IFERROR(VALUE(TRIM(MID(SUBSTITUTE(SUBSTITUTE($B87,","," ")," ",REPT(" ",30)),{1;31;61;91;121;151;181},30))),""))=0,"",MIN(IFERROR(VALUE(TRIM(MID(SUBSTITUTE(SUBSTITUTE($B87,","," ")," ",REPT(" ",30)),{1;31;61;91;121;151;181},30))),""))),"")))</f>
        <v>96</v>
      </c>
      <c r="Q87" s="23" t="str">
        <f t="shared" si="5"/>
        <v>Прилуки, Чернігівська обл., вул. І. Білгородського, 96</v>
      </c>
      <c r="R87" s="35">
        <f>IF($O87="","",IFERROR(INDEX('Координати майданчиків'!$H$4:$H$64,MATCH($T87,'Координати майданчиків'!$B$4:$B$64,0)),IFERROR(IF(ABS(INDEX(Геокодування!$C$2:$C$361,MATCH($Q87,Геокодування!$B$2:$B$361,0))-50.5884)+ABS(INDEX(Геокодування!$D$2:$D$361,MATCH($Q87,Геокодування!$B$2:$B$361,0))-32.3876)&gt;0.15,"",INDEX(Геокодування!$C$2:$C$361,MATCH($Q87,Геокодування!$B$2:$B$361,0))),IFERROR(IF(ABS(INDEX(Геокодування!$C$2:$C$361,MATCH("Прилуки, Чернігівська обл., "&amp;$A87,Геокодування!$B$2:$B$361,0))-50.5884)+ABS(INDEX(Геокодування!$D$2:$D$361,MATCH("Прилуки, Чернігівська обл., "&amp;$A87,Геокодування!$B$2:$B$361,0))-32.3876)&gt;0.15,"",INDEX(Геокодування!$C$2:$C$361,MATCH("Прилуки, Чернігівська обл., "&amp;$A87,Геокодування!$B$2:$B$361,0))),""))))</f>
        <v>50.597251</v>
      </c>
      <c r="S87" s="43">
        <f>IF($O87="","",IFERROR(INDEX('Координати майданчиків'!$I$4:$I$64,MATCH($T87,'Координати майданчиків'!$B$4:$B$64,0)),IFERROR(IF(ABS(INDEX(Геокодування!$C$2:$C$361,MATCH($Q87,Геокодування!$B$2:$B$361,0))-50.5884)+ABS(INDEX(Геокодування!$D$2:$D$361,MATCH($Q87,Геокодування!$B$2:$B$361,0))-32.3876)&gt;0.15,"",INDEX(Геокодування!$D$2:$D$361,MATCH($Q87,Геокодування!$B$2:$B$361,0))),IFERROR(IF(ABS(INDEX(Геокодування!$C$2:$C$361,MATCH("Прилуки, Чернігівська обл., "&amp;$A87,Геокодування!$B$2:$B$361,0))-50.5884)+ABS(INDEX(Геокодування!$D$2:$D$361,MATCH("Прилуки, Чернігівська обл., "&amp;$A87,Геокодування!$B$2:$B$361,0))-32.3876)&gt;0.15,"",INDEX(Геокодування!$D$2:$D$361,MATCH("Прилуки, Чернігівська обл., "&amp;$A87,Геокодування!$B$2:$B$361,0))),""))))</f>
        <v>32.387461999999999</v>
      </c>
      <c r="T87" s="44" t="str">
        <f>IF($O87="","",IFERROR(INDEX('Координати майданчиків'!$B$4:$B$64,MATCH($A87&amp;IF($P87="","",", "&amp;$P87),'Координати майданчиків'!$B$4:$B$64,0)),IFERROR(INDEX('Координати майданчиків'!$B$4:$B$64,MATCH($A87,'Координати майданчиків'!$B$4:$B$64,0)),"")))</f>
        <v/>
      </c>
    </row>
    <row r="88" spans="1:20" x14ac:dyDescent="0.35">
      <c r="A88" s="26" t="str">
        <f t="shared" si="3"/>
        <v>вул. І. Мазепи</v>
      </c>
      <c r="B88" s="26" t="str">
        <f t="shared" si="4"/>
        <v/>
      </c>
      <c r="C88" s="27" t="str" cm="1">
        <f t="array" ref="C88">IF($O88="","",_xlfn.TEXTJOIN(", ",TRUE,IF(EXACT('Дані_зв''язок'!$J$4:$J$1012,$O88)*('Дані_зв''язок'!$C$4:$C$1012=C$4),'Дані_зв''язок'!$D$4:$D$1012,"")))</f>
        <v/>
      </c>
      <c r="D88" s="27" t="str" cm="1">
        <f t="array" ref="D88">IF($O88="","",_xlfn.TEXTJOIN(", ",TRUE,IF(EXACT('Дані_зв''язок'!$J$4:$J$1012,$O88)*('Дані_зв''язок'!$C$4:$C$1012=D$4),'Дані_зв''язок'!$D$4:$D$1012,"")))</f>
        <v>8:15</v>
      </c>
      <c r="E88" s="27" t="str" cm="1">
        <f t="array" ref="E88">IF($O88="","",_xlfn.TEXTJOIN(", ",TRUE,IF(EXACT('Дані_зв''язок'!$J$4:$J$1012,$O88)*('Дані_зв''язок'!$C$4:$C$1012=E$4),'Дані_зв''язок'!$D$4:$D$1012,"")))</f>
        <v/>
      </c>
      <c r="F88" s="27" t="str" cm="1">
        <f t="array" ref="F88">IF($O88="","",_xlfn.TEXTJOIN(", ",TRUE,IF(EXACT('Дані_зв''язок'!$J$4:$J$1012,$O88)*('Дані_зв''язок'!$C$4:$C$1012=F$4),'Дані_зв''язок'!$D$4:$D$1012,"")))</f>
        <v/>
      </c>
      <c r="G88" s="27" t="str" cm="1">
        <f t="array" ref="G88">IF($O88="","",_xlfn.TEXTJOIN(", ",TRUE,IF(EXACT('Дані_зв''язок'!$J$4:$J$1012,$O88)*('Дані_зв''язок'!$C$4:$C$1012=G$4),'Дані_зв''язок'!$D$4:$D$1012,"")))</f>
        <v/>
      </c>
      <c r="H88" s="27" t="str" cm="1">
        <f t="array" ref="H88">IF($O88="","",_xlfn.TEXTJOIN(", ",TRUE,IF(EXACT('Дані_зв''язок'!$J$4:$J$1012,$O88)*('Дані_зв''язок'!$C$4:$C$1012=H$4),'Дані_зв''язок'!$D$4:$D$1012,"")))</f>
        <v/>
      </c>
      <c r="I88" s="27" t="str" cm="1">
        <f t="array" ref="I88">IF($O88="","",_xlfn.TEXTJOIN(", ",TRUE,IF(EXACT('Дані_зв''язок'!$J$4:$J$1012,$O88)*('Дані_зв''язок'!$C$4:$C$1012=I$4),'Дані_зв''язок'!$D$4:$D$1012,"")))</f>
        <v/>
      </c>
      <c r="J88" s="27" cm="1">
        <f t="array" ref="J88">IF($O88="","",COUNTIF(C88:I88,"?*")+SUMPRODUCT(LEN(C88:I88)-LEN(SUBSTITUTE(C88:I88,",",""))))</f>
        <v>1</v>
      </c>
      <c r="K88" s="28" t="str" cm="1">
        <f t="array" ref="K88">IF($O88="","",_xlfn.TEXTJOIN(", ",TRUE,IF(EXACT('Дані_зв''язок'!$J$4:$J$1012,$O88),'Дані_зв''язок'!$L$4:$L$1012,"")))</f>
        <v>№5</v>
      </c>
      <c r="L88" s="28" t="str" cm="1">
        <f t="array" ref="L88">IF($O88="","",_xlfn.TEXTJOIN(", ",TRUE,IF(EXACT('Дані_зв''язок'!$J$4:$J$1012,$O88),'Дані_зв''язок'!$M$4:$M$1012,"")))</f>
        <v>МАЗ 4381</v>
      </c>
      <c r="M88" s="27" t="str" cm="1">
        <f t="array" ref="M88">IF($O88="","",IF(SUMPRODUCT(MAX(EXACT('Дані_зв''язок'!$J$4:$J$1012,$O88)*IFERROR('Дані_зв''язок'!$H$4:$H$1012,0)))=0,"",SUMPRODUCT(MAX(EXACT('Дані_зв''язок'!$J$4:$J$1012,$O88)*IFERROR('Дані_зв''язок'!$H$4:$H$1012,0)))))</f>
        <v/>
      </c>
      <c r="O88" s="30" t="s">
        <v>1307</v>
      </c>
      <c r="P88" s="24" t="str" cm="1">
        <f t="array" ref="P88">IF($O88="","",IF($B88="","",IFERROR(IF(MIN(IFERROR(VALUE(TRIM(MID(SUBSTITUTE(SUBSTITUTE($B88,","," ")," ",REPT(" ",30)),{1;31;61;91;121;151;181},30))),""))=0,"",MIN(IFERROR(VALUE(TRIM(MID(SUBSTITUTE(SUBSTITUTE($B88,","," ")," ",REPT(" ",30)),{1;31;61;91;121;151;181},30))),""))),"")))</f>
        <v/>
      </c>
      <c r="Q88" s="23" t="str">
        <f t="shared" si="5"/>
        <v>Прилуки, Чернігівська обл., вул. І. Мазепи</v>
      </c>
      <c r="R88" s="35">
        <f>IF($O88="","",IFERROR(INDEX('Координати майданчиків'!$H$4:$H$64,MATCH($T88,'Координати майданчиків'!$B$4:$B$64,0)),IFERROR(IF(ABS(INDEX(Геокодування!$C$2:$C$361,MATCH($Q88,Геокодування!$B$2:$B$361,0))-50.5884)+ABS(INDEX(Геокодування!$D$2:$D$361,MATCH($Q88,Геокодування!$B$2:$B$361,0))-32.3876)&gt;0.15,"",INDEX(Геокодування!$C$2:$C$361,MATCH($Q88,Геокодування!$B$2:$B$361,0))),IFERROR(IF(ABS(INDEX(Геокодування!$C$2:$C$361,MATCH("Прилуки, Чернігівська обл., "&amp;$A88,Геокодування!$B$2:$B$361,0))-50.5884)+ABS(INDEX(Геокодування!$D$2:$D$361,MATCH("Прилуки, Чернігівська обл., "&amp;$A88,Геокодування!$B$2:$B$361,0))-32.3876)&gt;0.15,"",INDEX(Геокодування!$C$2:$C$361,MATCH("Прилуки, Чернігівська обл., "&amp;$A88,Геокодування!$B$2:$B$361,0))),""))))</f>
        <v>50.577319000000003</v>
      </c>
      <c r="S88" s="43">
        <f>IF($O88="","",IFERROR(INDEX('Координати майданчиків'!$I$4:$I$64,MATCH($T88,'Координати майданчиків'!$B$4:$B$64,0)),IFERROR(IF(ABS(INDEX(Геокодування!$C$2:$C$361,MATCH($Q88,Геокодування!$B$2:$B$361,0))-50.5884)+ABS(INDEX(Геокодування!$D$2:$D$361,MATCH($Q88,Геокодування!$B$2:$B$361,0))-32.3876)&gt;0.15,"",INDEX(Геокодування!$D$2:$D$361,MATCH($Q88,Геокодування!$B$2:$B$361,0))),IFERROR(IF(ABS(INDEX(Геокодування!$C$2:$C$361,MATCH("Прилуки, Чернігівська обл., "&amp;$A88,Геокодування!$B$2:$B$361,0))-50.5884)+ABS(INDEX(Геокодування!$D$2:$D$361,MATCH("Прилуки, Чернігівська обл., "&amp;$A88,Геокодування!$B$2:$B$361,0))-32.3876)&gt;0.15,"",INDEX(Геокодування!$D$2:$D$361,MATCH("Прилуки, Чернігівська обл., "&amp;$A88,Геокодування!$B$2:$B$361,0))),""))))</f>
        <v>32.406140000000001</v>
      </c>
      <c r="T88" s="44" t="str">
        <f>IF($O88="","",IFERROR(INDEX('Координати майданчиків'!$B$4:$B$64,MATCH($A88&amp;IF($P88="","",", "&amp;$P88),'Координати майданчиків'!$B$4:$B$64,0)),IFERROR(INDEX('Координати майданчиків'!$B$4:$B$64,MATCH($A88,'Координати майданчиків'!$B$4:$B$64,0)),"")))</f>
        <v/>
      </c>
    </row>
    <row r="89" spans="1:20" x14ac:dyDescent="0.35">
      <c r="A89" s="26" t="str">
        <f t="shared" si="3"/>
        <v>вул. І. Піддубного</v>
      </c>
      <c r="B89" s="26" t="str">
        <f t="shared" si="4"/>
        <v/>
      </c>
      <c r="C89" s="27" t="str" cm="1">
        <f t="array" ref="C89">IF($O89="","",_xlfn.TEXTJOIN(", ",TRUE,IF(EXACT('Дані_зв''язок'!$J$4:$J$1012,$O89)*('Дані_зв''язок'!$C$4:$C$1012=C$4),'Дані_зв''язок'!$D$4:$D$1012,"")))</f>
        <v/>
      </c>
      <c r="D89" s="27" t="str" cm="1">
        <f t="array" ref="D89">IF($O89="","",_xlfn.TEXTJOIN(", ",TRUE,IF(EXACT('Дані_зв''язок'!$J$4:$J$1012,$O89)*('Дані_зв''язок'!$C$4:$C$1012=D$4),'Дані_зв''язок'!$D$4:$D$1012,"")))</f>
        <v/>
      </c>
      <c r="E89" s="27" t="str" cm="1">
        <f t="array" ref="E89">IF($O89="","",_xlfn.TEXTJOIN(", ",TRUE,IF(EXACT('Дані_зв''язок'!$J$4:$J$1012,$O89)*('Дані_зв''язок'!$C$4:$C$1012=E$4),'Дані_зв''язок'!$D$4:$D$1012,"")))</f>
        <v>12:25</v>
      </c>
      <c r="F89" s="27" t="str" cm="1">
        <f t="array" ref="F89">IF($O89="","",_xlfn.TEXTJOIN(", ",TRUE,IF(EXACT('Дані_зв''язок'!$J$4:$J$1012,$O89)*('Дані_зв''язок'!$C$4:$C$1012=F$4),'Дані_зв''язок'!$D$4:$D$1012,"")))</f>
        <v/>
      </c>
      <c r="G89" s="27" t="str" cm="1">
        <f t="array" ref="G89">IF($O89="","",_xlfn.TEXTJOIN(", ",TRUE,IF(EXACT('Дані_зв''язок'!$J$4:$J$1012,$O89)*('Дані_зв''язок'!$C$4:$C$1012=G$4),'Дані_зв''язок'!$D$4:$D$1012,"")))</f>
        <v/>
      </c>
      <c r="H89" s="27" t="str" cm="1">
        <f t="array" ref="H89">IF($O89="","",_xlfn.TEXTJOIN(", ",TRUE,IF(EXACT('Дані_зв''язок'!$J$4:$J$1012,$O89)*('Дані_зв''язок'!$C$4:$C$1012=H$4),'Дані_зв''язок'!$D$4:$D$1012,"")))</f>
        <v/>
      </c>
      <c r="I89" s="27" t="str" cm="1">
        <f t="array" ref="I89">IF($O89="","",_xlfn.TEXTJOIN(", ",TRUE,IF(EXACT('Дані_зв''язок'!$J$4:$J$1012,$O89)*('Дані_зв''язок'!$C$4:$C$1012=I$4),'Дані_зв''язок'!$D$4:$D$1012,"")))</f>
        <v/>
      </c>
      <c r="J89" s="27" cm="1">
        <f t="array" ref="J89">IF($O89="","",COUNTIF(C89:I89,"?*")+SUMPRODUCT(LEN(C89:I89)-LEN(SUBSTITUTE(C89:I89,",",""))))</f>
        <v>1</v>
      </c>
      <c r="K89" s="28" t="str" cm="1">
        <f t="array" ref="K89">IF($O89="","",_xlfn.TEXTJOIN(", ",TRUE,IF(EXACT('Дані_зв''язок'!$J$4:$J$1012,$O89),'Дані_зв''язок'!$L$4:$L$1012,"")))</f>
        <v>№5</v>
      </c>
      <c r="L89" s="28" t="str" cm="1">
        <f t="array" ref="L89">IF($O89="","",_xlfn.TEXTJOIN(", ",TRUE,IF(EXACT('Дані_зв''язок'!$J$4:$J$1012,$O89),'Дані_зв''язок'!$M$4:$M$1012,"")))</f>
        <v>МАЗ 4381</v>
      </c>
      <c r="M89" s="27" t="str" cm="1">
        <f t="array" ref="M89">IF($O89="","",IF(SUMPRODUCT(MAX(EXACT('Дані_зв''язок'!$J$4:$J$1012,$O89)*IFERROR('Дані_зв''язок'!$H$4:$H$1012,0)))=0,"",SUMPRODUCT(MAX(EXACT('Дані_зв''язок'!$J$4:$J$1012,$O89)*IFERROR('Дані_зв''язок'!$H$4:$H$1012,0)))))</f>
        <v/>
      </c>
      <c r="O89" s="30" t="s">
        <v>1308</v>
      </c>
      <c r="P89" s="24" t="str" cm="1">
        <f t="array" ref="P89">IF($O89="","",IF($B89="","",IFERROR(IF(MIN(IFERROR(VALUE(TRIM(MID(SUBSTITUTE(SUBSTITUTE($B89,","," ")," ",REPT(" ",30)),{1;31;61;91;121;151;181},30))),""))=0,"",MIN(IFERROR(VALUE(TRIM(MID(SUBSTITUTE(SUBSTITUTE($B89,","," ")," ",REPT(" ",30)),{1;31;61;91;121;151;181},30))),""))),"")))</f>
        <v/>
      </c>
      <c r="Q89" s="23" t="str">
        <f t="shared" si="5"/>
        <v>Прилуки, Чернігівська обл., вул. І. Піддубного</v>
      </c>
      <c r="R89" s="35">
        <f>IF($O89="","",IFERROR(INDEX('Координати майданчиків'!$H$4:$H$64,MATCH($T89,'Координати майданчиків'!$B$4:$B$64,0)),IFERROR(IF(ABS(INDEX(Геокодування!$C$2:$C$361,MATCH($Q89,Геокодування!$B$2:$B$361,0))-50.5884)+ABS(INDEX(Геокодування!$D$2:$D$361,MATCH($Q89,Геокодування!$B$2:$B$361,0))-32.3876)&gt;0.15,"",INDEX(Геокодування!$C$2:$C$361,MATCH($Q89,Геокодування!$B$2:$B$361,0))),IFERROR(IF(ABS(INDEX(Геокодування!$C$2:$C$361,MATCH("Прилуки, Чернігівська обл., "&amp;$A89,Геокодування!$B$2:$B$361,0))-50.5884)+ABS(INDEX(Геокодування!$D$2:$D$361,MATCH("Прилуки, Чернігівська обл., "&amp;$A89,Геокодування!$B$2:$B$361,0))-32.3876)&gt;0.15,"",INDEX(Геокодування!$C$2:$C$361,MATCH("Прилуки, Чернігівська обл., "&amp;$A89,Геокодування!$B$2:$B$361,0))),""))))</f>
        <v>50.595689999999998</v>
      </c>
      <c r="S89" s="43">
        <f>IF($O89="","",IFERROR(INDEX('Координати майданчиків'!$I$4:$I$64,MATCH($T89,'Координати майданчиків'!$B$4:$B$64,0)),IFERROR(IF(ABS(INDEX(Геокодування!$C$2:$C$361,MATCH($Q89,Геокодування!$B$2:$B$361,0))-50.5884)+ABS(INDEX(Геокодування!$D$2:$D$361,MATCH($Q89,Геокодування!$B$2:$B$361,0))-32.3876)&gt;0.15,"",INDEX(Геокодування!$D$2:$D$361,MATCH($Q89,Геокодування!$B$2:$B$361,0))),IFERROR(IF(ABS(INDEX(Геокодування!$C$2:$C$361,MATCH("Прилуки, Чернігівська обл., "&amp;$A89,Геокодування!$B$2:$B$361,0))-50.5884)+ABS(INDEX(Геокодування!$D$2:$D$361,MATCH("Прилуки, Чернігівська обл., "&amp;$A89,Геокодування!$B$2:$B$361,0))-32.3876)&gt;0.15,"",INDEX(Геокодування!$D$2:$D$361,MATCH("Прилуки, Чернігівська обл., "&amp;$A89,Геокодування!$B$2:$B$361,0))),""))))</f>
        <v>32.381813000000001</v>
      </c>
      <c r="T89" s="44" t="str">
        <f>IF($O89="","",IFERROR(INDEX('Координати майданчиків'!$B$4:$B$64,MATCH($A89&amp;IF($P89="","",", "&amp;$P89),'Координати майданчиків'!$B$4:$B$64,0)),IFERROR(INDEX('Координати майданчиків'!$B$4:$B$64,MATCH($A89,'Координати майданчиків'!$B$4:$B$64,0)),"")))</f>
        <v/>
      </c>
    </row>
    <row r="90" spans="1:20" x14ac:dyDescent="0.35">
      <c r="A90" s="26" t="str">
        <f t="shared" si="3"/>
        <v>вул. І. Сірка</v>
      </c>
      <c r="B90" s="26" t="str">
        <f t="shared" si="4"/>
        <v/>
      </c>
      <c r="C90" s="27" t="str" cm="1">
        <f t="array" ref="C90">IF($O90="","",_xlfn.TEXTJOIN(", ",TRUE,IF(EXACT('Дані_зв''язок'!$J$4:$J$1012,$O90)*('Дані_зв''язок'!$C$4:$C$1012=C$4),'Дані_зв''язок'!$D$4:$D$1012,"")))</f>
        <v/>
      </c>
      <c r="D90" s="27" t="str" cm="1">
        <f t="array" ref="D90">IF($O90="","",_xlfn.TEXTJOIN(", ",TRUE,IF(EXACT('Дані_зв''язок'!$J$4:$J$1012,$O90)*('Дані_зв''язок'!$C$4:$C$1012=D$4),'Дані_зв''язок'!$D$4:$D$1012,"")))</f>
        <v>12:05</v>
      </c>
      <c r="E90" s="27" t="str" cm="1">
        <f t="array" ref="E90">IF($O90="","",_xlfn.TEXTJOIN(", ",TRUE,IF(EXACT('Дані_зв''язок'!$J$4:$J$1012,$O90)*('Дані_зв''язок'!$C$4:$C$1012=E$4),'Дані_зв''язок'!$D$4:$D$1012,"")))</f>
        <v/>
      </c>
      <c r="F90" s="27" t="str" cm="1">
        <f t="array" ref="F90">IF($O90="","",_xlfn.TEXTJOIN(", ",TRUE,IF(EXACT('Дані_зв''язок'!$J$4:$J$1012,$O90)*('Дані_зв''язок'!$C$4:$C$1012=F$4),'Дані_зв''язок'!$D$4:$D$1012,"")))</f>
        <v/>
      </c>
      <c r="G90" s="27" t="str" cm="1">
        <f t="array" ref="G90">IF($O90="","",_xlfn.TEXTJOIN(", ",TRUE,IF(EXACT('Дані_зв''язок'!$J$4:$J$1012,$O90)*('Дані_зв''язок'!$C$4:$C$1012=G$4),'Дані_зв''язок'!$D$4:$D$1012,"")))</f>
        <v/>
      </c>
      <c r="H90" s="27" t="str" cm="1">
        <f t="array" ref="H90">IF($O90="","",_xlfn.TEXTJOIN(", ",TRUE,IF(EXACT('Дані_зв''язок'!$J$4:$J$1012,$O90)*('Дані_зв''язок'!$C$4:$C$1012=H$4),'Дані_зв''язок'!$D$4:$D$1012,"")))</f>
        <v/>
      </c>
      <c r="I90" s="27" t="str" cm="1">
        <f t="array" ref="I90">IF($O90="","",_xlfn.TEXTJOIN(", ",TRUE,IF(EXACT('Дані_зв''язок'!$J$4:$J$1012,$O90)*('Дані_зв''язок'!$C$4:$C$1012=I$4),'Дані_зв''язок'!$D$4:$D$1012,"")))</f>
        <v/>
      </c>
      <c r="J90" s="27" cm="1">
        <f t="array" ref="J90">IF($O90="","",COUNTIF(C90:I90,"?*")+SUMPRODUCT(LEN(C90:I90)-LEN(SUBSTITUTE(C90:I90,",",""))))</f>
        <v>1</v>
      </c>
      <c r="K90" s="28" t="str" cm="1">
        <f t="array" ref="K90">IF($O90="","",_xlfn.TEXTJOIN(", ",TRUE,IF(EXACT('Дані_зв''язок'!$J$4:$J$1012,$O90),'Дані_зв''язок'!$L$4:$L$1012,"")))</f>
        <v>№5</v>
      </c>
      <c r="L90" s="28" t="str" cm="1">
        <f t="array" ref="L90">IF($O90="","",_xlfn.TEXTJOIN(", ",TRUE,IF(EXACT('Дані_зв''язок'!$J$4:$J$1012,$O90),'Дані_зв''язок'!$M$4:$M$1012,"")))</f>
        <v>МАЗ 4381</v>
      </c>
      <c r="M90" s="27" t="str" cm="1">
        <f t="array" ref="M90">IF($O90="","",IF(SUMPRODUCT(MAX(EXACT('Дані_зв''язок'!$J$4:$J$1012,$O90)*IFERROR('Дані_зв''язок'!$H$4:$H$1012,0)))=0,"",SUMPRODUCT(MAX(EXACT('Дані_зв''язок'!$J$4:$J$1012,$O90)*IFERROR('Дані_зв''язок'!$H$4:$H$1012,0)))))</f>
        <v/>
      </c>
      <c r="O90" s="30" t="s">
        <v>1309</v>
      </c>
      <c r="P90" s="24" t="str" cm="1">
        <f t="array" ref="P90">IF($O90="","",IF($B90="","",IFERROR(IF(MIN(IFERROR(VALUE(TRIM(MID(SUBSTITUTE(SUBSTITUTE($B90,","," ")," ",REPT(" ",30)),{1;31;61;91;121;151;181},30))),""))=0,"",MIN(IFERROR(VALUE(TRIM(MID(SUBSTITUTE(SUBSTITUTE($B90,","," ")," ",REPT(" ",30)),{1;31;61;91;121;151;181},30))),""))),"")))</f>
        <v/>
      </c>
      <c r="Q90" s="23" t="str">
        <f t="shared" si="5"/>
        <v>Прилуки, Чернігівська обл., вул. І. Сірка</v>
      </c>
      <c r="R90" s="35">
        <f>IF($O90="","",IFERROR(INDEX('Координати майданчиків'!$H$4:$H$64,MATCH($T90,'Координати майданчиків'!$B$4:$B$64,0)),IFERROR(IF(ABS(INDEX(Геокодування!$C$2:$C$361,MATCH($Q90,Геокодування!$B$2:$B$361,0))-50.5884)+ABS(INDEX(Геокодування!$D$2:$D$361,MATCH($Q90,Геокодування!$B$2:$B$361,0))-32.3876)&gt;0.15,"",INDEX(Геокодування!$C$2:$C$361,MATCH($Q90,Геокодування!$B$2:$B$361,0))),IFERROR(IF(ABS(INDEX(Геокодування!$C$2:$C$361,MATCH("Прилуки, Чернігівська обл., "&amp;$A90,Геокодування!$B$2:$B$361,0))-50.5884)+ABS(INDEX(Геокодування!$D$2:$D$361,MATCH("Прилуки, Чернігівська обл., "&amp;$A90,Геокодування!$B$2:$B$361,0))-32.3876)&gt;0.15,"",INDEX(Геокодування!$C$2:$C$361,MATCH("Прилуки, Чернігівська обл., "&amp;$A90,Геокодування!$B$2:$B$361,0))),""))))</f>
        <v>50.606712000000002</v>
      </c>
      <c r="S90" s="43">
        <f>IF($O90="","",IFERROR(INDEX('Координати майданчиків'!$I$4:$I$64,MATCH($T90,'Координати майданчиків'!$B$4:$B$64,0)),IFERROR(IF(ABS(INDEX(Геокодування!$C$2:$C$361,MATCH($Q90,Геокодування!$B$2:$B$361,0))-50.5884)+ABS(INDEX(Геокодування!$D$2:$D$361,MATCH($Q90,Геокодування!$B$2:$B$361,0))-32.3876)&gt;0.15,"",INDEX(Геокодування!$D$2:$D$361,MATCH($Q90,Геокодування!$B$2:$B$361,0))),IFERROR(IF(ABS(INDEX(Геокодування!$C$2:$C$361,MATCH("Прилуки, Чернігівська обл., "&amp;$A90,Геокодування!$B$2:$B$361,0))-50.5884)+ABS(INDEX(Геокодування!$D$2:$D$361,MATCH("Прилуки, Чернігівська обл., "&amp;$A90,Геокодування!$B$2:$B$361,0))-32.3876)&gt;0.15,"",INDEX(Геокодування!$D$2:$D$361,MATCH("Прилуки, Чернігівська обл., "&amp;$A90,Геокодування!$B$2:$B$361,0))),""))))</f>
        <v>32.331626</v>
      </c>
      <c r="T90" s="44" t="str">
        <f>IF($O90="","",IFERROR(INDEX('Координати майданчиків'!$B$4:$B$64,MATCH($A90&amp;IF($P90="","",", "&amp;$P90),'Координати майданчиків'!$B$4:$B$64,0)),IFERROR(INDEX('Координати майданчиків'!$B$4:$B$64,MATCH($A90,'Координати майданчиків'!$B$4:$B$64,0)),"")))</f>
        <v/>
      </c>
    </row>
    <row r="91" spans="1:20" x14ac:dyDescent="0.35">
      <c r="A91" s="26" t="str">
        <f t="shared" si="3"/>
        <v>вул. І. Франка</v>
      </c>
      <c r="B91" s="26" t="str">
        <f t="shared" si="4"/>
        <v/>
      </c>
      <c r="C91" s="27" t="str" cm="1">
        <f t="array" ref="C91">IF($O91="","",_xlfn.TEXTJOIN(", ",TRUE,IF(EXACT('Дані_зв''язок'!$J$4:$J$1012,$O91)*('Дані_зв''язок'!$C$4:$C$1012=C$4),'Дані_зв''язок'!$D$4:$D$1012,"")))</f>
        <v/>
      </c>
      <c r="D91" s="27" t="str" cm="1">
        <f t="array" ref="D91">IF($O91="","",_xlfn.TEXTJOIN(", ",TRUE,IF(EXACT('Дані_зв''язок'!$J$4:$J$1012,$O91)*('Дані_зв''язок'!$C$4:$C$1012=D$4),'Дані_зв''язок'!$D$4:$D$1012,"")))</f>
        <v/>
      </c>
      <c r="E91" s="27" t="str" cm="1">
        <f t="array" ref="E91">IF($O91="","",_xlfn.TEXTJOIN(", ",TRUE,IF(EXACT('Дані_зв''язок'!$J$4:$J$1012,$O91)*('Дані_зв''язок'!$C$4:$C$1012=E$4),'Дані_зв''язок'!$D$4:$D$1012,"")))</f>
        <v/>
      </c>
      <c r="F91" s="27" t="str" cm="1">
        <f t="array" ref="F91">IF($O91="","",_xlfn.TEXTJOIN(", ",TRUE,IF(EXACT('Дані_зв''язок'!$J$4:$J$1012,$O91)*('Дані_зв''язок'!$C$4:$C$1012=F$4),'Дані_зв''язок'!$D$4:$D$1012,"")))</f>
        <v/>
      </c>
      <c r="G91" s="27" t="str" cm="1">
        <f t="array" ref="G91">IF($O91="","",_xlfn.TEXTJOIN(", ",TRUE,IF(EXACT('Дані_зв''язок'!$J$4:$J$1012,$O91)*('Дані_зв''язок'!$C$4:$C$1012=G$4),'Дані_зв''язок'!$D$4:$D$1012,"")))</f>
        <v>10:00</v>
      </c>
      <c r="H91" s="27" t="str" cm="1">
        <f t="array" ref="H91">IF($O91="","",_xlfn.TEXTJOIN(", ",TRUE,IF(EXACT('Дані_зв''язок'!$J$4:$J$1012,$O91)*('Дані_зв''язок'!$C$4:$C$1012=H$4),'Дані_зв''язок'!$D$4:$D$1012,"")))</f>
        <v/>
      </c>
      <c r="I91" s="27" t="str" cm="1">
        <f t="array" ref="I91">IF($O91="","",_xlfn.TEXTJOIN(", ",TRUE,IF(EXACT('Дані_зв''язок'!$J$4:$J$1012,$O91)*('Дані_зв''язок'!$C$4:$C$1012=I$4),'Дані_зв''язок'!$D$4:$D$1012,"")))</f>
        <v/>
      </c>
      <c r="J91" s="27" cm="1">
        <f t="array" ref="J91">IF($O91="","",COUNTIF(C91:I91,"?*")+SUMPRODUCT(LEN(C91:I91)-LEN(SUBSTITUTE(C91:I91,",",""))))</f>
        <v>1</v>
      </c>
      <c r="K91" s="28" t="str" cm="1">
        <f t="array" ref="K91">IF($O91="","",_xlfn.TEXTJOIN(", ",TRUE,IF(EXACT('Дані_зв''язок'!$J$4:$J$1012,$O91),'Дані_зв''язок'!$L$4:$L$1012,"")))</f>
        <v>№5</v>
      </c>
      <c r="L91" s="28" t="str" cm="1">
        <f t="array" ref="L91">IF($O91="","",_xlfn.TEXTJOIN(", ",TRUE,IF(EXACT('Дані_зв''язок'!$J$4:$J$1012,$O91),'Дані_зв''язок'!$M$4:$M$1012,"")))</f>
        <v>МАЗ 4381</v>
      </c>
      <c r="M91" s="27" t="str" cm="1">
        <f t="array" ref="M91">IF($O91="","",IF(SUMPRODUCT(MAX(EXACT('Дані_зв''язок'!$J$4:$J$1012,$O91)*IFERROR('Дані_зв''язок'!$H$4:$H$1012,0)))=0,"",SUMPRODUCT(MAX(EXACT('Дані_зв''язок'!$J$4:$J$1012,$O91)*IFERROR('Дані_зв''язок'!$H$4:$H$1012,0)))))</f>
        <v/>
      </c>
      <c r="O91" s="30" t="s">
        <v>1310</v>
      </c>
      <c r="P91" s="24" t="str" cm="1">
        <f t="array" ref="P91">IF($O91="","",IF($B91="","",IFERROR(IF(MIN(IFERROR(VALUE(TRIM(MID(SUBSTITUTE(SUBSTITUTE($B91,","," ")," ",REPT(" ",30)),{1;31;61;91;121;151;181},30))),""))=0,"",MIN(IFERROR(VALUE(TRIM(MID(SUBSTITUTE(SUBSTITUTE($B91,","," ")," ",REPT(" ",30)),{1;31;61;91;121;151;181},30))),""))),"")))</f>
        <v/>
      </c>
      <c r="Q91" s="23" t="str">
        <f t="shared" si="5"/>
        <v>Прилуки, Чернігівська обл., вул. І. Франка</v>
      </c>
      <c r="R91" s="35">
        <f>IF($O91="","",IFERROR(INDEX('Координати майданчиків'!$H$4:$H$64,MATCH($T91,'Координати майданчиків'!$B$4:$B$64,0)),IFERROR(IF(ABS(INDEX(Геокодування!$C$2:$C$361,MATCH($Q91,Геокодування!$B$2:$B$361,0))-50.5884)+ABS(INDEX(Геокодування!$D$2:$D$361,MATCH($Q91,Геокодування!$B$2:$B$361,0))-32.3876)&gt;0.15,"",INDEX(Геокодування!$C$2:$C$361,MATCH($Q91,Геокодування!$B$2:$B$361,0))),IFERROR(IF(ABS(INDEX(Геокодування!$C$2:$C$361,MATCH("Прилуки, Чернігівська обл., "&amp;$A91,Геокодування!$B$2:$B$361,0))-50.5884)+ABS(INDEX(Геокодування!$D$2:$D$361,MATCH("Прилуки, Чернігівська обл., "&amp;$A91,Геокодування!$B$2:$B$361,0))-32.3876)&gt;0.15,"",INDEX(Геокодування!$C$2:$C$361,MATCH("Прилуки, Чернігівська обл., "&amp;$A91,Геокодування!$B$2:$B$361,0))),""))))</f>
        <v>50.580458999999998</v>
      </c>
      <c r="S91" s="43">
        <f>IF($O91="","",IFERROR(INDEX('Координати майданчиків'!$I$4:$I$64,MATCH($T91,'Координати майданчиків'!$B$4:$B$64,0)),IFERROR(IF(ABS(INDEX(Геокодування!$C$2:$C$361,MATCH($Q91,Геокодування!$B$2:$B$361,0))-50.5884)+ABS(INDEX(Геокодування!$D$2:$D$361,MATCH($Q91,Геокодування!$B$2:$B$361,0))-32.3876)&gt;0.15,"",INDEX(Геокодування!$D$2:$D$361,MATCH($Q91,Геокодування!$B$2:$B$361,0))),IFERROR(IF(ABS(INDEX(Геокодування!$C$2:$C$361,MATCH("Прилуки, Чернігівська обл., "&amp;$A91,Геокодування!$B$2:$B$361,0))-50.5884)+ABS(INDEX(Геокодування!$D$2:$D$361,MATCH("Прилуки, Чернігівська обл., "&amp;$A91,Геокодування!$B$2:$B$361,0))-32.3876)&gt;0.15,"",INDEX(Геокодування!$D$2:$D$361,MATCH("Прилуки, Чернігівська обл., "&amp;$A91,Геокодування!$B$2:$B$361,0))),""))))</f>
        <v>32.413970999999997</v>
      </c>
      <c r="T91" s="44" t="str">
        <f>IF($O91="","",IFERROR(INDEX('Координати майданчиків'!$B$4:$B$64,MATCH($A91&amp;IF($P91="","",", "&amp;$P91),'Координати майданчиків'!$B$4:$B$64,0)),IFERROR(INDEX('Координати майданчиків'!$B$4:$B$64,MATCH($A91,'Координати майданчиків'!$B$4:$B$64,0)),"")))</f>
        <v/>
      </c>
    </row>
    <row r="92" spans="1:20" x14ac:dyDescent="0.35">
      <c r="A92" s="26" t="str">
        <f t="shared" si="3"/>
        <v>вул. Іванівська</v>
      </c>
      <c r="B92" s="26" t="str">
        <f t="shared" si="4"/>
        <v/>
      </c>
      <c r="C92" s="27" t="str" cm="1">
        <f t="array" ref="C92">IF($O92="","",_xlfn.TEXTJOIN(", ",TRUE,IF(EXACT('Дані_зв''язок'!$J$4:$J$1012,$O92)*('Дані_зв''язок'!$C$4:$C$1012=C$4),'Дані_зв''язок'!$D$4:$D$1012,"")))</f>
        <v>14:20</v>
      </c>
      <c r="D92" s="27" t="str" cm="1">
        <f t="array" ref="D92">IF($O92="","",_xlfn.TEXTJOIN(", ",TRUE,IF(EXACT('Дані_зв''язок'!$J$4:$J$1012,$O92)*('Дані_зв''язок'!$C$4:$C$1012=D$4),'Дані_зв''язок'!$D$4:$D$1012,"")))</f>
        <v>14:40</v>
      </c>
      <c r="E92" s="27" t="str" cm="1">
        <f t="array" ref="E92">IF($O92="","",_xlfn.TEXTJOIN(", ",TRUE,IF(EXACT('Дані_зв''язок'!$J$4:$J$1012,$O92)*('Дані_зв''язок'!$C$4:$C$1012=E$4),'Дані_зв''язок'!$D$4:$D$1012,"")))</f>
        <v/>
      </c>
      <c r="F92" s="27" t="str" cm="1">
        <f t="array" ref="F92">IF($O92="","",_xlfn.TEXTJOIN(", ",TRUE,IF(EXACT('Дані_зв''язок'!$J$4:$J$1012,$O92)*('Дані_зв''язок'!$C$4:$C$1012=F$4),'Дані_зв''язок'!$D$4:$D$1012,"")))</f>
        <v/>
      </c>
      <c r="G92" s="27" t="str" cm="1">
        <f t="array" ref="G92">IF($O92="","",_xlfn.TEXTJOIN(", ",TRUE,IF(EXACT('Дані_зв''язок'!$J$4:$J$1012,$O92)*('Дані_зв''язок'!$C$4:$C$1012=G$4),'Дані_зв''язок'!$D$4:$D$1012,"")))</f>
        <v/>
      </c>
      <c r="H92" s="27" t="str" cm="1">
        <f t="array" ref="H92">IF($O92="","",_xlfn.TEXTJOIN(", ",TRUE,IF(EXACT('Дані_зв''язок'!$J$4:$J$1012,$O92)*('Дані_зв''язок'!$C$4:$C$1012=H$4),'Дані_зв''язок'!$D$4:$D$1012,"")))</f>
        <v/>
      </c>
      <c r="I92" s="27" t="str" cm="1">
        <f t="array" ref="I92">IF($O92="","",_xlfn.TEXTJOIN(", ",TRUE,IF(EXACT('Дані_зв''язок'!$J$4:$J$1012,$O92)*('Дані_зв''язок'!$C$4:$C$1012=I$4),'Дані_зв''язок'!$D$4:$D$1012,"")))</f>
        <v/>
      </c>
      <c r="J92" s="27" cm="1">
        <f t="array" ref="J92">IF($O92="","",COUNTIF(C92:I92,"?*")+SUMPRODUCT(LEN(C92:I92)-LEN(SUBSTITUTE(C92:I92,",",""))))</f>
        <v>2</v>
      </c>
      <c r="K92" s="28" t="str" cm="1">
        <f t="array" ref="K92">IF($O92="","",_xlfn.TEXTJOIN(", ",TRUE,IF(EXACT('Дані_зв''язок'!$J$4:$J$1012,$O92),'Дані_зв''язок'!$L$4:$L$1012,"")))</f>
        <v>№5</v>
      </c>
      <c r="L92" s="28" t="str" cm="1">
        <f t="array" ref="L92">IF($O92="","",_xlfn.TEXTJOIN(", ",TRUE,IF(EXACT('Дані_зв''язок'!$J$4:$J$1012,$O92),'Дані_зв''язок'!$M$4:$M$1012,"")))</f>
        <v>МАЗ 4381</v>
      </c>
      <c r="M92" s="27" t="str" cm="1">
        <f t="array" ref="M92">IF($O92="","",IF(SUMPRODUCT(MAX(EXACT('Дані_зв''язок'!$J$4:$J$1012,$O92)*IFERROR('Дані_зв''язок'!$H$4:$H$1012,0)))=0,"",SUMPRODUCT(MAX(EXACT('Дані_зв''язок'!$J$4:$J$1012,$O92)*IFERROR('Дані_зв''язок'!$H$4:$H$1012,0)))))</f>
        <v/>
      </c>
      <c r="O92" s="30" t="s">
        <v>1311</v>
      </c>
      <c r="P92" s="24" t="str" cm="1">
        <f t="array" ref="P92">IF($O92="","",IF($B92="","",IFERROR(IF(MIN(IFERROR(VALUE(TRIM(MID(SUBSTITUTE(SUBSTITUTE($B92,","," ")," ",REPT(" ",30)),{1;31;61;91;121;151;181},30))),""))=0,"",MIN(IFERROR(VALUE(TRIM(MID(SUBSTITUTE(SUBSTITUTE($B92,","," ")," ",REPT(" ",30)),{1;31;61;91;121;151;181},30))),""))),"")))</f>
        <v/>
      </c>
      <c r="Q92" s="23" t="str">
        <f t="shared" si="5"/>
        <v>Прилуки, Чернігівська обл., вул. Іванівська</v>
      </c>
      <c r="R92" s="35">
        <f>IF($O92="","",IFERROR(INDEX('Координати майданчиків'!$H$4:$H$64,MATCH($T92,'Координати майданчиків'!$B$4:$B$64,0)),IFERROR(IF(ABS(INDEX(Геокодування!$C$2:$C$361,MATCH($Q92,Геокодування!$B$2:$B$361,0))-50.5884)+ABS(INDEX(Геокодування!$D$2:$D$361,MATCH($Q92,Геокодування!$B$2:$B$361,0))-32.3876)&gt;0.15,"",INDEX(Геокодування!$C$2:$C$361,MATCH($Q92,Геокодування!$B$2:$B$361,0))),IFERROR(IF(ABS(INDEX(Геокодування!$C$2:$C$361,MATCH("Прилуки, Чернігівська обл., "&amp;$A92,Геокодування!$B$2:$B$361,0))-50.5884)+ABS(INDEX(Геокодування!$D$2:$D$361,MATCH("Прилуки, Чернігівська обл., "&amp;$A92,Геокодування!$B$2:$B$361,0))-32.3876)&gt;0.15,"",INDEX(Геокодування!$C$2:$C$361,MATCH("Прилуки, Чернігівська обл., "&amp;$A92,Геокодування!$B$2:$B$361,0))),""))))</f>
        <v>50.595609000000003</v>
      </c>
      <c r="S92" s="43">
        <f>IF($O92="","",IFERROR(INDEX('Координати майданчиків'!$I$4:$I$64,MATCH($T92,'Координати майданчиків'!$B$4:$B$64,0)),IFERROR(IF(ABS(INDEX(Геокодування!$C$2:$C$361,MATCH($Q92,Геокодування!$B$2:$B$361,0))-50.5884)+ABS(INDEX(Геокодування!$D$2:$D$361,MATCH($Q92,Геокодування!$B$2:$B$361,0))-32.3876)&gt;0.15,"",INDEX(Геокодування!$D$2:$D$361,MATCH($Q92,Геокодування!$B$2:$B$361,0))),IFERROR(IF(ABS(INDEX(Геокодування!$C$2:$C$361,MATCH("Прилуки, Чернігівська обл., "&amp;$A92,Геокодування!$B$2:$B$361,0))-50.5884)+ABS(INDEX(Геокодування!$D$2:$D$361,MATCH("Прилуки, Чернігівська обл., "&amp;$A92,Геокодування!$B$2:$B$361,0))-32.3876)&gt;0.15,"",INDEX(Геокодування!$D$2:$D$361,MATCH("Прилуки, Чернігівська обл., "&amp;$A92,Геокодування!$B$2:$B$361,0))),""))))</f>
        <v>32.377924</v>
      </c>
      <c r="T92" s="44" t="str">
        <f>IF($O92="","",IFERROR(INDEX('Координати майданчиків'!$B$4:$B$64,MATCH($A92&amp;IF($P92="","",", "&amp;$P92),'Координати майданчиків'!$B$4:$B$64,0)),IFERROR(INDEX('Координати майданчиків'!$B$4:$B$64,MATCH($A92,'Координати майданчиків'!$B$4:$B$64,0)),"")))</f>
        <v/>
      </c>
    </row>
    <row r="93" spans="1:20" x14ac:dyDescent="0.35">
      <c r="A93" s="26" t="str">
        <f t="shared" si="3"/>
        <v>вул. Іванівська</v>
      </c>
      <c r="B93" s="26" t="str">
        <f t="shared" si="4"/>
        <v>77</v>
      </c>
      <c r="C93" s="27" t="str" cm="1">
        <f t="array" ref="C93">IF($O93="","",_xlfn.TEXTJOIN(", ",TRUE,IF(EXACT('Дані_зв''язок'!$J$4:$J$1012,$O93)*('Дані_зв''язок'!$C$4:$C$1012=C$4),'Дані_зв''язок'!$D$4:$D$1012,"")))</f>
        <v>9:15</v>
      </c>
      <c r="D93" s="27" t="str" cm="1">
        <f t="array" ref="D93">IF($O93="","",_xlfn.TEXTJOIN(", ",TRUE,IF(EXACT('Дані_зв''язок'!$J$4:$J$1012,$O93)*('Дані_зв''язок'!$C$4:$C$1012=D$4),'Дані_зв''язок'!$D$4:$D$1012,"")))</f>
        <v/>
      </c>
      <c r="E93" s="27" t="str" cm="1">
        <f t="array" ref="E93">IF($O93="","",_xlfn.TEXTJOIN(", ",TRUE,IF(EXACT('Дані_зв''язок'!$J$4:$J$1012,$O93)*('Дані_зв''язок'!$C$4:$C$1012=E$4),'Дані_зв''язок'!$D$4:$D$1012,"")))</f>
        <v/>
      </c>
      <c r="F93" s="27" t="str" cm="1">
        <f t="array" ref="F93">IF($O93="","",_xlfn.TEXTJOIN(", ",TRUE,IF(EXACT('Дані_зв''язок'!$J$4:$J$1012,$O93)*('Дані_зв''язок'!$C$4:$C$1012=F$4),'Дані_зв''язок'!$D$4:$D$1012,"")))</f>
        <v/>
      </c>
      <c r="G93" s="27" t="str" cm="1">
        <f t="array" ref="G93">IF($O93="","",_xlfn.TEXTJOIN(", ",TRUE,IF(EXACT('Дані_зв''язок'!$J$4:$J$1012,$O93)*('Дані_зв''язок'!$C$4:$C$1012=G$4),'Дані_зв''язок'!$D$4:$D$1012,"")))</f>
        <v/>
      </c>
      <c r="H93" s="27" t="str" cm="1">
        <f t="array" ref="H93">IF($O93="","",_xlfn.TEXTJOIN(", ",TRUE,IF(EXACT('Дані_зв''язок'!$J$4:$J$1012,$O93)*('Дані_зв''язок'!$C$4:$C$1012=H$4),'Дані_зв''язок'!$D$4:$D$1012,"")))</f>
        <v/>
      </c>
      <c r="I93" s="27" t="str" cm="1">
        <f t="array" ref="I93">IF($O93="","",_xlfn.TEXTJOIN(", ",TRUE,IF(EXACT('Дані_зв''язок'!$J$4:$J$1012,$O93)*('Дані_зв''язок'!$C$4:$C$1012=I$4),'Дані_зв''язок'!$D$4:$D$1012,"")))</f>
        <v/>
      </c>
      <c r="J93" s="27" cm="1">
        <f t="array" ref="J93">IF($O93="","",COUNTIF(C93:I93,"?*")+SUMPRODUCT(LEN(C93:I93)-LEN(SUBSTITUTE(C93:I93,",",""))))</f>
        <v>1</v>
      </c>
      <c r="K93" s="28" t="str" cm="1">
        <f t="array" ref="K93">IF($O93="","",_xlfn.TEXTJOIN(", ",TRUE,IF(EXACT('Дані_зв''язок'!$J$4:$J$1012,$O93),'Дані_зв''язок'!$L$4:$L$1012,"")))</f>
        <v>№1</v>
      </c>
      <c r="L93" s="28" t="str" cm="1">
        <f t="array" ref="L93">IF($O93="","",_xlfn.TEXTJOIN(", ",TRUE,IF(EXACT('Дані_зв''язок'!$J$4:$J$1012,$O93),'Дані_зв''язок'!$M$4:$M$1012,"")))</f>
        <v>АТ-4021/1120</v>
      </c>
      <c r="M93" s="27" cm="1">
        <f t="array" ref="M93">IF($O93="","",IF(SUMPRODUCT(MAX(EXACT('Дані_зв''язок'!$J$4:$J$1012,$O93)*IFERROR('Дані_зв''язок'!$H$4:$H$1012,0)))=0,"",SUMPRODUCT(MAX(EXACT('Дані_зв''язок'!$J$4:$J$1012,$O93)*IFERROR('Дані_зв''язок'!$H$4:$H$1012,0)))))</f>
        <v>2</v>
      </c>
      <c r="O93" s="30" t="s">
        <v>1312</v>
      </c>
      <c r="P93" s="24" cm="1">
        <f t="array" ref="P93">IF($O93="","",IF($B93="","",IFERROR(IF(MIN(IFERROR(VALUE(TRIM(MID(SUBSTITUTE(SUBSTITUTE($B93,","," ")," ",REPT(" ",30)),{1;31;61;91;121;151;181},30))),""))=0,"",MIN(IFERROR(VALUE(TRIM(MID(SUBSTITUTE(SUBSTITUTE($B93,","," ")," ",REPT(" ",30)),{1;31;61;91;121;151;181},30))),""))),"")))</f>
        <v>77</v>
      </c>
      <c r="Q93" s="23" t="str">
        <f t="shared" si="5"/>
        <v>Прилуки, Чернігівська обл., вул. Іванівська, 77</v>
      </c>
      <c r="R93" s="35">
        <f>IF($O93="","",IFERROR(INDEX('Координати майданчиків'!$H$4:$H$64,MATCH($T93,'Координати майданчиків'!$B$4:$B$64,0)),IFERROR(IF(ABS(INDEX(Геокодування!$C$2:$C$361,MATCH($Q93,Геокодування!$B$2:$B$361,0))-50.5884)+ABS(INDEX(Геокодування!$D$2:$D$361,MATCH($Q93,Геокодування!$B$2:$B$361,0))-32.3876)&gt;0.15,"",INDEX(Геокодування!$C$2:$C$361,MATCH($Q93,Геокодування!$B$2:$B$361,0))),IFERROR(IF(ABS(INDEX(Геокодування!$C$2:$C$361,MATCH("Прилуки, Чернігівська обл., "&amp;$A93,Геокодування!$B$2:$B$361,0))-50.5884)+ABS(INDEX(Геокодування!$D$2:$D$361,MATCH("Прилуки, Чернігівська обл., "&amp;$A93,Геокодування!$B$2:$B$361,0))-32.3876)&gt;0.15,"",INDEX(Геокодування!$C$2:$C$361,MATCH("Прилуки, Чернігівська обл., "&amp;$A93,Геокодування!$B$2:$B$361,0))),""))))</f>
        <v>50.591952999999997</v>
      </c>
      <c r="S93" s="43">
        <f>IF($O93="","",IFERROR(INDEX('Координати майданчиків'!$I$4:$I$64,MATCH($T93,'Координати майданчиків'!$B$4:$B$64,0)),IFERROR(IF(ABS(INDEX(Геокодування!$C$2:$C$361,MATCH($Q93,Геокодування!$B$2:$B$361,0))-50.5884)+ABS(INDEX(Геокодування!$D$2:$D$361,MATCH($Q93,Геокодування!$B$2:$B$361,0))-32.3876)&gt;0.15,"",INDEX(Геокодування!$D$2:$D$361,MATCH($Q93,Геокодування!$B$2:$B$361,0))),IFERROR(IF(ABS(INDEX(Геокодування!$C$2:$C$361,MATCH("Прилуки, Чернігівська обл., "&amp;$A93,Геокодування!$B$2:$B$361,0))-50.5884)+ABS(INDEX(Геокодування!$D$2:$D$361,MATCH("Прилуки, Чернігівська обл., "&amp;$A93,Геокодування!$B$2:$B$361,0))-32.3876)&gt;0.15,"",INDEX(Геокодування!$D$2:$D$361,MATCH("Прилуки, Чернігівська обл., "&amp;$A93,Геокодування!$B$2:$B$361,0))),""))))</f>
        <v>32.376035000000002</v>
      </c>
      <c r="T93" s="44" t="str">
        <f>IF($O93="","",IFERROR(INDEX('Координати майданчиків'!$B$4:$B$64,MATCH($A93&amp;IF($P93="","",", "&amp;$P93),'Координати майданчиків'!$B$4:$B$64,0)),IFERROR(INDEX('Координати майданчиків'!$B$4:$B$64,MATCH($A93,'Координати майданчиків'!$B$4:$B$64,0)),"")))</f>
        <v/>
      </c>
    </row>
    <row r="94" spans="1:20" x14ac:dyDescent="0.35">
      <c r="A94" s="26" t="str">
        <f t="shared" si="3"/>
        <v>вул. Іванівська</v>
      </c>
      <c r="B94" s="26" t="str">
        <f t="shared" si="4"/>
        <v>84</v>
      </c>
      <c r="C94" s="27" t="str" cm="1">
        <f t="array" ref="C94">IF($O94="","",_xlfn.TEXTJOIN(", ",TRUE,IF(EXACT('Дані_зв''язок'!$J$4:$J$1012,$O94)*('Дані_зв''язок'!$C$4:$C$1012=C$4),'Дані_зв''язок'!$D$4:$D$1012,"")))</f>
        <v/>
      </c>
      <c r="D94" s="27" t="str" cm="1">
        <f t="array" ref="D94">IF($O94="","",_xlfn.TEXTJOIN(", ",TRUE,IF(EXACT('Дані_зв''язок'!$J$4:$J$1012,$O94)*('Дані_зв''язок'!$C$4:$C$1012=D$4),'Дані_зв''язок'!$D$4:$D$1012,"")))</f>
        <v/>
      </c>
      <c r="E94" s="27" t="str" cm="1">
        <f t="array" ref="E94">IF($O94="","",_xlfn.TEXTJOIN(", ",TRUE,IF(EXACT('Дані_зв''язок'!$J$4:$J$1012,$O94)*('Дані_зв''язок'!$C$4:$C$1012=E$4),'Дані_зв''язок'!$D$4:$D$1012,"")))</f>
        <v>7:30</v>
      </c>
      <c r="F94" s="27" t="str" cm="1">
        <f t="array" ref="F94">IF($O94="","",_xlfn.TEXTJOIN(", ",TRUE,IF(EXACT('Дані_зв''язок'!$J$4:$J$1012,$O94)*('Дані_зв''язок'!$C$4:$C$1012=F$4),'Дані_зв''язок'!$D$4:$D$1012,"")))</f>
        <v/>
      </c>
      <c r="G94" s="27" t="str" cm="1">
        <f t="array" ref="G94">IF($O94="","",_xlfn.TEXTJOIN(", ",TRUE,IF(EXACT('Дані_зв''язок'!$J$4:$J$1012,$O94)*('Дані_зв''язок'!$C$4:$C$1012=G$4),'Дані_зв''язок'!$D$4:$D$1012,"")))</f>
        <v/>
      </c>
      <c r="H94" s="27" t="str" cm="1">
        <f t="array" ref="H94">IF($O94="","",_xlfn.TEXTJOIN(", ",TRUE,IF(EXACT('Дані_зв''язок'!$J$4:$J$1012,$O94)*('Дані_зв''язок'!$C$4:$C$1012=H$4),'Дані_зв''язок'!$D$4:$D$1012,"")))</f>
        <v/>
      </c>
      <c r="I94" s="27" t="str" cm="1">
        <f t="array" ref="I94">IF($O94="","",_xlfn.TEXTJOIN(", ",TRUE,IF(EXACT('Дані_зв''язок'!$J$4:$J$1012,$O94)*('Дані_зв''язок'!$C$4:$C$1012=I$4),'Дані_зв''язок'!$D$4:$D$1012,"")))</f>
        <v/>
      </c>
      <c r="J94" s="27" cm="1">
        <f t="array" ref="J94">IF($O94="","",COUNTIF(C94:I94,"?*")+SUMPRODUCT(LEN(C94:I94)-LEN(SUBSTITUTE(C94:I94,",",""))))</f>
        <v>1</v>
      </c>
      <c r="K94" s="28" t="str" cm="1">
        <f t="array" ref="K94">IF($O94="","",_xlfn.TEXTJOIN(", ",TRUE,IF(EXACT('Дані_зв''язок'!$J$4:$J$1012,$O94),'Дані_зв''язок'!$L$4:$L$1012,"")))</f>
        <v>№3</v>
      </c>
      <c r="L94" s="28" t="str" cm="1">
        <f t="array" ref="L94">IF($O94="","",_xlfn.TEXTJOIN(", ",TRUE,IF(EXACT('Дані_зв''язок'!$J$4:$J$1012,$O94),'Дані_зв''язок'!$M$4:$M$1012,"")))</f>
        <v>МАЗ-4371</v>
      </c>
      <c r="M94" s="27" cm="1">
        <f t="array" ref="M94">IF($O94="","",IF(SUMPRODUCT(MAX(EXACT('Дані_зв''язок'!$J$4:$J$1012,$O94)*IFERROR('Дані_зв''язок'!$H$4:$H$1012,0)))=0,"",SUMPRODUCT(MAX(EXACT('Дані_зв''язок'!$J$4:$J$1012,$O94)*IFERROR('Дані_зв''язок'!$H$4:$H$1012,0)))))</f>
        <v>3</v>
      </c>
      <c r="O94" s="30" t="s">
        <v>1313</v>
      </c>
      <c r="P94" s="24" cm="1">
        <f t="array" ref="P94">IF($O94="","",IF($B94="","",IFERROR(IF(MIN(IFERROR(VALUE(TRIM(MID(SUBSTITUTE(SUBSTITUTE($B94,","," ")," ",REPT(" ",30)),{1;31;61;91;121;151;181},30))),""))=0,"",MIN(IFERROR(VALUE(TRIM(MID(SUBSTITUTE(SUBSTITUTE($B94,","," ")," ",REPT(" ",30)),{1;31;61;91;121;151;181},30))),""))),"")))</f>
        <v>84</v>
      </c>
      <c r="Q94" s="23" t="str">
        <f t="shared" si="5"/>
        <v>Прилуки, Чернігівська обл., вул. Іванівська, 84</v>
      </c>
      <c r="R94" s="35">
        <f>IF($O94="","",IFERROR(INDEX('Координати майданчиків'!$H$4:$H$64,MATCH($T94,'Координати майданчиків'!$B$4:$B$64,0)),IFERROR(IF(ABS(INDEX(Геокодування!$C$2:$C$361,MATCH($Q94,Геокодування!$B$2:$B$361,0))-50.5884)+ABS(INDEX(Геокодування!$D$2:$D$361,MATCH($Q94,Геокодування!$B$2:$B$361,0))-32.3876)&gt;0.15,"",INDEX(Геокодування!$C$2:$C$361,MATCH($Q94,Геокодування!$B$2:$B$361,0))),IFERROR(IF(ABS(INDEX(Геокодування!$C$2:$C$361,MATCH("Прилуки, Чернігівська обл., "&amp;$A94,Геокодування!$B$2:$B$361,0))-50.5884)+ABS(INDEX(Геокодування!$D$2:$D$361,MATCH("Прилуки, Чернігівська обл., "&amp;$A94,Геокодування!$B$2:$B$361,0))-32.3876)&gt;0.15,"",INDEX(Геокодування!$C$2:$C$361,MATCH("Прилуки, Чернігівська обл., "&amp;$A94,Геокодування!$B$2:$B$361,0))),""))))</f>
        <v>50.588250000000002</v>
      </c>
      <c r="S94" s="43">
        <f>IF($O94="","",IFERROR(INDEX('Координати майданчиків'!$I$4:$I$64,MATCH($T94,'Координати майданчиків'!$B$4:$B$64,0)),IFERROR(IF(ABS(INDEX(Геокодування!$C$2:$C$361,MATCH($Q94,Геокодування!$B$2:$B$361,0))-50.5884)+ABS(INDEX(Геокодування!$D$2:$D$361,MATCH($Q94,Геокодування!$B$2:$B$361,0))-32.3876)&gt;0.15,"",INDEX(Геокодування!$D$2:$D$361,MATCH($Q94,Геокодування!$B$2:$B$361,0))),IFERROR(IF(ABS(INDEX(Геокодування!$C$2:$C$361,MATCH("Прилуки, Чернігівська обл., "&amp;$A94,Геокодування!$B$2:$B$361,0))-50.5884)+ABS(INDEX(Геокодування!$D$2:$D$361,MATCH("Прилуки, Чернігівська обл., "&amp;$A94,Геокодування!$B$2:$B$361,0))-32.3876)&gt;0.15,"",INDEX(Геокодування!$D$2:$D$361,MATCH("Прилуки, Чернігівська обл., "&amp;$A94,Геокодування!$B$2:$B$361,0))),""))))</f>
        <v>32.373820000000002</v>
      </c>
      <c r="T94" s="44" t="str">
        <f>IF($O94="","",IFERROR(INDEX('Координати майданчиків'!$B$4:$B$64,MATCH($A94&amp;IF($P94="","",", "&amp;$P94),'Координати майданчиків'!$B$4:$B$64,0)),IFERROR(INDEX('Координати майданчиків'!$B$4:$B$64,MATCH($A94,'Координати майданчиків'!$B$4:$B$64,0)),"")))</f>
        <v>вул. Іванівська, 84</v>
      </c>
    </row>
    <row r="95" spans="1:20" x14ac:dyDescent="0.35">
      <c r="A95" s="26" t="str">
        <f t="shared" si="3"/>
        <v>вул. Іванівська</v>
      </c>
      <c r="B95" s="26" t="str">
        <f t="shared" si="4"/>
        <v>Заправка</v>
      </c>
      <c r="C95" s="27" t="str" cm="1">
        <f t="array" ref="C95">IF($O95="","",_xlfn.TEXTJOIN(", ",TRUE,IF(EXACT('Дані_зв''язок'!$J$4:$J$1012,$O95)*('Дані_зв''язок'!$C$4:$C$1012=C$4),'Дані_зв''язок'!$D$4:$D$1012,"")))</f>
        <v>7:25</v>
      </c>
      <c r="D95" s="27" t="str" cm="1">
        <f t="array" ref="D95">IF($O95="","",_xlfn.TEXTJOIN(", ",TRUE,IF(EXACT('Дані_зв''язок'!$J$4:$J$1012,$O95)*('Дані_зв''язок'!$C$4:$C$1012=D$4),'Дані_зв''язок'!$D$4:$D$1012,"")))</f>
        <v>7:30</v>
      </c>
      <c r="E95" s="27" t="str" cm="1">
        <f t="array" ref="E95">IF($O95="","",_xlfn.TEXTJOIN(", ",TRUE,IF(EXACT('Дані_зв''язок'!$J$4:$J$1012,$O95)*('Дані_зв''язок'!$C$4:$C$1012=E$4),'Дані_зв''язок'!$D$4:$D$1012,"")))</f>
        <v/>
      </c>
      <c r="F95" s="27" t="str" cm="1">
        <f t="array" ref="F95">IF($O95="","",_xlfn.TEXTJOIN(", ",TRUE,IF(EXACT('Дані_зв''язок'!$J$4:$J$1012,$O95)*('Дані_зв''язок'!$C$4:$C$1012=F$4),'Дані_зв''язок'!$D$4:$D$1012,"")))</f>
        <v/>
      </c>
      <c r="G95" s="27" t="str" cm="1">
        <f t="array" ref="G95">IF($O95="","",_xlfn.TEXTJOIN(", ",TRUE,IF(EXACT('Дані_зв''язок'!$J$4:$J$1012,$O95)*('Дані_зв''язок'!$C$4:$C$1012=G$4),'Дані_зв''язок'!$D$4:$D$1012,"")))</f>
        <v/>
      </c>
      <c r="H95" s="27" t="str" cm="1">
        <f t="array" ref="H95">IF($O95="","",_xlfn.TEXTJOIN(", ",TRUE,IF(EXACT('Дані_зв''язок'!$J$4:$J$1012,$O95)*('Дані_зв''язок'!$C$4:$C$1012=H$4),'Дані_зв''язок'!$D$4:$D$1012,"")))</f>
        <v/>
      </c>
      <c r="I95" s="27" t="str" cm="1">
        <f t="array" ref="I95">IF($O95="","",_xlfn.TEXTJOIN(", ",TRUE,IF(EXACT('Дані_зв''язок'!$J$4:$J$1012,$O95)*('Дані_зв''язок'!$C$4:$C$1012=I$4),'Дані_зв''язок'!$D$4:$D$1012,"")))</f>
        <v/>
      </c>
      <c r="J95" s="27" cm="1">
        <f t="array" ref="J95">IF($O95="","",COUNTIF(C95:I95,"?*")+SUMPRODUCT(LEN(C95:I95)-LEN(SUBSTITUTE(C95:I95,",",""))))</f>
        <v>2</v>
      </c>
      <c r="K95" s="28" t="str" cm="1">
        <f t="array" ref="K95">IF($O95="","",_xlfn.TEXTJOIN(", ",TRUE,IF(EXACT('Дані_зв''язок'!$J$4:$J$1012,$O95),'Дані_зв''язок'!$L$4:$L$1012,"")))</f>
        <v>№3</v>
      </c>
      <c r="L95" s="28" t="str" cm="1">
        <f t="array" ref="L95">IF($O95="","",_xlfn.TEXTJOIN(", ",TRUE,IF(EXACT('Дані_зв''язок'!$J$4:$J$1012,$O95),'Дані_зв''язок'!$M$4:$M$1012,"")))</f>
        <v>МАЗ-4371</v>
      </c>
      <c r="M95" s="27" cm="1">
        <f t="array" ref="M95">IF($O95="","",IF(SUMPRODUCT(MAX(EXACT('Дані_зв''язок'!$J$4:$J$1012,$O95)*IFERROR('Дані_зв''язок'!$H$4:$H$1012,0)))=0,"",SUMPRODUCT(MAX(EXACT('Дані_зв''язок'!$J$4:$J$1012,$O95)*IFERROR('Дані_зв''язок'!$H$4:$H$1012,0)))))</f>
        <v>1</v>
      </c>
      <c r="O95" s="30" t="s">
        <v>1314</v>
      </c>
      <c r="P95" s="24" t="str" cm="1">
        <f t="array" ref="P95">IF($O95="","",IF($B95="","",IFERROR(IF(MIN(IFERROR(VALUE(TRIM(MID(SUBSTITUTE(SUBSTITUTE($B95,","," ")," ",REPT(" ",30)),{1;31;61;91;121;151;181},30))),""))=0,"",MIN(IFERROR(VALUE(TRIM(MID(SUBSTITUTE(SUBSTITUTE($B95,","," ")," ",REPT(" ",30)),{1;31;61;91;121;151;181},30))),""))),"")))</f>
        <v/>
      </c>
      <c r="Q95" s="23" t="str">
        <f t="shared" si="5"/>
        <v>Прилуки, Чернігівська обл., вул. Іванівська</v>
      </c>
      <c r="R95" s="35">
        <f>IF($O95="","",IFERROR(INDEX('Координати майданчиків'!$H$4:$H$64,MATCH($T95,'Координати майданчиків'!$B$4:$B$64,0)),IFERROR(IF(ABS(INDEX(Геокодування!$C$2:$C$361,MATCH($Q95,Геокодування!$B$2:$B$361,0))-50.5884)+ABS(INDEX(Геокодування!$D$2:$D$361,MATCH($Q95,Геокодування!$B$2:$B$361,0))-32.3876)&gt;0.15,"",INDEX(Геокодування!$C$2:$C$361,MATCH($Q95,Геокодування!$B$2:$B$361,0))),IFERROR(IF(ABS(INDEX(Геокодування!$C$2:$C$361,MATCH("Прилуки, Чернігівська обл., "&amp;$A95,Геокодування!$B$2:$B$361,0))-50.5884)+ABS(INDEX(Геокодування!$D$2:$D$361,MATCH("Прилуки, Чернігівська обл., "&amp;$A95,Геокодування!$B$2:$B$361,0))-32.3876)&gt;0.15,"",INDEX(Геокодування!$C$2:$C$361,MATCH("Прилуки, Чернігівська обл., "&amp;$A95,Геокодування!$B$2:$B$361,0))),""))))</f>
        <v>50.595609000000003</v>
      </c>
      <c r="S95" s="43">
        <f>IF($O95="","",IFERROR(INDEX('Координати майданчиків'!$I$4:$I$64,MATCH($T95,'Координати майданчиків'!$B$4:$B$64,0)),IFERROR(IF(ABS(INDEX(Геокодування!$C$2:$C$361,MATCH($Q95,Геокодування!$B$2:$B$361,0))-50.5884)+ABS(INDEX(Геокодування!$D$2:$D$361,MATCH($Q95,Геокодування!$B$2:$B$361,0))-32.3876)&gt;0.15,"",INDEX(Геокодування!$D$2:$D$361,MATCH($Q95,Геокодування!$B$2:$B$361,0))),IFERROR(IF(ABS(INDEX(Геокодування!$C$2:$C$361,MATCH("Прилуки, Чернігівська обл., "&amp;$A95,Геокодування!$B$2:$B$361,0))-50.5884)+ABS(INDEX(Геокодування!$D$2:$D$361,MATCH("Прилуки, Чернігівська обл., "&amp;$A95,Геокодування!$B$2:$B$361,0))-32.3876)&gt;0.15,"",INDEX(Геокодування!$D$2:$D$361,MATCH("Прилуки, Чернігівська обл., "&amp;$A95,Геокодування!$B$2:$B$361,0))),""))))</f>
        <v>32.377924</v>
      </c>
      <c r="T95" s="44" t="str">
        <f>IF($O95="","",IFERROR(INDEX('Координати майданчиків'!$B$4:$B$64,MATCH($A95&amp;IF($P95="","",", "&amp;$P95),'Координати майданчиків'!$B$4:$B$64,0)),IFERROR(INDEX('Координати майданчиків'!$B$4:$B$64,MATCH($A95,'Координати майданчиків'!$B$4:$B$64,0)),"")))</f>
        <v/>
      </c>
    </row>
    <row r="96" spans="1:20" x14ac:dyDescent="0.35">
      <c r="A96" s="26" t="str">
        <f t="shared" si="3"/>
        <v>вул. Іванівська</v>
      </c>
      <c r="B96" s="26" t="str">
        <f t="shared" si="4"/>
        <v>Океан</v>
      </c>
      <c r="C96" s="27" t="str" cm="1">
        <f t="array" ref="C96">IF($O96="","",_xlfn.TEXTJOIN(", ",TRUE,IF(EXACT('Дані_зв''язок'!$J$4:$J$1012,$O96)*('Дані_зв''язок'!$C$4:$C$1012=C$4),'Дані_зв''язок'!$D$4:$D$1012,"")))</f>
        <v>9:00</v>
      </c>
      <c r="D96" s="27" t="str" cm="1">
        <f t="array" ref="D96">IF($O96="","",_xlfn.TEXTJOIN(", ",TRUE,IF(EXACT('Дані_зв''язок'!$J$4:$J$1012,$O96)*('Дані_зв''язок'!$C$4:$C$1012=D$4),'Дані_зв''язок'!$D$4:$D$1012,"")))</f>
        <v/>
      </c>
      <c r="E96" s="27" t="str" cm="1">
        <f t="array" ref="E96">IF($O96="","",_xlfn.TEXTJOIN(", ",TRUE,IF(EXACT('Дані_зв''язок'!$J$4:$J$1012,$O96)*('Дані_зв''язок'!$C$4:$C$1012=E$4),'Дані_зв''язок'!$D$4:$D$1012,"")))</f>
        <v/>
      </c>
      <c r="F96" s="27" t="str" cm="1">
        <f t="array" ref="F96">IF($O96="","",_xlfn.TEXTJOIN(", ",TRUE,IF(EXACT('Дані_зв''язок'!$J$4:$J$1012,$O96)*('Дані_зв''язок'!$C$4:$C$1012=F$4),'Дані_зв''язок'!$D$4:$D$1012,"")))</f>
        <v/>
      </c>
      <c r="G96" s="27" t="str" cm="1">
        <f t="array" ref="G96">IF($O96="","",_xlfn.TEXTJOIN(", ",TRUE,IF(EXACT('Дані_зв''язок'!$J$4:$J$1012,$O96)*('Дані_зв''язок'!$C$4:$C$1012=G$4),'Дані_зв''язок'!$D$4:$D$1012,"")))</f>
        <v/>
      </c>
      <c r="H96" s="27" t="str" cm="1">
        <f t="array" ref="H96">IF($O96="","",_xlfn.TEXTJOIN(", ",TRUE,IF(EXACT('Дані_зв''язок'!$J$4:$J$1012,$O96)*('Дані_зв''язок'!$C$4:$C$1012=H$4),'Дані_зв''язок'!$D$4:$D$1012,"")))</f>
        <v/>
      </c>
      <c r="I96" s="27" t="str" cm="1">
        <f t="array" ref="I96">IF($O96="","",_xlfn.TEXTJOIN(", ",TRUE,IF(EXACT('Дані_зв''язок'!$J$4:$J$1012,$O96)*('Дані_зв''язок'!$C$4:$C$1012=I$4),'Дані_зв''язок'!$D$4:$D$1012,"")))</f>
        <v/>
      </c>
      <c r="J96" s="27" cm="1">
        <f t="array" ref="J96">IF($O96="","",COUNTIF(C96:I96,"?*")+SUMPRODUCT(LEN(C96:I96)-LEN(SUBSTITUTE(C96:I96,",",""))))</f>
        <v>1</v>
      </c>
      <c r="K96" s="28" t="str" cm="1">
        <f t="array" ref="K96">IF($O96="","",_xlfn.TEXTJOIN(", ",TRUE,IF(EXACT('Дані_зв''язок'!$J$4:$J$1012,$O96),'Дані_зв''язок'!$L$4:$L$1012,"")))</f>
        <v>№1</v>
      </c>
      <c r="L96" s="28" t="str" cm="1">
        <f t="array" ref="L96">IF($O96="","",_xlfn.TEXTJOIN(", ",TRUE,IF(EXACT('Дані_зв''язок'!$J$4:$J$1012,$O96),'Дані_зв''язок'!$M$4:$M$1012,"")))</f>
        <v>АТ-4021/1120</v>
      </c>
      <c r="M96" s="27" cm="1">
        <f t="array" ref="M96">IF($O96="","",IF(SUMPRODUCT(MAX(EXACT('Дані_зв''язок'!$J$4:$J$1012,$O96)*IFERROR('Дані_зв''язок'!$H$4:$H$1012,0)))=0,"",SUMPRODUCT(MAX(EXACT('Дані_зв''язок'!$J$4:$J$1012,$O96)*IFERROR('Дані_зв''язок'!$H$4:$H$1012,0)))))</f>
        <v>2</v>
      </c>
      <c r="O96" s="30" t="s">
        <v>1315</v>
      </c>
      <c r="P96" s="24" t="str" cm="1">
        <f t="array" ref="P96">IF($O96="","",IF($B96="","",IFERROR(IF(MIN(IFERROR(VALUE(TRIM(MID(SUBSTITUTE(SUBSTITUTE($B96,","," ")," ",REPT(" ",30)),{1;31;61;91;121;151;181},30))),""))=0,"",MIN(IFERROR(VALUE(TRIM(MID(SUBSTITUTE(SUBSTITUTE($B96,","," ")," ",REPT(" ",30)),{1;31;61;91;121;151;181},30))),""))),"")))</f>
        <v/>
      </c>
      <c r="Q96" s="23" t="str">
        <f t="shared" si="5"/>
        <v>Прилуки, Чернігівська обл., вул. Іванівська</v>
      </c>
      <c r="R96" s="35">
        <f>IF($O96="","",IFERROR(INDEX('Координати майданчиків'!$H$4:$H$64,MATCH($T96,'Координати майданчиків'!$B$4:$B$64,0)),IFERROR(IF(ABS(INDEX(Геокодування!$C$2:$C$361,MATCH($Q96,Геокодування!$B$2:$B$361,0))-50.5884)+ABS(INDEX(Геокодування!$D$2:$D$361,MATCH($Q96,Геокодування!$B$2:$B$361,0))-32.3876)&gt;0.15,"",INDEX(Геокодування!$C$2:$C$361,MATCH($Q96,Геокодування!$B$2:$B$361,0))),IFERROR(IF(ABS(INDEX(Геокодування!$C$2:$C$361,MATCH("Прилуки, Чернігівська обл., "&amp;$A96,Геокодування!$B$2:$B$361,0))-50.5884)+ABS(INDEX(Геокодування!$D$2:$D$361,MATCH("Прилуки, Чернігівська обл., "&amp;$A96,Геокодування!$B$2:$B$361,0))-32.3876)&gt;0.15,"",INDEX(Геокодування!$C$2:$C$361,MATCH("Прилуки, Чернігівська обл., "&amp;$A96,Геокодування!$B$2:$B$361,0))),""))))</f>
        <v>50.595609000000003</v>
      </c>
      <c r="S96" s="43">
        <f>IF($O96="","",IFERROR(INDEX('Координати майданчиків'!$I$4:$I$64,MATCH($T96,'Координати майданчиків'!$B$4:$B$64,0)),IFERROR(IF(ABS(INDEX(Геокодування!$C$2:$C$361,MATCH($Q96,Геокодування!$B$2:$B$361,0))-50.5884)+ABS(INDEX(Геокодування!$D$2:$D$361,MATCH($Q96,Геокодування!$B$2:$B$361,0))-32.3876)&gt;0.15,"",INDEX(Геокодування!$D$2:$D$361,MATCH($Q96,Геокодування!$B$2:$B$361,0))),IFERROR(IF(ABS(INDEX(Геокодування!$C$2:$C$361,MATCH("Прилуки, Чернігівська обл., "&amp;$A96,Геокодування!$B$2:$B$361,0))-50.5884)+ABS(INDEX(Геокодування!$D$2:$D$361,MATCH("Прилуки, Чернігівська обл., "&amp;$A96,Геокодування!$B$2:$B$361,0))-32.3876)&gt;0.15,"",INDEX(Геокодування!$D$2:$D$361,MATCH("Прилуки, Чернігівська обл., "&amp;$A96,Геокодування!$B$2:$B$361,0))),""))))</f>
        <v>32.377924</v>
      </c>
      <c r="T96" s="44" t="str">
        <f>IF($O96="","",IFERROR(INDEX('Координати майданчиків'!$B$4:$B$64,MATCH($A96&amp;IF($P96="","",", "&amp;$P96),'Координати майданчиків'!$B$4:$B$64,0)),IFERROR(INDEX('Координати майданчиків'!$B$4:$B$64,MATCH($A96,'Координати майданчиків'!$B$4:$B$64,0)),"")))</f>
        <v/>
      </c>
    </row>
    <row r="97" spans="1:20" x14ac:dyDescent="0.35">
      <c r="A97" s="26" t="str">
        <f t="shared" si="3"/>
        <v>вул. Індустріальна</v>
      </c>
      <c r="B97" s="26" t="str">
        <f t="shared" si="4"/>
        <v>7</v>
      </c>
      <c r="C97" s="27" t="str" cm="1">
        <f t="array" ref="C97">IF($O97="","",_xlfn.TEXTJOIN(", ",TRUE,IF(EXACT('Дані_зв''язок'!$J$4:$J$1012,$O97)*('Дані_зв''язок'!$C$4:$C$1012=C$4),'Дані_зв''язок'!$D$4:$D$1012,"")))</f>
        <v>8:45</v>
      </c>
      <c r="D97" s="27" t="str" cm="1">
        <f t="array" ref="D97">IF($O97="","",_xlfn.TEXTJOIN(", ",TRUE,IF(EXACT('Дані_зв''язок'!$J$4:$J$1012,$O97)*('Дані_зв''язок'!$C$4:$C$1012=D$4),'Дані_зв''язок'!$D$4:$D$1012,"")))</f>
        <v>9:10</v>
      </c>
      <c r="E97" s="27" t="str" cm="1">
        <f t="array" ref="E97">IF($O97="","",_xlfn.TEXTJOIN(", ",TRUE,IF(EXACT('Дані_зв''язок'!$J$4:$J$1012,$O97)*('Дані_зв''язок'!$C$4:$C$1012=E$4),'Дані_зв''язок'!$D$4:$D$1012,"")))</f>
        <v>9:10</v>
      </c>
      <c r="F97" s="27" t="str" cm="1">
        <f t="array" ref="F97">IF($O97="","",_xlfn.TEXTJOIN(", ",TRUE,IF(EXACT('Дані_зв''язок'!$J$4:$J$1012,$O97)*('Дані_зв''язок'!$C$4:$C$1012=F$4),'Дані_зв''язок'!$D$4:$D$1012,"")))</f>
        <v>8:45</v>
      </c>
      <c r="G97" s="27" t="str" cm="1">
        <f t="array" ref="G97">IF($O97="","",_xlfn.TEXTJOIN(", ",TRUE,IF(EXACT('Дані_зв''язок'!$J$4:$J$1012,$O97)*('Дані_зв''язок'!$C$4:$C$1012=G$4),'Дані_зв''язок'!$D$4:$D$1012,"")))</f>
        <v>8:45</v>
      </c>
      <c r="H97" s="27" t="str" cm="1">
        <f t="array" ref="H97">IF($O97="","",_xlfn.TEXTJOIN(", ",TRUE,IF(EXACT('Дані_зв''язок'!$J$4:$J$1012,$O97)*('Дані_зв''язок'!$C$4:$C$1012=H$4),'Дані_зв''язок'!$D$4:$D$1012,"")))</f>
        <v>9:10</v>
      </c>
      <c r="I97" s="27" t="str" cm="1">
        <f t="array" ref="I97">IF($O97="","",_xlfn.TEXTJOIN(", ",TRUE,IF(EXACT('Дані_зв''язок'!$J$4:$J$1012,$O97)*('Дані_зв''язок'!$C$4:$C$1012=I$4),'Дані_зв''язок'!$D$4:$D$1012,"")))</f>
        <v>8:45</v>
      </c>
      <c r="J97" s="27" cm="1">
        <f t="array" ref="J97">IF($O97="","",COUNTIF(C97:I97,"?*")+SUMPRODUCT(LEN(C97:I97)-LEN(SUBSTITUTE(C97:I97,",",""))))</f>
        <v>7</v>
      </c>
      <c r="K97" s="28" t="str" cm="1">
        <f t="array" ref="K97">IF($O97="","",_xlfn.TEXTJOIN(", ",TRUE,IF(EXACT('Дані_зв''язок'!$J$4:$J$1012,$O97),'Дані_зв''язок'!$L$4:$L$1012,"")))</f>
        <v>№3</v>
      </c>
      <c r="L97" s="28" t="str" cm="1">
        <f t="array" ref="L97">IF($O97="","",_xlfn.TEXTJOIN(", ",TRUE,IF(EXACT('Дані_зв''язок'!$J$4:$J$1012,$O97),'Дані_зв''язок'!$M$4:$M$1012,"")))</f>
        <v>МАЗ-4371, ГАЗ 3309</v>
      </c>
      <c r="M97" s="27" cm="1">
        <f t="array" ref="M97">IF($O97="","",IF(SUMPRODUCT(MAX(EXACT('Дані_зв''язок'!$J$4:$J$1012,$O97)*IFERROR('Дані_зв''язок'!$H$4:$H$1012,0)))=0,"",SUMPRODUCT(MAX(EXACT('Дані_зв''язок'!$J$4:$J$1012,$O97)*IFERROR('Дані_зв''язок'!$H$4:$H$1012,0)))))</f>
        <v>2</v>
      </c>
      <c r="O97" s="30" t="s">
        <v>1316</v>
      </c>
      <c r="P97" s="24" cm="1">
        <f t="array" ref="P97">IF($O97="","",IF($B97="","",IFERROR(IF(MIN(IFERROR(VALUE(TRIM(MID(SUBSTITUTE(SUBSTITUTE($B97,","," ")," ",REPT(" ",30)),{1;31;61;91;121;151;181},30))),""))=0,"",MIN(IFERROR(VALUE(TRIM(MID(SUBSTITUTE(SUBSTITUTE($B97,","," ")," ",REPT(" ",30)),{1;31;61;91;121;151;181},30))),""))),"")))</f>
        <v>7</v>
      </c>
      <c r="Q97" s="23" t="str">
        <f t="shared" si="5"/>
        <v>Прилуки, Чернігівська обл., вул. Індустріальна, 7</v>
      </c>
      <c r="R97" s="35">
        <f>IF($O97="","",IFERROR(INDEX('Координати майданчиків'!$H$4:$H$64,MATCH($T97,'Координати майданчиків'!$B$4:$B$64,0)),IFERROR(IF(ABS(INDEX(Геокодування!$C$2:$C$361,MATCH($Q97,Геокодування!$B$2:$B$361,0))-50.5884)+ABS(INDEX(Геокодування!$D$2:$D$361,MATCH($Q97,Геокодування!$B$2:$B$361,0))-32.3876)&gt;0.15,"",INDEX(Геокодування!$C$2:$C$361,MATCH($Q97,Геокодування!$B$2:$B$361,0))),IFERROR(IF(ABS(INDEX(Геокодування!$C$2:$C$361,MATCH("Прилуки, Чернігівська обл., "&amp;$A97,Геокодування!$B$2:$B$361,0))-50.5884)+ABS(INDEX(Геокодування!$D$2:$D$361,MATCH("Прилуки, Чернігівська обл., "&amp;$A97,Геокодування!$B$2:$B$361,0))-32.3876)&gt;0.15,"",INDEX(Геокодування!$C$2:$C$361,MATCH("Прилуки, Чернігівська обл., "&amp;$A97,Геокодування!$B$2:$B$361,0))),""))))</f>
        <v>50.572085999999999</v>
      </c>
      <c r="S97" s="43">
        <f>IF($O97="","",IFERROR(INDEX('Координати майданчиків'!$I$4:$I$64,MATCH($T97,'Координати майданчиків'!$B$4:$B$64,0)),IFERROR(IF(ABS(INDEX(Геокодування!$C$2:$C$361,MATCH($Q97,Геокодування!$B$2:$B$361,0))-50.5884)+ABS(INDEX(Геокодування!$D$2:$D$361,MATCH($Q97,Геокодування!$B$2:$B$361,0))-32.3876)&gt;0.15,"",INDEX(Геокодування!$D$2:$D$361,MATCH($Q97,Геокодування!$B$2:$B$361,0))),IFERROR(IF(ABS(INDEX(Геокодування!$C$2:$C$361,MATCH("Прилуки, Чернігівська обл., "&amp;$A97,Геокодування!$B$2:$B$361,0))-50.5884)+ABS(INDEX(Геокодування!$D$2:$D$361,MATCH("Прилуки, Чернігівська обл., "&amp;$A97,Геокодування!$B$2:$B$361,0))-32.3876)&gt;0.15,"",INDEX(Геокодування!$D$2:$D$361,MATCH("Прилуки, Чернігівська обл., "&amp;$A97,Геокодування!$B$2:$B$361,0))),""))))</f>
        <v>32.406438000000001</v>
      </c>
      <c r="T97" s="44" t="str">
        <f>IF($O97="","",IFERROR(INDEX('Координати майданчиків'!$B$4:$B$64,MATCH($A97&amp;IF($P97="","",", "&amp;$P97),'Координати майданчиків'!$B$4:$B$64,0)),IFERROR(INDEX('Координати майданчиків'!$B$4:$B$64,MATCH($A97,'Координати майданчиків'!$B$4:$B$64,0)),"")))</f>
        <v/>
      </c>
    </row>
    <row r="98" spans="1:20" x14ac:dyDescent="0.35">
      <c r="A98" s="26" t="str">
        <f t="shared" si="3"/>
        <v>вул. Індустріальна</v>
      </c>
      <c r="B98" s="26" t="str">
        <f t="shared" si="4"/>
        <v>7а</v>
      </c>
      <c r="C98" s="27" t="str" cm="1">
        <f t="array" ref="C98">IF($O98="","",_xlfn.TEXTJOIN(", ",TRUE,IF(EXACT('Дані_зв''язок'!$J$4:$J$1012,$O98)*('Дані_зв''язок'!$C$4:$C$1012=C$4),'Дані_зв''язок'!$D$4:$D$1012,"")))</f>
        <v>8:40</v>
      </c>
      <c r="D98" s="27" t="str" cm="1">
        <f t="array" ref="D98">IF($O98="","",_xlfn.TEXTJOIN(", ",TRUE,IF(EXACT('Дані_зв''язок'!$J$4:$J$1012,$O98)*('Дані_зв''язок'!$C$4:$C$1012=D$4),'Дані_зв''язок'!$D$4:$D$1012,"")))</f>
        <v>8:55</v>
      </c>
      <c r="E98" s="27" t="str" cm="1">
        <f t="array" ref="E98">IF($O98="","",_xlfn.TEXTJOIN(", ",TRUE,IF(EXACT('Дані_зв''язок'!$J$4:$J$1012,$O98)*('Дані_зв''язок'!$C$4:$C$1012=E$4),'Дані_зв''язок'!$D$4:$D$1012,"")))</f>
        <v>8:50</v>
      </c>
      <c r="F98" s="27" t="str" cm="1">
        <f t="array" ref="F98">IF($O98="","",_xlfn.TEXTJOIN(", ",TRUE,IF(EXACT('Дані_зв''язок'!$J$4:$J$1012,$O98)*('Дані_зв''язок'!$C$4:$C$1012=F$4),'Дані_зв''язок'!$D$4:$D$1012,"")))</f>
        <v>8:55</v>
      </c>
      <c r="G98" s="27" t="str" cm="1">
        <f t="array" ref="G98">IF($O98="","",_xlfn.TEXTJOIN(", ",TRUE,IF(EXACT('Дані_зв''язок'!$J$4:$J$1012,$O98)*('Дані_зв''язок'!$C$4:$C$1012=G$4),'Дані_зв''язок'!$D$4:$D$1012,"")))</f>
        <v>8:40</v>
      </c>
      <c r="H98" s="27" t="str" cm="1">
        <f t="array" ref="H98">IF($O98="","",_xlfn.TEXTJOIN(", ",TRUE,IF(EXACT('Дані_зв''язок'!$J$4:$J$1012,$O98)*('Дані_зв''язок'!$C$4:$C$1012=H$4),'Дані_зв''язок'!$D$4:$D$1012,"")))</f>
        <v>8:55</v>
      </c>
      <c r="I98" s="27" t="str" cm="1">
        <f t="array" ref="I98">IF($O98="","",_xlfn.TEXTJOIN(", ",TRUE,IF(EXACT('Дані_зв''язок'!$J$4:$J$1012,$O98)*('Дані_зв''язок'!$C$4:$C$1012=I$4),'Дані_зв''язок'!$D$4:$D$1012,"")))</f>
        <v>8:55</v>
      </c>
      <c r="J98" s="27" cm="1">
        <f t="array" ref="J98">IF($O98="","",COUNTIF(C98:I98,"?*")+SUMPRODUCT(LEN(C98:I98)-LEN(SUBSTITUTE(C98:I98,",",""))))</f>
        <v>7</v>
      </c>
      <c r="K98" s="28" t="str" cm="1">
        <f t="array" ref="K98">IF($O98="","",_xlfn.TEXTJOIN(", ",TRUE,IF(EXACT('Дані_зв''язок'!$J$4:$J$1012,$O98),'Дані_зв''язок'!$L$4:$L$1012,"")))</f>
        <v>№3</v>
      </c>
      <c r="L98" s="28" t="str" cm="1">
        <f t="array" ref="L98">IF($O98="","",_xlfn.TEXTJOIN(", ",TRUE,IF(EXACT('Дані_зв''язок'!$J$4:$J$1012,$O98),'Дані_зв''язок'!$M$4:$M$1012,"")))</f>
        <v>МАЗ-4371, ГАЗ 3309</v>
      </c>
      <c r="M98" s="27" cm="1">
        <f t="array" ref="M98">IF($O98="","",IF(SUMPRODUCT(MAX(EXACT('Дані_зв''язок'!$J$4:$J$1012,$O98)*IFERROR('Дані_зв''язок'!$H$4:$H$1012,0)))=0,"",SUMPRODUCT(MAX(EXACT('Дані_зв''язок'!$J$4:$J$1012,$O98)*IFERROR('Дані_зв''язок'!$H$4:$H$1012,0)))))</f>
        <v>1</v>
      </c>
      <c r="O98" s="30" t="s">
        <v>1317</v>
      </c>
      <c r="P98" s="24" t="str" cm="1">
        <f t="array" ref="P98">IF($O98="","",IF($B98="","",IFERROR(IF(MIN(IFERROR(VALUE(TRIM(MID(SUBSTITUTE(SUBSTITUTE($B98,","," ")," ",REPT(" ",30)),{1;31;61;91;121;151;181},30))),""))=0,"",MIN(IFERROR(VALUE(TRIM(MID(SUBSTITUTE(SUBSTITUTE($B98,","," ")," ",REPT(" ",30)),{1;31;61;91;121;151;181},30))),""))),"")))</f>
        <v/>
      </c>
      <c r="Q98" s="23" t="str">
        <f t="shared" si="5"/>
        <v>Прилуки, Чернігівська обл., вул. Індустріальна</v>
      </c>
      <c r="R98" s="35">
        <f>IF($O98="","",IFERROR(INDEX('Координати майданчиків'!$H$4:$H$64,MATCH($T98,'Координати майданчиків'!$B$4:$B$64,0)),IFERROR(IF(ABS(INDEX(Геокодування!$C$2:$C$361,MATCH($Q98,Геокодування!$B$2:$B$361,0))-50.5884)+ABS(INDEX(Геокодування!$D$2:$D$361,MATCH($Q98,Геокодування!$B$2:$B$361,0))-32.3876)&gt;0.15,"",INDEX(Геокодування!$C$2:$C$361,MATCH($Q98,Геокодування!$B$2:$B$361,0))),IFERROR(IF(ABS(INDEX(Геокодування!$C$2:$C$361,MATCH("Прилуки, Чернігівська обл., "&amp;$A98,Геокодування!$B$2:$B$361,0))-50.5884)+ABS(INDEX(Геокодування!$D$2:$D$361,MATCH("Прилуки, Чернігівська обл., "&amp;$A98,Геокодування!$B$2:$B$361,0))-32.3876)&gt;0.15,"",INDEX(Геокодування!$C$2:$C$361,MATCH("Прилуки, Чернігівська обл., "&amp;$A98,Геокодування!$B$2:$B$361,0))),""))))</f>
        <v>50.568472</v>
      </c>
      <c r="S98" s="43">
        <f>IF($O98="","",IFERROR(INDEX('Координати майданчиків'!$I$4:$I$64,MATCH($T98,'Координати майданчиків'!$B$4:$B$64,0)),IFERROR(IF(ABS(INDEX(Геокодування!$C$2:$C$361,MATCH($Q98,Геокодування!$B$2:$B$361,0))-50.5884)+ABS(INDEX(Геокодування!$D$2:$D$361,MATCH($Q98,Геокодування!$B$2:$B$361,0))-32.3876)&gt;0.15,"",INDEX(Геокодування!$D$2:$D$361,MATCH($Q98,Геокодування!$B$2:$B$361,0))),IFERROR(IF(ABS(INDEX(Геокодування!$C$2:$C$361,MATCH("Прилуки, Чернігівська обл., "&amp;$A98,Геокодування!$B$2:$B$361,0))-50.5884)+ABS(INDEX(Геокодування!$D$2:$D$361,MATCH("Прилуки, Чернігівська обл., "&amp;$A98,Геокодування!$B$2:$B$361,0))-32.3876)&gt;0.15,"",INDEX(Геокодування!$D$2:$D$361,MATCH("Прилуки, Чернігівська обл., "&amp;$A98,Геокодування!$B$2:$B$361,0))),""))))</f>
        <v>32.410401999999998</v>
      </c>
      <c r="T98" s="44" t="str">
        <f>IF($O98="","",IFERROR(INDEX('Координати майданчиків'!$B$4:$B$64,MATCH($A98&amp;IF($P98="","",", "&amp;$P98),'Координати майданчиків'!$B$4:$B$64,0)),IFERROR(INDEX('Координати майданчиків'!$B$4:$B$64,MATCH($A98,'Координати майданчиків'!$B$4:$B$64,0)),"")))</f>
        <v/>
      </c>
    </row>
    <row r="99" spans="1:20" x14ac:dyDescent="0.35">
      <c r="A99" s="26" t="str">
        <f t="shared" si="3"/>
        <v>вул. Авіації</v>
      </c>
      <c r="B99" s="26" t="str">
        <f t="shared" si="4"/>
        <v>36,28  22,165</v>
      </c>
      <c r="C99" s="27" t="str" cm="1">
        <f t="array" ref="C99">IF($O99="","",_xlfn.TEXTJOIN(", ",TRUE,IF(EXACT('Дані_зв''язок'!$J$4:$J$1012,$O99)*('Дані_зв''язок'!$C$4:$C$1012=C$4),'Дані_зв''язок'!$D$4:$D$1012,"")))</f>
        <v/>
      </c>
      <c r="D99" s="27" t="str" cm="1">
        <f t="array" ref="D99">IF($O99="","",_xlfn.TEXTJOIN(", ",TRUE,IF(EXACT('Дані_зв''язок'!$J$4:$J$1012,$O99)*('Дані_зв''язок'!$C$4:$C$1012=D$4),'Дані_зв''язок'!$D$4:$D$1012,"")))</f>
        <v/>
      </c>
      <c r="E99" s="27" t="str" cm="1">
        <f t="array" ref="E99">IF($O99="","",_xlfn.TEXTJOIN(", ",TRUE,IF(EXACT('Дані_зв''язок'!$J$4:$J$1012,$O99)*('Дані_зв''язок'!$C$4:$C$1012=E$4),'Дані_зв''язок'!$D$4:$D$1012,"")))</f>
        <v>10:15</v>
      </c>
      <c r="F99" s="27" t="str" cm="1">
        <f t="array" ref="F99">IF($O99="","",_xlfn.TEXTJOIN(", ",TRUE,IF(EXACT('Дані_зв''язок'!$J$4:$J$1012,$O99)*('Дані_зв''язок'!$C$4:$C$1012=F$4),'Дані_зв''язок'!$D$4:$D$1012,"")))</f>
        <v/>
      </c>
      <c r="G99" s="27" t="str" cm="1">
        <f t="array" ref="G99">IF($O99="","",_xlfn.TEXTJOIN(", ",TRUE,IF(EXACT('Дані_зв''язок'!$J$4:$J$1012,$O99)*('Дані_зв''язок'!$C$4:$C$1012=G$4),'Дані_зв''язок'!$D$4:$D$1012,"")))</f>
        <v/>
      </c>
      <c r="H99" s="27" t="str" cm="1">
        <f t="array" ref="H99">IF($O99="","",_xlfn.TEXTJOIN(", ",TRUE,IF(EXACT('Дані_зв''язок'!$J$4:$J$1012,$O99)*('Дані_зв''язок'!$C$4:$C$1012=H$4),'Дані_зв''язок'!$D$4:$D$1012,"")))</f>
        <v/>
      </c>
      <c r="I99" s="27" t="str" cm="1">
        <f t="array" ref="I99">IF($O99="","",_xlfn.TEXTJOIN(", ",TRUE,IF(EXACT('Дані_зв''язок'!$J$4:$J$1012,$O99)*('Дані_зв''язок'!$C$4:$C$1012=I$4),'Дані_зв''язок'!$D$4:$D$1012,"")))</f>
        <v/>
      </c>
      <c r="J99" s="27" cm="1">
        <f t="array" ref="J99">IF($O99="","",COUNTIF(C99:I99,"?*")+SUMPRODUCT(LEN(C99:I99)-LEN(SUBSTITUTE(C99:I99,",",""))))</f>
        <v>1</v>
      </c>
      <c r="K99" s="28" t="str" cm="1">
        <f t="array" ref="K99">IF($O99="","",_xlfn.TEXTJOIN(", ",TRUE,IF(EXACT('Дані_зв''язок'!$J$4:$J$1012,$O99),'Дані_зв''язок'!$L$4:$L$1012,"")))</f>
        <v>№6</v>
      </c>
      <c r="L99" s="28" t="str" cm="1">
        <f t="array" ref="L99">IF($O99="","",_xlfn.TEXTJOIN(", ",TRUE,IF(EXACT('Дані_зв''язок'!$J$4:$J$1012,$O99),'Дані_зв''язок'!$M$4:$M$1012,"")))</f>
        <v>АТ 4021</v>
      </c>
      <c r="M99" s="27" t="str" cm="1">
        <f t="array" ref="M99">IF($O99="","",IF(SUMPRODUCT(MAX(EXACT('Дані_зв''язок'!$J$4:$J$1012,$O99)*IFERROR('Дані_зв''язок'!$H$4:$H$1012,0)))=0,"",SUMPRODUCT(MAX(EXACT('Дані_зв''язок'!$J$4:$J$1012,$O99)*IFERROR('Дані_зв''язок'!$H$4:$H$1012,0)))))</f>
        <v/>
      </c>
      <c r="O99" s="30" t="s">
        <v>1197</v>
      </c>
      <c r="P99" s="24" cm="1">
        <f t="array" ref="P99">IF($O99="","",IF($B99="","",IFERROR(IF(MIN(IFERROR(VALUE(TRIM(MID(SUBSTITUTE(SUBSTITUTE($B99,","," ")," ",REPT(" ",30)),{1;31;61;91;121;151;181},30))),""))=0,"",MIN(IFERROR(VALUE(TRIM(MID(SUBSTITUTE(SUBSTITUTE($B99,","," ")," ",REPT(" ",30)),{1;31;61;91;121;151;181},30))),""))),"")))</f>
        <v>22</v>
      </c>
      <c r="Q99" s="23" t="str">
        <f t="shared" si="5"/>
        <v>Прилуки, Чернігівська обл., вул. Авіації, 22</v>
      </c>
      <c r="R99" s="35">
        <f>IF($O99="","",IFERROR(INDEX('Координати майданчиків'!$H$4:$H$64,MATCH($T99,'Координати майданчиків'!$B$4:$B$64,0)),IFERROR(IF(ABS(INDEX(Геокодування!$C$2:$C$361,MATCH($Q99,Геокодування!$B$2:$B$361,0))-50.5884)+ABS(INDEX(Геокодування!$D$2:$D$361,MATCH($Q99,Геокодування!$B$2:$B$361,0))-32.3876)&gt;0.15,"",INDEX(Геокодування!$C$2:$C$361,MATCH($Q99,Геокодування!$B$2:$B$361,0))),IFERROR(IF(ABS(INDEX(Геокодування!$C$2:$C$361,MATCH("Прилуки, Чернігівська обл., "&amp;$A99,Геокодування!$B$2:$B$361,0))-50.5884)+ABS(INDEX(Геокодування!$D$2:$D$361,MATCH("Прилуки, Чернігівська обл., "&amp;$A99,Геокодування!$B$2:$B$361,0))-32.3876)&gt;0.15,"",INDEX(Геокодування!$C$2:$C$361,MATCH("Прилуки, Чернігівська обл., "&amp;$A99,Геокодування!$B$2:$B$361,0))),""))))</f>
        <v>50.583413</v>
      </c>
      <c r="S99" s="43">
        <f>IF($O99="","",IFERROR(INDEX('Координати майданчиків'!$I$4:$I$64,MATCH($T99,'Координати майданчиків'!$B$4:$B$64,0)),IFERROR(IF(ABS(INDEX(Геокодування!$C$2:$C$361,MATCH($Q99,Геокодування!$B$2:$B$361,0))-50.5884)+ABS(INDEX(Геокодування!$D$2:$D$361,MATCH($Q99,Геокодування!$B$2:$B$361,0))-32.3876)&gt;0.15,"",INDEX(Геокодування!$D$2:$D$361,MATCH($Q99,Геокодування!$B$2:$B$361,0))),IFERROR(IF(ABS(INDEX(Геокодування!$C$2:$C$361,MATCH("Прилуки, Чернігівська обл., "&amp;$A99,Геокодування!$B$2:$B$361,0))-50.5884)+ABS(INDEX(Геокодування!$D$2:$D$361,MATCH("Прилуки, Чернігівська обл., "&amp;$A99,Геокодування!$B$2:$B$361,0))-32.3876)&gt;0.15,"",INDEX(Геокодування!$D$2:$D$361,MATCH("Прилуки, Чернігівська обл., "&amp;$A99,Геокодування!$B$2:$B$361,0))),""))))</f>
        <v>32.415923999999997</v>
      </c>
      <c r="T99" s="44" t="str">
        <f>IF($O99="","",IFERROR(INDEX('Координати майданчиків'!$B$4:$B$64,MATCH($A99&amp;IF($P99="","",", "&amp;$P99),'Координати майданчиків'!$B$4:$B$64,0)),IFERROR(INDEX('Координати майданчиків'!$B$4:$B$64,MATCH($A99,'Координати майданчиків'!$B$4:$B$64,0)),"")))</f>
        <v/>
      </c>
    </row>
    <row r="100" spans="1:20" x14ac:dyDescent="0.35">
      <c r="A100" s="26" t="str">
        <f t="shared" si="3"/>
        <v>вул. Аерофлотська</v>
      </c>
      <c r="B100" s="26" t="str">
        <f t="shared" si="4"/>
        <v/>
      </c>
      <c r="C100" s="27" t="str" cm="1">
        <f t="array" ref="C100">IF($O100="","",_xlfn.TEXTJOIN(", ",TRUE,IF(EXACT('Дані_зв''язок'!$J$4:$J$1012,$O100)*('Дані_зв''язок'!$C$4:$C$1012=C$4),'Дані_зв''язок'!$D$4:$D$1012,"")))</f>
        <v/>
      </c>
      <c r="D100" s="27" t="str" cm="1">
        <f t="array" ref="D100">IF($O100="","",_xlfn.TEXTJOIN(", ",TRUE,IF(EXACT('Дані_зв''язок'!$J$4:$J$1012,$O100)*('Дані_зв''язок'!$C$4:$C$1012=D$4),'Дані_зв''язок'!$D$4:$D$1012,"")))</f>
        <v/>
      </c>
      <c r="E100" s="27" t="str" cm="1">
        <f t="array" ref="E100">IF($O100="","",_xlfn.TEXTJOIN(", ",TRUE,IF(EXACT('Дані_зв''язок'!$J$4:$J$1012,$O100)*('Дані_зв''язок'!$C$4:$C$1012=E$4),'Дані_зв''язок'!$D$4:$D$1012,"")))</f>
        <v/>
      </c>
      <c r="F100" s="27" t="str" cm="1">
        <f t="array" ref="F100">IF($O100="","",_xlfn.TEXTJOIN(", ",TRUE,IF(EXACT('Дані_зв''язок'!$J$4:$J$1012,$O100)*('Дані_зв''язок'!$C$4:$C$1012=F$4),'Дані_зв''язок'!$D$4:$D$1012,"")))</f>
        <v/>
      </c>
      <c r="G100" s="27" t="str" cm="1">
        <f t="array" ref="G100">IF($O100="","",_xlfn.TEXTJOIN(", ",TRUE,IF(EXACT('Дані_зв''язок'!$J$4:$J$1012,$O100)*('Дані_зв''язок'!$C$4:$C$1012=G$4),'Дані_зв''язок'!$D$4:$D$1012,"")))</f>
        <v>15:00</v>
      </c>
      <c r="H100" s="27" t="str" cm="1">
        <f t="array" ref="H100">IF($O100="","",_xlfn.TEXTJOIN(", ",TRUE,IF(EXACT('Дані_зв''язок'!$J$4:$J$1012,$O100)*('Дані_зв''язок'!$C$4:$C$1012=H$4),'Дані_зв''язок'!$D$4:$D$1012,"")))</f>
        <v/>
      </c>
      <c r="I100" s="27" t="str" cm="1">
        <f t="array" ref="I100">IF($O100="","",_xlfn.TEXTJOIN(", ",TRUE,IF(EXACT('Дані_зв''язок'!$J$4:$J$1012,$O100)*('Дані_зв''язок'!$C$4:$C$1012=I$4),'Дані_зв''язок'!$D$4:$D$1012,"")))</f>
        <v/>
      </c>
      <c r="J100" s="27" cm="1">
        <f t="array" ref="J100">IF($O100="","",COUNTIF(C100:I100,"?*")+SUMPRODUCT(LEN(C100:I100)-LEN(SUBSTITUTE(C100:I100,",",""))))</f>
        <v>1</v>
      </c>
      <c r="K100" s="28" t="str" cm="1">
        <f t="array" ref="K100">IF($O100="","",_xlfn.TEXTJOIN(", ",TRUE,IF(EXACT('Дані_зв''язок'!$J$4:$J$1012,$O100),'Дані_зв''язок'!$L$4:$L$1012,"")))</f>
        <v>№6</v>
      </c>
      <c r="L100" s="28" t="str" cm="1">
        <f t="array" ref="L100">IF($O100="","",_xlfn.TEXTJOIN(", ",TRUE,IF(EXACT('Дані_зв''язок'!$J$4:$J$1012,$O100),'Дані_зв''язок'!$M$4:$M$1012,"")))</f>
        <v>АТ 4021</v>
      </c>
      <c r="M100" s="27" t="str" cm="1">
        <f t="array" ref="M100">IF($O100="","",IF(SUMPRODUCT(MAX(EXACT('Дані_зв''язок'!$J$4:$J$1012,$O100)*IFERROR('Дані_зв''язок'!$H$4:$H$1012,0)))=0,"",SUMPRODUCT(MAX(EXACT('Дані_зв''язок'!$J$4:$J$1012,$O100)*IFERROR('Дані_зв''язок'!$H$4:$H$1012,0)))))</f>
        <v/>
      </c>
      <c r="O100" s="30" t="s">
        <v>1198</v>
      </c>
      <c r="P100" s="24" t="str" cm="1">
        <f t="array" ref="P100">IF($O100="","",IF($B100="","",IFERROR(IF(MIN(IFERROR(VALUE(TRIM(MID(SUBSTITUTE(SUBSTITUTE($B100,","," ")," ",REPT(" ",30)),{1;31;61;91;121;151;181},30))),""))=0,"",MIN(IFERROR(VALUE(TRIM(MID(SUBSTITUTE(SUBSTITUTE($B100,","," ")," ",REPT(" ",30)),{1;31;61;91;121;151;181},30))),""))),"")))</f>
        <v/>
      </c>
      <c r="Q100" s="23" t="str">
        <f t="shared" si="5"/>
        <v>Прилуки, Чернігівська обл., вул. Аерофлотська</v>
      </c>
      <c r="R100" s="69" t="str">
        <f>IF($O100="","",IFERROR(INDEX('Координати майданчиків'!$H$4:$H$64,MATCH($T100,'Координати майданчиків'!$B$4:$B$64,0)),IFERROR(IF(ABS(INDEX(Геокодування!$C$2:$C$361,MATCH($Q100,Геокодування!$B$2:$B$361,0))-50.5884)+ABS(INDEX(Геокодування!$D$2:$D$361,MATCH($Q100,Геокодування!$B$2:$B$361,0))-32.3876)&gt;0.15,"",INDEX(Геокодування!$C$2:$C$361,MATCH($Q100,Геокодування!$B$2:$B$361,0))),IFERROR(IF(ABS(INDEX(Геокодування!$C$2:$C$361,MATCH("Прилуки, Чернігівська обл., "&amp;$A100,Геокодування!$B$2:$B$361,0))-50.5884)+ABS(INDEX(Геокодування!$D$2:$D$361,MATCH("Прилуки, Чернігівська обл., "&amp;$A100,Геокодування!$B$2:$B$361,0))-32.3876)&gt;0.15,"",INDEX(Геокодування!$C$2:$C$361,MATCH("Прилуки, Чернігівська обл., "&amp;$A100,Геокодування!$B$2:$B$361,0))),""))))</f>
        <v/>
      </c>
      <c r="S100" s="69" t="str">
        <f>IF($O100="","",IFERROR(INDEX('Координати майданчиків'!$I$4:$I$64,MATCH($T100,'Координати майданчиків'!$B$4:$B$64,0)),IFERROR(IF(ABS(INDEX(Геокодування!$C$2:$C$361,MATCH($Q100,Геокодування!$B$2:$B$361,0))-50.5884)+ABS(INDEX(Геокодування!$D$2:$D$361,MATCH($Q100,Геокодування!$B$2:$B$361,0))-32.3876)&gt;0.15,"",INDEX(Геокодування!$D$2:$D$361,MATCH($Q100,Геокодування!$B$2:$B$361,0))),IFERROR(IF(ABS(INDEX(Геокодування!$C$2:$C$361,MATCH("Прилуки, Чернігівська обл., "&amp;$A100,Геокодування!$B$2:$B$361,0))-50.5884)+ABS(INDEX(Геокодування!$D$2:$D$361,MATCH("Прилуки, Чернігівська обл., "&amp;$A100,Геокодування!$B$2:$B$361,0))-32.3876)&gt;0.15,"",INDEX(Геокодування!$D$2:$D$361,MATCH("Прилуки, Чернігівська обл., "&amp;$A100,Геокодування!$B$2:$B$361,0))),""))))</f>
        <v/>
      </c>
      <c r="T100" s="44" t="str">
        <f>IF($O100="","",IFERROR(INDEX('Координати майданчиків'!$B$4:$B$64,MATCH($A100&amp;IF($P100="","",", "&amp;$P100),'Координати майданчиків'!$B$4:$B$64,0)),IFERROR(INDEX('Координати майданчиків'!$B$4:$B$64,MATCH($A100,'Координати майданчиків'!$B$4:$B$64,0)),"")))</f>
        <v/>
      </c>
    </row>
    <row r="101" spans="1:20" x14ac:dyDescent="0.35">
      <c r="A101" s="26" t="str">
        <f t="shared" si="3"/>
        <v>вул. Андріївська</v>
      </c>
      <c r="B101" s="26" t="str">
        <f t="shared" si="4"/>
        <v/>
      </c>
      <c r="C101" s="27" t="str" cm="1">
        <f t="array" ref="C101">IF($O101="","",_xlfn.TEXTJOIN(", ",TRUE,IF(EXACT('Дані_зв''язок'!$J$4:$J$1012,$O101)*('Дані_зв''язок'!$C$4:$C$1012=C$4),'Дані_зв''язок'!$D$4:$D$1012,"")))</f>
        <v/>
      </c>
      <c r="D101" s="27" t="str" cm="1">
        <f t="array" ref="D101">IF($O101="","",_xlfn.TEXTJOIN(", ",TRUE,IF(EXACT('Дані_зв''язок'!$J$4:$J$1012,$O101)*('Дані_зв''язок'!$C$4:$C$1012=D$4),'Дані_зв''язок'!$D$4:$D$1012,"")))</f>
        <v/>
      </c>
      <c r="E101" s="27" t="str" cm="1">
        <f t="array" ref="E101">IF($O101="","",_xlfn.TEXTJOIN(", ",TRUE,IF(EXACT('Дані_зв''язок'!$J$4:$J$1012,$O101)*('Дані_зв''язок'!$C$4:$C$1012=E$4),'Дані_зв''язок'!$D$4:$D$1012,"")))</f>
        <v/>
      </c>
      <c r="F101" s="27" t="str" cm="1">
        <f t="array" ref="F101">IF($O101="","",_xlfn.TEXTJOIN(", ",TRUE,IF(EXACT('Дані_зв''язок'!$J$4:$J$1012,$O101)*('Дані_зв''язок'!$C$4:$C$1012=F$4),'Дані_зв''язок'!$D$4:$D$1012,"")))</f>
        <v>7:50, 10:35</v>
      </c>
      <c r="G101" s="27" t="str" cm="1">
        <f t="array" ref="G101">IF($O101="","",_xlfn.TEXTJOIN(", ",TRUE,IF(EXACT('Дані_зв''язок'!$J$4:$J$1012,$O101)*('Дані_зв''язок'!$C$4:$C$1012=G$4),'Дані_зв''язок'!$D$4:$D$1012,"")))</f>
        <v>7:15</v>
      </c>
      <c r="H101" s="27" t="str" cm="1">
        <f t="array" ref="H101">IF($O101="","",_xlfn.TEXTJOIN(", ",TRUE,IF(EXACT('Дані_зв''язок'!$J$4:$J$1012,$O101)*('Дані_зв''язок'!$C$4:$C$1012=H$4),'Дані_зв''язок'!$D$4:$D$1012,"")))</f>
        <v/>
      </c>
      <c r="I101" s="27" t="str" cm="1">
        <f t="array" ref="I101">IF($O101="","",_xlfn.TEXTJOIN(", ",TRUE,IF(EXACT('Дані_зв''язок'!$J$4:$J$1012,$O101)*('Дані_зв''язок'!$C$4:$C$1012=I$4),'Дані_зв''язок'!$D$4:$D$1012,"")))</f>
        <v/>
      </c>
      <c r="J101" s="27" cm="1">
        <f t="array" ref="J101">IF($O101="","",COUNTIF(C101:I101,"?*")+SUMPRODUCT(LEN(C101:I101)-LEN(SUBSTITUTE(C101:I101,",",""))))</f>
        <v>3</v>
      </c>
      <c r="K101" s="28" t="str" cm="1">
        <f t="array" ref="K101">IF($O101="","",_xlfn.TEXTJOIN(", ",TRUE,IF(EXACT('Дані_зв''язок'!$J$4:$J$1012,$O101),'Дані_зв''язок'!$L$4:$L$1012,"")))</f>
        <v>№5</v>
      </c>
      <c r="L101" s="28" t="str" cm="1">
        <f t="array" ref="L101">IF($O101="","",_xlfn.TEXTJOIN(", ",TRUE,IF(EXACT('Дані_зв''язок'!$J$4:$J$1012,$O101),'Дані_зв''язок'!$M$4:$M$1012,"")))</f>
        <v>МАЗ 4381</v>
      </c>
      <c r="M101" s="27" t="str" cm="1">
        <f t="array" ref="M101">IF($O101="","",IF(SUMPRODUCT(MAX(EXACT('Дані_зв''язок'!$J$4:$J$1012,$O101)*IFERROR('Дані_зв''язок'!$H$4:$H$1012,0)))=0,"",SUMPRODUCT(MAX(EXACT('Дані_зв''язок'!$J$4:$J$1012,$O101)*IFERROR('Дані_зв''язок'!$H$4:$H$1012,0)))))</f>
        <v/>
      </c>
      <c r="O101" s="30" t="s">
        <v>1199</v>
      </c>
      <c r="P101" s="24" t="str" cm="1">
        <f t="array" ref="P101">IF($O101="","",IF($B101="","",IFERROR(IF(MIN(IFERROR(VALUE(TRIM(MID(SUBSTITUTE(SUBSTITUTE($B101,","," ")," ",REPT(" ",30)),{1;31;61;91;121;151;181},30))),""))=0,"",MIN(IFERROR(VALUE(TRIM(MID(SUBSTITUTE(SUBSTITUTE($B101,","," ")," ",REPT(" ",30)),{1;31;61;91;121;151;181},30))),""))),"")))</f>
        <v/>
      </c>
      <c r="Q101" s="23" t="str">
        <f t="shared" si="5"/>
        <v>Прилуки, Чернігівська обл., вул. Андріївська</v>
      </c>
      <c r="R101" s="35">
        <f>IF($O101="","",IFERROR(INDEX('Координати майданчиків'!$H$4:$H$64,MATCH($T101,'Координати майданчиків'!$B$4:$B$64,0)),IFERROR(IF(ABS(INDEX(Геокодування!$C$2:$C$361,MATCH($Q101,Геокодування!$B$2:$B$361,0))-50.5884)+ABS(INDEX(Геокодування!$D$2:$D$361,MATCH($Q101,Геокодування!$B$2:$B$361,0))-32.3876)&gt;0.15,"",INDEX(Геокодування!$C$2:$C$361,MATCH($Q101,Геокодування!$B$2:$B$361,0))),IFERROR(IF(ABS(INDEX(Геокодування!$C$2:$C$361,MATCH("Прилуки, Чернігівська обл., "&amp;$A101,Геокодування!$B$2:$B$361,0))-50.5884)+ABS(INDEX(Геокодування!$D$2:$D$361,MATCH("Прилуки, Чернігівська обл., "&amp;$A101,Геокодування!$B$2:$B$361,0))-32.3876)&gt;0.15,"",INDEX(Геокодування!$C$2:$C$361,MATCH("Прилуки, Чернігівська обл., "&amp;$A101,Геокодування!$B$2:$B$361,0))),""))))</f>
        <v>50.589343999999997</v>
      </c>
      <c r="S101" s="43">
        <f>IF($O101="","",IFERROR(INDEX('Координати майданчиків'!$I$4:$I$64,MATCH($T101,'Координати майданчиків'!$B$4:$B$64,0)),IFERROR(IF(ABS(INDEX(Геокодування!$C$2:$C$361,MATCH($Q101,Геокодування!$B$2:$B$361,0))-50.5884)+ABS(INDEX(Геокодування!$D$2:$D$361,MATCH($Q101,Геокодування!$B$2:$B$361,0))-32.3876)&gt;0.15,"",INDEX(Геокодування!$D$2:$D$361,MATCH($Q101,Геокодування!$B$2:$B$361,0))),IFERROR(IF(ABS(INDEX(Геокодування!$C$2:$C$361,MATCH("Прилуки, Чернігівська обл., "&amp;$A101,Геокодування!$B$2:$B$361,0))-50.5884)+ABS(INDEX(Геокодування!$D$2:$D$361,MATCH("Прилуки, Чернігівська обл., "&amp;$A101,Геокодування!$B$2:$B$361,0))-32.3876)&gt;0.15,"",INDEX(Геокодування!$D$2:$D$361,MATCH("Прилуки, Чернігівська обл., "&amp;$A101,Геокодування!$B$2:$B$361,0))),""))))</f>
        <v>32.366922000000002</v>
      </c>
      <c r="T101" s="44" t="str">
        <f>IF($O101="","",IFERROR(INDEX('Координати майданчиків'!$B$4:$B$64,MATCH($A101&amp;IF($P101="","",", "&amp;$P101),'Координати майданчиків'!$B$4:$B$64,0)),IFERROR(INDEX('Координати майданчиків'!$B$4:$B$64,MATCH($A101,'Координати майданчиків'!$B$4:$B$64,0)),"")))</f>
        <v/>
      </c>
    </row>
    <row r="102" spans="1:20" x14ac:dyDescent="0.35">
      <c r="A102" s="26" t="str">
        <f t="shared" si="3"/>
        <v>вул. Архиповича</v>
      </c>
      <c r="B102" s="26" t="str">
        <f t="shared" si="4"/>
        <v>14</v>
      </c>
      <c r="C102" s="27" t="str" cm="1">
        <f t="array" ref="C102">IF($O102="","",_xlfn.TEXTJOIN(", ",TRUE,IF(EXACT('Дані_зв''язок'!$J$4:$J$1012,$O102)*('Дані_зв''язок'!$C$4:$C$1012=C$4),'Дані_зв''язок'!$D$4:$D$1012,"")))</f>
        <v/>
      </c>
      <c r="D102" s="27" t="str" cm="1">
        <f t="array" ref="D102">IF($O102="","",_xlfn.TEXTJOIN(", ",TRUE,IF(EXACT('Дані_зв''язок'!$J$4:$J$1012,$O102)*('Дані_зв''язок'!$C$4:$C$1012=D$4),'Дані_зв''язок'!$D$4:$D$1012,"")))</f>
        <v/>
      </c>
      <c r="E102" s="27" t="str" cm="1">
        <f t="array" ref="E102">IF($O102="","",_xlfn.TEXTJOIN(", ",TRUE,IF(EXACT('Дані_зв''язок'!$J$4:$J$1012,$O102)*('Дані_зв''язок'!$C$4:$C$1012=E$4),'Дані_зв''язок'!$D$4:$D$1012,"")))</f>
        <v/>
      </c>
      <c r="F102" s="27" t="str" cm="1">
        <f t="array" ref="F102">IF($O102="","",_xlfn.TEXTJOIN(", ",TRUE,IF(EXACT('Дані_зв''язок'!$J$4:$J$1012,$O102)*('Дані_зв''язок'!$C$4:$C$1012=F$4),'Дані_зв''язок'!$D$4:$D$1012,"")))</f>
        <v/>
      </c>
      <c r="G102" s="27" t="str" cm="1">
        <f t="array" ref="G102">IF($O102="","",_xlfn.TEXTJOIN(", ",TRUE,IF(EXACT('Дані_зв''язок'!$J$4:$J$1012,$O102)*('Дані_зв''язок'!$C$4:$C$1012=G$4),'Дані_зв''язок'!$D$4:$D$1012,"")))</f>
        <v>×</v>
      </c>
      <c r="H102" s="27" t="str" cm="1">
        <f t="array" ref="H102">IF($O102="","",_xlfn.TEXTJOIN(", ",TRUE,IF(EXACT('Дані_зв''язок'!$J$4:$J$1012,$O102)*('Дані_зв''язок'!$C$4:$C$1012=H$4),'Дані_зв''язок'!$D$4:$D$1012,"")))</f>
        <v/>
      </c>
      <c r="I102" s="27" t="str" cm="1">
        <f t="array" ref="I102">IF($O102="","",_xlfn.TEXTJOIN(", ",TRUE,IF(EXACT('Дані_зв''язок'!$J$4:$J$1012,$O102)*('Дані_зв''язок'!$C$4:$C$1012=I$4),'Дані_зв''язок'!$D$4:$D$1012,"")))</f>
        <v/>
      </c>
      <c r="J102" s="27" cm="1">
        <f t="array" ref="J102">IF($O102="","",COUNTIF(C102:I102,"?*")+SUMPRODUCT(LEN(C102:I102)-LEN(SUBSTITUTE(C102:I102,",",""))))</f>
        <v>1</v>
      </c>
      <c r="K102" s="28" t="str" cm="1">
        <f t="array" ref="K102">IF($O102="","",_xlfn.TEXTJOIN(", ",TRUE,IF(EXACT('Дані_зв''язок'!$J$4:$J$1012,$O102),'Дані_зв''язок'!$L$4:$L$1012,"")))</f>
        <v>№2 (ВГВ)</v>
      </c>
      <c r="L102" s="28" t="str" cm="1">
        <f t="array" ref="L102">IF($O102="","",_xlfn.TEXTJOIN(", ",TRUE,IF(EXACT('Дані_зв''язок'!$J$4:$J$1012,$O102),'Дані_зв''язок'!$M$4:$M$1012,"")))</f>
        <v>Рено Лендер</v>
      </c>
      <c r="M102" s="27" t="str" cm="1">
        <f t="array" ref="M102">IF($O102="","",IF(SUMPRODUCT(MAX(EXACT('Дані_зв''язок'!$J$4:$J$1012,$O102)*IFERROR('Дані_зв''язок'!$H$4:$H$1012,0)))=0,"",SUMPRODUCT(MAX(EXACT('Дані_зв''язок'!$J$4:$J$1012,$O102)*IFERROR('Дані_зв''язок'!$H$4:$H$1012,0)))))</f>
        <v/>
      </c>
      <c r="O102" s="30" t="s">
        <v>1200</v>
      </c>
      <c r="P102" s="24" cm="1">
        <f t="array" ref="P102">IF($O102="","",IF($B102="","",IFERROR(IF(MIN(IFERROR(VALUE(TRIM(MID(SUBSTITUTE(SUBSTITUTE($B102,","," ")," ",REPT(" ",30)),{1;31;61;91;121;151;181},30))),""))=0,"",MIN(IFERROR(VALUE(TRIM(MID(SUBSTITUTE(SUBSTITUTE($B102,","," ")," ",REPT(" ",30)),{1;31;61;91;121;151;181},30))),""))),"")))</f>
        <v>14</v>
      </c>
      <c r="Q102" s="23" t="str">
        <f t="shared" si="5"/>
        <v>Прилуки, Чернігівська обл., вул. Архиповича, 14</v>
      </c>
      <c r="R102" s="35">
        <f>IF($O102="","",IFERROR(INDEX('Координати майданчиків'!$H$4:$H$64,MATCH($T102,'Координати майданчиків'!$B$4:$B$64,0)),IFERROR(IF(ABS(INDEX(Геокодування!$C$2:$C$361,MATCH($Q102,Геокодування!$B$2:$B$361,0))-50.5884)+ABS(INDEX(Геокодування!$D$2:$D$361,MATCH($Q102,Геокодування!$B$2:$B$361,0))-32.3876)&gt;0.15,"",INDEX(Геокодування!$C$2:$C$361,MATCH($Q102,Геокодування!$B$2:$B$361,0))),IFERROR(IF(ABS(INDEX(Геокодування!$C$2:$C$361,MATCH("Прилуки, Чернігівська обл., "&amp;$A102,Геокодування!$B$2:$B$361,0))-50.5884)+ABS(INDEX(Геокодування!$D$2:$D$361,MATCH("Прилуки, Чернігівська обл., "&amp;$A102,Геокодування!$B$2:$B$361,0))-32.3876)&gt;0.15,"",INDEX(Геокодування!$C$2:$C$361,MATCH("Прилуки, Чернігівська обл., "&amp;$A102,Геокодування!$B$2:$B$361,0))),""))))</f>
        <v>50.614190000000001</v>
      </c>
      <c r="S102" s="43">
        <f>IF($O102="","",IFERROR(INDEX('Координати майданчиків'!$I$4:$I$64,MATCH($T102,'Координати майданчиків'!$B$4:$B$64,0)),IFERROR(IF(ABS(INDEX(Геокодування!$C$2:$C$361,MATCH($Q102,Геокодування!$B$2:$B$361,0))-50.5884)+ABS(INDEX(Геокодування!$D$2:$D$361,MATCH($Q102,Геокодування!$B$2:$B$361,0))-32.3876)&gt;0.15,"",INDEX(Геокодування!$D$2:$D$361,MATCH($Q102,Геокодування!$B$2:$B$361,0))),IFERROR(IF(ABS(INDEX(Геокодування!$C$2:$C$361,MATCH("Прилуки, Чернігівська обл., "&amp;$A102,Геокодування!$B$2:$B$361,0))-50.5884)+ABS(INDEX(Геокодування!$D$2:$D$361,MATCH("Прилуки, Чернігівська обл., "&amp;$A102,Геокодування!$B$2:$B$361,0))-32.3876)&gt;0.15,"",INDEX(Геокодування!$D$2:$D$361,MATCH("Прилуки, Чернігівська обл., "&amp;$A102,Геокодування!$B$2:$B$361,0))),""))))</f>
        <v>32.385624</v>
      </c>
      <c r="T102" s="44" t="str">
        <f>IF($O102="","",IFERROR(INDEX('Координати майданчиків'!$B$4:$B$64,MATCH($A102&amp;IF($P102="","",", "&amp;$P102),'Координати майданчиків'!$B$4:$B$64,0)),IFERROR(INDEX('Координати майданчиків'!$B$4:$B$64,MATCH($A102,'Координати майданчиків'!$B$4:$B$64,0)),"")))</f>
        <v/>
      </c>
    </row>
    <row r="103" spans="1:20" x14ac:dyDescent="0.35">
      <c r="A103" s="26" t="str">
        <f t="shared" si="3"/>
        <v>вул. Архиповича</v>
      </c>
      <c r="B103" s="26" t="str">
        <f t="shared" si="4"/>
        <v>18,41  52</v>
      </c>
      <c r="C103" s="27" t="str" cm="1">
        <f t="array" ref="C103">IF($O103="","",_xlfn.TEXTJOIN(", ",TRUE,IF(EXACT('Дані_зв''язок'!$J$4:$J$1012,$O103)*('Дані_зв''язок'!$C$4:$C$1012=C$4),'Дані_зв''язок'!$D$4:$D$1012,"")))</f>
        <v/>
      </c>
      <c r="D103" s="27" t="str" cm="1">
        <f t="array" ref="D103">IF($O103="","",_xlfn.TEXTJOIN(", ",TRUE,IF(EXACT('Дані_зв''язок'!$J$4:$J$1012,$O103)*('Дані_зв''язок'!$C$4:$C$1012=D$4),'Дані_зв''язок'!$D$4:$D$1012,"")))</f>
        <v>12:25</v>
      </c>
      <c r="E103" s="27" t="str" cm="1">
        <f t="array" ref="E103">IF($O103="","",_xlfn.TEXTJOIN(", ",TRUE,IF(EXACT('Дані_зв''язок'!$J$4:$J$1012,$O103)*('Дані_зв''язок'!$C$4:$C$1012=E$4),'Дані_зв''язок'!$D$4:$D$1012,"")))</f>
        <v/>
      </c>
      <c r="F103" s="27" t="str" cm="1">
        <f t="array" ref="F103">IF($O103="","",_xlfn.TEXTJOIN(", ",TRUE,IF(EXACT('Дані_зв''язок'!$J$4:$J$1012,$O103)*('Дані_зв''язок'!$C$4:$C$1012=F$4),'Дані_зв''язок'!$D$4:$D$1012,"")))</f>
        <v/>
      </c>
      <c r="G103" s="27" t="str" cm="1">
        <f t="array" ref="G103">IF($O103="","",_xlfn.TEXTJOIN(", ",TRUE,IF(EXACT('Дані_зв''язок'!$J$4:$J$1012,$O103)*('Дані_зв''язок'!$C$4:$C$1012=G$4),'Дані_зв''язок'!$D$4:$D$1012,"")))</f>
        <v/>
      </c>
      <c r="H103" s="27" t="str" cm="1">
        <f t="array" ref="H103">IF($O103="","",_xlfn.TEXTJOIN(", ",TRUE,IF(EXACT('Дані_зв''язок'!$J$4:$J$1012,$O103)*('Дані_зв''язок'!$C$4:$C$1012=H$4),'Дані_зв''язок'!$D$4:$D$1012,"")))</f>
        <v/>
      </c>
      <c r="I103" s="27" t="str" cm="1">
        <f t="array" ref="I103">IF($O103="","",_xlfn.TEXTJOIN(", ",TRUE,IF(EXACT('Дані_зв''язок'!$J$4:$J$1012,$O103)*('Дані_зв''язок'!$C$4:$C$1012=I$4),'Дані_зв''язок'!$D$4:$D$1012,"")))</f>
        <v/>
      </c>
      <c r="J103" s="27" cm="1">
        <f t="array" ref="J103">IF($O103="","",COUNTIF(C103:I103,"?*")+SUMPRODUCT(LEN(C103:I103)-LEN(SUBSTITUTE(C103:I103,",",""))))</f>
        <v>1</v>
      </c>
      <c r="K103" s="28" t="str" cm="1">
        <f t="array" ref="K103">IF($O103="","",_xlfn.TEXTJOIN(", ",TRUE,IF(EXACT('Дані_зв''язок'!$J$4:$J$1012,$O103),'Дані_зв''язок'!$L$4:$L$1012,"")))</f>
        <v>№6</v>
      </c>
      <c r="L103" s="28" t="str" cm="1">
        <f t="array" ref="L103">IF($O103="","",_xlfn.TEXTJOIN(", ",TRUE,IF(EXACT('Дані_зв''язок'!$J$4:$J$1012,$O103),'Дані_зв''язок'!$M$4:$M$1012,"")))</f>
        <v>АТ 4021</v>
      </c>
      <c r="M103" s="27" t="str" cm="1">
        <f t="array" ref="M103">IF($O103="","",IF(SUMPRODUCT(MAX(EXACT('Дані_зв''язок'!$J$4:$J$1012,$O103)*IFERROR('Дані_зв''язок'!$H$4:$H$1012,0)))=0,"",SUMPRODUCT(MAX(EXACT('Дані_зв''язок'!$J$4:$J$1012,$O103)*IFERROR('Дані_зв''язок'!$H$4:$H$1012,0)))))</f>
        <v/>
      </c>
      <c r="O103" s="30" t="s">
        <v>1201</v>
      </c>
      <c r="P103" s="24" cm="1">
        <f t="array" ref="P103">IF($O103="","",IF($B103="","",IFERROR(IF(MIN(IFERROR(VALUE(TRIM(MID(SUBSTITUTE(SUBSTITUTE($B103,","," ")," ",REPT(" ",30)),{1;31;61;91;121;151;181},30))),""))=0,"",MIN(IFERROR(VALUE(TRIM(MID(SUBSTITUTE(SUBSTITUTE($B103,","," ")," ",REPT(" ",30)),{1;31;61;91;121;151;181},30))),""))),"")))</f>
        <v>18</v>
      </c>
      <c r="Q103" s="23" t="str">
        <f t="shared" si="5"/>
        <v>Прилуки, Чернігівська обл., вул. Архиповича, 18</v>
      </c>
      <c r="R103" s="35">
        <f>IF($O103="","",IFERROR(INDEX('Координати майданчиків'!$H$4:$H$64,MATCH($T103,'Координати майданчиків'!$B$4:$B$64,0)),IFERROR(IF(ABS(INDEX(Геокодування!$C$2:$C$361,MATCH($Q103,Геокодування!$B$2:$B$361,0))-50.5884)+ABS(INDEX(Геокодування!$D$2:$D$361,MATCH($Q103,Геокодування!$B$2:$B$361,0))-32.3876)&gt;0.15,"",INDEX(Геокодування!$C$2:$C$361,MATCH($Q103,Геокодування!$B$2:$B$361,0))),IFERROR(IF(ABS(INDEX(Геокодування!$C$2:$C$361,MATCH("Прилуки, Чернігівська обл., "&amp;$A103,Геокодування!$B$2:$B$361,0))-50.5884)+ABS(INDEX(Геокодування!$D$2:$D$361,MATCH("Прилуки, Чернігівська обл., "&amp;$A103,Геокодування!$B$2:$B$361,0))-32.3876)&gt;0.15,"",INDEX(Геокодування!$C$2:$C$361,MATCH("Прилуки, Чернігівська обл., "&amp;$A103,Геокодування!$B$2:$B$361,0))),""))))</f>
        <v>50.614190000000001</v>
      </c>
      <c r="S103" s="43">
        <f>IF($O103="","",IFERROR(INDEX('Координати майданчиків'!$I$4:$I$64,MATCH($T103,'Координати майданчиків'!$B$4:$B$64,0)),IFERROR(IF(ABS(INDEX(Геокодування!$C$2:$C$361,MATCH($Q103,Геокодування!$B$2:$B$361,0))-50.5884)+ABS(INDEX(Геокодування!$D$2:$D$361,MATCH($Q103,Геокодування!$B$2:$B$361,0))-32.3876)&gt;0.15,"",INDEX(Геокодування!$D$2:$D$361,MATCH($Q103,Геокодування!$B$2:$B$361,0))),IFERROR(IF(ABS(INDEX(Геокодування!$C$2:$C$361,MATCH("Прилуки, Чернігівська обл., "&amp;$A103,Геокодування!$B$2:$B$361,0))-50.5884)+ABS(INDEX(Геокодування!$D$2:$D$361,MATCH("Прилуки, Чернігівська обл., "&amp;$A103,Геокодування!$B$2:$B$361,0))-32.3876)&gt;0.15,"",INDEX(Геокодування!$D$2:$D$361,MATCH("Прилуки, Чернігівська обл., "&amp;$A103,Геокодування!$B$2:$B$361,0))),""))))</f>
        <v>32.385624</v>
      </c>
      <c r="T103" s="44" t="str">
        <f>IF($O103="","",IFERROR(INDEX('Координати майданчиків'!$B$4:$B$64,MATCH($A103&amp;IF($P103="","",", "&amp;$P103),'Координати майданчиків'!$B$4:$B$64,0)),IFERROR(INDEX('Координати майданчиків'!$B$4:$B$64,MATCH($A103,'Координати майданчиків'!$B$4:$B$64,0)),"")))</f>
        <v/>
      </c>
    </row>
    <row r="104" spans="1:20" x14ac:dyDescent="0.35">
      <c r="A104" s="26" t="str">
        <f t="shared" si="3"/>
        <v>вул. Архиповича</v>
      </c>
      <c r="B104" s="26" t="str">
        <f t="shared" si="4"/>
        <v>21,5</v>
      </c>
      <c r="C104" s="27" t="str" cm="1">
        <f t="array" ref="C104">IF($O104="","",_xlfn.TEXTJOIN(", ",TRUE,IF(EXACT('Дані_зв''язок'!$J$4:$J$1012,$O104)*('Дані_зв''язок'!$C$4:$C$1012=C$4),'Дані_зв''язок'!$D$4:$D$1012,"")))</f>
        <v>7:00</v>
      </c>
      <c r="D104" s="27" t="str" cm="1">
        <f t="array" ref="D104">IF($O104="","",_xlfn.TEXTJOIN(", ",TRUE,IF(EXACT('Дані_зв''язок'!$J$4:$J$1012,$O104)*('Дані_зв''язок'!$C$4:$C$1012=D$4),'Дані_зв''язок'!$D$4:$D$1012,"")))</f>
        <v/>
      </c>
      <c r="E104" s="27" t="str" cm="1">
        <f t="array" ref="E104">IF($O104="","",_xlfn.TEXTJOIN(", ",TRUE,IF(EXACT('Дані_зв''язок'!$J$4:$J$1012,$O104)*('Дані_зв''язок'!$C$4:$C$1012=E$4),'Дані_зв''язок'!$D$4:$D$1012,"")))</f>
        <v/>
      </c>
      <c r="F104" s="27" t="str" cm="1">
        <f t="array" ref="F104">IF($O104="","",_xlfn.TEXTJOIN(", ",TRUE,IF(EXACT('Дані_зв''язок'!$J$4:$J$1012,$O104)*('Дані_зв''язок'!$C$4:$C$1012=F$4),'Дані_зв''язок'!$D$4:$D$1012,"")))</f>
        <v/>
      </c>
      <c r="G104" s="27" t="str" cm="1">
        <f t="array" ref="G104">IF($O104="","",_xlfn.TEXTJOIN(", ",TRUE,IF(EXACT('Дані_зв''язок'!$J$4:$J$1012,$O104)*('Дані_зв''язок'!$C$4:$C$1012=G$4),'Дані_зв''язок'!$D$4:$D$1012,"")))</f>
        <v/>
      </c>
      <c r="H104" s="27" t="str" cm="1">
        <f t="array" ref="H104">IF($O104="","",_xlfn.TEXTJOIN(", ",TRUE,IF(EXACT('Дані_зв''язок'!$J$4:$J$1012,$O104)*('Дані_зв''язок'!$C$4:$C$1012=H$4),'Дані_зв''язок'!$D$4:$D$1012,"")))</f>
        <v/>
      </c>
      <c r="I104" s="27" t="str" cm="1">
        <f t="array" ref="I104">IF($O104="","",_xlfn.TEXTJOIN(", ",TRUE,IF(EXACT('Дані_зв''язок'!$J$4:$J$1012,$O104)*('Дані_зв''язок'!$C$4:$C$1012=I$4),'Дані_зв''язок'!$D$4:$D$1012,"")))</f>
        <v/>
      </c>
      <c r="J104" s="27" cm="1">
        <f t="array" ref="J104">IF($O104="","",COUNTIF(C104:I104,"?*")+SUMPRODUCT(LEN(C104:I104)-LEN(SUBSTITUTE(C104:I104,",",""))))</f>
        <v>1</v>
      </c>
      <c r="K104" s="28" t="str" cm="1">
        <f t="array" ref="K104">IF($O104="","",_xlfn.TEXTJOIN(", ",TRUE,IF(EXACT('Дані_зв''язок'!$J$4:$J$1012,$O104),'Дані_зв''язок'!$L$4:$L$1012,"")))</f>
        <v>№6</v>
      </c>
      <c r="L104" s="28" t="str" cm="1">
        <f t="array" ref="L104">IF($O104="","",_xlfn.TEXTJOIN(", ",TRUE,IF(EXACT('Дані_зв''язок'!$J$4:$J$1012,$O104),'Дані_зв''язок'!$M$4:$M$1012,"")))</f>
        <v>АТ 4021</v>
      </c>
      <c r="M104" s="27" t="str" cm="1">
        <f t="array" ref="M104">IF($O104="","",IF(SUMPRODUCT(MAX(EXACT('Дані_зв''язок'!$J$4:$J$1012,$O104)*IFERROR('Дані_зв''язок'!$H$4:$H$1012,0)))=0,"",SUMPRODUCT(MAX(EXACT('Дані_зв''язок'!$J$4:$J$1012,$O104)*IFERROR('Дані_зв''язок'!$H$4:$H$1012,0)))))</f>
        <v/>
      </c>
      <c r="O104" s="30" t="s">
        <v>1202</v>
      </c>
      <c r="P104" s="24" cm="1">
        <f t="array" ref="P104">IF($O104="","",IF($B104="","",IFERROR(IF(MIN(IFERROR(VALUE(TRIM(MID(SUBSTITUTE(SUBSTITUTE($B104,","," ")," ",REPT(" ",30)),{1;31;61;91;121;151;181},30))),""))=0,"",MIN(IFERROR(VALUE(TRIM(MID(SUBSTITUTE(SUBSTITUTE($B104,","," ")," ",REPT(" ",30)),{1;31;61;91;121;151;181},30))),""))),"")))</f>
        <v>5</v>
      </c>
      <c r="Q104" s="23" t="str">
        <f t="shared" si="5"/>
        <v>Прилуки, Чернігівська обл., вул. Архиповича, 5</v>
      </c>
      <c r="R104" s="35">
        <f>IF($O104="","",IFERROR(INDEX('Координати майданчиків'!$H$4:$H$64,MATCH($T104,'Координати майданчиків'!$B$4:$B$64,0)),IFERROR(IF(ABS(INDEX(Геокодування!$C$2:$C$361,MATCH($Q104,Геокодування!$B$2:$B$361,0))-50.5884)+ABS(INDEX(Геокодування!$D$2:$D$361,MATCH($Q104,Геокодування!$B$2:$B$361,0))-32.3876)&gt;0.15,"",INDEX(Геокодування!$C$2:$C$361,MATCH($Q104,Геокодування!$B$2:$B$361,0))),IFERROR(IF(ABS(INDEX(Геокодування!$C$2:$C$361,MATCH("Прилуки, Чернігівська обл., "&amp;$A104,Геокодування!$B$2:$B$361,0))-50.5884)+ABS(INDEX(Геокодування!$D$2:$D$361,MATCH("Прилуки, Чернігівська обл., "&amp;$A104,Геокодування!$B$2:$B$361,0))-32.3876)&gt;0.15,"",INDEX(Геокодування!$C$2:$C$361,MATCH("Прилуки, Чернігівська обл., "&amp;$A104,Геокодування!$B$2:$B$361,0))),""))))</f>
        <v>50.614190000000001</v>
      </c>
      <c r="S104" s="43">
        <f>IF($O104="","",IFERROR(INDEX('Координати майданчиків'!$I$4:$I$64,MATCH($T104,'Координати майданчиків'!$B$4:$B$64,0)),IFERROR(IF(ABS(INDEX(Геокодування!$C$2:$C$361,MATCH($Q104,Геокодування!$B$2:$B$361,0))-50.5884)+ABS(INDEX(Геокодування!$D$2:$D$361,MATCH($Q104,Геокодування!$B$2:$B$361,0))-32.3876)&gt;0.15,"",INDEX(Геокодування!$D$2:$D$361,MATCH($Q104,Геокодування!$B$2:$B$361,0))),IFERROR(IF(ABS(INDEX(Геокодування!$C$2:$C$361,MATCH("Прилуки, Чернігівська обл., "&amp;$A104,Геокодування!$B$2:$B$361,0))-50.5884)+ABS(INDEX(Геокодування!$D$2:$D$361,MATCH("Прилуки, Чернігівська обл., "&amp;$A104,Геокодування!$B$2:$B$361,0))-32.3876)&gt;0.15,"",INDEX(Геокодування!$D$2:$D$361,MATCH("Прилуки, Чернігівська обл., "&amp;$A104,Геокодування!$B$2:$B$361,0))),""))))</f>
        <v>32.385624</v>
      </c>
      <c r="T104" s="44" t="str">
        <f>IF($O104="","",IFERROR(INDEX('Координати майданчиків'!$B$4:$B$64,MATCH($A104&amp;IF($P104="","",", "&amp;$P104),'Координати майданчиків'!$B$4:$B$64,0)),IFERROR(INDEX('Координати майданчиків'!$B$4:$B$64,MATCH($A104,'Координати майданчиків'!$B$4:$B$64,0)),"")))</f>
        <v/>
      </c>
    </row>
    <row r="105" spans="1:20" x14ac:dyDescent="0.35">
      <c r="A105" s="26" t="str">
        <f t="shared" si="3"/>
        <v>вул. Архиповича</v>
      </c>
      <c r="B105" s="26" t="str">
        <f t="shared" si="4"/>
        <v>41,47  88</v>
      </c>
      <c r="C105" s="27" t="str" cm="1">
        <f t="array" ref="C105">IF($O105="","",_xlfn.TEXTJOIN(", ",TRUE,IF(EXACT('Дані_зв''язок'!$J$4:$J$1012,$O105)*('Дані_зв''язок'!$C$4:$C$1012=C$4),'Дані_зв''язок'!$D$4:$D$1012,"")))</f>
        <v/>
      </c>
      <c r="D105" s="27" t="str" cm="1">
        <f t="array" ref="D105">IF($O105="","",_xlfn.TEXTJOIN(", ",TRUE,IF(EXACT('Дані_зв''язок'!$J$4:$J$1012,$O105)*('Дані_зв''язок'!$C$4:$C$1012=D$4),'Дані_зв''язок'!$D$4:$D$1012,"")))</f>
        <v>7:25</v>
      </c>
      <c r="E105" s="27" t="str" cm="1">
        <f t="array" ref="E105">IF($O105="","",_xlfn.TEXTJOIN(", ",TRUE,IF(EXACT('Дані_зв''язок'!$J$4:$J$1012,$O105)*('Дані_зв''язок'!$C$4:$C$1012=E$4),'Дані_зв''язок'!$D$4:$D$1012,"")))</f>
        <v/>
      </c>
      <c r="F105" s="27" t="str" cm="1">
        <f t="array" ref="F105">IF($O105="","",_xlfn.TEXTJOIN(", ",TRUE,IF(EXACT('Дані_зв''язок'!$J$4:$J$1012,$O105)*('Дані_зв''язок'!$C$4:$C$1012=F$4),'Дані_зв''язок'!$D$4:$D$1012,"")))</f>
        <v/>
      </c>
      <c r="G105" s="27" t="str" cm="1">
        <f t="array" ref="G105">IF($O105="","",_xlfn.TEXTJOIN(", ",TRUE,IF(EXACT('Дані_зв''язок'!$J$4:$J$1012,$O105)*('Дані_зв''язок'!$C$4:$C$1012=G$4),'Дані_зв''язок'!$D$4:$D$1012,"")))</f>
        <v/>
      </c>
      <c r="H105" s="27" t="str" cm="1">
        <f t="array" ref="H105">IF($O105="","",_xlfn.TEXTJOIN(", ",TRUE,IF(EXACT('Дані_зв''язок'!$J$4:$J$1012,$O105)*('Дані_зв''язок'!$C$4:$C$1012=H$4),'Дані_зв''язок'!$D$4:$D$1012,"")))</f>
        <v/>
      </c>
      <c r="I105" s="27" t="str" cm="1">
        <f t="array" ref="I105">IF($O105="","",_xlfn.TEXTJOIN(", ",TRUE,IF(EXACT('Дані_зв''язок'!$J$4:$J$1012,$O105)*('Дані_зв''язок'!$C$4:$C$1012=I$4),'Дані_зв''язок'!$D$4:$D$1012,"")))</f>
        <v/>
      </c>
      <c r="J105" s="27" cm="1">
        <f t="array" ref="J105">IF($O105="","",COUNTIF(C105:I105,"?*")+SUMPRODUCT(LEN(C105:I105)-LEN(SUBSTITUTE(C105:I105,",",""))))</f>
        <v>1</v>
      </c>
      <c r="K105" s="28" t="str" cm="1">
        <f t="array" ref="K105">IF($O105="","",_xlfn.TEXTJOIN(", ",TRUE,IF(EXACT('Дані_зв''язок'!$J$4:$J$1012,$O105),'Дані_зв''язок'!$L$4:$L$1012,"")))</f>
        <v>№6</v>
      </c>
      <c r="L105" s="28" t="str" cm="1">
        <f t="array" ref="L105">IF($O105="","",_xlfn.TEXTJOIN(", ",TRUE,IF(EXACT('Дані_зв''язок'!$J$4:$J$1012,$O105),'Дані_зв''язок'!$M$4:$M$1012,"")))</f>
        <v>АТ 4021</v>
      </c>
      <c r="M105" s="27" t="str" cm="1">
        <f t="array" ref="M105">IF($O105="","",IF(SUMPRODUCT(MAX(EXACT('Дані_зв''язок'!$J$4:$J$1012,$O105)*IFERROR('Дані_зв''язок'!$H$4:$H$1012,0)))=0,"",SUMPRODUCT(MAX(EXACT('Дані_зв''язок'!$J$4:$J$1012,$O105)*IFERROR('Дані_зв''язок'!$H$4:$H$1012,0)))))</f>
        <v/>
      </c>
      <c r="O105" s="30" t="s">
        <v>1203</v>
      </c>
      <c r="P105" s="24" cm="1">
        <f t="array" ref="P105">IF($O105="","",IF($B105="","",IFERROR(IF(MIN(IFERROR(VALUE(TRIM(MID(SUBSTITUTE(SUBSTITUTE($B105,","," ")," ",REPT(" ",30)),{1;31;61;91;121;151;181},30))),""))=0,"",MIN(IFERROR(VALUE(TRIM(MID(SUBSTITUTE(SUBSTITUTE($B105,","," ")," ",REPT(" ",30)),{1;31;61;91;121;151;181},30))),""))),"")))</f>
        <v>41</v>
      </c>
      <c r="Q105" s="23" t="str">
        <f t="shared" si="5"/>
        <v>Прилуки, Чернігівська обл., вул. Архиповича, 41</v>
      </c>
      <c r="R105" s="35">
        <f>IF($O105="","",IFERROR(INDEX('Координати майданчиків'!$H$4:$H$64,MATCH($T105,'Координати майданчиків'!$B$4:$B$64,0)),IFERROR(IF(ABS(INDEX(Геокодування!$C$2:$C$361,MATCH($Q105,Геокодування!$B$2:$B$361,0))-50.5884)+ABS(INDEX(Геокодування!$D$2:$D$361,MATCH($Q105,Геокодування!$B$2:$B$361,0))-32.3876)&gt;0.15,"",INDEX(Геокодування!$C$2:$C$361,MATCH($Q105,Геокодування!$B$2:$B$361,0))),IFERROR(IF(ABS(INDEX(Геокодування!$C$2:$C$361,MATCH("Прилуки, Чернігівська обл., "&amp;$A105,Геокодування!$B$2:$B$361,0))-50.5884)+ABS(INDEX(Геокодування!$D$2:$D$361,MATCH("Прилуки, Чернігівська обл., "&amp;$A105,Геокодування!$B$2:$B$361,0))-32.3876)&gt;0.15,"",INDEX(Геокодування!$C$2:$C$361,MATCH("Прилуки, Чернігівська обл., "&amp;$A105,Геокодування!$B$2:$B$361,0))),""))))</f>
        <v>50.614190000000001</v>
      </c>
      <c r="S105" s="43">
        <f>IF($O105="","",IFERROR(INDEX('Координати майданчиків'!$I$4:$I$64,MATCH($T105,'Координати майданчиків'!$B$4:$B$64,0)),IFERROR(IF(ABS(INDEX(Геокодування!$C$2:$C$361,MATCH($Q105,Геокодування!$B$2:$B$361,0))-50.5884)+ABS(INDEX(Геокодування!$D$2:$D$361,MATCH($Q105,Геокодування!$B$2:$B$361,0))-32.3876)&gt;0.15,"",INDEX(Геокодування!$D$2:$D$361,MATCH($Q105,Геокодування!$B$2:$B$361,0))),IFERROR(IF(ABS(INDEX(Геокодування!$C$2:$C$361,MATCH("Прилуки, Чернігівська обл., "&amp;$A105,Геокодування!$B$2:$B$361,0))-50.5884)+ABS(INDEX(Геокодування!$D$2:$D$361,MATCH("Прилуки, Чернігівська обл., "&amp;$A105,Геокодування!$B$2:$B$361,0))-32.3876)&gt;0.15,"",INDEX(Геокодування!$D$2:$D$361,MATCH("Прилуки, Чернігівська обл., "&amp;$A105,Геокодування!$B$2:$B$361,0))),""))))</f>
        <v>32.385624</v>
      </c>
      <c r="T105" s="44" t="str">
        <f>IF($O105="","",IFERROR(INDEX('Координати майданчиків'!$B$4:$B$64,MATCH($A105&amp;IF($P105="","",", "&amp;$P105),'Координати майданчиків'!$B$4:$B$64,0)),IFERROR(INDEX('Координати майданчиків'!$B$4:$B$64,MATCH($A105,'Координати майданчиків'!$B$4:$B$64,0)),"")))</f>
        <v/>
      </c>
    </row>
    <row r="106" spans="1:20" x14ac:dyDescent="0.35">
      <c r="A106" s="26" t="str">
        <f t="shared" si="3"/>
        <v>вул. Б. Носенка</v>
      </c>
      <c r="B106" s="26" t="str">
        <f t="shared" si="4"/>
        <v/>
      </c>
      <c r="C106" s="27" t="str" cm="1">
        <f t="array" ref="C106">IF($O106="","",_xlfn.TEXTJOIN(", ",TRUE,IF(EXACT('Дані_зв''язок'!$J$4:$J$1012,$O106)*('Дані_зв''язок'!$C$4:$C$1012=C$4),'Дані_зв''язок'!$D$4:$D$1012,"")))</f>
        <v/>
      </c>
      <c r="D106" s="27" t="str" cm="1">
        <f t="array" ref="D106">IF($O106="","",_xlfn.TEXTJOIN(", ",TRUE,IF(EXACT('Дані_зв''язок'!$J$4:$J$1012,$O106)*('Дані_зв''язок'!$C$4:$C$1012=D$4),'Дані_зв''язок'!$D$4:$D$1012,"")))</f>
        <v/>
      </c>
      <c r="E106" s="27" t="str" cm="1">
        <f t="array" ref="E106">IF($O106="","",_xlfn.TEXTJOIN(", ",TRUE,IF(EXACT('Дані_зв''язок'!$J$4:$J$1012,$O106)*('Дані_зв''язок'!$C$4:$C$1012=E$4),'Дані_зв''язок'!$D$4:$D$1012,"")))</f>
        <v/>
      </c>
      <c r="F106" s="27" t="str" cm="1">
        <f t="array" ref="F106">IF($O106="","",_xlfn.TEXTJOIN(", ",TRUE,IF(EXACT('Дані_зв''язок'!$J$4:$J$1012,$O106)*('Дані_зв''язок'!$C$4:$C$1012=F$4),'Дані_зв''язок'!$D$4:$D$1012,"")))</f>
        <v/>
      </c>
      <c r="G106" s="27" t="str" cm="1">
        <f t="array" ref="G106">IF($O106="","",_xlfn.TEXTJOIN(", ",TRUE,IF(EXACT('Дані_зв''язок'!$J$4:$J$1012,$O106)*('Дані_зв''язок'!$C$4:$C$1012=G$4),'Дані_зв''язок'!$D$4:$D$1012,"")))</f>
        <v>13:20</v>
      </c>
      <c r="H106" s="27" t="str" cm="1">
        <f t="array" ref="H106">IF($O106="","",_xlfn.TEXTJOIN(", ",TRUE,IF(EXACT('Дані_зв''язок'!$J$4:$J$1012,$O106)*('Дані_зв''язок'!$C$4:$C$1012=H$4),'Дані_зв''язок'!$D$4:$D$1012,"")))</f>
        <v/>
      </c>
      <c r="I106" s="27" t="str" cm="1">
        <f t="array" ref="I106">IF($O106="","",_xlfn.TEXTJOIN(", ",TRUE,IF(EXACT('Дані_зв''язок'!$J$4:$J$1012,$O106)*('Дані_зв''язок'!$C$4:$C$1012=I$4),'Дані_зв''язок'!$D$4:$D$1012,"")))</f>
        <v/>
      </c>
      <c r="J106" s="27" cm="1">
        <f t="array" ref="J106">IF($O106="","",COUNTIF(C106:I106,"?*")+SUMPRODUCT(LEN(C106:I106)-LEN(SUBSTITUTE(C106:I106,",",""))))</f>
        <v>1</v>
      </c>
      <c r="K106" s="28" t="str" cm="1">
        <f t="array" ref="K106">IF($O106="","",_xlfn.TEXTJOIN(", ",TRUE,IF(EXACT('Дані_зв''язок'!$J$4:$J$1012,$O106),'Дані_зв''язок'!$L$4:$L$1012,"")))</f>
        <v>№5</v>
      </c>
      <c r="L106" s="28" t="str" cm="1">
        <f t="array" ref="L106">IF($O106="","",_xlfn.TEXTJOIN(", ",TRUE,IF(EXACT('Дані_зв''язок'!$J$4:$J$1012,$O106),'Дані_зв''язок'!$M$4:$M$1012,"")))</f>
        <v>МАЗ 4381</v>
      </c>
      <c r="M106" s="27" t="str" cm="1">
        <f t="array" ref="M106">IF($O106="","",IF(SUMPRODUCT(MAX(EXACT('Дані_зв''язок'!$J$4:$J$1012,$O106)*IFERROR('Дані_зв''язок'!$H$4:$H$1012,0)))=0,"",SUMPRODUCT(MAX(EXACT('Дані_зв''язок'!$J$4:$J$1012,$O106)*IFERROR('Дані_зв''язок'!$H$4:$H$1012,0)))))</f>
        <v/>
      </c>
      <c r="O106" s="30" t="s">
        <v>1204</v>
      </c>
      <c r="P106" s="24" t="str" cm="1">
        <f t="array" ref="P106">IF($O106="","",IF($B106="","",IFERROR(IF(MIN(IFERROR(VALUE(TRIM(MID(SUBSTITUTE(SUBSTITUTE($B106,","," ")," ",REPT(" ",30)),{1;31;61;91;121;151;181},30))),""))=0,"",MIN(IFERROR(VALUE(TRIM(MID(SUBSTITUTE(SUBSTITUTE($B106,","," ")," ",REPT(" ",30)),{1;31;61;91;121;151;181},30))),""))),"")))</f>
        <v/>
      </c>
      <c r="Q106" s="23" t="str">
        <f t="shared" si="5"/>
        <v>Прилуки, Чернігівська обл., вул. Б. Носенка</v>
      </c>
      <c r="R106" s="35">
        <f>IF($O106="","",IFERROR(INDEX('Координати майданчиків'!$H$4:$H$64,MATCH($T106,'Координати майданчиків'!$B$4:$B$64,0)),IFERROR(IF(ABS(INDEX(Геокодування!$C$2:$C$361,MATCH($Q106,Геокодування!$B$2:$B$361,0))-50.5884)+ABS(INDEX(Геокодування!$D$2:$D$361,MATCH($Q106,Геокодування!$B$2:$B$361,0))-32.3876)&gt;0.15,"",INDEX(Геокодування!$C$2:$C$361,MATCH($Q106,Геокодування!$B$2:$B$361,0))),IFERROR(IF(ABS(INDEX(Геокодування!$C$2:$C$361,MATCH("Прилуки, Чернігівська обл., "&amp;$A106,Геокодування!$B$2:$B$361,0))-50.5884)+ABS(INDEX(Геокодування!$D$2:$D$361,MATCH("Прилуки, Чернігівська обл., "&amp;$A106,Геокодування!$B$2:$B$361,0))-32.3876)&gt;0.15,"",INDEX(Геокодування!$C$2:$C$361,MATCH("Прилуки, Чернігівська обл., "&amp;$A106,Геокодування!$B$2:$B$361,0))),""))))</f>
        <v>50.579313999999997</v>
      </c>
      <c r="S106" s="43">
        <f>IF($O106="","",IFERROR(INDEX('Координати майданчиків'!$I$4:$I$64,MATCH($T106,'Координати майданчиків'!$B$4:$B$64,0)),IFERROR(IF(ABS(INDEX(Геокодування!$C$2:$C$361,MATCH($Q106,Геокодування!$B$2:$B$361,0))-50.5884)+ABS(INDEX(Геокодування!$D$2:$D$361,MATCH($Q106,Геокодування!$B$2:$B$361,0))-32.3876)&gt;0.15,"",INDEX(Геокодування!$D$2:$D$361,MATCH($Q106,Геокодування!$B$2:$B$361,0))),IFERROR(IF(ABS(INDEX(Геокодування!$C$2:$C$361,MATCH("Прилуки, Чернігівська обл., "&amp;$A106,Геокодування!$B$2:$B$361,0))-50.5884)+ABS(INDEX(Геокодування!$D$2:$D$361,MATCH("Прилуки, Чернігівська обл., "&amp;$A106,Геокодування!$B$2:$B$361,0))-32.3876)&gt;0.15,"",INDEX(Геокодування!$D$2:$D$361,MATCH("Прилуки, Чернігівська обл., "&amp;$A106,Геокодування!$B$2:$B$361,0))),""))))</f>
        <v>32.426285999999998</v>
      </c>
      <c r="T106" s="44" t="str">
        <f>IF($O106="","",IFERROR(INDEX('Координати майданчиків'!$B$4:$B$64,MATCH($A106&amp;IF($P106="","",", "&amp;$P106),'Координати майданчиків'!$B$4:$B$64,0)),IFERROR(INDEX('Координати майданчиків'!$B$4:$B$64,MATCH($A106,'Координати майданчиків'!$B$4:$B$64,0)),"")))</f>
        <v/>
      </c>
    </row>
    <row r="107" spans="1:20" x14ac:dyDescent="0.35">
      <c r="A107" s="26" t="str">
        <f t="shared" si="3"/>
        <v>вул. Б. Носенка</v>
      </c>
      <c r="B107" s="26" t="str">
        <f t="shared" si="4"/>
        <v>130</v>
      </c>
      <c r="C107" s="27" t="str" cm="1">
        <f t="array" ref="C107">IF($O107="","",_xlfn.TEXTJOIN(", ",TRUE,IF(EXACT('Дані_зв''язок'!$J$4:$J$1012,$O107)*('Дані_зв''язок'!$C$4:$C$1012=C$4),'Дані_зв''язок'!$D$4:$D$1012,"")))</f>
        <v/>
      </c>
      <c r="D107" s="27" t="str" cm="1">
        <f t="array" ref="D107">IF($O107="","",_xlfn.TEXTJOIN(", ",TRUE,IF(EXACT('Дані_зв''язок'!$J$4:$J$1012,$O107)*('Дані_зв''язок'!$C$4:$C$1012=D$4),'Дані_зв''язок'!$D$4:$D$1012,"")))</f>
        <v/>
      </c>
      <c r="E107" s="27" t="str" cm="1">
        <f t="array" ref="E107">IF($O107="","",_xlfn.TEXTJOIN(", ",TRUE,IF(EXACT('Дані_зв''язок'!$J$4:$J$1012,$O107)*('Дані_зв''язок'!$C$4:$C$1012=E$4),'Дані_зв''язок'!$D$4:$D$1012,"")))</f>
        <v>14:15</v>
      </c>
      <c r="F107" s="27" t="str" cm="1">
        <f t="array" ref="F107">IF($O107="","",_xlfn.TEXTJOIN(", ",TRUE,IF(EXACT('Дані_зв''язок'!$J$4:$J$1012,$O107)*('Дані_зв''язок'!$C$4:$C$1012=F$4),'Дані_зв''язок'!$D$4:$D$1012,"")))</f>
        <v/>
      </c>
      <c r="G107" s="27" t="str" cm="1">
        <f t="array" ref="G107">IF($O107="","",_xlfn.TEXTJOIN(", ",TRUE,IF(EXACT('Дані_зв''язок'!$J$4:$J$1012,$O107)*('Дані_зв''язок'!$C$4:$C$1012=G$4),'Дані_зв''язок'!$D$4:$D$1012,"")))</f>
        <v/>
      </c>
      <c r="H107" s="27" t="str" cm="1">
        <f t="array" ref="H107">IF($O107="","",_xlfn.TEXTJOIN(", ",TRUE,IF(EXACT('Дані_зв''язок'!$J$4:$J$1012,$O107)*('Дані_зв''язок'!$C$4:$C$1012=H$4),'Дані_зв''язок'!$D$4:$D$1012,"")))</f>
        <v/>
      </c>
      <c r="I107" s="27" t="str" cm="1">
        <f t="array" ref="I107">IF($O107="","",_xlfn.TEXTJOIN(", ",TRUE,IF(EXACT('Дані_зв''язок'!$J$4:$J$1012,$O107)*('Дані_зв''язок'!$C$4:$C$1012=I$4),'Дані_зв''язок'!$D$4:$D$1012,"")))</f>
        <v/>
      </c>
      <c r="J107" s="27" cm="1">
        <f t="array" ref="J107">IF($O107="","",COUNTIF(C107:I107,"?*")+SUMPRODUCT(LEN(C107:I107)-LEN(SUBSTITUTE(C107:I107,",",""))))</f>
        <v>1</v>
      </c>
      <c r="K107" s="28" t="str" cm="1">
        <f t="array" ref="K107">IF($O107="","",_xlfn.TEXTJOIN(", ",TRUE,IF(EXACT('Дані_зв''язок'!$J$4:$J$1012,$O107),'Дані_зв''язок'!$L$4:$L$1012,"")))</f>
        <v>№6</v>
      </c>
      <c r="L107" s="28" t="str" cm="1">
        <f t="array" ref="L107">IF($O107="","",_xlfn.TEXTJOIN(", ",TRUE,IF(EXACT('Дані_зв''язок'!$J$4:$J$1012,$O107),'Дані_зв''язок'!$M$4:$M$1012,"")))</f>
        <v>АТ 4021</v>
      </c>
      <c r="M107" s="27" t="str" cm="1">
        <f t="array" ref="M107">IF($O107="","",IF(SUMPRODUCT(MAX(EXACT('Дані_зв''язок'!$J$4:$J$1012,$O107)*IFERROR('Дані_зв''язок'!$H$4:$H$1012,0)))=0,"",SUMPRODUCT(MAX(EXACT('Дані_зв''язок'!$J$4:$J$1012,$O107)*IFERROR('Дані_зв''язок'!$H$4:$H$1012,0)))))</f>
        <v/>
      </c>
      <c r="O107" s="30" t="s">
        <v>1205</v>
      </c>
      <c r="P107" s="24" cm="1">
        <f t="array" ref="P107">IF($O107="","",IF($B107="","",IFERROR(IF(MIN(IFERROR(VALUE(TRIM(MID(SUBSTITUTE(SUBSTITUTE($B107,","," ")," ",REPT(" ",30)),{1;31;61;91;121;151;181},30))),""))=0,"",MIN(IFERROR(VALUE(TRIM(MID(SUBSTITUTE(SUBSTITUTE($B107,","," ")," ",REPT(" ",30)),{1;31;61;91;121;151;181},30))),""))),"")))</f>
        <v>130</v>
      </c>
      <c r="Q107" s="23" t="str">
        <f t="shared" si="5"/>
        <v>Прилуки, Чернігівська обл., вул. Б. Носенка, 130</v>
      </c>
      <c r="R107" s="35">
        <f>IF($O107="","",IFERROR(INDEX('Координати майданчиків'!$H$4:$H$64,MATCH($T107,'Координати майданчиків'!$B$4:$B$64,0)),IFERROR(IF(ABS(INDEX(Геокодування!$C$2:$C$361,MATCH($Q107,Геокодування!$B$2:$B$361,0))-50.5884)+ABS(INDEX(Геокодування!$D$2:$D$361,MATCH($Q107,Геокодування!$B$2:$B$361,0))-32.3876)&gt;0.15,"",INDEX(Геокодування!$C$2:$C$361,MATCH($Q107,Геокодування!$B$2:$B$361,0))),IFERROR(IF(ABS(INDEX(Геокодування!$C$2:$C$361,MATCH("Прилуки, Чернігівська обл., "&amp;$A107,Геокодування!$B$2:$B$361,0))-50.5884)+ABS(INDEX(Геокодування!$D$2:$D$361,MATCH("Прилуки, Чернігівська обл., "&amp;$A107,Геокодування!$B$2:$B$361,0))-32.3876)&gt;0.15,"",INDEX(Геокодування!$C$2:$C$361,MATCH("Прилуки, Чернігівська обл., "&amp;$A107,Геокодування!$B$2:$B$361,0))),""))))</f>
        <v>50.579313999999997</v>
      </c>
      <c r="S107" s="43">
        <f>IF($O107="","",IFERROR(INDEX('Координати майданчиків'!$I$4:$I$64,MATCH($T107,'Координати майданчиків'!$B$4:$B$64,0)),IFERROR(IF(ABS(INDEX(Геокодування!$C$2:$C$361,MATCH($Q107,Геокодування!$B$2:$B$361,0))-50.5884)+ABS(INDEX(Геокодування!$D$2:$D$361,MATCH($Q107,Геокодування!$B$2:$B$361,0))-32.3876)&gt;0.15,"",INDEX(Геокодування!$D$2:$D$361,MATCH($Q107,Геокодування!$B$2:$B$361,0))),IFERROR(IF(ABS(INDEX(Геокодування!$C$2:$C$361,MATCH("Прилуки, Чернігівська обл., "&amp;$A107,Геокодування!$B$2:$B$361,0))-50.5884)+ABS(INDEX(Геокодування!$D$2:$D$361,MATCH("Прилуки, Чернігівська обл., "&amp;$A107,Геокодування!$B$2:$B$361,0))-32.3876)&gt;0.15,"",INDEX(Геокодування!$D$2:$D$361,MATCH("Прилуки, Чернігівська обл., "&amp;$A107,Геокодування!$B$2:$B$361,0))),""))))</f>
        <v>32.426285999999998</v>
      </c>
      <c r="T107" s="44" t="str">
        <f>IF($O107="","",IFERROR(INDEX('Координати майданчиків'!$B$4:$B$64,MATCH($A107&amp;IF($P107="","",", "&amp;$P107),'Координати майданчиків'!$B$4:$B$64,0)),IFERROR(INDEX('Координати майданчиків'!$B$4:$B$64,MATCH($A107,'Координати майданчиків'!$B$4:$B$64,0)),"")))</f>
        <v/>
      </c>
    </row>
    <row r="108" spans="1:20" x14ac:dyDescent="0.35">
      <c r="A108" s="26" t="str">
        <f t="shared" si="3"/>
        <v>вул. Б. Носенка</v>
      </c>
      <c r="B108" s="26" t="str">
        <f t="shared" si="4"/>
        <v>2,16  58,80</v>
      </c>
      <c r="C108" s="27" t="str" cm="1">
        <f t="array" ref="C108">IF($O108="","",_xlfn.TEXTJOIN(", ",TRUE,IF(EXACT('Дані_зв''язок'!$J$4:$J$1012,$O108)*('Дані_зв''язок'!$C$4:$C$1012=C$4),'Дані_зв''язок'!$D$4:$D$1012,"")))</f>
        <v/>
      </c>
      <c r="D108" s="27" t="str" cm="1">
        <f t="array" ref="D108">IF($O108="","",_xlfn.TEXTJOIN(", ",TRUE,IF(EXACT('Дані_зв''язок'!$J$4:$J$1012,$O108)*('Дані_зв''язок'!$C$4:$C$1012=D$4),'Дані_зв''язок'!$D$4:$D$1012,"")))</f>
        <v/>
      </c>
      <c r="E108" s="27" t="str" cm="1">
        <f t="array" ref="E108">IF($O108="","",_xlfn.TEXTJOIN(", ",TRUE,IF(EXACT('Дані_зв''язок'!$J$4:$J$1012,$O108)*('Дані_зв''язок'!$C$4:$C$1012=E$4),'Дані_зв''язок'!$D$4:$D$1012,"")))</f>
        <v>14:00</v>
      </c>
      <c r="F108" s="27" t="str" cm="1">
        <f t="array" ref="F108">IF($O108="","",_xlfn.TEXTJOIN(", ",TRUE,IF(EXACT('Дані_зв''язок'!$J$4:$J$1012,$O108)*('Дані_зв''язок'!$C$4:$C$1012=F$4),'Дані_зв''язок'!$D$4:$D$1012,"")))</f>
        <v/>
      </c>
      <c r="G108" s="27" t="str" cm="1">
        <f t="array" ref="G108">IF($O108="","",_xlfn.TEXTJOIN(", ",TRUE,IF(EXACT('Дані_зв''язок'!$J$4:$J$1012,$O108)*('Дані_зв''язок'!$C$4:$C$1012=G$4),'Дані_зв''язок'!$D$4:$D$1012,"")))</f>
        <v/>
      </c>
      <c r="H108" s="27" t="str" cm="1">
        <f t="array" ref="H108">IF($O108="","",_xlfn.TEXTJOIN(", ",TRUE,IF(EXACT('Дані_зв''язок'!$J$4:$J$1012,$O108)*('Дані_зв''язок'!$C$4:$C$1012=H$4),'Дані_зв''язок'!$D$4:$D$1012,"")))</f>
        <v/>
      </c>
      <c r="I108" s="27" t="str" cm="1">
        <f t="array" ref="I108">IF($O108="","",_xlfn.TEXTJOIN(", ",TRUE,IF(EXACT('Дані_зв''язок'!$J$4:$J$1012,$O108)*('Дані_зв''язок'!$C$4:$C$1012=I$4),'Дані_зв''язок'!$D$4:$D$1012,"")))</f>
        <v/>
      </c>
      <c r="J108" s="27" cm="1">
        <f t="array" ref="J108">IF($O108="","",COUNTIF(C108:I108,"?*")+SUMPRODUCT(LEN(C108:I108)-LEN(SUBSTITUTE(C108:I108,",",""))))</f>
        <v>1</v>
      </c>
      <c r="K108" s="28" t="str" cm="1">
        <f t="array" ref="K108">IF($O108="","",_xlfn.TEXTJOIN(", ",TRUE,IF(EXACT('Дані_зв''язок'!$J$4:$J$1012,$O108),'Дані_зв''язок'!$L$4:$L$1012,"")))</f>
        <v>№6</v>
      </c>
      <c r="L108" s="28" t="str" cm="1">
        <f t="array" ref="L108">IF($O108="","",_xlfn.TEXTJOIN(", ",TRUE,IF(EXACT('Дані_зв''язок'!$J$4:$J$1012,$O108),'Дані_зв''язок'!$M$4:$M$1012,"")))</f>
        <v>АТ 4021</v>
      </c>
      <c r="M108" s="27" t="str" cm="1">
        <f t="array" ref="M108">IF($O108="","",IF(SUMPRODUCT(MAX(EXACT('Дані_зв''язок'!$J$4:$J$1012,$O108)*IFERROR('Дані_зв''язок'!$H$4:$H$1012,0)))=0,"",SUMPRODUCT(MAX(EXACT('Дані_зв''язок'!$J$4:$J$1012,$O108)*IFERROR('Дані_зв''язок'!$H$4:$H$1012,0)))))</f>
        <v/>
      </c>
      <c r="O108" s="30" t="s">
        <v>1206</v>
      </c>
      <c r="P108" s="24" cm="1">
        <f t="array" ref="P108">IF($O108="","",IF($B108="","",IFERROR(IF(MIN(IFERROR(VALUE(TRIM(MID(SUBSTITUTE(SUBSTITUTE($B108,","," ")," ",REPT(" ",30)),{1;31;61;91;121;151;181},30))),""))=0,"",MIN(IFERROR(VALUE(TRIM(MID(SUBSTITUTE(SUBSTITUTE($B108,","," ")," ",REPT(" ",30)),{1;31;61;91;121;151;181},30))),""))),"")))</f>
        <v>2</v>
      </c>
      <c r="Q108" s="23" t="str">
        <f t="shared" si="5"/>
        <v>Прилуки, Чернігівська обл., вул. Б. Носенка, 2</v>
      </c>
      <c r="R108" s="35">
        <f>IF($O108="","",IFERROR(INDEX('Координати майданчиків'!$H$4:$H$64,MATCH($T108,'Координати майданчиків'!$B$4:$B$64,0)),IFERROR(IF(ABS(INDEX(Геокодування!$C$2:$C$361,MATCH($Q108,Геокодування!$B$2:$B$361,0))-50.5884)+ABS(INDEX(Геокодування!$D$2:$D$361,MATCH($Q108,Геокодування!$B$2:$B$361,0))-32.3876)&gt;0.15,"",INDEX(Геокодування!$C$2:$C$361,MATCH($Q108,Геокодування!$B$2:$B$361,0))),IFERROR(IF(ABS(INDEX(Геокодування!$C$2:$C$361,MATCH("Прилуки, Чернігівська обл., "&amp;$A108,Геокодування!$B$2:$B$361,0))-50.5884)+ABS(INDEX(Геокодування!$D$2:$D$361,MATCH("Прилуки, Чернігівська обл., "&amp;$A108,Геокодування!$B$2:$B$361,0))-32.3876)&gt;0.15,"",INDEX(Геокодування!$C$2:$C$361,MATCH("Прилуки, Чернігівська обл., "&amp;$A108,Геокодування!$B$2:$B$361,0))),""))))</f>
        <v>50.579313999999997</v>
      </c>
      <c r="S108" s="43">
        <f>IF($O108="","",IFERROR(INDEX('Координати майданчиків'!$I$4:$I$64,MATCH($T108,'Координати майданчиків'!$B$4:$B$64,0)),IFERROR(IF(ABS(INDEX(Геокодування!$C$2:$C$361,MATCH($Q108,Геокодування!$B$2:$B$361,0))-50.5884)+ABS(INDEX(Геокодування!$D$2:$D$361,MATCH($Q108,Геокодування!$B$2:$B$361,0))-32.3876)&gt;0.15,"",INDEX(Геокодування!$D$2:$D$361,MATCH($Q108,Геокодування!$B$2:$B$361,0))),IFERROR(IF(ABS(INDEX(Геокодування!$C$2:$C$361,MATCH("Прилуки, Чернігівська обл., "&amp;$A108,Геокодування!$B$2:$B$361,0))-50.5884)+ABS(INDEX(Геокодування!$D$2:$D$361,MATCH("Прилуки, Чернігівська обл., "&amp;$A108,Геокодування!$B$2:$B$361,0))-32.3876)&gt;0.15,"",INDEX(Геокодування!$D$2:$D$361,MATCH("Прилуки, Чернігівська обл., "&amp;$A108,Геокодування!$B$2:$B$361,0))),""))))</f>
        <v>32.426285999999998</v>
      </c>
      <c r="T108" s="44" t="str">
        <f>IF($O108="","",IFERROR(INDEX('Координати майданчиків'!$B$4:$B$64,MATCH($A108&amp;IF($P108="","",", "&amp;$P108),'Координати майданчиків'!$B$4:$B$64,0)),IFERROR(INDEX('Координати майданчиків'!$B$4:$B$64,MATCH($A108,'Координати майданчиків'!$B$4:$B$64,0)),"")))</f>
        <v/>
      </c>
    </row>
    <row r="109" spans="1:20" x14ac:dyDescent="0.35">
      <c r="A109" s="26" t="str">
        <f t="shared" si="3"/>
        <v>вул. Б. Хмельницького</v>
      </c>
      <c r="B109" s="26" t="str">
        <f t="shared" si="4"/>
        <v>18,20  28,31</v>
      </c>
      <c r="C109" s="27" t="str" cm="1">
        <f t="array" ref="C109">IF($O109="","",_xlfn.TEXTJOIN(", ",TRUE,IF(EXACT('Дані_зв''язок'!$J$4:$J$1012,$O109)*('Дані_зв''язок'!$C$4:$C$1012=C$4),'Дані_зв''язок'!$D$4:$D$1012,"")))</f>
        <v/>
      </c>
      <c r="D109" s="27" t="str" cm="1">
        <f t="array" ref="D109">IF($O109="","",_xlfn.TEXTJOIN(", ",TRUE,IF(EXACT('Дані_зв''язок'!$J$4:$J$1012,$O109)*('Дані_зв''язок'!$C$4:$C$1012=D$4),'Дані_зв''язок'!$D$4:$D$1012,"")))</f>
        <v/>
      </c>
      <c r="E109" s="27" t="str" cm="1">
        <f t="array" ref="E109">IF($O109="","",_xlfn.TEXTJOIN(", ",TRUE,IF(EXACT('Дані_зв''язок'!$J$4:$J$1012,$O109)*('Дані_зв''язок'!$C$4:$C$1012=E$4),'Дані_зв''язок'!$D$4:$D$1012,"")))</f>
        <v>12:35</v>
      </c>
      <c r="F109" s="27" t="str" cm="1">
        <f t="array" ref="F109">IF($O109="","",_xlfn.TEXTJOIN(", ",TRUE,IF(EXACT('Дані_зв''язок'!$J$4:$J$1012,$O109)*('Дані_зв''язок'!$C$4:$C$1012=F$4),'Дані_зв''язок'!$D$4:$D$1012,"")))</f>
        <v/>
      </c>
      <c r="G109" s="27" t="str" cm="1">
        <f t="array" ref="G109">IF($O109="","",_xlfn.TEXTJOIN(", ",TRUE,IF(EXACT('Дані_зв''язок'!$J$4:$J$1012,$O109)*('Дані_зв''язок'!$C$4:$C$1012=G$4),'Дані_зв''язок'!$D$4:$D$1012,"")))</f>
        <v/>
      </c>
      <c r="H109" s="27" t="str" cm="1">
        <f t="array" ref="H109">IF($O109="","",_xlfn.TEXTJOIN(", ",TRUE,IF(EXACT('Дані_зв''язок'!$J$4:$J$1012,$O109)*('Дані_зв''язок'!$C$4:$C$1012=H$4),'Дані_зв''язок'!$D$4:$D$1012,"")))</f>
        <v/>
      </c>
      <c r="I109" s="27" t="str" cm="1">
        <f t="array" ref="I109">IF($O109="","",_xlfn.TEXTJOIN(", ",TRUE,IF(EXACT('Дані_зв''язок'!$J$4:$J$1012,$O109)*('Дані_зв''язок'!$C$4:$C$1012=I$4),'Дані_зв''язок'!$D$4:$D$1012,"")))</f>
        <v/>
      </c>
      <c r="J109" s="27" cm="1">
        <f t="array" ref="J109">IF($O109="","",COUNTIF(C109:I109,"?*")+SUMPRODUCT(LEN(C109:I109)-LEN(SUBSTITUTE(C109:I109,",",""))))</f>
        <v>1</v>
      </c>
      <c r="K109" s="28" t="str" cm="1">
        <f t="array" ref="K109">IF($O109="","",_xlfn.TEXTJOIN(", ",TRUE,IF(EXACT('Дані_зв''язок'!$J$4:$J$1012,$O109),'Дані_зв''язок'!$L$4:$L$1012,"")))</f>
        <v>№6</v>
      </c>
      <c r="L109" s="28" t="str" cm="1">
        <f t="array" ref="L109">IF($O109="","",_xlfn.TEXTJOIN(", ",TRUE,IF(EXACT('Дані_зв''язок'!$J$4:$J$1012,$O109),'Дані_зв''язок'!$M$4:$M$1012,"")))</f>
        <v>АТ 4021</v>
      </c>
      <c r="M109" s="27" t="str" cm="1">
        <f t="array" ref="M109">IF($O109="","",IF(SUMPRODUCT(MAX(EXACT('Дані_зв''язок'!$J$4:$J$1012,$O109)*IFERROR('Дані_зв''язок'!$H$4:$H$1012,0)))=0,"",SUMPRODUCT(MAX(EXACT('Дані_зв''язок'!$J$4:$J$1012,$O109)*IFERROR('Дані_зв''язок'!$H$4:$H$1012,0)))))</f>
        <v/>
      </c>
      <c r="O109" s="30" t="s">
        <v>1207</v>
      </c>
      <c r="P109" s="24" cm="1">
        <f t="array" ref="P109">IF($O109="","",IF($B109="","",IFERROR(IF(MIN(IFERROR(VALUE(TRIM(MID(SUBSTITUTE(SUBSTITUTE($B109,","," ")," ",REPT(" ",30)),{1;31;61;91;121;151;181},30))),""))=0,"",MIN(IFERROR(VALUE(TRIM(MID(SUBSTITUTE(SUBSTITUTE($B109,","," ")," ",REPT(" ",30)),{1;31;61;91;121;151;181},30))),""))),"")))</f>
        <v>18</v>
      </c>
      <c r="Q109" s="23" t="str">
        <f t="shared" si="5"/>
        <v>Прилуки, Чернігівська обл., вул. Б. Хмельницького, 18</v>
      </c>
      <c r="R109" s="35">
        <f>IF($O109="","",IFERROR(INDEX('Координати майданчиків'!$H$4:$H$64,MATCH($T109,'Координати майданчиків'!$B$4:$B$64,0)),IFERROR(IF(ABS(INDEX(Геокодування!$C$2:$C$361,MATCH($Q109,Геокодування!$B$2:$B$361,0))-50.5884)+ABS(INDEX(Геокодування!$D$2:$D$361,MATCH($Q109,Геокодування!$B$2:$B$361,0))-32.3876)&gt;0.15,"",INDEX(Геокодування!$C$2:$C$361,MATCH($Q109,Геокодування!$B$2:$B$361,0))),IFERROR(IF(ABS(INDEX(Геокодування!$C$2:$C$361,MATCH("Прилуки, Чернігівська обл., "&amp;$A109,Геокодування!$B$2:$B$361,0))-50.5884)+ABS(INDEX(Геокодування!$D$2:$D$361,MATCH("Прилуки, Чернігівська обл., "&amp;$A109,Геокодування!$B$2:$B$361,0))-32.3876)&gt;0.15,"",INDEX(Геокодування!$C$2:$C$361,MATCH("Прилуки, Чернігівська обл., "&amp;$A109,Геокодування!$B$2:$B$361,0))),""))))</f>
        <v>50.583376000000001</v>
      </c>
      <c r="S109" s="43">
        <f>IF($O109="","",IFERROR(INDEX('Координати майданчиків'!$I$4:$I$64,MATCH($T109,'Координати майданчиків'!$B$4:$B$64,0)),IFERROR(IF(ABS(INDEX(Геокодування!$C$2:$C$361,MATCH($Q109,Геокодування!$B$2:$B$361,0))-50.5884)+ABS(INDEX(Геокодування!$D$2:$D$361,MATCH($Q109,Геокодування!$B$2:$B$361,0))-32.3876)&gt;0.15,"",INDEX(Геокодування!$D$2:$D$361,MATCH($Q109,Геокодування!$B$2:$B$361,0))),IFERROR(IF(ABS(INDEX(Геокодування!$C$2:$C$361,MATCH("Прилуки, Чернігівська обл., "&amp;$A109,Геокодування!$B$2:$B$361,0))-50.5884)+ABS(INDEX(Геокодування!$D$2:$D$361,MATCH("Прилуки, Чернігівська обл., "&amp;$A109,Геокодування!$B$2:$B$361,0))-32.3876)&gt;0.15,"",INDEX(Геокодування!$D$2:$D$361,MATCH("Прилуки, Чернігівська обл., "&amp;$A109,Геокодування!$B$2:$B$361,0))),""))))</f>
        <v>32.418672999999998</v>
      </c>
      <c r="T109" s="44" t="str">
        <f>IF($O109="","",IFERROR(INDEX('Координати майданчиків'!$B$4:$B$64,MATCH($A109&amp;IF($P109="","",", "&amp;$P109),'Координати майданчиків'!$B$4:$B$64,0)),IFERROR(INDEX('Координати майданчиків'!$B$4:$B$64,MATCH($A109,'Координати майданчиків'!$B$4:$B$64,0)),"")))</f>
        <v/>
      </c>
    </row>
    <row r="110" spans="1:20" x14ac:dyDescent="0.35">
      <c r="A110" s="26" t="str">
        <f t="shared" si="3"/>
        <v>вул. Берегова Рута</v>
      </c>
      <c r="B110" s="26" t="str">
        <f t="shared" si="4"/>
        <v>8,16  21</v>
      </c>
      <c r="C110" s="27" t="str" cm="1">
        <f t="array" ref="C110">IF($O110="","",_xlfn.TEXTJOIN(", ",TRUE,IF(EXACT('Дані_зв''язок'!$J$4:$J$1012,$O110)*('Дані_зв''язок'!$C$4:$C$1012=C$4),'Дані_зв''язок'!$D$4:$D$1012,"")))</f>
        <v/>
      </c>
      <c r="D110" s="27" t="str" cm="1">
        <f t="array" ref="D110">IF($O110="","",_xlfn.TEXTJOIN(", ",TRUE,IF(EXACT('Дані_зв''язок'!$J$4:$J$1012,$O110)*('Дані_зв''язок'!$C$4:$C$1012=D$4),'Дані_зв''язок'!$D$4:$D$1012,"")))</f>
        <v>15:10</v>
      </c>
      <c r="E110" s="27" t="str" cm="1">
        <f t="array" ref="E110">IF($O110="","",_xlfn.TEXTJOIN(", ",TRUE,IF(EXACT('Дані_зв''язок'!$J$4:$J$1012,$O110)*('Дані_зв''язок'!$C$4:$C$1012=E$4),'Дані_зв''язок'!$D$4:$D$1012,"")))</f>
        <v/>
      </c>
      <c r="F110" s="27" t="str" cm="1">
        <f t="array" ref="F110">IF($O110="","",_xlfn.TEXTJOIN(", ",TRUE,IF(EXACT('Дані_зв''язок'!$J$4:$J$1012,$O110)*('Дані_зв''язок'!$C$4:$C$1012=F$4),'Дані_зв''язок'!$D$4:$D$1012,"")))</f>
        <v/>
      </c>
      <c r="G110" s="27" t="str" cm="1">
        <f t="array" ref="G110">IF($O110="","",_xlfn.TEXTJOIN(", ",TRUE,IF(EXACT('Дані_зв''язок'!$J$4:$J$1012,$O110)*('Дані_зв''язок'!$C$4:$C$1012=G$4),'Дані_зв''язок'!$D$4:$D$1012,"")))</f>
        <v/>
      </c>
      <c r="H110" s="27" t="str" cm="1">
        <f t="array" ref="H110">IF($O110="","",_xlfn.TEXTJOIN(", ",TRUE,IF(EXACT('Дані_зв''язок'!$J$4:$J$1012,$O110)*('Дані_зв''язок'!$C$4:$C$1012=H$4),'Дані_зв''язок'!$D$4:$D$1012,"")))</f>
        <v/>
      </c>
      <c r="I110" s="27" t="str" cm="1">
        <f t="array" ref="I110">IF($O110="","",_xlfn.TEXTJOIN(", ",TRUE,IF(EXACT('Дані_зв''язок'!$J$4:$J$1012,$O110)*('Дані_зв''язок'!$C$4:$C$1012=I$4),'Дані_зв''язок'!$D$4:$D$1012,"")))</f>
        <v/>
      </c>
      <c r="J110" s="27" cm="1">
        <f t="array" ref="J110">IF($O110="","",COUNTIF(C110:I110,"?*")+SUMPRODUCT(LEN(C110:I110)-LEN(SUBSTITUTE(C110:I110,",",""))))</f>
        <v>1</v>
      </c>
      <c r="K110" s="28" t="str" cm="1">
        <f t="array" ref="K110">IF($O110="","",_xlfn.TEXTJOIN(", ",TRUE,IF(EXACT('Дані_зв''язок'!$J$4:$J$1012,$O110),'Дані_зв''язок'!$L$4:$L$1012,"")))</f>
        <v>№6</v>
      </c>
      <c r="L110" s="28" t="str" cm="1">
        <f t="array" ref="L110">IF($O110="","",_xlfn.TEXTJOIN(", ",TRUE,IF(EXACT('Дані_зв''язок'!$J$4:$J$1012,$O110),'Дані_зв''язок'!$M$4:$M$1012,"")))</f>
        <v>АТ 4021</v>
      </c>
      <c r="M110" s="27" t="str" cm="1">
        <f t="array" ref="M110">IF($O110="","",IF(SUMPRODUCT(MAX(EXACT('Дані_зв''язок'!$J$4:$J$1012,$O110)*IFERROR('Дані_зв''язок'!$H$4:$H$1012,0)))=0,"",SUMPRODUCT(MAX(EXACT('Дані_зв''язок'!$J$4:$J$1012,$O110)*IFERROR('Дані_зв''язок'!$H$4:$H$1012,0)))))</f>
        <v/>
      </c>
      <c r="O110" s="30" t="s">
        <v>1208</v>
      </c>
      <c r="P110" s="24" cm="1">
        <f t="array" ref="P110">IF($O110="","",IF($B110="","",IFERROR(IF(MIN(IFERROR(VALUE(TRIM(MID(SUBSTITUTE(SUBSTITUTE($B110,","," ")," ",REPT(" ",30)),{1;31;61;91;121;151;181},30))),""))=0,"",MIN(IFERROR(VALUE(TRIM(MID(SUBSTITUTE(SUBSTITUTE($B110,","," ")," ",REPT(" ",30)),{1;31;61;91;121;151;181},30))),""))),"")))</f>
        <v>8</v>
      </c>
      <c r="Q110" s="23" t="str">
        <f t="shared" si="5"/>
        <v>Прилуки, Чернігівська обл., вул. Берегова Рута, 8</v>
      </c>
      <c r="R110" s="35">
        <f>IF($O110="","",IFERROR(INDEX('Координати майданчиків'!$H$4:$H$64,MATCH($T110,'Координати майданчиків'!$B$4:$B$64,0)),IFERROR(IF(ABS(INDEX(Геокодування!$C$2:$C$361,MATCH($Q110,Геокодування!$B$2:$B$361,0))-50.5884)+ABS(INDEX(Геокодування!$D$2:$D$361,MATCH($Q110,Геокодування!$B$2:$B$361,0))-32.3876)&gt;0.15,"",INDEX(Геокодування!$C$2:$C$361,MATCH($Q110,Геокодування!$B$2:$B$361,0))),IFERROR(IF(ABS(INDEX(Геокодування!$C$2:$C$361,MATCH("Прилуки, Чернігівська обл., "&amp;$A110,Геокодування!$B$2:$B$361,0))-50.5884)+ABS(INDEX(Геокодування!$D$2:$D$361,MATCH("Прилуки, Чернігівська обл., "&amp;$A110,Геокодування!$B$2:$B$361,0))-32.3876)&gt;0.15,"",INDEX(Геокодування!$C$2:$C$361,MATCH("Прилуки, Чернігівська обл., "&amp;$A110,Геокодування!$B$2:$B$361,0))),""))))</f>
        <v>50.599260999999998</v>
      </c>
      <c r="S110" s="43">
        <f>IF($O110="","",IFERROR(INDEX('Координати майданчиків'!$I$4:$I$64,MATCH($T110,'Координати майданчиків'!$B$4:$B$64,0)),IFERROR(IF(ABS(INDEX(Геокодування!$C$2:$C$361,MATCH($Q110,Геокодування!$B$2:$B$361,0))-50.5884)+ABS(INDEX(Геокодування!$D$2:$D$361,MATCH($Q110,Геокодування!$B$2:$B$361,0))-32.3876)&gt;0.15,"",INDEX(Геокодування!$D$2:$D$361,MATCH($Q110,Геокодування!$B$2:$B$361,0))),IFERROR(IF(ABS(INDEX(Геокодування!$C$2:$C$361,MATCH("Прилуки, Чернігівська обл., "&amp;$A110,Геокодування!$B$2:$B$361,0))-50.5884)+ABS(INDEX(Геокодування!$D$2:$D$361,MATCH("Прилуки, Чернігівська обл., "&amp;$A110,Геокодування!$B$2:$B$361,0))-32.3876)&gt;0.15,"",INDEX(Геокодування!$D$2:$D$361,MATCH("Прилуки, Чернігівська обл., "&amp;$A110,Геокодування!$B$2:$B$361,0))),""))))</f>
        <v>32.407741000000001</v>
      </c>
      <c r="T110" s="44" t="str">
        <f>IF($O110="","",IFERROR(INDEX('Координати майданчиків'!$B$4:$B$64,MATCH($A110&amp;IF($P110="","",", "&amp;$P110),'Координати майданчиків'!$B$4:$B$64,0)),IFERROR(INDEX('Координати майданчиків'!$B$4:$B$64,MATCH($A110,'Координати майданчиків'!$B$4:$B$64,0)),"")))</f>
        <v/>
      </c>
    </row>
    <row r="111" spans="1:20" x14ac:dyDescent="0.35">
      <c r="A111" s="26" t="str">
        <f t="shared" si="3"/>
        <v>вул. Берегова</v>
      </c>
      <c r="B111" s="26" t="str">
        <f t="shared" si="4"/>
        <v>144  123,93</v>
      </c>
      <c r="C111" s="27" t="str" cm="1">
        <f t="array" ref="C111">IF($O111="","",_xlfn.TEXTJOIN(", ",TRUE,IF(EXACT('Дані_зв''язок'!$J$4:$J$1012,$O111)*('Дані_зв''язок'!$C$4:$C$1012=C$4),'Дані_зв''язок'!$D$4:$D$1012,"")))</f>
        <v/>
      </c>
      <c r="D111" s="27" t="str" cm="1">
        <f t="array" ref="D111">IF($O111="","",_xlfn.TEXTJOIN(", ",TRUE,IF(EXACT('Дані_зв''язок'!$J$4:$J$1012,$O111)*('Дані_зв''язок'!$C$4:$C$1012=D$4),'Дані_зв''язок'!$D$4:$D$1012,"")))</f>
        <v>13:20</v>
      </c>
      <c r="E111" s="27" t="str" cm="1">
        <f t="array" ref="E111">IF($O111="","",_xlfn.TEXTJOIN(", ",TRUE,IF(EXACT('Дані_зв''язок'!$J$4:$J$1012,$O111)*('Дані_зв''язок'!$C$4:$C$1012=E$4),'Дані_зв''язок'!$D$4:$D$1012,"")))</f>
        <v/>
      </c>
      <c r="F111" s="27" t="str" cm="1">
        <f t="array" ref="F111">IF($O111="","",_xlfn.TEXTJOIN(", ",TRUE,IF(EXACT('Дані_зв''язок'!$J$4:$J$1012,$O111)*('Дані_зв''язок'!$C$4:$C$1012=F$4),'Дані_зв''язок'!$D$4:$D$1012,"")))</f>
        <v/>
      </c>
      <c r="G111" s="27" t="str" cm="1">
        <f t="array" ref="G111">IF($O111="","",_xlfn.TEXTJOIN(", ",TRUE,IF(EXACT('Дані_зв''язок'!$J$4:$J$1012,$O111)*('Дані_зв''язок'!$C$4:$C$1012=G$4),'Дані_зв''язок'!$D$4:$D$1012,"")))</f>
        <v/>
      </c>
      <c r="H111" s="27" t="str" cm="1">
        <f t="array" ref="H111">IF($O111="","",_xlfn.TEXTJOIN(", ",TRUE,IF(EXACT('Дані_зв''язок'!$J$4:$J$1012,$O111)*('Дані_зв''язок'!$C$4:$C$1012=H$4),'Дані_зв''язок'!$D$4:$D$1012,"")))</f>
        <v/>
      </c>
      <c r="I111" s="27" t="str" cm="1">
        <f t="array" ref="I111">IF($O111="","",_xlfn.TEXTJOIN(", ",TRUE,IF(EXACT('Дані_зв''язок'!$J$4:$J$1012,$O111)*('Дані_зв''язок'!$C$4:$C$1012=I$4),'Дані_зв''язок'!$D$4:$D$1012,"")))</f>
        <v/>
      </c>
      <c r="J111" s="27" cm="1">
        <f t="array" ref="J111">IF($O111="","",COUNTIF(C111:I111,"?*")+SUMPRODUCT(LEN(C111:I111)-LEN(SUBSTITUTE(C111:I111,",",""))))</f>
        <v>1</v>
      </c>
      <c r="K111" s="28" t="str" cm="1">
        <f t="array" ref="K111">IF($O111="","",_xlfn.TEXTJOIN(", ",TRUE,IF(EXACT('Дані_зв''язок'!$J$4:$J$1012,$O111),'Дані_зв''язок'!$L$4:$L$1012,"")))</f>
        <v>№6</v>
      </c>
      <c r="L111" s="28" t="str" cm="1">
        <f t="array" ref="L111">IF($O111="","",_xlfn.TEXTJOIN(", ",TRUE,IF(EXACT('Дані_зв''язок'!$J$4:$J$1012,$O111),'Дані_зв''язок'!$M$4:$M$1012,"")))</f>
        <v>АТ 4021</v>
      </c>
      <c r="M111" s="27" t="str" cm="1">
        <f t="array" ref="M111">IF($O111="","",IF(SUMPRODUCT(MAX(EXACT('Дані_зв''язок'!$J$4:$J$1012,$O111)*IFERROR('Дані_зв''язок'!$H$4:$H$1012,0)))=0,"",SUMPRODUCT(MAX(EXACT('Дані_зв''язок'!$J$4:$J$1012,$O111)*IFERROR('Дані_зв''язок'!$H$4:$H$1012,0)))))</f>
        <v/>
      </c>
      <c r="O111" s="30" t="s">
        <v>1209</v>
      </c>
      <c r="P111" s="24" cm="1">
        <f t="array" ref="P111">IF($O111="","",IF($B111="","",IFERROR(IF(MIN(IFERROR(VALUE(TRIM(MID(SUBSTITUTE(SUBSTITUTE($B111,","," ")," ",REPT(" ",30)),{1;31;61;91;121;151;181},30))),""))=0,"",MIN(IFERROR(VALUE(TRIM(MID(SUBSTITUTE(SUBSTITUTE($B111,","," ")," ",REPT(" ",30)),{1;31;61;91;121;151;181},30))),""))),"")))</f>
        <v>93</v>
      </c>
      <c r="Q111" s="23" t="str">
        <f t="shared" si="5"/>
        <v>Прилуки, Чернігівська обл., вул. Берегова, 93</v>
      </c>
      <c r="R111" s="35">
        <f>IF($O111="","",IFERROR(INDEX('Координати майданчиків'!$H$4:$H$64,MATCH($T111,'Координати майданчиків'!$B$4:$B$64,0)),IFERROR(IF(ABS(INDEX(Геокодування!$C$2:$C$361,MATCH($Q111,Геокодування!$B$2:$B$361,0))-50.5884)+ABS(INDEX(Геокодування!$D$2:$D$361,MATCH($Q111,Геокодування!$B$2:$B$361,0))-32.3876)&gt;0.15,"",INDEX(Геокодування!$C$2:$C$361,MATCH($Q111,Геокодування!$B$2:$B$361,0))),IFERROR(IF(ABS(INDEX(Геокодування!$C$2:$C$361,MATCH("Прилуки, Чернігівська обл., "&amp;$A111,Геокодування!$B$2:$B$361,0))-50.5884)+ABS(INDEX(Геокодування!$D$2:$D$361,MATCH("Прилуки, Чернігівська обл., "&amp;$A111,Геокодування!$B$2:$B$361,0))-32.3876)&gt;0.15,"",INDEX(Геокодування!$C$2:$C$361,MATCH("Прилуки, Чернігівська обл., "&amp;$A111,Геокодування!$B$2:$B$361,0))),""))))</f>
        <v>50.599260999999998</v>
      </c>
      <c r="S111" s="43">
        <f>IF($O111="","",IFERROR(INDEX('Координати майданчиків'!$I$4:$I$64,MATCH($T111,'Координати майданчиків'!$B$4:$B$64,0)),IFERROR(IF(ABS(INDEX(Геокодування!$C$2:$C$361,MATCH($Q111,Геокодування!$B$2:$B$361,0))-50.5884)+ABS(INDEX(Геокодування!$D$2:$D$361,MATCH($Q111,Геокодування!$B$2:$B$361,0))-32.3876)&gt;0.15,"",INDEX(Геокодування!$D$2:$D$361,MATCH($Q111,Геокодування!$B$2:$B$361,0))),IFERROR(IF(ABS(INDEX(Геокодування!$C$2:$C$361,MATCH("Прилуки, Чернігівська обл., "&amp;$A111,Геокодування!$B$2:$B$361,0))-50.5884)+ABS(INDEX(Геокодування!$D$2:$D$361,MATCH("Прилуки, Чернігівська обл., "&amp;$A111,Геокодування!$B$2:$B$361,0))-32.3876)&gt;0.15,"",INDEX(Геокодування!$D$2:$D$361,MATCH("Прилуки, Чернігівська обл., "&amp;$A111,Геокодування!$B$2:$B$361,0))),""))))</f>
        <v>32.407741000000001</v>
      </c>
      <c r="T111" s="44" t="str">
        <f>IF($O111="","",IFERROR(INDEX('Координати майданчиків'!$B$4:$B$64,MATCH($A111&amp;IF($P111="","",", "&amp;$P111),'Координати майданчиків'!$B$4:$B$64,0)),IFERROR(INDEX('Координати майданчиків'!$B$4:$B$64,MATCH($A111,'Координати майданчиків'!$B$4:$B$64,0)),"")))</f>
        <v/>
      </c>
    </row>
    <row r="112" spans="1:20" x14ac:dyDescent="0.35">
      <c r="A112" s="26" t="str">
        <f t="shared" si="3"/>
        <v>вул. Берегова</v>
      </c>
      <c r="B112" s="26" t="str">
        <f t="shared" si="4"/>
        <v>83,77  61,23</v>
      </c>
      <c r="C112" s="27" t="str" cm="1">
        <f t="array" ref="C112">IF($O112="","",_xlfn.TEXTJOIN(", ",TRUE,IF(EXACT('Дані_зв''язок'!$J$4:$J$1012,$O112)*('Дані_зв''язок'!$C$4:$C$1012=C$4),'Дані_зв''язок'!$D$4:$D$1012,"")))</f>
        <v/>
      </c>
      <c r="D112" s="27" t="str" cm="1">
        <f t="array" ref="D112">IF($O112="","",_xlfn.TEXTJOIN(", ",TRUE,IF(EXACT('Дані_зв''язок'!$J$4:$J$1012,$O112)*('Дані_зв''язок'!$C$4:$C$1012=D$4),'Дані_зв''язок'!$D$4:$D$1012,"")))</f>
        <v/>
      </c>
      <c r="E112" s="27" t="str" cm="1">
        <f t="array" ref="E112">IF($O112="","",_xlfn.TEXTJOIN(", ",TRUE,IF(EXACT('Дані_зв''язок'!$J$4:$J$1012,$O112)*('Дані_зв''язок'!$C$4:$C$1012=E$4),'Дані_зв''язок'!$D$4:$D$1012,"")))</f>
        <v>11:05</v>
      </c>
      <c r="F112" s="27" t="str" cm="1">
        <f t="array" ref="F112">IF($O112="","",_xlfn.TEXTJOIN(", ",TRUE,IF(EXACT('Дані_зв''язок'!$J$4:$J$1012,$O112)*('Дані_зв''язок'!$C$4:$C$1012=F$4),'Дані_зв''язок'!$D$4:$D$1012,"")))</f>
        <v/>
      </c>
      <c r="G112" s="27" t="str" cm="1">
        <f t="array" ref="G112">IF($O112="","",_xlfn.TEXTJOIN(", ",TRUE,IF(EXACT('Дані_зв''язок'!$J$4:$J$1012,$O112)*('Дані_зв''язок'!$C$4:$C$1012=G$4),'Дані_зв''язок'!$D$4:$D$1012,"")))</f>
        <v/>
      </c>
      <c r="H112" s="27" t="str" cm="1">
        <f t="array" ref="H112">IF($O112="","",_xlfn.TEXTJOIN(", ",TRUE,IF(EXACT('Дані_зв''язок'!$J$4:$J$1012,$O112)*('Дані_зв''язок'!$C$4:$C$1012=H$4),'Дані_зв''язок'!$D$4:$D$1012,"")))</f>
        <v/>
      </c>
      <c r="I112" s="27" t="str" cm="1">
        <f t="array" ref="I112">IF($O112="","",_xlfn.TEXTJOIN(", ",TRUE,IF(EXACT('Дані_зв''язок'!$J$4:$J$1012,$O112)*('Дані_зв''язок'!$C$4:$C$1012=I$4),'Дані_зв''язок'!$D$4:$D$1012,"")))</f>
        <v/>
      </c>
      <c r="J112" s="27" cm="1">
        <f t="array" ref="J112">IF($O112="","",COUNTIF(C112:I112,"?*")+SUMPRODUCT(LEN(C112:I112)-LEN(SUBSTITUTE(C112:I112,",",""))))</f>
        <v>1</v>
      </c>
      <c r="K112" s="28" t="str" cm="1">
        <f t="array" ref="K112">IF($O112="","",_xlfn.TEXTJOIN(", ",TRUE,IF(EXACT('Дані_зв''язок'!$J$4:$J$1012,$O112),'Дані_зв''язок'!$L$4:$L$1012,"")))</f>
        <v>№6</v>
      </c>
      <c r="L112" s="28" t="str" cm="1">
        <f t="array" ref="L112">IF($O112="","",_xlfn.TEXTJOIN(", ",TRUE,IF(EXACT('Дані_зв''язок'!$J$4:$J$1012,$O112),'Дані_зв''язок'!$M$4:$M$1012,"")))</f>
        <v>АТ 4021</v>
      </c>
      <c r="M112" s="27" t="str" cm="1">
        <f t="array" ref="M112">IF($O112="","",IF(SUMPRODUCT(MAX(EXACT('Дані_зв''язок'!$J$4:$J$1012,$O112)*IFERROR('Дані_зв''язок'!$H$4:$H$1012,0)))=0,"",SUMPRODUCT(MAX(EXACT('Дані_зв''язок'!$J$4:$J$1012,$O112)*IFERROR('Дані_зв''язок'!$H$4:$H$1012,0)))))</f>
        <v/>
      </c>
      <c r="O112" s="30" t="s">
        <v>1210</v>
      </c>
      <c r="P112" s="24" cm="1">
        <f t="array" ref="P112">IF($O112="","",IF($B112="","",IFERROR(IF(MIN(IFERROR(VALUE(TRIM(MID(SUBSTITUTE(SUBSTITUTE($B112,","," ")," ",REPT(" ",30)),{1;31;61;91;121;151;181},30))),""))=0,"",MIN(IFERROR(VALUE(TRIM(MID(SUBSTITUTE(SUBSTITUTE($B112,","," ")," ",REPT(" ",30)),{1;31;61;91;121;151;181},30))),""))),"")))</f>
        <v>23</v>
      </c>
      <c r="Q112" s="23" t="str">
        <f t="shared" si="5"/>
        <v>Прилуки, Чернігівська обл., вул. Берегова, 23</v>
      </c>
      <c r="R112" s="35">
        <f>IF($O112="","",IFERROR(INDEX('Координати майданчиків'!$H$4:$H$64,MATCH($T112,'Координати майданчиків'!$B$4:$B$64,0)),IFERROR(IF(ABS(INDEX(Геокодування!$C$2:$C$361,MATCH($Q112,Геокодування!$B$2:$B$361,0))-50.5884)+ABS(INDEX(Геокодування!$D$2:$D$361,MATCH($Q112,Геокодування!$B$2:$B$361,0))-32.3876)&gt;0.15,"",INDEX(Геокодування!$C$2:$C$361,MATCH($Q112,Геокодування!$B$2:$B$361,0))),IFERROR(IF(ABS(INDEX(Геокодування!$C$2:$C$361,MATCH("Прилуки, Чернігівська обл., "&amp;$A112,Геокодування!$B$2:$B$361,0))-50.5884)+ABS(INDEX(Геокодування!$D$2:$D$361,MATCH("Прилуки, Чернігівська обл., "&amp;$A112,Геокодування!$B$2:$B$361,0))-32.3876)&gt;0.15,"",INDEX(Геокодування!$C$2:$C$361,MATCH("Прилуки, Чернігівська обл., "&amp;$A112,Геокодування!$B$2:$B$361,0))),""))))</f>
        <v>50.599260999999998</v>
      </c>
      <c r="S112" s="43">
        <f>IF($O112="","",IFERROR(INDEX('Координати майданчиків'!$I$4:$I$64,MATCH($T112,'Координати майданчиків'!$B$4:$B$64,0)),IFERROR(IF(ABS(INDEX(Геокодування!$C$2:$C$361,MATCH($Q112,Геокодування!$B$2:$B$361,0))-50.5884)+ABS(INDEX(Геокодування!$D$2:$D$361,MATCH($Q112,Геокодування!$B$2:$B$361,0))-32.3876)&gt;0.15,"",INDEX(Геокодування!$D$2:$D$361,MATCH($Q112,Геокодування!$B$2:$B$361,0))),IFERROR(IF(ABS(INDEX(Геокодування!$C$2:$C$361,MATCH("Прилуки, Чернігівська обл., "&amp;$A112,Геокодування!$B$2:$B$361,0))-50.5884)+ABS(INDEX(Геокодування!$D$2:$D$361,MATCH("Прилуки, Чернігівська обл., "&amp;$A112,Геокодування!$B$2:$B$361,0))-32.3876)&gt;0.15,"",INDEX(Геокодування!$D$2:$D$361,MATCH("Прилуки, Чернігівська обл., "&amp;$A112,Геокодування!$B$2:$B$361,0))),""))))</f>
        <v>32.407741000000001</v>
      </c>
      <c r="T112" s="44" t="str">
        <f>IF($O112="","",IFERROR(INDEX('Координати майданчиків'!$B$4:$B$64,MATCH($A112&amp;IF($P112="","",", "&amp;$P112),'Координати майданчиків'!$B$4:$B$64,0)),IFERROR(INDEX('Координати майданчиків'!$B$4:$B$64,MATCH($A112,'Координати майданчиків'!$B$4:$B$64,0)),"")))</f>
        <v/>
      </c>
    </row>
    <row r="113" spans="1:20" x14ac:dyDescent="0.35">
      <c r="A113" s="26" t="str">
        <f t="shared" si="3"/>
        <v>вул. Ботанічна</v>
      </c>
      <c r="B113" s="26" t="str">
        <f t="shared" si="4"/>
        <v/>
      </c>
      <c r="C113" s="27" t="str" cm="1">
        <f t="array" ref="C113">IF($O113="","",_xlfn.TEXTJOIN(", ",TRUE,IF(EXACT('Дані_зв''язок'!$J$4:$J$1012,$O113)*('Дані_зв''язок'!$C$4:$C$1012=C$4),'Дані_зв''язок'!$D$4:$D$1012,"")))</f>
        <v/>
      </c>
      <c r="D113" s="27" t="str" cm="1">
        <f t="array" ref="D113">IF($O113="","",_xlfn.TEXTJOIN(", ",TRUE,IF(EXACT('Дані_зв''язок'!$J$4:$J$1012,$O113)*('Дані_зв''язок'!$C$4:$C$1012=D$4),'Дані_зв''язок'!$D$4:$D$1012,"")))</f>
        <v/>
      </c>
      <c r="E113" s="27" t="str" cm="1">
        <f t="array" ref="E113">IF($O113="","",_xlfn.TEXTJOIN(", ",TRUE,IF(EXACT('Дані_зв''язок'!$J$4:$J$1012,$O113)*('Дані_зв''язок'!$C$4:$C$1012=E$4),'Дані_зв''язок'!$D$4:$D$1012,"")))</f>
        <v>13:45</v>
      </c>
      <c r="F113" s="27" t="str" cm="1">
        <f t="array" ref="F113">IF($O113="","",_xlfn.TEXTJOIN(", ",TRUE,IF(EXACT('Дані_зв''язок'!$J$4:$J$1012,$O113)*('Дані_зв''язок'!$C$4:$C$1012=F$4),'Дані_зв''язок'!$D$4:$D$1012,"")))</f>
        <v/>
      </c>
      <c r="G113" s="27" t="str" cm="1">
        <f t="array" ref="G113">IF($O113="","",_xlfn.TEXTJOIN(", ",TRUE,IF(EXACT('Дані_зв''язок'!$J$4:$J$1012,$O113)*('Дані_зв''язок'!$C$4:$C$1012=G$4),'Дані_зв''язок'!$D$4:$D$1012,"")))</f>
        <v/>
      </c>
      <c r="H113" s="27" t="str" cm="1">
        <f t="array" ref="H113">IF($O113="","",_xlfn.TEXTJOIN(", ",TRUE,IF(EXACT('Дані_зв''язок'!$J$4:$J$1012,$O113)*('Дані_зв''язок'!$C$4:$C$1012=H$4),'Дані_зв''язок'!$D$4:$D$1012,"")))</f>
        <v/>
      </c>
      <c r="I113" s="27" t="str" cm="1">
        <f t="array" ref="I113">IF($O113="","",_xlfn.TEXTJOIN(", ",TRUE,IF(EXACT('Дані_зв''язок'!$J$4:$J$1012,$O113)*('Дані_зв''язок'!$C$4:$C$1012=I$4),'Дані_зв''язок'!$D$4:$D$1012,"")))</f>
        <v/>
      </c>
      <c r="J113" s="27" cm="1">
        <f t="array" ref="J113">IF($O113="","",COUNTIF(C113:I113,"?*")+SUMPRODUCT(LEN(C113:I113)-LEN(SUBSTITUTE(C113:I113,",",""))))</f>
        <v>1</v>
      </c>
      <c r="K113" s="28" t="str" cm="1">
        <f t="array" ref="K113">IF($O113="","",_xlfn.TEXTJOIN(", ",TRUE,IF(EXACT('Дані_зв''язок'!$J$4:$J$1012,$O113),'Дані_зв''язок'!$L$4:$L$1012,"")))</f>
        <v>№5</v>
      </c>
      <c r="L113" s="28" t="str" cm="1">
        <f t="array" ref="L113">IF($O113="","",_xlfn.TEXTJOIN(", ",TRUE,IF(EXACT('Дані_зв''язок'!$J$4:$J$1012,$O113),'Дані_зв''язок'!$M$4:$M$1012,"")))</f>
        <v>МАЗ 4381</v>
      </c>
      <c r="M113" s="27" t="str" cm="1">
        <f t="array" ref="M113">IF($O113="","",IF(SUMPRODUCT(MAX(EXACT('Дані_зв''язок'!$J$4:$J$1012,$O113)*IFERROR('Дані_зв''язок'!$H$4:$H$1012,0)))=0,"",SUMPRODUCT(MAX(EXACT('Дані_зв''язок'!$J$4:$J$1012,$O113)*IFERROR('Дані_зв''язок'!$H$4:$H$1012,0)))))</f>
        <v/>
      </c>
      <c r="O113" s="30" t="s">
        <v>1211</v>
      </c>
      <c r="P113" s="24" t="str" cm="1">
        <f t="array" ref="P113">IF($O113="","",IF($B113="","",IFERROR(IF(MIN(IFERROR(VALUE(TRIM(MID(SUBSTITUTE(SUBSTITUTE($B113,","," ")," ",REPT(" ",30)),{1;31;61;91;121;151;181},30))),""))=0,"",MIN(IFERROR(VALUE(TRIM(MID(SUBSTITUTE(SUBSTITUTE($B113,","," ")," ",REPT(" ",30)),{1;31;61;91;121;151;181},30))),""))),"")))</f>
        <v/>
      </c>
      <c r="Q113" s="23" t="str">
        <f t="shared" si="5"/>
        <v>Прилуки, Чернігівська обл., вул. Ботанічна</v>
      </c>
      <c r="R113" s="35">
        <f>IF($O113="","",IFERROR(INDEX('Координати майданчиків'!$H$4:$H$64,MATCH($T113,'Координати майданчиків'!$B$4:$B$64,0)),IFERROR(IF(ABS(INDEX(Геокодування!$C$2:$C$361,MATCH($Q113,Геокодування!$B$2:$B$361,0))-50.5884)+ABS(INDEX(Геокодування!$D$2:$D$361,MATCH($Q113,Геокодування!$B$2:$B$361,0))-32.3876)&gt;0.15,"",INDEX(Геокодування!$C$2:$C$361,MATCH($Q113,Геокодування!$B$2:$B$361,0))),IFERROR(IF(ABS(INDEX(Геокодування!$C$2:$C$361,MATCH("Прилуки, Чернігівська обл., "&amp;$A113,Геокодування!$B$2:$B$361,0))-50.5884)+ABS(INDEX(Геокодування!$D$2:$D$361,MATCH("Прилуки, Чернігівська обл., "&amp;$A113,Геокодування!$B$2:$B$361,0))-32.3876)&gt;0.15,"",INDEX(Геокодування!$C$2:$C$361,MATCH("Прилуки, Чернігівська обл., "&amp;$A113,Геокодування!$B$2:$B$361,0))),""))))</f>
        <v>50.581904999999999</v>
      </c>
      <c r="S113" s="43">
        <f>IF($O113="","",IFERROR(INDEX('Координати майданчиків'!$I$4:$I$64,MATCH($T113,'Координати майданчиків'!$B$4:$B$64,0)),IFERROR(IF(ABS(INDEX(Геокодування!$C$2:$C$361,MATCH($Q113,Геокодування!$B$2:$B$361,0))-50.5884)+ABS(INDEX(Геокодування!$D$2:$D$361,MATCH($Q113,Геокодування!$B$2:$B$361,0))-32.3876)&gt;0.15,"",INDEX(Геокодування!$D$2:$D$361,MATCH($Q113,Геокодування!$B$2:$B$361,0))),IFERROR(IF(ABS(INDEX(Геокодування!$C$2:$C$361,MATCH("Прилуки, Чернігівська обл., "&amp;$A113,Геокодування!$B$2:$B$361,0))-50.5884)+ABS(INDEX(Геокодування!$D$2:$D$361,MATCH("Прилуки, Чернігівська обл., "&amp;$A113,Геокодування!$B$2:$B$361,0))-32.3876)&gt;0.15,"",INDEX(Геокодування!$D$2:$D$361,MATCH("Прилуки, Чернігівська обл., "&amp;$A113,Геокодування!$B$2:$B$361,0))),""))))</f>
        <v>32.383752999999999</v>
      </c>
      <c r="T113" s="44" t="str">
        <f>IF($O113="","",IFERROR(INDEX('Координати майданчиків'!$B$4:$B$64,MATCH($A113&amp;IF($P113="","",", "&amp;$P113),'Координати майданчиків'!$B$4:$B$64,0)),IFERROR(INDEX('Координати майданчиків'!$B$4:$B$64,MATCH($A113,'Координати майданчиків'!$B$4:$B$64,0)),"")))</f>
        <v/>
      </c>
    </row>
    <row r="114" spans="1:20" x14ac:dyDescent="0.35">
      <c r="A114" s="26" t="str">
        <f t="shared" si="3"/>
        <v>вул. Братів Ревуцьких</v>
      </c>
      <c r="B114" s="26" t="str">
        <f t="shared" si="4"/>
        <v/>
      </c>
      <c r="C114" s="27" t="str" cm="1">
        <f t="array" ref="C114">IF($O114="","",_xlfn.TEXTJOIN(", ",TRUE,IF(EXACT('Дані_зв''язок'!$J$4:$J$1012,$O114)*('Дані_зв''язок'!$C$4:$C$1012=C$4),'Дані_зв''язок'!$D$4:$D$1012,"")))</f>
        <v>7:10</v>
      </c>
      <c r="D114" s="27" t="str" cm="1">
        <f t="array" ref="D114">IF($O114="","",_xlfn.TEXTJOIN(", ",TRUE,IF(EXACT('Дані_зв''язок'!$J$4:$J$1012,$O114)*('Дані_зв''язок'!$C$4:$C$1012=D$4),'Дані_зв''язок'!$D$4:$D$1012,"")))</f>
        <v/>
      </c>
      <c r="E114" s="27" t="str" cm="1">
        <f t="array" ref="E114">IF($O114="","",_xlfn.TEXTJOIN(", ",TRUE,IF(EXACT('Дані_зв''язок'!$J$4:$J$1012,$O114)*('Дані_зв''язок'!$C$4:$C$1012=E$4),'Дані_зв''язок'!$D$4:$D$1012,"")))</f>
        <v/>
      </c>
      <c r="F114" s="27" t="str" cm="1">
        <f t="array" ref="F114">IF($O114="","",_xlfn.TEXTJOIN(", ",TRUE,IF(EXACT('Дані_зв''язок'!$J$4:$J$1012,$O114)*('Дані_зв''язок'!$C$4:$C$1012=F$4),'Дані_зв''язок'!$D$4:$D$1012,"")))</f>
        <v>7:30</v>
      </c>
      <c r="G114" s="27" t="str" cm="1">
        <f t="array" ref="G114">IF($O114="","",_xlfn.TEXTJOIN(", ",TRUE,IF(EXACT('Дані_зв''язок'!$J$4:$J$1012,$O114)*('Дані_зв''язок'!$C$4:$C$1012=G$4),'Дані_зв''язок'!$D$4:$D$1012,"")))</f>
        <v>11:35</v>
      </c>
      <c r="H114" s="27" t="str" cm="1">
        <f t="array" ref="H114">IF($O114="","",_xlfn.TEXTJOIN(", ",TRUE,IF(EXACT('Дані_зв''язок'!$J$4:$J$1012,$O114)*('Дані_зв''язок'!$C$4:$C$1012=H$4),'Дані_зв''язок'!$D$4:$D$1012,"")))</f>
        <v/>
      </c>
      <c r="I114" s="27" t="str" cm="1">
        <f t="array" ref="I114">IF($O114="","",_xlfn.TEXTJOIN(", ",TRUE,IF(EXACT('Дані_зв''язок'!$J$4:$J$1012,$O114)*('Дані_зв''язок'!$C$4:$C$1012=I$4),'Дані_зв''язок'!$D$4:$D$1012,"")))</f>
        <v/>
      </c>
      <c r="J114" s="27" cm="1">
        <f t="array" ref="J114">IF($O114="","",COUNTIF(C114:I114,"?*")+SUMPRODUCT(LEN(C114:I114)-LEN(SUBSTITUTE(C114:I114,",",""))))</f>
        <v>3</v>
      </c>
      <c r="K114" s="28" t="str" cm="1">
        <f t="array" ref="K114">IF($O114="","",_xlfn.TEXTJOIN(", ",TRUE,IF(EXACT('Дані_зв''язок'!$J$4:$J$1012,$O114),'Дані_зв''язок'!$L$4:$L$1012,"")))</f>
        <v>№5</v>
      </c>
      <c r="L114" s="28" t="str" cm="1">
        <f t="array" ref="L114">IF($O114="","",_xlfn.TEXTJOIN(", ",TRUE,IF(EXACT('Дані_зв''язок'!$J$4:$J$1012,$O114),'Дані_зв''язок'!$M$4:$M$1012,"")))</f>
        <v>МАЗ 4381</v>
      </c>
      <c r="M114" s="27" t="str" cm="1">
        <f t="array" ref="M114">IF($O114="","",IF(SUMPRODUCT(MAX(EXACT('Дані_зв''язок'!$J$4:$J$1012,$O114)*IFERROR('Дані_зв''язок'!$H$4:$H$1012,0)))=0,"",SUMPRODUCT(MAX(EXACT('Дані_зв''язок'!$J$4:$J$1012,$O114)*IFERROR('Дані_зв''язок'!$H$4:$H$1012,0)))))</f>
        <v/>
      </c>
      <c r="O114" s="30" t="s">
        <v>1212</v>
      </c>
      <c r="P114" s="24" t="str" cm="1">
        <f t="array" ref="P114">IF($O114="","",IF($B114="","",IFERROR(IF(MIN(IFERROR(VALUE(TRIM(MID(SUBSTITUTE(SUBSTITUTE($B114,","," ")," ",REPT(" ",30)),{1;31;61;91;121;151;181},30))),""))=0,"",MIN(IFERROR(VALUE(TRIM(MID(SUBSTITUTE(SUBSTITUTE($B114,","," ")," ",REPT(" ",30)),{1;31;61;91;121;151;181},30))),""))),"")))</f>
        <v/>
      </c>
      <c r="Q114" s="23" t="str">
        <f t="shared" si="5"/>
        <v>Прилуки, Чернігівська обл., вул. Братів Ревуцьких</v>
      </c>
      <c r="R114" s="35">
        <f>IF($O114="","",IFERROR(INDEX('Координати майданчиків'!$H$4:$H$64,MATCH($T114,'Координати майданчиків'!$B$4:$B$64,0)),IFERROR(IF(ABS(INDEX(Геокодування!$C$2:$C$361,MATCH($Q114,Геокодування!$B$2:$B$361,0))-50.5884)+ABS(INDEX(Геокодування!$D$2:$D$361,MATCH($Q114,Геокодування!$B$2:$B$361,0))-32.3876)&gt;0.15,"",INDEX(Геокодування!$C$2:$C$361,MATCH($Q114,Геокодування!$B$2:$B$361,0))),IFERROR(IF(ABS(INDEX(Геокодування!$C$2:$C$361,MATCH("Прилуки, Чернігівська обл., "&amp;$A114,Геокодування!$B$2:$B$361,0))-50.5884)+ABS(INDEX(Геокодування!$D$2:$D$361,MATCH("Прилуки, Чернігівська обл., "&amp;$A114,Геокодування!$B$2:$B$361,0))-32.3876)&gt;0.15,"",INDEX(Геокодування!$C$2:$C$361,MATCH("Прилуки, Чернігівська обл., "&amp;$A114,Геокодування!$B$2:$B$361,0))),""))))</f>
        <v>50.583742000000001</v>
      </c>
      <c r="S114" s="43">
        <f>IF($O114="","",IFERROR(INDEX('Координати майданчиків'!$I$4:$I$64,MATCH($T114,'Координати майданчиків'!$B$4:$B$64,0)),IFERROR(IF(ABS(INDEX(Геокодування!$C$2:$C$361,MATCH($Q114,Геокодування!$B$2:$B$361,0))-50.5884)+ABS(INDEX(Геокодування!$D$2:$D$361,MATCH($Q114,Геокодування!$B$2:$B$361,0))-32.3876)&gt;0.15,"",INDEX(Геокодування!$D$2:$D$361,MATCH($Q114,Геокодування!$B$2:$B$361,0))),IFERROR(IF(ABS(INDEX(Геокодування!$C$2:$C$361,MATCH("Прилуки, Чернігівська обл., "&amp;$A114,Геокодування!$B$2:$B$361,0))-50.5884)+ABS(INDEX(Геокодування!$D$2:$D$361,MATCH("Прилуки, Чернігівська обл., "&amp;$A114,Геокодування!$B$2:$B$361,0))-32.3876)&gt;0.15,"",INDEX(Геокодування!$D$2:$D$361,MATCH("Прилуки, Чернігівська обл., "&amp;$A114,Геокодування!$B$2:$B$361,0))),""))))</f>
        <v>32.379131999999998</v>
      </c>
      <c r="T114" s="44" t="str">
        <f>IF($O114="","",IFERROR(INDEX('Координати майданчиків'!$B$4:$B$64,MATCH($A114&amp;IF($P114="","",", "&amp;$P114),'Координати майданчиків'!$B$4:$B$64,0)),IFERROR(INDEX('Координати майданчиків'!$B$4:$B$64,MATCH($A114,'Координати майданчиків'!$B$4:$B$64,0)),"")))</f>
        <v/>
      </c>
    </row>
    <row r="115" spans="1:20" x14ac:dyDescent="0.35">
      <c r="A115" s="26" t="str">
        <f t="shared" si="3"/>
        <v>вул. Будівельників</v>
      </c>
      <c r="B115" s="26" t="str">
        <f t="shared" si="4"/>
        <v>3,17  25</v>
      </c>
      <c r="C115" s="27" t="str" cm="1">
        <f t="array" ref="C115">IF($O115="","",_xlfn.TEXTJOIN(", ",TRUE,IF(EXACT('Дані_зв''язок'!$J$4:$J$1012,$O115)*('Дані_зв''язок'!$C$4:$C$1012=C$4),'Дані_зв''язок'!$D$4:$D$1012,"")))</f>
        <v/>
      </c>
      <c r="D115" s="27" t="str" cm="1">
        <f t="array" ref="D115">IF($O115="","",_xlfn.TEXTJOIN(", ",TRUE,IF(EXACT('Дані_зв''язок'!$J$4:$J$1012,$O115)*('Дані_зв''язок'!$C$4:$C$1012=D$4),'Дані_зв''язок'!$D$4:$D$1012,"")))</f>
        <v/>
      </c>
      <c r="E115" s="27" t="str" cm="1">
        <f t="array" ref="E115">IF($O115="","",_xlfn.TEXTJOIN(", ",TRUE,IF(EXACT('Дані_зв''язок'!$J$4:$J$1012,$O115)*('Дані_зв''язок'!$C$4:$C$1012=E$4),'Дані_зв''язок'!$D$4:$D$1012,"")))</f>
        <v/>
      </c>
      <c r="F115" s="27" t="str" cm="1">
        <f t="array" ref="F115">IF($O115="","",_xlfn.TEXTJOIN(", ",TRUE,IF(EXACT('Дані_зв''язок'!$J$4:$J$1012,$O115)*('Дані_зв''язок'!$C$4:$C$1012=F$4),'Дані_зв''язок'!$D$4:$D$1012,"")))</f>
        <v>15:45</v>
      </c>
      <c r="G115" s="27" t="str" cm="1">
        <f t="array" ref="G115">IF($O115="","",_xlfn.TEXTJOIN(", ",TRUE,IF(EXACT('Дані_зв''язок'!$J$4:$J$1012,$O115)*('Дані_зв''язок'!$C$4:$C$1012=G$4),'Дані_зв''язок'!$D$4:$D$1012,"")))</f>
        <v/>
      </c>
      <c r="H115" s="27" t="str" cm="1">
        <f t="array" ref="H115">IF($O115="","",_xlfn.TEXTJOIN(", ",TRUE,IF(EXACT('Дані_зв''язок'!$J$4:$J$1012,$O115)*('Дані_зв''язок'!$C$4:$C$1012=H$4),'Дані_зв''язок'!$D$4:$D$1012,"")))</f>
        <v/>
      </c>
      <c r="I115" s="27" t="str" cm="1">
        <f t="array" ref="I115">IF($O115="","",_xlfn.TEXTJOIN(", ",TRUE,IF(EXACT('Дані_зв''язок'!$J$4:$J$1012,$O115)*('Дані_зв''язок'!$C$4:$C$1012=I$4),'Дані_зв''язок'!$D$4:$D$1012,"")))</f>
        <v/>
      </c>
      <c r="J115" s="27" cm="1">
        <f t="array" ref="J115">IF($O115="","",COUNTIF(C115:I115,"?*")+SUMPRODUCT(LEN(C115:I115)-LEN(SUBSTITUTE(C115:I115,",",""))))</f>
        <v>1</v>
      </c>
      <c r="K115" s="28" t="str" cm="1">
        <f t="array" ref="K115">IF($O115="","",_xlfn.TEXTJOIN(", ",TRUE,IF(EXACT('Дані_зв''язок'!$J$4:$J$1012,$O115),'Дані_зв''язок'!$L$4:$L$1012,"")))</f>
        <v>№6</v>
      </c>
      <c r="L115" s="28" t="str" cm="1">
        <f t="array" ref="L115">IF($O115="","",_xlfn.TEXTJOIN(", ",TRUE,IF(EXACT('Дані_зв''язок'!$J$4:$J$1012,$O115),'Дані_зв''язок'!$M$4:$M$1012,"")))</f>
        <v>АТ 4021</v>
      </c>
      <c r="M115" s="27" t="str" cm="1">
        <f t="array" ref="M115">IF($O115="","",IF(SUMPRODUCT(MAX(EXACT('Дані_зв''язок'!$J$4:$J$1012,$O115)*IFERROR('Дані_зв''язок'!$H$4:$H$1012,0)))=0,"",SUMPRODUCT(MAX(EXACT('Дані_зв''язок'!$J$4:$J$1012,$O115)*IFERROR('Дані_зв''язок'!$H$4:$H$1012,0)))))</f>
        <v/>
      </c>
      <c r="O115" s="30" t="s">
        <v>1213</v>
      </c>
      <c r="P115" s="24" cm="1">
        <f t="array" ref="P115">IF($O115="","",IF($B115="","",IFERROR(IF(MIN(IFERROR(VALUE(TRIM(MID(SUBSTITUTE(SUBSTITUTE($B115,","," ")," ",REPT(" ",30)),{1;31;61;91;121;151;181},30))),""))=0,"",MIN(IFERROR(VALUE(TRIM(MID(SUBSTITUTE(SUBSTITUTE($B115,","," ")," ",REPT(" ",30)),{1;31;61;91;121;151;181},30))),""))),"")))</f>
        <v>3</v>
      </c>
      <c r="Q115" s="23" t="str">
        <f t="shared" si="5"/>
        <v>Прилуки, Чернігівська обл., вул. Будівельників, 3</v>
      </c>
      <c r="R115" s="35">
        <f>IF($O115="","",IFERROR(INDEX('Координати майданчиків'!$H$4:$H$64,MATCH($T115,'Координати майданчиків'!$B$4:$B$64,0)),IFERROR(IF(ABS(INDEX(Геокодування!$C$2:$C$361,MATCH($Q115,Геокодування!$B$2:$B$361,0))-50.5884)+ABS(INDEX(Геокодування!$D$2:$D$361,MATCH($Q115,Геокодування!$B$2:$B$361,0))-32.3876)&gt;0.15,"",INDEX(Геокодування!$C$2:$C$361,MATCH($Q115,Геокодування!$B$2:$B$361,0))),IFERROR(IF(ABS(INDEX(Геокодування!$C$2:$C$361,MATCH("Прилуки, Чернігівська обл., "&amp;$A115,Геокодування!$B$2:$B$361,0))-50.5884)+ABS(INDEX(Геокодування!$D$2:$D$361,MATCH("Прилуки, Чернігівська обл., "&amp;$A115,Геокодування!$B$2:$B$361,0))-32.3876)&gt;0.15,"",INDEX(Геокодування!$C$2:$C$361,MATCH("Прилуки, Чернігівська обл., "&amp;$A115,Геокодування!$B$2:$B$361,0))),""))))</f>
        <v>50.573867</v>
      </c>
      <c r="S115" s="43">
        <f>IF($O115="","",IFERROR(INDEX('Координати майданчиків'!$I$4:$I$64,MATCH($T115,'Координати майданчиків'!$B$4:$B$64,0)),IFERROR(IF(ABS(INDEX(Геокодування!$C$2:$C$361,MATCH($Q115,Геокодування!$B$2:$B$361,0))-50.5884)+ABS(INDEX(Геокодування!$D$2:$D$361,MATCH($Q115,Геокодування!$B$2:$B$361,0))-32.3876)&gt;0.15,"",INDEX(Геокодування!$D$2:$D$361,MATCH($Q115,Геокодування!$B$2:$B$361,0))),IFERROR(IF(ABS(INDEX(Геокодування!$C$2:$C$361,MATCH("Прилуки, Чернігівська обл., "&amp;$A115,Геокодування!$B$2:$B$361,0))-50.5884)+ABS(INDEX(Геокодування!$D$2:$D$361,MATCH("Прилуки, Чернігівська обл., "&amp;$A115,Геокодування!$B$2:$B$361,0))-32.3876)&gt;0.15,"",INDEX(Геокодування!$D$2:$D$361,MATCH("Прилуки, Чернігівська обл., "&amp;$A115,Геокодування!$B$2:$B$361,0))),""))))</f>
        <v>32.422333999999999</v>
      </c>
      <c r="T115" s="44" t="str">
        <f>IF($O115="","",IFERROR(INDEX('Координати майданчиків'!$B$4:$B$64,MATCH($A115&amp;IF($P115="","",", "&amp;$P115),'Координати майданчиків'!$B$4:$B$64,0)),IFERROR(INDEX('Координати майданчиків'!$B$4:$B$64,MATCH($A115,'Координати майданчиків'!$B$4:$B$64,0)),"")))</f>
        <v/>
      </c>
    </row>
    <row r="116" spans="1:20" x14ac:dyDescent="0.35">
      <c r="A116" s="26" t="str">
        <f t="shared" si="3"/>
        <v>вул. В. Завітневича</v>
      </c>
      <c r="B116" s="26" t="str">
        <f t="shared" si="4"/>
        <v>17,19  13,10</v>
      </c>
      <c r="C116" s="27" t="str" cm="1">
        <f t="array" ref="C116">IF($O116="","",_xlfn.TEXTJOIN(", ",TRUE,IF(EXACT('Дані_зв''язок'!$J$4:$J$1012,$O116)*('Дані_зв''язок'!$C$4:$C$1012=C$4),'Дані_зв''язок'!$D$4:$D$1012,"")))</f>
        <v/>
      </c>
      <c r="D116" s="27" t="str" cm="1">
        <f t="array" ref="D116">IF($O116="","",_xlfn.TEXTJOIN(", ",TRUE,IF(EXACT('Дані_зв''язок'!$J$4:$J$1012,$O116)*('Дані_зв''язок'!$C$4:$C$1012=D$4),'Дані_зв''язок'!$D$4:$D$1012,"")))</f>
        <v/>
      </c>
      <c r="E116" s="27" t="str" cm="1">
        <f t="array" ref="E116">IF($O116="","",_xlfn.TEXTJOIN(", ",TRUE,IF(EXACT('Дані_зв''язок'!$J$4:$J$1012,$O116)*('Дані_зв''язок'!$C$4:$C$1012=E$4),'Дані_зв''язок'!$D$4:$D$1012,"")))</f>
        <v/>
      </c>
      <c r="F116" s="27" t="str" cm="1">
        <f t="array" ref="F116">IF($O116="","",_xlfn.TEXTJOIN(", ",TRUE,IF(EXACT('Дані_зв''язок'!$J$4:$J$1012,$O116)*('Дані_зв''язок'!$C$4:$C$1012=F$4),'Дані_зв''язок'!$D$4:$D$1012,"")))</f>
        <v>7:15</v>
      </c>
      <c r="G116" s="27" t="str" cm="1">
        <f t="array" ref="G116">IF($O116="","",_xlfn.TEXTJOIN(", ",TRUE,IF(EXACT('Дані_зв''язок'!$J$4:$J$1012,$O116)*('Дані_зв''язок'!$C$4:$C$1012=G$4),'Дані_зв''язок'!$D$4:$D$1012,"")))</f>
        <v/>
      </c>
      <c r="H116" s="27" t="str" cm="1">
        <f t="array" ref="H116">IF($O116="","",_xlfn.TEXTJOIN(", ",TRUE,IF(EXACT('Дані_зв''язок'!$J$4:$J$1012,$O116)*('Дані_зв''язок'!$C$4:$C$1012=H$4),'Дані_зв''язок'!$D$4:$D$1012,"")))</f>
        <v/>
      </c>
      <c r="I116" s="27" t="str" cm="1">
        <f t="array" ref="I116">IF($O116="","",_xlfn.TEXTJOIN(", ",TRUE,IF(EXACT('Дані_зв''язок'!$J$4:$J$1012,$O116)*('Дані_зв''язок'!$C$4:$C$1012=I$4),'Дані_зв''язок'!$D$4:$D$1012,"")))</f>
        <v/>
      </c>
      <c r="J116" s="27" cm="1">
        <f t="array" ref="J116">IF($O116="","",COUNTIF(C116:I116,"?*")+SUMPRODUCT(LEN(C116:I116)-LEN(SUBSTITUTE(C116:I116,",",""))))</f>
        <v>1</v>
      </c>
      <c r="K116" s="28" t="str" cm="1">
        <f t="array" ref="K116">IF($O116="","",_xlfn.TEXTJOIN(", ",TRUE,IF(EXACT('Дані_зв''язок'!$J$4:$J$1012,$O116),'Дані_зв''язок'!$L$4:$L$1012,"")))</f>
        <v>№6</v>
      </c>
      <c r="L116" s="28" t="str" cm="1">
        <f t="array" ref="L116">IF($O116="","",_xlfn.TEXTJOIN(", ",TRUE,IF(EXACT('Дані_зв''язок'!$J$4:$J$1012,$O116),'Дані_зв''язок'!$M$4:$M$1012,"")))</f>
        <v>АТ 4021</v>
      </c>
      <c r="M116" s="27" t="str" cm="1">
        <f t="array" ref="M116">IF($O116="","",IF(SUMPRODUCT(MAX(EXACT('Дані_зв''язок'!$J$4:$J$1012,$O116)*IFERROR('Дані_зв''язок'!$H$4:$H$1012,0)))=0,"",SUMPRODUCT(MAX(EXACT('Дані_зв''язок'!$J$4:$J$1012,$O116)*IFERROR('Дані_зв''язок'!$H$4:$H$1012,0)))))</f>
        <v/>
      </c>
      <c r="O116" s="30" t="s">
        <v>1214</v>
      </c>
      <c r="P116" s="24" cm="1">
        <f t="array" ref="P116">IF($O116="","",IF($B116="","",IFERROR(IF(MIN(IFERROR(VALUE(TRIM(MID(SUBSTITUTE(SUBSTITUTE($B116,","," ")," ",REPT(" ",30)),{1;31;61;91;121;151;181},30))),""))=0,"",MIN(IFERROR(VALUE(TRIM(MID(SUBSTITUTE(SUBSTITUTE($B116,","," ")," ",REPT(" ",30)),{1;31;61;91;121;151;181},30))),""))),"")))</f>
        <v>10</v>
      </c>
      <c r="Q116" s="23" t="str">
        <f t="shared" si="5"/>
        <v>Прилуки, Чернігівська обл., вул. В. Завітневича, 10</v>
      </c>
      <c r="R116" s="35">
        <f>IF($O116="","",IFERROR(INDEX('Координати майданчиків'!$H$4:$H$64,MATCH($T116,'Координати майданчиків'!$B$4:$B$64,0)),IFERROR(IF(ABS(INDEX(Геокодування!$C$2:$C$361,MATCH($Q116,Геокодування!$B$2:$B$361,0))-50.5884)+ABS(INDEX(Геокодування!$D$2:$D$361,MATCH($Q116,Геокодування!$B$2:$B$361,0))-32.3876)&gt;0.15,"",INDEX(Геокодування!$C$2:$C$361,MATCH($Q116,Геокодування!$B$2:$B$361,0))),IFERROR(IF(ABS(INDEX(Геокодування!$C$2:$C$361,MATCH("Прилуки, Чернігівська обл., "&amp;$A116,Геокодування!$B$2:$B$361,0))-50.5884)+ABS(INDEX(Геокодування!$D$2:$D$361,MATCH("Прилуки, Чернігівська обл., "&amp;$A116,Геокодування!$B$2:$B$361,0))-32.3876)&gt;0.15,"",INDEX(Геокодування!$C$2:$C$361,MATCH("Прилуки, Чернігівська обл., "&amp;$A116,Геокодування!$B$2:$B$361,0))),""))))</f>
        <v>50.595689999999998</v>
      </c>
      <c r="S116" s="43">
        <f>IF($O116="","",IFERROR(INDEX('Координати майданчиків'!$I$4:$I$64,MATCH($T116,'Координати майданчиків'!$B$4:$B$64,0)),IFERROR(IF(ABS(INDEX(Геокодування!$C$2:$C$361,MATCH($Q116,Геокодування!$B$2:$B$361,0))-50.5884)+ABS(INDEX(Геокодування!$D$2:$D$361,MATCH($Q116,Геокодування!$B$2:$B$361,0))-32.3876)&gt;0.15,"",INDEX(Геокодування!$D$2:$D$361,MATCH($Q116,Геокодування!$B$2:$B$361,0))),IFERROR(IF(ABS(INDEX(Геокодування!$C$2:$C$361,MATCH("Прилуки, Чернігівська обл., "&amp;$A116,Геокодування!$B$2:$B$361,0))-50.5884)+ABS(INDEX(Геокодування!$D$2:$D$361,MATCH("Прилуки, Чернігівська обл., "&amp;$A116,Геокодування!$B$2:$B$361,0))-32.3876)&gt;0.15,"",INDEX(Геокодування!$D$2:$D$361,MATCH("Прилуки, Чернігівська обл., "&amp;$A116,Геокодування!$B$2:$B$361,0))),""))))</f>
        <v>32.381813000000001</v>
      </c>
      <c r="T116" s="44" t="str">
        <f>IF($O116="","",IFERROR(INDEX('Координати майданчиків'!$B$4:$B$64,MATCH($A116&amp;IF($P116="","",", "&amp;$P116),'Координати майданчиків'!$B$4:$B$64,0)),IFERROR(INDEX('Координати майданчиків'!$B$4:$B$64,MATCH($A116,'Координати майданчиків'!$B$4:$B$64,0)),"")))</f>
        <v/>
      </c>
    </row>
    <row r="117" spans="1:20" x14ac:dyDescent="0.35">
      <c r="A117" s="26" t="str">
        <f t="shared" si="3"/>
        <v>вул. В. Завітневича</v>
      </c>
      <c r="B117" s="26" t="str">
        <f t="shared" si="4"/>
        <v>33,17</v>
      </c>
      <c r="C117" s="27" t="str" cm="1">
        <f t="array" ref="C117">IF($O117="","",_xlfn.TEXTJOIN(", ",TRUE,IF(EXACT('Дані_зв''язок'!$J$4:$J$1012,$O117)*('Дані_зв''язок'!$C$4:$C$1012=C$4),'Дані_зв''язок'!$D$4:$D$1012,"")))</f>
        <v>7:15</v>
      </c>
      <c r="D117" s="27" t="str" cm="1">
        <f t="array" ref="D117">IF($O117="","",_xlfn.TEXTJOIN(", ",TRUE,IF(EXACT('Дані_зв''язок'!$J$4:$J$1012,$O117)*('Дані_зв''язок'!$C$4:$C$1012=D$4),'Дані_зв''язок'!$D$4:$D$1012,"")))</f>
        <v/>
      </c>
      <c r="E117" s="27" t="str" cm="1">
        <f t="array" ref="E117">IF($O117="","",_xlfn.TEXTJOIN(", ",TRUE,IF(EXACT('Дані_зв''язок'!$J$4:$J$1012,$O117)*('Дані_зв''язок'!$C$4:$C$1012=E$4),'Дані_зв''язок'!$D$4:$D$1012,"")))</f>
        <v/>
      </c>
      <c r="F117" s="27" t="str" cm="1">
        <f t="array" ref="F117">IF($O117="","",_xlfn.TEXTJOIN(", ",TRUE,IF(EXACT('Дані_зв''язок'!$J$4:$J$1012,$O117)*('Дані_зв''язок'!$C$4:$C$1012=F$4),'Дані_зв''язок'!$D$4:$D$1012,"")))</f>
        <v/>
      </c>
      <c r="G117" s="27" t="str" cm="1">
        <f t="array" ref="G117">IF($O117="","",_xlfn.TEXTJOIN(", ",TRUE,IF(EXACT('Дані_зв''язок'!$J$4:$J$1012,$O117)*('Дані_зв''язок'!$C$4:$C$1012=G$4),'Дані_зв''язок'!$D$4:$D$1012,"")))</f>
        <v/>
      </c>
      <c r="H117" s="27" t="str" cm="1">
        <f t="array" ref="H117">IF($O117="","",_xlfn.TEXTJOIN(", ",TRUE,IF(EXACT('Дані_зв''язок'!$J$4:$J$1012,$O117)*('Дані_зв''язок'!$C$4:$C$1012=H$4),'Дані_зв''язок'!$D$4:$D$1012,"")))</f>
        <v/>
      </c>
      <c r="I117" s="27" t="str" cm="1">
        <f t="array" ref="I117">IF($O117="","",_xlfn.TEXTJOIN(", ",TRUE,IF(EXACT('Дані_зв''язок'!$J$4:$J$1012,$O117)*('Дані_зв''язок'!$C$4:$C$1012=I$4),'Дані_зв''язок'!$D$4:$D$1012,"")))</f>
        <v/>
      </c>
      <c r="J117" s="27" cm="1">
        <f t="array" ref="J117">IF($O117="","",COUNTIF(C117:I117,"?*")+SUMPRODUCT(LEN(C117:I117)-LEN(SUBSTITUTE(C117:I117,",",""))))</f>
        <v>1</v>
      </c>
      <c r="K117" s="28" t="str" cm="1">
        <f t="array" ref="K117">IF($O117="","",_xlfn.TEXTJOIN(", ",TRUE,IF(EXACT('Дані_зв''язок'!$J$4:$J$1012,$O117),'Дані_зв''язок'!$L$4:$L$1012,"")))</f>
        <v>№6</v>
      </c>
      <c r="L117" s="28" t="str" cm="1">
        <f t="array" ref="L117">IF($O117="","",_xlfn.TEXTJOIN(", ",TRUE,IF(EXACT('Дані_зв''язок'!$J$4:$J$1012,$O117),'Дані_зв''язок'!$M$4:$M$1012,"")))</f>
        <v>АТ 4021</v>
      </c>
      <c r="M117" s="27" t="str" cm="1">
        <f t="array" ref="M117">IF($O117="","",IF(SUMPRODUCT(MAX(EXACT('Дані_зв''язок'!$J$4:$J$1012,$O117)*IFERROR('Дані_зв''язок'!$H$4:$H$1012,0)))=0,"",SUMPRODUCT(MAX(EXACT('Дані_зв''язок'!$J$4:$J$1012,$O117)*IFERROR('Дані_зв''язок'!$H$4:$H$1012,0)))))</f>
        <v/>
      </c>
      <c r="O117" s="30" t="s">
        <v>1215</v>
      </c>
      <c r="P117" s="24" cm="1">
        <f t="array" ref="P117">IF($O117="","",IF($B117="","",IFERROR(IF(MIN(IFERROR(VALUE(TRIM(MID(SUBSTITUTE(SUBSTITUTE($B117,","," ")," ",REPT(" ",30)),{1;31;61;91;121;151;181},30))),""))=0,"",MIN(IFERROR(VALUE(TRIM(MID(SUBSTITUTE(SUBSTITUTE($B117,","," ")," ",REPT(" ",30)),{1;31;61;91;121;151;181},30))),""))),"")))</f>
        <v>17</v>
      </c>
      <c r="Q117" s="23" t="str">
        <f t="shared" si="5"/>
        <v>Прилуки, Чернігівська обл., вул. В. Завітневича, 17</v>
      </c>
      <c r="R117" s="35">
        <f>IF($O117="","",IFERROR(INDEX('Координати майданчиків'!$H$4:$H$64,MATCH($T117,'Координати майданчиків'!$B$4:$B$64,0)),IFERROR(IF(ABS(INDEX(Геокодування!$C$2:$C$361,MATCH($Q117,Геокодування!$B$2:$B$361,0))-50.5884)+ABS(INDEX(Геокодування!$D$2:$D$361,MATCH($Q117,Геокодування!$B$2:$B$361,0))-32.3876)&gt;0.15,"",INDEX(Геокодування!$C$2:$C$361,MATCH($Q117,Геокодування!$B$2:$B$361,0))),IFERROR(IF(ABS(INDEX(Геокодування!$C$2:$C$361,MATCH("Прилуки, Чернігівська обл., "&amp;$A117,Геокодування!$B$2:$B$361,0))-50.5884)+ABS(INDEX(Геокодування!$D$2:$D$361,MATCH("Прилуки, Чернігівська обл., "&amp;$A117,Геокодування!$B$2:$B$361,0))-32.3876)&gt;0.15,"",INDEX(Геокодування!$C$2:$C$361,MATCH("Прилуки, Чернігівська обл., "&amp;$A117,Геокодування!$B$2:$B$361,0))),""))))</f>
        <v>50.595689999999998</v>
      </c>
      <c r="S117" s="43">
        <f>IF($O117="","",IFERROR(INDEX('Координати майданчиків'!$I$4:$I$64,MATCH($T117,'Координати майданчиків'!$B$4:$B$64,0)),IFERROR(IF(ABS(INDEX(Геокодування!$C$2:$C$361,MATCH($Q117,Геокодування!$B$2:$B$361,0))-50.5884)+ABS(INDEX(Геокодування!$D$2:$D$361,MATCH($Q117,Геокодування!$B$2:$B$361,0))-32.3876)&gt;0.15,"",INDEX(Геокодування!$D$2:$D$361,MATCH($Q117,Геокодування!$B$2:$B$361,0))),IFERROR(IF(ABS(INDEX(Геокодування!$C$2:$C$361,MATCH("Прилуки, Чернігівська обл., "&amp;$A117,Геокодування!$B$2:$B$361,0))-50.5884)+ABS(INDEX(Геокодування!$D$2:$D$361,MATCH("Прилуки, Чернігівська обл., "&amp;$A117,Геокодування!$B$2:$B$361,0))-32.3876)&gt;0.15,"",INDEX(Геокодування!$D$2:$D$361,MATCH("Прилуки, Чернігівська обл., "&amp;$A117,Геокодування!$B$2:$B$361,0))),""))))</f>
        <v>32.381813000000001</v>
      </c>
      <c r="T117" s="44" t="str">
        <f>IF($O117="","",IFERROR(INDEX('Координати майданчиків'!$B$4:$B$64,MATCH($A117&amp;IF($P117="","",", "&amp;$P117),'Координати майданчиків'!$B$4:$B$64,0)),IFERROR(INDEX('Координати майданчиків'!$B$4:$B$64,MATCH($A117,'Координати майданчиків'!$B$4:$B$64,0)),"")))</f>
        <v/>
      </c>
    </row>
    <row r="118" spans="1:20" x14ac:dyDescent="0.35">
      <c r="A118" s="26" t="str">
        <f t="shared" si="3"/>
        <v>вул. В. Стуса</v>
      </c>
      <c r="B118" s="26" t="str">
        <f t="shared" si="4"/>
        <v/>
      </c>
      <c r="C118" s="27" t="str" cm="1">
        <f t="array" ref="C118">IF($O118="","",_xlfn.TEXTJOIN(", ",TRUE,IF(EXACT('Дані_зв''язок'!$J$4:$J$1012,$O118)*('Дані_зв''язок'!$C$4:$C$1012=C$4),'Дані_зв''язок'!$D$4:$D$1012,"")))</f>
        <v/>
      </c>
      <c r="D118" s="27" t="str" cm="1">
        <f t="array" ref="D118">IF($O118="","",_xlfn.TEXTJOIN(", ",TRUE,IF(EXACT('Дані_зв''язок'!$J$4:$J$1012,$O118)*('Дані_зв''язок'!$C$4:$C$1012=D$4),'Дані_зв''язок'!$D$4:$D$1012,"")))</f>
        <v/>
      </c>
      <c r="E118" s="27" t="str" cm="1">
        <f t="array" ref="E118">IF($O118="","",_xlfn.TEXTJOIN(", ",TRUE,IF(EXACT('Дані_зв''язок'!$J$4:$J$1012,$O118)*('Дані_зв''язок'!$C$4:$C$1012=E$4),'Дані_зв''язок'!$D$4:$D$1012,"")))</f>
        <v/>
      </c>
      <c r="F118" s="27" t="str" cm="1">
        <f t="array" ref="F118">IF($O118="","",_xlfn.TEXTJOIN(", ",TRUE,IF(EXACT('Дані_зв''язок'!$J$4:$J$1012,$O118)*('Дані_зв''язок'!$C$4:$C$1012=F$4),'Дані_зв''язок'!$D$4:$D$1012,"")))</f>
        <v>12:35</v>
      </c>
      <c r="G118" s="27" t="str" cm="1">
        <f t="array" ref="G118">IF($O118="","",_xlfn.TEXTJOIN(", ",TRUE,IF(EXACT('Дані_зв''язок'!$J$4:$J$1012,$O118)*('Дані_зв''язок'!$C$4:$C$1012=G$4),'Дані_зв''язок'!$D$4:$D$1012,"")))</f>
        <v>14:00</v>
      </c>
      <c r="H118" s="27" t="str" cm="1">
        <f t="array" ref="H118">IF($O118="","",_xlfn.TEXTJOIN(", ",TRUE,IF(EXACT('Дані_зв''язок'!$J$4:$J$1012,$O118)*('Дані_зв''язок'!$C$4:$C$1012=H$4),'Дані_зв''язок'!$D$4:$D$1012,"")))</f>
        <v/>
      </c>
      <c r="I118" s="27" t="str" cm="1">
        <f t="array" ref="I118">IF($O118="","",_xlfn.TEXTJOIN(", ",TRUE,IF(EXACT('Дані_зв''язок'!$J$4:$J$1012,$O118)*('Дані_зв''язок'!$C$4:$C$1012=I$4),'Дані_зв''язок'!$D$4:$D$1012,"")))</f>
        <v/>
      </c>
      <c r="J118" s="27" cm="1">
        <f t="array" ref="J118">IF($O118="","",COUNTIF(C118:I118,"?*")+SUMPRODUCT(LEN(C118:I118)-LEN(SUBSTITUTE(C118:I118,",",""))))</f>
        <v>2</v>
      </c>
      <c r="K118" s="28" t="str" cm="1">
        <f t="array" ref="K118">IF($O118="","",_xlfn.TEXTJOIN(", ",TRUE,IF(EXACT('Дані_зв''язок'!$J$4:$J$1012,$O118),'Дані_зв''язок'!$L$4:$L$1012,"")))</f>
        <v>№5</v>
      </c>
      <c r="L118" s="28" t="str" cm="1">
        <f t="array" ref="L118">IF($O118="","",_xlfn.TEXTJOIN(", ",TRUE,IF(EXACT('Дані_зв''язок'!$J$4:$J$1012,$O118),'Дані_зв''язок'!$M$4:$M$1012,"")))</f>
        <v>МАЗ 4381</v>
      </c>
      <c r="M118" s="27" t="str" cm="1">
        <f t="array" ref="M118">IF($O118="","",IF(SUMPRODUCT(MAX(EXACT('Дані_зв''язок'!$J$4:$J$1012,$O118)*IFERROR('Дані_зв''язок'!$H$4:$H$1012,0)))=0,"",SUMPRODUCT(MAX(EXACT('Дані_зв''язок'!$J$4:$J$1012,$O118)*IFERROR('Дані_зв''язок'!$H$4:$H$1012,0)))))</f>
        <v/>
      </c>
      <c r="O118" s="30" t="s">
        <v>1216</v>
      </c>
      <c r="P118" s="24" t="str" cm="1">
        <f t="array" ref="P118">IF($O118="","",IF($B118="","",IFERROR(IF(MIN(IFERROR(VALUE(TRIM(MID(SUBSTITUTE(SUBSTITUTE($B118,","," ")," ",REPT(" ",30)),{1;31;61;91;121;151;181},30))),""))=0,"",MIN(IFERROR(VALUE(TRIM(MID(SUBSTITUTE(SUBSTITUTE($B118,","," ")," ",REPT(" ",30)),{1;31;61;91;121;151;181},30))),""))),"")))</f>
        <v/>
      </c>
      <c r="Q118" s="23" t="str">
        <f t="shared" si="5"/>
        <v>Прилуки, Чернігівська обл., вул. В. Стуса</v>
      </c>
      <c r="R118" s="35">
        <f>IF($O118="","",IFERROR(INDEX('Координати майданчиків'!$H$4:$H$64,MATCH($T118,'Координати майданчиків'!$B$4:$B$64,0)),IFERROR(IF(ABS(INDEX(Геокодування!$C$2:$C$361,MATCH($Q118,Геокодування!$B$2:$B$361,0))-50.5884)+ABS(INDEX(Геокодування!$D$2:$D$361,MATCH($Q118,Геокодування!$B$2:$B$361,0))-32.3876)&gt;0.15,"",INDEX(Геокодування!$C$2:$C$361,MATCH($Q118,Геокодування!$B$2:$B$361,0))),IFERROR(IF(ABS(INDEX(Геокодування!$C$2:$C$361,MATCH("Прилуки, Чернігівська обл., "&amp;$A118,Геокодування!$B$2:$B$361,0))-50.5884)+ABS(INDEX(Геокодування!$D$2:$D$361,MATCH("Прилуки, Чернігівська обл., "&amp;$A118,Геокодування!$B$2:$B$361,0))-32.3876)&gt;0.15,"",INDEX(Геокодування!$C$2:$C$361,MATCH("Прилуки, Чернігівська обл., "&amp;$A118,Геокодування!$B$2:$B$361,0))),""))))</f>
        <v>50.582349000000001</v>
      </c>
      <c r="S118" s="43">
        <f>IF($O118="","",IFERROR(INDEX('Координати майданчиків'!$I$4:$I$64,MATCH($T118,'Координати майданчиків'!$B$4:$B$64,0)),IFERROR(IF(ABS(INDEX(Геокодування!$C$2:$C$361,MATCH($Q118,Геокодування!$B$2:$B$361,0))-50.5884)+ABS(INDEX(Геокодування!$D$2:$D$361,MATCH($Q118,Геокодування!$B$2:$B$361,0))-32.3876)&gt;0.15,"",INDEX(Геокодування!$D$2:$D$361,MATCH($Q118,Геокодування!$B$2:$B$361,0))),IFERROR(IF(ABS(INDEX(Геокодування!$C$2:$C$361,MATCH("Прилуки, Чернігівська обл., "&amp;$A118,Геокодування!$B$2:$B$361,0))-50.5884)+ABS(INDEX(Геокодування!$D$2:$D$361,MATCH("Прилуки, Чернігівська обл., "&amp;$A118,Геокодування!$B$2:$B$361,0))-32.3876)&gt;0.15,"",INDEX(Геокодування!$D$2:$D$361,MATCH("Прилуки, Чернігівська обл., "&amp;$A118,Геокодування!$B$2:$B$361,0))),""))))</f>
        <v>32.408320000000003</v>
      </c>
      <c r="T118" s="44" t="str">
        <f>IF($O118="","",IFERROR(INDEX('Координати майданчиків'!$B$4:$B$64,MATCH($A118&amp;IF($P118="","",", "&amp;$P118),'Координати майданчиків'!$B$4:$B$64,0)),IFERROR(INDEX('Координати майданчиків'!$B$4:$B$64,MATCH($A118,'Координати майданчиків'!$B$4:$B$64,0)),"")))</f>
        <v/>
      </c>
    </row>
    <row r="119" spans="1:20" x14ac:dyDescent="0.35">
      <c r="A119" s="26" t="str">
        <f t="shared" si="3"/>
        <v>вул. В. Стуса</v>
      </c>
      <c r="B119" s="26" t="str">
        <f t="shared" si="4"/>
        <v>"Надія"</v>
      </c>
      <c r="C119" s="27" t="str" cm="1">
        <f t="array" ref="C119">IF($O119="","",_xlfn.TEXTJOIN(", ",TRUE,IF(EXACT('Дані_зв''язок'!$J$4:$J$1012,$O119)*('Дані_зв''язок'!$C$4:$C$1012=C$4),'Дані_зв''язок'!$D$4:$D$1012,"")))</f>
        <v>14:55</v>
      </c>
      <c r="D119" s="27" t="str" cm="1">
        <f t="array" ref="D119">IF($O119="","",_xlfn.TEXTJOIN(", ",TRUE,IF(EXACT('Дані_зв''язок'!$J$4:$J$1012,$O119)*('Дані_зв''язок'!$C$4:$C$1012=D$4),'Дані_зв''язок'!$D$4:$D$1012,"")))</f>
        <v/>
      </c>
      <c r="E119" s="27" t="str" cm="1">
        <f t="array" ref="E119">IF($O119="","",_xlfn.TEXTJOIN(", ",TRUE,IF(EXACT('Дані_зв''язок'!$J$4:$J$1012,$O119)*('Дані_зв''язок'!$C$4:$C$1012=E$4),'Дані_зв''язок'!$D$4:$D$1012,"")))</f>
        <v/>
      </c>
      <c r="F119" s="27" t="str" cm="1">
        <f t="array" ref="F119">IF($O119="","",_xlfn.TEXTJOIN(", ",TRUE,IF(EXACT('Дані_зв''язок'!$J$4:$J$1012,$O119)*('Дані_зв''язок'!$C$4:$C$1012=F$4),'Дані_зв''язок'!$D$4:$D$1012,"")))</f>
        <v/>
      </c>
      <c r="G119" s="27" t="str" cm="1">
        <f t="array" ref="G119">IF($O119="","",_xlfn.TEXTJOIN(", ",TRUE,IF(EXACT('Дані_зв''язок'!$J$4:$J$1012,$O119)*('Дані_зв''язок'!$C$4:$C$1012=G$4),'Дані_зв''язок'!$D$4:$D$1012,"")))</f>
        <v/>
      </c>
      <c r="H119" s="27" t="str" cm="1">
        <f t="array" ref="H119">IF($O119="","",_xlfn.TEXTJOIN(", ",TRUE,IF(EXACT('Дані_зв''язок'!$J$4:$J$1012,$O119)*('Дані_зв''язок'!$C$4:$C$1012=H$4),'Дані_зв''язок'!$D$4:$D$1012,"")))</f>
        <v/>
      </c>
      <c r="I119" s="27" t="str" cm="1">
        <f t="array" ref="I119">IF($O119="","",_xlfn.TEXTJOIN(", ",TRUE,IF(EXACT('Дані_зв''язок'!$J$4:$J$1012,$O119)*('Дані_зв''язок'!$C$4:$C$1012=I$4),'Дані_зв''язок'!$D$4:$D$1012,"")))</f>
        <v/>
      </c>
      <c r="J119" s="27" cm="1">
        <f t="array" ref="J119">IF($O119="","",COUNTIF(C119:I119,"?*")+SUMPRODUCT(LEN(C119:I119)-LEN(SUBSTITUTE(C119:I119,",",""))))</f>
        <v>1</v>
      </c>
      <c r="K119" s="28" t="str" cm="1">
        <f t="array" ref="K119">IF($O119="","",_xlfn.TEXTJOIN(", ",TRUE,IF(EXACT('Дані_зв''язок'!$J$4:$J$1012,$O119),'Дані_зв''язок'!$L$4:$L$1012,"")))</f>
        <v>№3</v>
      </c>
      <c r="L119" s="28" t="str" cm="1">
        <f t="array" ref="L119">IF($O119="","",_xlfn.TEXTJOIN(", ",TRUE,IF(EXACT('Дані_зв''язок'!$J$4:$J$1012,$O119),'Дані_зв''язок'!$M$4:$M$1012,"")))</f>
        <v>ГАЗ 3309</v>
      </c>
      <c r="M119" s="27" cm="1">
        <f t="array" ref="M119">IF($O119="","",IF(SUMPRODUCT(MAX(EXACT('Дані_зв''язок'!$J$4:$J$1012,$O119)*IFERROR('Дані_зв''язок'!$H$4:$H$1012,0)))=0,"",SUMPRODUCT(MAX(EXACT('Дані_зв''язок'!$J$4:$J$1012,$O119)*IFERROR('Дані_зв''язок'!$H$4:$H$1012,0)))))</f>
        <v>1</v>
      </c>
      <c r="O119" s="30" t="s">
        <v>1217</v>
      </c>
      <c r="P119" s="24" t="str" cm="1">
        <f t="array" ref="P119">IF($O119="","",IF($B119="","",IFERROR(IF(MIN(IFERROR(VALUE(TRIM(MID(SUBSTITUTE(SUBSTITUTE($B119,","," ")," ",REPT(" ",30)),{1;31;61;91;121;151;181},30))),""))=0,"",MIN(IFERROR(VALUE(TRIM(MID(SUBSTITUTE(SUBSTITUTE($B119,","," ")," ",REPT(" ",30)),{1;31;61;91;121;151;181},30))),""))),"")))</f>
        <v/>
      </c>
      <c r="Q119" s="23" t="str">
        <f t="shared" si="5"/>
        <v>Прилуки, Чернігівська обл., вул. В. Стуса</v>
      </c>
      <c r="R119" s="35">
        <f>IF($O119="","",IFERROR(INDEX('Координати майданчиків'!$H$4:$H$64,MATCH($T119,'Координати майданчиків'!$B$4:$B$64,0)),IFERROR(IF(ABS(INDEX(Геокодування!$C$2:$C$361,MATCH($Q119,Геокодування!$B$2:$B$361,0))-50.5884)+ABS(INDEX(Геокодування!$D$2:$D$361,MATCH($Q119,Геокодування!$B$2:$B$361,0))-32.3876)&gt;0.15,"",INDEX(Геокодування!$C$2:$C$361,MATCH($Q119,Геокодування!$B$2:$B$361,0))),IFERROR(IF(ABS(INDEX(Геокодування!$C$2:$C$361,MATCH("Прилуки, Чернігівська обл., "&amp;$A119,Геокодування!$B$2:$B$361,0))-50.5884)+ABS(INDEX(Геокодування!$D$2:$D$361,MATCH("Прилуки, Чернігівська обл., "&amp;$A119,Геокодування!$B$2:$B$361,0))-32.3876)&gt;0.15,"",INDEX(Геокодування!$C$2:$C$361,MATCH("Прилуки, Чернігівська обл., "&amp;$A119,Геокодування!$B$2:$B$361,0))),""))))</f>
        <v>50.582349000000001</v>
      </c>
      <c r="S119" s="43">
        <f>IF($O119="","",IFERROR(INDEX('Координати майданчиків'!$I$4:$I$64,MATCH($T119,'Координати майданчиків'!$B$4:$B$64,0)),IFERROR(IF(ABS(INDEX(Геокодування!$C$2:$C$361,MATCH($Q119,Геокодування!$B$2:$B$361,0))-50.5884)+ABS(INDEX(Геокодування!$D$2:$D$361,MATCH($Q119,Геокодування!$B$2:$B$361,0))-32.3876)&gt;0.15,"",INDEX(Геокодування!$D$2:$D$361,MATCH($Q119,Геокодування!$B$2:$B$361,0))),IFERROR(IF(ABS(INDEX(Геокодування!$C$2:$C$361,MATCH("Прилуки, Чернігівська обл., "&amp;$A119,Геокодування!$B$2:$B$361,0))-50.5884)+ABS(INDEX(Геокодування!$D$2:$D$361,MATCH("Прилуки, Чернігівська обл., "&amp;$A119,Геокодування!$B$2:$B$361,0))-32.3876)&gt;0.15,"",INDEX(Геокодування!$D$2:$D$361,MATCH("Прилуки, Чернігівська обл., "&amp;$A119,Геокодування!$B$2:$B$361,0))),""))))</f>
        <v>32.408320000000003</v>
      </c>
      <c r="T119" s="44" t="str">
        <f>IF($O119="","",IFERROR(INDEX('Координати майданчиків'!$B$4:$B$64,MATCH($A119&amp;IF($P119="","",", "&amp;$P119),'Координати майданчиків'!$B$4:$B$64,0)),IFERROR(INDEX('Координати майданчиків'!$B$4:$B$64,MATCH($A119,'Координати майданчиків'!$B$4:$B$64,0)),"")))</f>
        <v/>
      </c>
    </row>
    <row r="120" spans="1:20" x14ac:dyDescent="0.35">
      <c r="A120" s="26" t="str">
        <f t="shared" si="3"/>
        <v>вул. В. Стуса</v>
      </c>
      <c r="B120" s="26" t="str">
        <f t="shared" si="4"/>
        <v>3,15  11</v>
      </c>
      <c r="C120" s="27" t="str" cm="1">
        <f t="array" ref="C120">IF($O120="","",_xlfn.TEXTJOIN(", ",TRUE,IF(EXACT('Дані_зв''язок'!$J$4:$J$1012,$O120)*('Дані_зв''язок'!$C$4:$C$1012=C$4),'Дані_зв''язок'!$D$4:$D$1012,"")))</f>
        <v/>
      </c>
      <c r="D120" s="27" t="str" cm="1">
        <f t="array" ref="D120">IF($O120="","",_xlfn.TEXTJOIN(", ",TRUE,IF(EXACT('Дані_зв''язок'!$J$4:$J$1012,$O120)*('Дані_зв''язок'!$C$4:$C$1012=D$4),'Дані_зв''язок'!$D$4:$D$1012,"")))</f>
        <v>9:35</v>
      </c>
      <c r="E120" s="27" t="str" cm="1">
        <f t="array" ref="E120">IF($O120="","",_xlfn.TEXTJOIN(", ",TRUE,IF(EXACT('Дані_зв''язок'!$J$4:$J$1012,$O120)*('Дані_зв''язок'!$C$4:$C$1012=E$4),'Дані_зв''язок'!$D$4:$D$1012,"")))</f>
        <v/>
      </c>
      <c r="F120" s="27" t="str" cm="1">
        <f t="array" ref="F120">IF($O120="","",_xlfn.TEXTJOIN(", ",TRUE,IF(EXACT('Дані_зв''язок'!$J$4:$J$1012,$O120)*('Дані_зв''язок'!$C$4:$C$1012=F$4),'Дані_зв''язок'!$D$4:$D$1012,"")))</f>
        <v/>
      </c>
      <c r="G120" s="27" t="str" cm="1">
        <f t="array" ref="G120">IF($O120="","",_xlfn.TEXTJOIN(", ",TRUE,IF(EXACT('Дані_зв''язок'!$J$4:$J$1012,$O120)*('Дані_зв''язок'!$C$4:$C$1012=G$4),'Дані_зв''язок'!$D$4:$D$1012,"")))</f>
        <v/>
      </c>
      <c r="H120" s="27" t="str" cm="1">
        <f t="array" ref="H120">IF($O120="","",_xlfn.TEXTJOIN(", ",TRUE,IF(EXACT('Дані_зв''язок'!$J$4:$J$1012,$O120)*('Дані_зв''язок'!$C$4:$C$1012=H$4),'Дані_зв''язок'!$D$4:$D$1012,"")))</f>
        <v/>
      </c>
      <c r="I120" s="27" t="str" cm="1">
        <f t="array" ref="I120">IF($O120="","",_xlfn.TEXTJOIN(", ",TRUE,IF(EXACT('Дані_зв''язок'!$J$4:$J$1012,$O120)*('Дані_зв''язок'!$C$4:$C$1012=I$4),'Дані_зв''язок'!$D$4:$D$1012,"")))</f>
        <v/>
      </c>
      <c r="J120" s="27" cm="1">
        <f t="array" ref="J120">IF($O120="","",COUNTIF(C120:I120,"?*")+SUMPRODUCT(LEN(C120:I120)-LEN(SUBSTITUTE(C120:I120,",",""))))</f>
        <v>1</v>
      </c>
      <c r="K120" s="28" t="str" cm="1">
        <f t="array" ref="K120">IF($O120="","",_xlfn.TEXTJOIN(", ",TRUE,IF(EXACT('Дані_зв''язок'!$J$4:$J$1012,$O120),'Дані_зв''язок'!$L$4:$L$1012,"")))</f>
        <v>№6</v>
      </c>
      <c r="L120" s="28" t="str" cm="1">
        <f t="array" ref="L120">IF($O120="","",_xlfn.TEXTJOIN(", ",TRUE,IF(EXACT('Дані_зв''язок'!$J$4:$J$1012,$O120),'Дані_зв''язок'!$M$4:$M$1012,"")))</f>
        <v>АТ 4021</v>
      </c>
      <c r="M120" s="27" t="str" cm="1">
        <f t="array" ref="M120">IF($O120="","",IF(SUMPRODUCT(MAX(EXACT('Дані_зв''язок'!$J$4:$J$1012,$O120)*IFERROR('Дані_зв''язок'!$H$4:$H$1012,0)))=0,"",SUMPRODUCT(MAX(EXACT('Дані_зв''язок'!$J$4:$J$1012,$O120)*IFERROR('Дані_зв''язок'!$H$4:$H$1012,0)))))</f>
        <v/>
      </c>
      <c r="O120" s="30" t="s">
        <v>1218</v>
      </c>
      <c r="P120" s="24" cm="1">
        <f t="array" ref="P120">IF($O120="","",IF($B120="","",IFERROR(IF(MIN(IFERROR(VALUE(TRIM(MID(SUBSTITUTE(SUBSTITUTE($B120,","," ")," ",REPT(" ",30)),{1;31;61;91;121;151;181},30))),""))=0,"",MIN(IFERROR(VALUE(TRIM(MID(SUBSTITUTE(SUBSTITUTE($B120,","," ")," ",REPT(" ",30)),{1;31;61;91;121;151;181},30))),""))),"")))</f>
        <v>3</v>
      </c>
      <c r="Q120" s="23" t="str">
        <f t="shared" si="5"/>
        <v>Прилуки, Чернігівська обл., вул. В. Стуса, 3</v>
      </c>
      <c r="R120" s="35">
        <f>IF($O120="","",IFERROR(INDEX('Координати майданчиків'!$H$4:$H$64,MATCH($T120,'Координати майданчиків'!$B$4:$B$64,0)),IFERROR(IF(ABS(INDEX(Геокодування!$C$2:$C$361,MATCH($Q120,Геокодування!$B$2:$B$361,0))-50.5884)+ABS(INDEX(Геокодування!$D$2:$D$361,MATCH($Q120,Геокодування!$B$2:$B$361,0))-32.3876)&gt;0.15,"",INDEX(Геокодування!$C$2:$C$361,MATCH($Q120,Геокодування!$B$2:$B$361,0))),IFERROR(IF(ABS(INDEX(Геокодування!$C$2:$C$361,MATCH("Прилуки, Чернігівська обл., "&amp;$A120,Геокодування!$B$2:$B$361,0))-50.5884)+ABS(INDEX(Геокодування!$D$2:$D$361,MATCH("Прилуки, Чернігівська обл., "&amp;$A120,Геокодування!$B$2:$B$361,0))-32.3876)&gt;0.15,"",INDEX(Геокодування!$C$2:$C$361,MATCH("Прилуки, Чернігівська обл., "&amp;$A120,Геокодування!$B$2:$B$361,0))),""))))</f>
        <v>50.595689999999998</v>
      </c>
      <c r="S120" s="43">
        <f>IF($O120="","",IFERROR(INDEX('Координати майданчиків'!$I$4:$I$64,MATCH($T120,'Координати майданчиків'!$B$4:$B$64,0)),IFERROR(IF(ABS(INDEX(Геокодування!$C$2:$C$361,MATCH($Q120,Геокодування!$B$2:$B$361,0))-50.5884)+ABS(INDEX(Геокодування!$D$2:$D$361,MATCH($Q120,Геокодування!$B$2:$B$361,0))-32.3876)&gt;0.15,"",INDEX(Геокодування!$D$2:$D$361,MATCH($Q120,Геокодування!$B$2:$B$361,0))),IFERROR(IF(ABS(INDEX(Геокодування!$C$2:$C$361,MATCH("Прилуки, Чернігівська обл., "&amp;$A120,Геокодування!$B$2:$B$361,0))-50.5884)+ABS(INDEX(Геокодування!$D$2:$D$361,MATCH("Прилуки, Чернігівська обл., "&amp;$A120,Геокодування!$B$2:$B$361,0))-32.3876)&gt;0.15,"",INDEX(Геокодування!$D$2:$D$361,MATCH("Прилуки, Чернігівська обл., "&amp;$A120,Геокодування!$B$2:$B$361,0))),""))))</f>
        <v>32.381813000000001</v>
      </c>
      <c r="T120" s="44" t="str">
        <f>IF($O120="","",IFERROR(INDEX('Координати майданчиків'!$B$4:$B$64,MATCH($A120&amp;IF($P120="","",", "&amp;$P120),'Координати майданчиків'!$B$4:$B$64,0)),IFERROR(INDEX('Координати майданчиків'!$B$4:$B$64,MATCH($A120,'Координати майданчиків'!$B$4:$B$64,0)),"")))</f>
        <v/>
      </c>
    </row>
    <row r="121" spans="1:20" x14ac:dyDescent="0.35">
      <c r="A121" s="26" t="str">
        <f t="shared" si="3"/>
        <v>вул. В. Стуса</v>
      </c>
      <c r="B121" s="26" t="str">
        <f t="shared" si="4"/>
        <v>Д/с 29</v>
      </c>
      <c r="C121" s="27" t="str" cm="1">
        <f t="array" ref="C121">IF($O121="","",_xlfn.TEXTJOIN(", ",TRUE,IF(EXACT('Дані_зв''язок'!$J$4:$J$1012,$O121)*('Дані_зв''язок'!$C$4:$C$1012=C$4),'Дані_зв''язок'!$D$4:$D$1012,"")))</f>
        <v>14:35</v>
      </c>
      <c r="D121" s="27" t="str" cm="1">
        <f t="array" ref="D121">IF($O121="","",_xlfn.TEXTJOIN(", ",TRUE,IF(EXACT('Дані_зв''язок'!$J$4:$J$1012,$O121)*('Дані_зв''язок'!$C$4:$C$1012=D$4),'Дані_зв''язок'!$D$4:$D$1012,"")))</f>
        <v/>
      </c>
      <c r="E121" s="27" t="str" cm="1">
        <f t="array" ref="E121">IF($O121="","",_xlfn.TEXTJOIN(", ",TRUE,IF(EXACT('Дані_зв''язок'!$J$4:$J$1012,$O121)*('Дані_зв''язок'!$C$4:$C$1012=E$4),'Дані_зв''язок'!$D$4:$D$1012,"")))</f>
        <v/>
      </c>
      <c r="F121" s="27" t="str" cm="1">
        <f t="array" ref="F121">IF($O121="","",_xlfn.TEXTJOIN(", ",TRUE,IF(EXACT('Дані_зв''язок'!$J$4:$J$1012,$O121)*('Дані_зв''язок'!$C$4:$C$1012=F$4),'Дані_зв''язок'!$D$4:$D$1012,"")))</f>
        <v/>
      </c>
      <c r="G121" s="27" t="str" cm="1">
        <f t="array" ref="G121">IF($O121="","",_xlfn.TEXTJOIN(", ",TRUE,IF(EXACT('Дані_зв''язок'!$J$4:$J$1012,$O121)*('Дані_зв''язок'!$C$4:$C$1012=G$4),'Дані_зв''язок'!$D$4:$D$1012,"")))</f>
        <v/>
      </c>
      <c r="H121" s="27" t="str" cm="1">
        <f t="array" ref="H121">IF($O121="","",_xlfn.TEXTJOIN(", ",TRUE,IF(EXACT('Дані_зв''язок'!$J$4:$J$1012,$O121)*('Дані_зв''язок'!$C$4:$C$1012=H$4),'Дані_зв''язок'!$D$4:$D$1012,"")))</f>
        <v/>
      </c>
      <c r="I121" s="27" t="str" cm="1">
        <f t="array" ref="I121">IF($O121="","",_xlfn.TEXTJOIN(", ",TRUE,IF(EXACT('Дані_зв''язок'!$J$4:$J$1012,$O121)*('Дані_зв''язок'!$C$4:$C$1012=I$4),'Дані_зв''язок'!$D$4:$D$1012,"")))</f>
        <v/>
      </c>
      <c r="J121" s="27" cm="1">
        <f t="array" ref="J121">IF($O121="","",COUNTIF(C121:I121,"?*")+SUMPRODUCT(LEN(C121:I121)-LEN(SUBSTITUTE(C121:I121,",",""))))</f>
        <v>1</v>
      </c>
      <c r="K121" s="28" t="str" cm="1">
        <f t="array" ref="K121">IF($O121="","",_xlfn.TEXTJOIN(", ",TRUE,IF(EXACT('Дані_зв''язок'!$J$4:$J$1012,$O121),'Дані_зв''язок'!$L$4:$L$1012,"")))</f>
        <v>№3</v>
      </c>
      <c r="L121" s="28" t="str" cm="1">
        <f t="array" ref="L121">IF($O121="","",_xlfn.TEXTJOIN(", ",TRUE,IF(EXACT('Дані_зв''язок'!$J$4:$J$1012,$O121),'Дані_зв''язок'!$M$4:$M$1012,"")))</f>
        <v>ГАЗ 3309</v>
      </c>
      <c r="M121" s="27" cm="1">
        <f t="array" ref="M121">IF($O121="","",IF(SUMPRODUCT(MAX(EXACT('Дані_зв''язок'!$J$4:$J$1012,$O121)*IFERROR('Дані_зв''язок'!$H$4:$H$1012,0)))=0,"",SUMPRODUCT(MAX(EXACT('Дані_зв''язок'!$J$4:$J$1012,$O121)*IFERROR('Дані_зв''язок'!$H$4:$H$1012,0)))))</f>
        <v>1</v>
      </c>
      <c r="O121" s="30" t="s">
        <v>1219</v>
      </c>
      <c r="P121" s="24" cm="1">
        <f t="array" ref="P121">IF($O121="","",IF($B121="","",IFERROR(IF(MIN(IFERROR(VALUE(TRIM(MID(SUBSTITUTE(SUBSTITUTE($B121,","," ")," ",REPT(" ",30)),{1;31;61;91;121;151;181},30))),""))=0,"",MIN(IFERROR(VALUE(TRIM(MID(SUBSTITUTE(SUBSTITUTE($B121,","," ")," ",REPT(" ",30)),{1;31;61;91;121;151;181},30))),""))),"")))</f>
        <v>29</v>
      </c>
      <c r="Q121" s="23" t="str">
        <f t="shared" si="5"/>
        <v>Прилуки, Чернігівська обл., вул. В. Стуса, 29</v>
      </c>
      <c r="R121" s="35">
        <f>IF($O121="","",IFERROR(INDEX('Координати майданчиків'!$H$4:$H$64,MATCH($T121,'Координати майданчиків'!$B$4:$B$64,0)),IFERROR(IF(ABS(INDEX(Геокодування!$C$2:$C$361,MATCH($Q121,Геокодування!$B$2:$B$361,0))-50.5884)+ABS(INDEX(Геокодування!$D$2:$D$361,MATCH($Q121,Геокодування!$B$2:$B$361,0))-32.3876)&gt;0.15,"",INDEX(Геокодування!$C$2:$C$361,MATCH($Q121,Геокодування!$B$2:$B$361,0))),IFERROR(IF(ABS(INDEX(Геокодування!$C$2:$C$361,MATCH("Прилуки, Чернігівська обл., "&amp;$A121,Геокодування!$B$2:$B$361,0))-50.5884)+ABS(INDEX(Геокодування!$D$2:$D$361,MATCH("Прилуки, Чернігівська обл., "&amp;$A121,Геокодування!$B$2:$B$361,0))-32.3876)&gt;0.15,"",INDEX(Геокодування!$C$2:$C$361,MATCH("Прилуки, Чернігівська обл., "&amp;$A121,Геокодування!$B$2:$B$361,0))),""))))</f>
        <v>50.595689999999998</v>
      </c>
      <c r="S121" s="43">
        <f>IF($O121="","",IFERROR(INDEX('Координати майданчиків'!$I$4:$I$64,MATCH($T121,'Координати майданчиків'!$B$4:$B$64,0)),IFERROR(IF(ABS(INDEX(Геокодування!$C$2:$C$361,MATCH($Q121,Геокодування!$B$2:$B$361,0))-50.5884)+ABS(INDEX(Геокодування!$D$2:$D$361,MATCH($Q121,Геокодування!$B$2:$B$361,0))-32.3876)&gt;0.15,"",INDEX(Геокодування!$D$2:$D$361,MATCH($Q121,Геокодування!$B$2:$B$361,0))),IFERROR(IF(ABS(INDEX(Геокодування!$C$2:$C$361,MATCH("Прилуки, Чернігівська обл., "&amp;$A121,Геокодування!$B$2:$B$361,0))-50.5884)+ABS(INDEX(Геокодування!$D$2:$D$361,MATCH("Прилуки, Чернігівська обл., "&amp;$A121,Геокодування!$B$2:$B$361,0))-32.3876)&gt;0.15,"",INDEX(Геокодування!$D$2:$D$361,MATCH("Прилуки, Чернігівська обл., "&amp;$A121,Геокодування!$B$2:$B$361,0))),""))))</f>
        <v>32.381813000000001</v>
      </c>
      <c r="T121" s="44" t="str">
        <f>IF($O121="","",IFERROR(INDEX('Координати майданчиків'!$B$4:$B$64,MATCH($A121&amp;IF($P121="","",", "&amp;$P121),'Координати майданчиків'!$B$4:$B$64,0)),IFERROR(INDEX('Координати майданчиків'!$B$4:$B$64,MATCH($A121,'Координати майданчиків'!$B$4:$B$64,0)),"")))</f>
        <v/>
      </c>
    </row>
    <row r="122" spans="1:20" x14ac:dyDescent="0.35">
      <c r="A122" s="26" t="str">
        <f t="shared" si="3"/>
        <v>вул. В. Стуса</v>
      </c>
      <c r="B122" s="26" t="str">
        <f t="shared" si="4"/>
        <v>НРЦ</v>
      </c>
      <c r="C122" s="27" t="str" cm="1">
        <f t="array" ref="C122">IF($O122="","",_xlfn.TEXTJOIN(", ",TRUE,IF(EXACT('Дані_зв''язок'!$J$4:$J$1012,$O122)*('Дані_зв''язок'!$C$4:$C$1012=C$4),'Дані_зв''язок'!$D$4:$D$1012,"")))</f>
        <v>14:45</v>
      </c>
      <c r="D122" s="27" t="str" cm="1">
        <f t="array" ref="D122">IF($O122="","",_xlfn.TEXTJOIN(", ",TRUE,IF(EXACT('Дані_зв''язок'!$J$4:$J$1012,$O122)*('Дані_зв''язок'!$C$4:$C$1012=D$4),'Дані_зв''язок'!$D$4:$D$1012,"")))</f>
        <v/>
      </c>
      <c r="E122" s="27" t="str" cm="1">
        <f t="array" ref="E122">IF($O122="","",_xlfn.TEXTJOIN(", ",TRUE,IF(EXACT('Дані_зв''язок'!$J$4:$J$1012,$O122)*('Дані_зв''язок'!$C$4:$C$1012=E$4),'Дані_зв''язок'!$D$4:$D$1012,"")))</f>
        <v/>
      </c>
      <c r="F122" s="27" t="str" cm="1">
        <f t="array" ref="F122">IF($O122="","",_xlfn.TEXTJOIN(", ",TRUE,IF(EXACT('Дані_зв''язок'!$J$4:$J$1012,$O122)*('Дані_зв''язок'!$C$4:$C$1012=F$4),'Дані_зв''язок'!$D$4:$D$1012,"")))</f>
        <v/>
      </c>
      <c r="G122" s="27" t="str" cm="1">
        <f t="array" ref="G122">IF($O122="","",_xlfn.TEXTJOIN(", ",TRUE,IF(EXACT('Дані_зв''язок'!$J$4:$J$1012,$O122)*('Дані_зв''язок'!$C$4:$C$1012=G$4),'Дані_зв''язок'!$D$4:$D$1012,"")))</f>
        <v/>
      </c>
      <c r="H122" s="27" t="str" cm="1">
        <f t="array" ref="H122">IF($O122="","",_xlfn.TEXTJOIN(", ",TRUE,IF(EXACT('Дані_зв''язок'!$J$4:$J$1012,$O122)*('Дані_зв''язок'!$C$4:$C$1012=H$4),'Дані_зв''язок'!$D$4:$D$1012,"")))</f>
        <v/>
      </c>
      <c r="I122" s="27" t="str" cm="1">
        <f t="array" ref="I122">IF($O122="","",_xlfn.TEXTJOIN(", ",TRUE,IF(EXACT('Дані_зв''язок'!$J$4:$J$1012,$O122)*('Дані_зв''язок'!$C$4:$C$1012=I$4),'Дані_зв''язок'!$D$4:$D$1012,"")))</f>
        <v/>
      </c>
      <c r="J122" s="27" cm="1">
        <f t="array" ref="J122">IF($O122="","",COUNTIF(C122:I122,"?*")+SUMPRODUCT(LEN(C122:I122)-LEN(SUBSTITUTE(C122:I122,",",""))))</f>
        <v>1</v>
      </c>
      <c r="K122" s="28" t="str" cm="1">
        <f t="array" ref="K122">IF($O122="","",_xlfn.TEXTJOIN(", ",TRUE,IF(EXACT('Дані_зв''язок'!$J$4:$J$1012,$O122),'Дані_зв''язок'!$L$4:$L$1012,"")))</f>
        <v>№3</v>
      </c>
      <c r="L122" s="28" t="str" cm="1">
        <f t="array" ref="L122">IF($O122="","",_xlfn.TEXTJOIN(", ",TRUE,IF(EXACT('Дані_зв''язок'!$J$4:$J$1012,$O122),'Дані_зв''язок'!$M$4:$M$1012,"")))</f>
        <v>ГАЗ 3309</v>
      </c>
      <c r="M122" s="27" cm="1">
        <f t="array" ref="M122">IF($O122="","",IF(SUMPRODUCT(MAX(EXACT('Дані_зв''язок'!$J$4:$J$1012,$O122)*IFERROR('Дані_зв''язок'!$H$4:$H$1012,0)))=0,"",SUMPRODUCT(MAX(EXACT('Дані_зв''язок'!$J$4:$J$1012,$O122)*IFERROR('Дані_зв''язок'!$H$4:$H$1012,0)))))</f>
        <v>1</v>
      </c>
      <c r="O122" s="30" t="s">
        <v>1220</v>
      </c>
      <c r="P122" s="24" t="str" cm="1">
        <f t="array" ref="P122">IF($O122="","",IF($B122="","",IFERROR(IF(MIN(IFERROR(VALUE(TRIM(MID(SUBSTITUTE(SUBSTITUTE($B122,","," ")," ",REPT(" ",30)),{1;31;61;91;121;151;181},30))),""))=0,"",MIN(IFERROR(VALUE(TRIM(MID(SUBSTITUTE(SUBSTITUTE($B122,","," ")," ",REPT(" ",30)),{1;31;61;91;121;151;181},30))),""))),"")))</f>
        <v/>
      </c>
      <c r="Q122" s="23" t="str">
        <f t="shared" si="5"/>
        <v>Прилуки, Чернігівська обл., вул. В. Стуса</v>
      </c>
      <c r="R122" s="35">
        <f>IF($O122="","",IFERROR(INDEX('Координати майданчиків'!$H$4:$H$64,MATCH($T122,'Координати майданчиків'!$B$4:$B$64,0)),IFERROR(IF(ABS(INDEX(Геокодування!$C$2:$C$361,MATCH($Q122,Геокодування!$B$2:$B$361,0))-50.5884)+ABS(INDEX(Геокодування!$D$2:$D$361,MATCH($Q122,Геокодування!$B$2:$B$361,0))-32.3876)&gt;0.15,"",INDEX(Геокодування!$C$2:$C$361,MATCH($Q122,Геокодування!$B$2:$B$361,0))),IFERROR(IF(ABS(INDEX(Геокодування!$C$2:$C$361,MATCH("Прилуки, Чернігівська обл., "&amp;$A122,Геокодування!$B$2:$B$361,0))-50.5884)+ABS(INDEX(Геокодування!$D$2:$D$361,MATCH("Прилуки, Чернігівська обл., "&amp;$A122,Геокодування!$B$2:$B$361,0))-32.3876)&gt;0.15,"",INDEX(Геокодування!$C$2:$C$361,MATCH("Прилуки, Чернігівська обл., "&amp;$A122,Геокодування!$B$2:$B$361,0))),""))))</f>
        <v>50.582349000000001</v>
      </c>
      <c r="S122" s="43">
        <f>IF($O122="","",IFERROR(INDEX('Координати майданчиків'!$I$4:$I$64,MATCH($T122,'Координати майданчиків'!$B$4:$B$64,0)),IFERROR(IF(ABS(INDEX(Геокодування!$C$2:$C$361,MATCH($Q122,Геокодування!$B$2:$B$361,0))-50.5884)+ABS(INDEX(Геокодування!$D$2:$D$361,MATCH($Q122,Геокодування!$B$2:$B$361,0))-32.3876)&gt;0.15,"",INDEX(Геокодування!$D$2:$D$361,MATCH($Q122,Геокодування!$B$2:$B$361,0))),IFERROR(IF(ABS(INDEX(Геокодування!$C$2:$C$361,MATCH("Прилуки, Чернігівська обл., "&amp;$A122,Геокодування!$B$2:$B$361,0))-50.5884)+ABS(INDEX(Геокодування!$D$2:$D$361,MATCH("Прилуки, Чернігівська обл., "&amp;$A122,Геокодування!$B$2:$B$361,0))-32.3876)&gt;0.15,"",INDEX(Геокодування!$D$2:$D$361,MATCH("Прилуки, Чернігівська обл., "&amp;$A122,Геокодування!$B$2:$B$361,0))),""))))</f>
        <v>32.408320000000003</v>
      </c>
      <c r="T122" s="44" t="str">
        <f>IF($O122="","",IFERROR(INDEX('Координати майданчиків'!$B$4:$B$64,MATCH($A122&amp;IF($P122="","",", "&amp;$P122),'Координати майданчиків'!$B$4:$B$64,0)),IFERROR(INDEX('Координати майданчиків'!$B$4:$B$64,MATCH($A122,'Координати майданчиків'!$B$4:$B$64,0)),"")))</f>
        <v/>
      </c>
    </row>
    <row r="123" spans="1:20" x14ac:dyDescent="0.35">
      <c r="A123" s="26" t="str">
        <f t="shared" si="3"/>
        <v>вул. В. Чорновола</v>
      </c>
      <c r="B123" s="26" t="str">
        <f t="shared" si="4"/>
        <v/>
      </c>
      <c r="C123" s="27" t="str" cm="1">
        <f t="array" ref="C123">IF($O123="","",_xlfn.TEXTJOIN(", ",TRUE,IF(EXACT('Дані_зв''язок'!$J$4:$J$1012,$O123)*('Дані_зв''язок'!$C$4:$C$1012=C$4),'Дані_зв''язок'!$D$4:$D$1012,"")))</f>
        <v/>
      </c>
      <c r="D123" s="27" t="str" cm="1">
        <f t="array" ref="D123">IF($O123="","",_xlfn.TEXTJOIN(", ",TRUE,IF(EXACT('Дані_зв''язок'!$J$4:$J$1012,$O123)*('Дані_зв''язок'!$C$4:$C$1012=D$4),'Дані_зв''язок'!$D$4:$D$1012,"")))</f>
        <v/>
      </c>
      <c r="E123" s="27" t="str" cm="1">
        <f t="array" ref="E123">IF($O123="","",_xlfn.TEXTJOIN(", ",TRUE,IF(EXACT('Дані_зв''язок'!$J$4:$J$1012,$O123)*('Дані_зв''язок'!$C$4:$C$1012=E$4),'Дані_зв''язок'!$D$4:$D$1012,"")))</f>
        <v/>
      </c>
      <c r="F123" s="27" t="str" cm="1">
        <f t="array" ref="F123">IF($O123="","",_xlfn.TEXTJOIN(", ",TRUE,IF(EXACT('Дані_зв''язок'!$J$4:$J$1012,$O123)*('Дані_зв''язок'!$C$4:$C$1012=F$4),'Дані_зв''язок'!$D$4:$D$1012,"")))</f>
        <v>10:50</v>
      </c>
      <c r="G123" s="27" t="str" cm="1">
        <f t="array" ref="G123">IF($O123="","",_xlfn.TEXTJOIN(", ",TRUE,IF(EXACT('Дані_зв''язок'!$J$4:$J$1012,$O123)*('Дані_зв''язок'!$C$4:$C$1012=G$4),'Дані_зв''язок'!$D$4:$D$1012,"")))</f>
        <v>7:35</v>
      </c>
      <c r="H123" s="27" t="str" cm="1">
        <f t="array" ref="H123">IF($O123="","",_xlfn.TEXTJOIN(", ",TRUE,IF(EXACT('Дані_зв''язок'!$J$4:$J$1012,$O123)*('Дані_зв''язок'!$C$4:$C$1012=H$4),'Дані_зв''язок'!$D$4:$D$1012,"")))</f>
        <v/>
      </c>
      <c r="I123" s="27" t="str" cm="1">
        <f t="array" ref="I123">IF($O123="","",_xlfn.TEXTJOIN(", ",TRUE,IF(EXACT('Дані_зв''язок'!$J$4:$J$1012,$O123)*('Дані_зв''язок'!$C$4:$C$1012=I$4),'Дані_зв''язок'!$D$4:$D$1012,"")))</f>
        <v/>
      </c>
      <c r="J123" s="27" cm="1">
        <f t="array" ref="J123">IF($O123="","",COUNTIF(C123:I123,"?*")+SUMPRODUCT(LEN(C123:I123)-LEN(SUBSTITUTE(C123:I123,",",""))))</f>
        <v>2</v>
      </c>
      <c r="K123" s="28" t="str" cm="1">
        <f t="array" ref="K123">IF($O123="","",_xlfn.TEXTJOIN(", ",TRUE,IF(EXACT('Дані_зв''язок'!$J$4:$J$1012,$O123),'Дані_зв''язок'!$L$4:$L$1012,"")))</f>
        <v>№5</v>
      </c>
      <c r="L123" s="28" t="str" cm="1">
        <f t="array" ref="L123">IF($O123="","",_xlfn.TEXTJOIN(", ",TRUE,IF(EXACT('Дані_зв''язок'!$J$4:$J$1012,$O123),'Дані_зв''язок'!$M$4:$M$1012,"")))</f>
        <v>МАЗ 4381</v>
      </c>
      <c r="M123" s="27" t="str" cm="1">
        <f t="array" ref="M123">IF($O123="","",IF(SUMPRODUCT(MAX(EXACT('Дані_зв''язок'!$J$4:$J$1012,$O123)*IFERROR('Дані_зв''язок'!$H$4:$H$1012,0)))=0,"",SUMPRODUCT(MAX(EXACT('Дані_зв''язок'!$J$4:$J$1012,$O123)*IFERROR('Дані_зв''язок'!$H$4:$H$1012,0)))))</f>
        <v/>
      </c>
      <c r="O123" s="30" t="s">
        <v>1221</v>
      </c>
      <c r="P123" s="24" t="str" cm="1">
        <f t="array" ref="P123">IF($O123="","",IF($B123="","",IFERROR(IF(MIN(IFERROR(VALUE(TRIM(MID(SUBSTITUTE(SUBSTITUTE($B123,","," ")," ",REPT(" ",30)),{1;31;61;91;121;151;181},30))),""))=0,"",MIN(IFERROR(VALUE(TRIM(MID(SUBSTITUTE(SUBSTITUTE($B123,","," ")," ",REPT(" ",30)),{1;31;61;91;121;151;181},30))),""))),"")))</f>
        <v/>
      </c>
      <c r="Q123" s="23" t="str">
        <f t="shared" si="5"/>
        <v>Прилуки, Чернігівська обл., вул. В. Чорновола</v>
      </c>
      <c r="R123" s="35">
        <f>IF($O123="","",IFERROR(INDEX('Координати майданчиків'!$H$4:$H$64,MATCH($T123,'Координати майданчиків'!$B$4:$B$64,0)),IFERROR(IF(ABS(INDEX(Геокодування!$C$2:$C$361,MATCH($Q123,Геокодування!$B$2:$B$361,0))-50.5884)+ABS(INDEX(Геокодування!$D$2:$D$361,MATCH($Q123,Геокодування!$B$2:$B$361,0))-32.3876)&gt;0.15,"",INDEX(Геокодування!$C$2:$C$361,MATCH($Q123,Геокодування!$B$2:$B$361,0))),IFERROR(IF(ABS(INDEX(Геокодування!$C$2:$C$361,MATCH("Прилуки, Чернігівська обл., "&amp;$A123,Геокодування!$B$2:$B$361,0))-50.5884)+ABS(INDEX(Геокодування!$D$2:$D$361,MATCH("Прилуки, Чернігівська обл., "&amp;$A123,Геокодування!$B$2:$B$361,0))-32.3876)&gt;0.15,"",INDEX(Геокодування!$C$2:$C$361,MATCH("Прилуки, Чернігівська обл., "&amp;$A123,Геокодування!$B$2:$B$361,0))),""))))</f>
        <v>50.588054999999997</v>
      </c>
      <c r="S123" s="43">
        <f>IF($O123="","",IFERROR(INDEX('Координати майданчиків'!$I$4:$I$64,MATCH($T123,'Координати майданчиків'!$B$4:$B$64,0)),IFERROR(IF(ABS(INDEX(Геокодування!$C$2:$C$361,MATCH($Q123,Геокодування!$B$2:$B$361,0))-50.5884)+ABS(INDEX(Геокодування!$D$2:$D$361,MATCH($Q123,Геокодування!$B$2:$B$361,0))-32.3876)&gt;0.15,"",INDEX(Геокодування!$D$2:$D$361,MATCH($Q123,Геокодування!$B$2:$B$361,0))),IFERROR(IF(ABS(INDEX(Геокодування!$C$2:$C$361,MATCH("Прилуки, Чернігівська обл., "&amp;$A123,Геокодування!$B$2:$B$361,0))-50.5884)+ABS(INDEX(Геокодування!$D$2:$D$361,MATCH("Прилуки, Чернігівська обл., "&amp;$A123,Геокодування!$B$2:$B$361,0))-32.3876)&gt;0.15,"",INDEX(Геокодування!$D$2:$D$361,MATCH("Прилуки, Чернігівська обл., "&amp;$A123,Геокодування!$B$2:$B$361,0))),""))))</f>
        <v>32.381808999999997</v>
      </c>
      <c r="T123" s="44" t="str">
        <f>IF($O123="","",IFERROR(INDEX('Координати майданчиків'!$B$4:$B$64,MATCH($A123&amp;IF($P123="","",", "&amp;$P123),'Координати майданчиків'!$B$4:$B$64,0)),IFERROR(INDEX('Координати майданчиків'!$B$4:$B$64,MATCH($A123,'Координати майданчиків'!$B$4:$B$64,0)),"")))</f>
        <v/>
      </c>
    </row>
    <row r="124" spans="1:20" x14ac:dyDescent="0.35">
      <c r="A124" s="26" t="str">
        <f t="shared" si="3"/>
        <v>вул. В. Чорновола</v>
      </c>
      <c r="B124" s="26" t="str">
        <f t="shared" si="4"/>
        <v>109 а</v>
      </c>
      <c r="C124" s="27" t="str" cm="1">
        <f t="array" ref="C124">IF($O124="","",_xlfn.TEXTJOIN(", ",TRUE,IF(EXACT('Дані_зв''язок'!$J$4:$J$1012,$O124)*('Дані_зв''язок'!$C$4:$C$1012=C$4),'Дані_зв''язок'!$D$4:$D$1012,"")))</f>
        <v/>
      </c>
      <c r="D124" s="27" t="str" cm="1">
        <f t="array" ref="D124">IF($O124="","",_xlfn.TEXTJOIN(", ",TRUE,IF(EXACT('Дані_зв''язок'!$J$4:$J$1012,$O124)*('Дані_зв''язок'!$C$4:$C$1012=D$4),'Дані_зв''язок'!$D$4:$D$1012,"")))</f>
        <v/>
      </c>
      <c r="E124" s="27" t="str" cm="1">
        <f t="array" ref="E124">IF($O124="","",_xlfn.TEXTJOIN(", ",TRUE,IF(EXACT('Дані_зв''язок'!$J$4:$J$1012,$O124)*('Дані_зв''язок'!$C$4:$C$1012=E$4),'Дані_зв''язок'!$D$4:$D$1012,"")))</f>
        <v/>
      </c>
      <c r="F124" s="27" t="str" cm="1">
        <f t="array" ref="F124">IF($O124="","",_xlfn.TEXTJOIN(", ",TRUE,IF(EXACT('Дані_зв''язок'!$J$4:$J$1012,$O124)*('Дані_зв''язок'!$C$4:$C$1012=F$4),'Дані_зв''язок'!$D$4:$D$1012,"")))</f>
        <v>13:15</v>
      </c>
      <c r="G124" s="27" t="str" cm="1">
        <f t="array" ref="G124">IF($O124="","",_xlfn.TEXTJOIN(", ",TRUE,IF(EXACT('Дані_зв''язок'!$J$4:$J$1012,$O124)*('Дані_зв''язок'!$C$4:$C$1012=G$4),'Дані_зв''язок'!$D$4:$D$1012,"")))</f>
        <v/>
      </c>
      <c r="H124" s="27" t="str" cm="1">
        <f t="array" ref="H124">IF($O124="","",_xlfn.TEXTJOIN(", ",TRUE,IF(EXACT('Дані_зв''язок'!$J$4:$J$1012,$O124)*('Дані_зв''язок'!$C$4:$C$1012=H$4),'Дані_зв''язок'!$D$4:$D$1012,"")))</f>
        <v/>
      </c>
      <c r="I124" s="27" t="str" cm="1">
        <f t="array" ref="I124">IF($O124="","",_xlfn.TEXTJOIN(", ",TRUE,IF(EXACT('Дані_зв''язок'!$J$4:$J$1012,$O124)*('Дані_зв''язок'!$C$4:$C$1012=I$4),'Дані_зв''язок'!$D$4:$D$1012,"")))</f>
        <v>13:15</v>
      </c>
      <c r="J124" s="27" cm="1">
        <f t="array" ref="J124">IF($O124="","",COUNTIF(C124:I124,"?*")+SUMPRODUCT(LEN(C124:I124)-LEN(SUBSTITUTE(C124:I124,",",""))))</f>
        <v>2</v>
      </c>
      <c r="K124" s="28" t="str" cm="1">
        <f t="array" ref="K124">IF($O124="","",_xlfn.TEXTJOIN(", ",TRUE,IF(EXACT('Дані_зв''язок'!$J$4:$J$1012,$O124),'Дані_зв''язок'!$L$4:$L$1012,"")))</f>
        <v>№3</v>
      </c>
      <c r="L124" s="28" t="str" cm="1">
        <f t="array" ref="L124">IF($O124="","",_xlfn.TEXTJOIN(", ",TRUE,IF(EXACT('Дані_зв''язок'!$J$4:$J$1012,$O124),'Дані_зв''язок'!$M$4:$M$1012,"")))</f>
        <v>ГАЗ 3309</v>
      </c>
      <c r="M124" s="27" cm="1">
        <f t="array" ref="M124">IF($O124="","",IF(SUMPRODUCT(MAX(EXACT('Дані_зв''язок'!$J$4:$J$1012,$O124)*IFERROR('Дані_зв''язок'!$H$4:$H$1012,0)))=0,"",SUMPRODUCT(MAX(EXACT('Дані_зв''язок'!$J$4:$J$1012,$O124)*IFERROR('Дані_зв''язок'!$H$4:$H$1012,0)))))</f>
        <v>3</v>
      </c>
      <c r="O124" s="30" t="s">
        <v>1222</v>
      </c>
      <c r="P124" s="24" cm="1">
        <f t="array" ref="P124">IF($O124="","",IF($B124="","",IFERROR(IF(MIN(IFERROR(VALUE(TRIM(MID(SUBSTITUTE(SUBSTITUTE($B124,","," ")," ",REPT(" ",30)),{1;31;61;91;121;151;181},30))),""))=0,"",MIN(IFERROR(VALUE(TRIM(MID(SUBSTITUTE(SUBSTITUTE($B124,","," ")," ",REPT(" ",30)),{1;31;61;91;121;151;181},30))),""))),"")))</f>
        <v>109</v>
      </c>
      <c r="Q124" s="23" t="str">
        <f t="shared" si="5"/>
        <v>Прилуки, Чернігівська обл., вул. В. Чорновола, 109</v>
      </c>
      <c r="R124" s="35">
        <f>IF($O124="","",IFERROR(INDEX('Координати майданчиків'!$H$4:$H$64,MATCH($T124,'Координати майданчиків'!$B$4:$B$64,0)),IFERROR(IF(ABS(INDEX(Геокодування!$C$2:$C$361,MATCH($Q124,Геокодування!$B$2:$B$361,0))-50.5884)+ABS(INDEX(Геокодування!$D$2:$D$361,MATCH($Q124,Геокодування!$B$2:$B$361,0))-32.3876)&gt;0.15,"",INDEX(Геокодування!$C$2:$C$361,MATCH($Q124,Геокодування!$B$2:$B$361,0))),IFERROR(IF(ABS(INDEX(Геокодування!$C$2:$C$361,MATCH("Прилуки, Чернігівська обл., "&amp;$A124,Геокодування!$B$2:$B$361,0))-50.5884)+ABS(INDEX(Геокодування!$D$2:$D$361,MATCH("Прилуки, Чернігівська обл., "&amp;$A124,Геокодування!$B$2:$B$361,0))-32.3876)&gt;0.15,"",INDEX(Геокодування!$C$2:$C$361,MATCH("Прилуки, Чернігівська обл., "&amp;$A124,Геокодування!$B$2:$B$361,0))),""))))</f>
        <v>50.587175999999999</v>
      </c>
      <c r="S124" s="43">
        <f>IF($O124="","",IFERROR(INDEX('Координати майданчиків'!$I$4:$I$64,MATCH($T124,'Координати майданчиків'!$B$4:$B$64,0)),IFERROR(IF(ABS(INDEX(Геокодування!$C$2:$C$361,MATCH($Q124,Геокодування!$B$2:$B$361,0))-50.5884)+ABS(INDEX(Геокодування!$D$2:$D$361,MATCH($Q124,Геокодування!$B$2:$B$361,0))-32.3876)&gt;0.15,"",INDEX(Геокодування!$D$2:$D$361,MATCH($Q124,Геокодування!$B$2:$B$361,0))),IFERROR(IF(ABS(INDEX(Геокодування!$C$2:$C$361,MATCH("Прилуки, Чернігівська обл., "&amp;$A124,Геокодування!$B$2:$B$361,0))-50.5884)+ABS(INDEX(Геокодування!$D$2:$D$361,MATCH("Прилуки, Чернігівська обл., "&amp;$A124,Геокодування!$B$2:$B$361,0))-32.3876)&gt;0.15,"",INDEX(Геокодування!$D$2:$D$361,MATCH("Прилуки, Чернігівська обл., "&amp;$A124,Геокодування!$B$2:$B$361,0))),""))))</f>
        <v>32.385767000000001</v>
      </c>
      <c r="T124" s="44" t="str">
        <f>IF($O124="","",IFERROR(INDEX('Координати майданчиків'!$B$4:$B$64,MATCH($A124&amp;IF($P124="","",", "&amp;$P124),'Координати майданчиків'!$B$4:$B$64,0)),IFERROR(INDEX('Координати майданчиків'!$B$4:$B$64,MATCH($A124,'Координати майданчиків'!$B$4:$B$64,0)),"")))</f>
        <v/>
      </c>
    </row>
    <row r="125" spans="1:20" x14ac:dyDescent="0.35">
      <c r="A125" s="26" t="str">
        <f t="shared" si="3"/>
        <v>вул. В. Чорновола</v>
      </c>
      <c r="B125" s="26" t="str">
        <f t="shared" si="4"/>
        <v>109а</v>
      </c>
      <c r="C125" s="27" t="str" cm="1">
        <f t="array" ref="C125">IF($O125="","",_xlfn.TEXTJOIN(", ",TRUE,IF(EXACT('Дані_зв''язок'!$J$4:$J$1012,$O125)*('Дані_зв''язок'!$C$4:$C$1012=C$4),'Дані_зв''язок'!$D$4:$D$1012,"")))</f>
        <v>12:30</v>
      </c>
      <c r="D125" s="27" t="str" cm="1">
        <f t="array" ref="D125">IF($O125="","",_xlfn.TEXTJOIN(", ",TRUE,IF(EXACT('Дані_зв''язок'!$J$4:$J$1012,$O125)*('Дані_зв''язок'!$C$4:$C$1012=D$4),'Дані_зв''язок'!$D$4:$D$1012,"")))</f>
        <v>12:25</v>
      </c>
      <c r="E125" s="27" t="str" cm="1">
        <f t="array" ref="E125">IF($O125="","",_xlfn.TEXTJOIN(", ",TRUE,IF(EXACT('Дані_зв''язок'!$J$4:$J$1012,$O125)*('Дані_зв''язок'!$C$4:$C$1012=E$4),'Дані_зв''язок'!$D$4:$D$1012,"")))</f>
        <v>9:45</v>
      </c>
      <c r="F125" s="27" t="str" cm="1">
        <f t="array" ref="F125">IF($O125="","",_xlfn.TEXTJOIN(", ",TRUE,IF(EXACT('Дані_зв''язок'!$J$4:$J$1012,$O125)*('Дані_зв''язок'!$C$4:$C$1012=F$4),'Дані_зв''язок'!$D$4:$D$1012,"")))</f>
        <v/>
      </c>
      <c r="G125" s="27" t="str" cm="1">
        <f t="array" ref="G125">IF($O125="","",_xlfn.TEXTJOIN(", ",TRUE,IF(EXACT('Дані_зв''язок'!$J$4:$J$1012,$O125)*('Дані_зв''язок'!$C$4:$C$1012=G$4),'Дані_зв''язок'!$D$4:$D$1012,"")))</f>
        <v>10:45</v>
      </c>
      <c r="H125" s="27" t="str" cm="1">
        <f t="array" ref="H125">IF($O125="","",_xlfn.TEXTJOIN(", ",TRUE,IF(EXACT('Дані_зв''язок'!$J$4:$J$1012,$O125)*('Дані_зв''язок'!$C$4:$C$1012=H$4),'Дані_зв''язок'!$D$4:$D$1012,"")))</f>
        <v>12:25</v>
      </c>
      <c r="I125" s="27" t="str" cm="1">
        <f t="array" ref="I125">IF($O125="","",_xlfn.TEXTJOIN(", ",TRUE,IF(EXACT('Дані_зв''язок'!$J$4:$J$1012,$O125)*('Дані_зв''язок'!$C$4:$C$1012=I$4),'Дані_зв''язок'!$D$4:$D$1012,"")))</f>
        <v/>
      </c>
      <c r="J125" s="27" cm="1">
        <f t="array" ref="J125">IF($O125="","",COUNTIF(C125:I125,"?*")+SUMPRODUCT(LEN(C125:I125)-LEN(SUBSTITUTE(C125:I125,",",""))))</f>
        <v>5</v>
      </c>
      <c r="K125" s="28" t="str" cm="1">
        <f t="array" ref="K125">IF($O125="","",_xlfn.TEXTJOIN(", ",TRUE,IF(EXACT('Дані_зв''язок'!$J$4:$J$1012,$O125),'Дані_зв''язок'!$L$4:$L$1012,"")))</f>
        <v>№3</v>
      </c>
      <c r="L125" s="28" t="str" cm="1">
        <f t="array" ref="L125">IF($O125="","",_xlfn.TEXTJOIN(", ",TRUE,IF(EXACT('Дані_зв''язок'!$J$4:$J$1012,$O125),'Дані_зв''язок'!$M$4:$M$1012,"")))</f>
        <v>МАЗ-4371</v>
      </c>
      <c r="M125" s="27" cm="1">
        <f t="array" ref="M125">IF($O125="","",IF(SUMPRODUCT(MAX(EXACT('Дані_зв''язок'!$J$4:$J$1012,$O125)*IFERROR('Дані_зв''язок'!$H$4:$H$1012,0)))=0,"",SUMPRODUCT(MAX(EXACT('Дані_зв''язок'!$J$4:$J$1012,$O125)*IFERROR('Дані_зв''язок'!$H$4:$H$1012,0)))))</f>
        <v>5</v>
      </c>
      <c r="O125" s="30" t="s">
        <v>1223</v>
      </c>
      <c r="P125" s="24" t="str" cm="1">
        <f t="array" ref="P125">IF($O125="","",IF($B125="","",IFERROR(IF(MIN(IFERROR(VALUE(TRIM(MID(SUBSTITUTE(SUBSTITUTE($B125,","," ")," ",REPT(" ",30)),{1;31;61;91;121;151;181},30))),""))=0,"",MIN(IFERROR(VALUE(TRIM(MID(SUBSTITUTE(SUBSTITUTE($B125,","," ")," ",REPT(" ",30)),{1;31;61;91;121;151;181},30))),""))),"")))</f>
        <v/>
      </c>
      <c r="Q125" s="23" t="str">
        <f t="shared" si="5"/>
        <v>Прилуки, Чернігівська обл., вул. В. Чорновола</v>
      </c>
      <c r="R125" s="35">
        <f>IF($O125="","",IFERROR(INDEX('Координати майданчиків'!$H$4:$H$64,MATCH($T125,'Координати майданчиків'!$B$4:$B$64,0)),IFERROR(IF(ABS(INDEX(Геокодування!$C$2:$C$361,MATCH($Q125,Геокодування!$B$2:$B$361,0))-50.5884)+ABS(INDEX(Геокодування!$D$2:$D$361,MATCH($Q125,Геокодування!$B$2:$B$361,0))-32.3876)&gt;0.15,"",INDEX(Геокодування!$C$2:$C$361,MATCH($Q125,Геокодування!$B$2:$B$361,0))),IFERROR(IF(ABS(INDEX(Геокодування!$C$2:$C$361,MATCH("Прилуки, Чернігівська обл., "&amp;$A125,Геокодування!$B$2:$B$361,0))-50.5884)+ABS(INDEX(Геокодування!$D$2:$D$361,MATCH("Прилуки, Чернігівська обл., "&amp;$A125,Геокодування!$B$2:$B$361,0))-32.3876)&gt;0.15,"",INDEX(Геокодування!$C$2:$C$361,MATCH("Прилуки, Чернігівська обл., "&amp;$A125,Геокодування!$B$2:$B$361,0))),""))))</f>
        <v>50.588054999999997</v>
      </c>
      <c r="S125" s="43">
        <f>IF($O125="","",IFERROR(INDEX('Координати майданчиків'!$I$4:$I$64,MATCH($T125,'Координати майданчиків'!$B$4:$B$64,0)),IFERROR(IF(ABS(INDEX(Геокодування!$C$2:$C$361,MATCH($Q125,Геокодування!$B$2:$B$361,0))-50.5884)+ABS(INDEX(Геокодування!$D$2:$D$361,MATCH($Q125,Геокодування!$B$2:$B$361,0))-32.3876)&gt;0.15,"",INDEX(Геокодування!$D$2:$D$361,MATCH($Q125,Геокодування!$B$2:$B$361,0))),IFERROR(IF(ABS(INDEX(Геокодування!$C$2:$C$361,MATCH("Прилуки, Чернігівська обл., "&amp;$A125,Геокодування!$B$2:$B$361,0))-50.5884)+ABS(INDEX(Геокодування!$D$2:$D$361,MATCH("Прилуки, Чернігівська обл., "&amp;$A125,Геокодування!$B$2:$B$361,0))-32.3876)&gt;0.15,"",INDEX(Геокодування!$D$2:$D$361,MATCH("Прилуки, Чернігівська обл., "&amp;$A125,Геокодування!$B$2:$B$361,0))),""))))</f>
        <v>32.381808999999997</v>
      </c>
      <c r="T125" s="44" t="str">
        <f>IF($O125="","",IFERROR(INDEX('Координати майданчиків'!$B$4:$B$64,MATCH($A125&amp;IF($P125="","",", "&amp;$P125),'Координати майданчиків'!$B$4:$B$64,0)),IFERROR(INDEX('Координати майданчиків'!$B$4:$B$64,MATCH($A125,'Координати майданчиків'!$B$4:$B$64,0)),"")))</f>
        <v/>
      </c>
    </row>
    <row r="126" spans="1:20" x14ac:dyDescent="0.35">
      <c r="A126" s="26" t="str">
        <f t="shared" si="3"/>
        <v>вул. В. Чорновола</v>
      </c>
      <c r="B126" s="26" t="str">
        <f t="shared" si="4"/>
        <v>113</v>
      </c>
      <c r="C126" s="27" t="str" cm="1">
        <f t="array" ref="C126">IF($O126="","",_xlfn.TEXTJOIN(", ",TRUE,IF(EXACT('Дані_зв''язок'!$J$4:$J$1012,$O126)*('Дані_зв''язок'!$C$4:$C$1012=C$4),'Дані_зв''язок'!$D$4:$D$1012,"")))</f>
        <v>10:00</v>
      </c>
      <c r="D126" s="27" t="str" cm="1">
        <f t="array" ref="D126">IF($O126="","",_xlfn.TEXTJOIN(", ",TRUE,IF(EXACT('Дані_зв''язок'!$J$4:$J$1012,$O126)*('Дані_зв''язок'!$C$4:$C$1012=D$4),'Дані_зв''язок'!$D$4:$D$1012,"")))</f>
        <v>12:55</v>
      </c>
      <c r="E126" s="27" t="str" cm="1">
        <f t="array" ref="E126">IF($O126="","",_xlfn.TEXTJOIN(", ",TRUE,IF(EXACT('Дані_зв''язок'!$J$4:$J$1012,$O126)*('Дані_зв''язок'!$C$4:$C$1012=E$4),'Дані_зв''язок'!$D$4:$D$1012,"")))</f>
        <v>10:00</v>
      </c>
      <c r="F126" s="27" t="str" cm="1">
        <f t="array" ref="F126">IF($O126="","",_xlfn.TEXTJOIN(", ",TRUE,IF(EXACT('Дані_зв''язок'!$J$4:$J$1012,$O126)*('Дані_зв''язок'!$C$4:$C$1012=F$4),'Дані_зв''язок'!$D$4:$D$1012,"")))</f>
        <v>12:55</v>
      </c>
      <c r="G126" s="27" t="str" cm="1">
        <f t="array" ref="G126">IF($O126="","",_xlfn.TEXTJOIN(", ",TRUE,IF(EXACT('Дані_зв''язок'!$J$4:$J$1012,$O126)*('Дані_зв''язок'!$C$4:$C$1012=G$4),'Дані_зв''язок'!$D$4:$D$1012,"")))</f>
        <v>10:35, 15:35</v>
      </c>
      <c r="H126" s="27" t="str" cm="1">
        <f t="array" ref="H126">IF($O126="","",_xlfn.TEXTJOIN(", ",TRUE,IF(EXACT('Дані_зв''язок'!$J$4:$J$1012,$O126)*('Дані_зв''язок'!$C$4:$C$1012=H$4),'Дані_зв''язок'!$D$4:$D$1012,"")))</f>
        <v>12:10</v>
      </c>
      <c r="I126" s="27" t="str" cm="1">
        <f t="array" ref="I126">IF($O126="","",_xlfn.TEXTJOIN(", ",TRUE,IF(EXACT('Дані_зв''язок'!$J$4:$J$1012,$O126)*('Дані_зв''язок'!$C$4:$C$1012=I$4),'Дані_зв''язок'!$D$4:$D$1012,"")))</f>
        <v>12:55</v>
      </c>
      <c r="J126" s="27" cm="1">
        <f t="array" ref="J126">IF($O126="","",COUNTIF(C126:I126,"?*")+SUMPRODUCT(LEN(C126:I126)-LEN(SUBSTITUTE(C126:I126,",",""))))</f>
        <v>8</v>
      </c>
      <c r="K126" s="28" t="str" cm="1">
        <f t="array" ref="K126">IF($O126="","",_xlfn.TEXTJOIN(", ",TRUE,IF(EXACT('Дані_зв''язок'!$J$4:$J$1012,$O126),'Дані_зв''язок'!$L$4:$L$1012,"")))</f>
        <v>№3</v>
      </c>
      <c r="L126" s="28" t="str" cm="1">
        <f t="array" ref="L126">IF($O126="","",_xlfn.TEXTJOIN(", ",TRUE,IF(EXACT('Дані_зв''язок'!$J$4:$J$1012,$O126),'Дані_зв''язок'!$M$4:$M$1012,"")))</f>
        <v>МАЗ-4371, ГАЗ 3309</v>
      </c>
      <c r="M126" s="27" cm="1">
        <f t="array" ref="M126">IF($O126="","",IF(SUMPRODUCT(MAX(EXACT('Дані_зв''язок'!$J$4:$J$1012,$O126)*IFERROR('Дані_зв''язок'!$H$4:$H$1012,0)))=0,"",SUMPRODUCT(MAX(EXACT('Дані_зв''язок'!$J$4:$J$1012,$O126)*IFERROR('Дані_зв''язок'!$H$4:$H$1012,0)))))</f>
        <v>3</v>
      </c>
      <c r="O126" s="30" t="s">
        <v>1224</v>
      </c>
      <c r="P126" s="24" cm="1">
        <f t="array" ref="P126">IF($O126="","",IF($B126="","",IFERROR(IF(MIN(IFERROR(VALUE(TRIM(MID(SUBSTITUTE(SUBSTITUTE($B126,","," ")," ",REPT(" ",30)),{1;31;61;91;121;151;181},30))),""))=0,"",MIN(IFERROR(VALUE(TRIM(MID(SUBSTITUTE(SUBSTITUTE($B126,","," ")," ",REPT(" ",30)),{1;31;61;91;121;151;181},30))),""))),"")))</f>
        <v>113</v>
      </c>
      <c r="Q126" s="23" t="str">
        <f t="shared" si="5"/>
        <v>Прилуки, Чернігівська обл., вул. В. Чорновола, 113</v>
      </c>
      <c r="R126" s="35">
        <f>IF($O126="","",IFERROR(INDEX('Координати майданчиків'!$H$4:$H$64,MATCH($T126,'Координати майданчиків'!$B$4:$B$64,0)),IFERROR(IF(ABS(INDEX(Геокодування!$C$2:$C$361,MATCH($Q126,Геокодування!$B$2:$B$361,0))-50.5884)+ABS(INDEX(Геокодування!$D$2:$D$361,MATCH($Q126,Геокодування!$B$2:$B$361,0))-32.3876)&gt;0.15,"",INDEX(Геокодування!$C$2:$C$361,MATCH($Q126,Геокодування!$B$2:$B$361,0))),IFERROR(IF(ABS(INDEX(Геокодування!$C$2:$C$361,MATCH("Прилуки, Чернігівська обл., "&amp;$A126,Геокодування!$B$2:$B$361,0))-50.5884)+ABS(INDEX(Геокодування!$D$2:$D$361,MATCH("Прилуки, Чернігівська обл., "&amp;$A126,Геокодування!$B$2:$B$361,0))-32.3876)&gt;0.15,"",INDEX(Геокодування!$C$2:$C$361,MATCH("Прилуки, Чернігівська обл., "&amp;$A126,Геокодування!$B$2:$B$361,0))),""))))</f>
        <v>50.585990000000002</v>
      </c>
      <c r="S126" s="43">
        <f>IF($O126="","",IFERROR(INDEX('Координати майданчиків'!$I$4:$I$64,MATCH($T126,'Координати майданчиків'!$B$4:$B$64,0)),IFERROR(IF(ABS(INDEX(Геокодування!$C$2:$C$361,MATCH($Q126,Геокодування!$B$2:$B$361,0))-50.5884)+ABS(INDEX(Геокодування!$D$2:$D$361,MATCH($Q126,Геокодування!$B$2:$B$361,0))-32.3876)&gt;0.15,"",INDEX(Геокодування!$D$2:$D$361,MATCH($Q126,Геокодування!$B$2:$B$361,0))),IFERROR(IF(ABS(INDEX(Геокодування!$C$2:$C$361,MATCH("Прилуки, Чернігівська обл., "&amp;$A126,Геокодування!$B$2:$B$361,0))-50.5884)+ABS(INDEX(Геокодування!$D$2:$D$361,MATCH("Прилуки, Чернігівська обл., "&amp;$A126,Геокодування!$B$2:$B$361,0))-32.3876)&gt;0.15,"",INDEX(Геокодування!$D$2:$D$361,MATCH("Прилуки, Чернігівська обл., "&amp;$A126,Геокодування!$B$2:$B$361,0))),""))))</f>
        <v>32.388530000000003</v>
      </c>
      <c r="T126" s="44" t="str">
        <f>IF($O126="","",IFERROR(INDEX('Координати майданчиків'!$B$4:$B$64,MATCH($A126&amp;IF($P126="","",", "&amp;$P126),'Координати майданчиків'!$B$4:$B$64,0)),IFERROR(INDEX('Координати майданчиків'!$B$4:$B$64,MATCH($A126,'Координати майданчиків'!$B$4:$B$64,0)),"")))</f>
        <v>вул. В. Чорновола, 113</v>
      </c>
    </row>
    <row r="127" spans="1:20" x14ac:dyDescent="0.35">
      <c r="A127" s="26" t="str">
        <f t="shared" si="3"/>
        <v>вул. В. Чорновола</v>
      </c>
      <c r="B127" s="26" t="str">
        <f t="shared" si="4"/>
        <v>87-А</v>
      </c>
      <c r="C127" s="27" t="str" cm="1">
        <f t="array" ref="C127">IF($O127="","",_xlfn.TEXTJOIN(", ",TRUE,IF(EXACT('Дані_зв''язок'!$J$4:$J$1012,$O127)*('Дані_зв''язок'!$C$4:$C$1012=C$4),'Дані_зв''язок'!$D$4:$D$1012,"")))</f>
        <v/>
      </c>
      <c r="D127" s="27" t="str" cm="1">
        <f t="array" ref="D127">IF($O127="","",_xlfn.TEXTJOIN(", ",TRUE,IF(EXACT('Дані_зв''язок'!$J$4:$J$1012,$O127)*('Дані_зв''язок'!$C$4:$C$1012=D$4),'Дані_зв''язок'!$D$4:$D$1012,"")))</f>
        <v/>
      </c>
      <c r="E127" s="27" t="str" cm="1">
        <f t="array" ref="E127">IF($O127="","",_xlfn.TEXTJOIN(", ",TRUE,IF(EXACT('Дані_зв''язок'!$J$4:$J$1012,$O127)*('Дані_зв''язок'!$C$4:$C$1012=E$4),'Дані_зв''язок'!$D$4:$D$1012,"")))</f>
        <v>×</v>
      </c>
      <c r="F127" s="27" t="str" cm="1">
        <f t="array" ref="F127">IF($O127="","",_xlfn.TEXTJOIN(", ",TRUE,IF(EXACT('Дані_зв''язок'!$J$4:$J$1012,$O127)*('Дані_зв''язок'!$C$4:$C$1012=F$4),'Дані_зв''язок'!$D$4:$D$1012,"")))</f>
        <v/>
      </c>
      <c r="G127" s="27" t="str" cm="1">
        <f t="array" ref="G127">IF($O127="","",_xlfn.TEXTJOIN(", ",TRUE,IF(EXACT('Дані_зв''язок'!$J$4:$J$1012,$O127)*('Дані_зв''язок'!$C$4:$C$1012=G$4),'Дані_зв''язок'!$D$4:$D$1012,"")))</f>
        <v/>
      </c>
      <c r="H127" s="27" t="str" cm="1">
        <f t="array" ref="H127">IF($O127="","",_xlfn.TEXTJOIN(", ",TRUE,IF(EXACT('Дані_зв''язок'!$J$4:$J$1012,$O127)*('Дані_зв''язок'!$C$4:$C$1012=H$4),'Дані_зв''язок'!$D$4:$D$1012,"")))</f>
        <v/>
      </c>
      <c r="I127" s="27" t="str" cm="1">
        <f t="array" ref="I127">IF($O127="","",_xlfn.TEXTJOIN(", ",TRUE,IF(EXACT('Дані_зв''язок'!$J$4:$J$1012,$O127)*('Дані_зв''язок'!$C$4:$C$1012=I$4),'Дані_зв''язок'!$D$4:$D$1012,"")))</f>
        <v/>
      </c>
      <c r="J127" s="27" cm="1">
        <f t="array" ref="J127">IF($O127="","",COUNTIF(C127:I127,"?*")+SUMPRODUCT(LEN(C127:I127)-LEN(SUBSTITUTE(C127:I127,",",""))))</f>
        <v>1</v>
      </c>
      <c r="K127" s="28" t="str" cm="1">
        <f t="array" ref="K127">IF($O127="","",_xlfn.TEXTJOIN(", ",TRUE,IF(EXACT('Дані_зв''язок'!$J$4:$J$1012,$O127),'Дані_зв''язок'!$L$4:$L$1012,"")))</f>
        <v>№2 (ВГВ)</v>
      </c>
      <c r="L127" s="28" t="str" cm="1">
        <f t="array" ref="L127">IF($O127="","",_xlfn.TEXTJOIN(", ",TRUE,IF(EXACT('Дані_зв''язок'!$J$4:$J$1012,$O127),'Дані_зв''язок'!$M$4:$M$1012,"")))</f>
        <v>Рено Лендер</v>
      </c>
      <c r="M127" s="27" t="str" cm="1">
        <f t="array" ref="M127">IF($O127="","",IF(SUMPRODUCT(MAX(EXACT('Дані_зв''язок'!$J$4:$J$1012,$O127)*IFERROR('Дані_зв''язок'!$H$4:$H$1012,0)))=0,"",SUMPRODUCT(MAX(EXACT('Дані_зв''язок'!$J$4:$J$1012,$O127)*IFERROR('Дані_зв''язок'!$H$4:$H$1012,0)))))</f>
        <v/>
      </c>
      <c r="O127" s="30" t="s">
        <v>1225</v>
      </c>
      <c r="P127" s="24" t="str" cm="1">
        <f t="array" ref="P127">IF($O127="","",IF($B127="","",IFERROR(IF(MIN(IFERROR(VALUE(TRIM(MID(SUBSTITUTE(SUBSTITUTE($B127,","," ")," ",REPT(" ",30)),{1;31;61;91;121;151;181},30))),""))=0,"",MIN(IFERROR(VALUE(TRIM(MID(SUBSTITUTE(SUBSTITUTE($B127,","," ")," ",REPT(" ",30)),{1;31;61;91;121;151;181},30))),""))),"")))</f>
        <v/>
      </c>
      <c r="Q127" s="23" t="str">
        <f t="shared" si="5"/>
        <v>Прилуки, Чернігівська обл., вул. В. Чорновола</v>
      </c>
      <c r="R127" s="35">
        <f>IF($O127="","",IFERROR(INDEX('Координати майданчиків'!$H$4:$H$64,MATCH($T127,'Координати майданчиків'!$B$4:$B$64,0)),IFERROR(IF(ABS(INDEX(Геокодування!$C$2:$C$361,MATCH($Q127,Геокодування!$B$2:$B$361,0))-50.5884)+ABS(INDEX(Геокодування!$D$2:$D$361,MATCH($Q127,Геокодування!$B$2:$B$361,0))-32.3876)&gt;0.15,"",INDEX(Геокодування!$C$2:$C$361,MATCH($Q127,Геокодування!$B$2:$B$361,0))),IFERROR(IF(ABS(INDEX(Геокодування!$C$2:$C$361,MATCH("Прилуки, Чернігівська обл., "&amp;$A127,Геокодування!$B$2:$B$361,0))-50.5884)+ABS(INDEX(Геокодування!$D$2:$D$361,MATCH("Прилуки, Чернігівська обл., "&amp;$A127,Геокодування!$B$2:$B$361,0))-32.3876)&gt;0.15,"",INDEX(Геокодування!$C$2:$C$361,MATCH("Прилуки, Чернігівська обл., "&amp;$A127,Геокодування!$B$2:$B$361,0))),""))))</f>
        <v>50.588054999999997</v>
      </c>
      <c r="S127" s="43">
        <f>IF($O127="","",IFERROR(INDEX('Координати майданчиків'!$I$4:$I$64,MATCH($T127,'Координати майданчиків'!$B$4:$B$64,0)),IFERROR(IF(ABS(INDEX(Геокодування!$C$2:$C$361,MATCH($Q127,Геокодування!$B$2:$B$361,0))-50.5884)+ABS(INDEX(Геокодування!$D$2:$D$361,MATCH($Q127,Геокодування!$B$2:$B$361,0))-32.3876)&gt;0.15,"",INDEX(Геокодування!$D$2:$D$361,MATCH($Q127,Геокодування!$B$2:$B$361,0))),IFERROR(IF(ABS(INDEX(Геокодування!$C$2:$C$361,MATCH("Прилуки, Чернігівська обл., "&amp;$A127,Геокодування!$B$2:$B$361,0))-50.5884)+ABS(INDEX(Геокодування!$D$2:$D$361,MATCH("Прилуки, Чернігівська обл., "&amp;$A127,Геокодування!$B$2:$B$361,0))-32.3876)&gt;0.15,"",INDEX(Геокодування!$D$2:$D$361,MATCH("Прилуки, Чернігівська обл., "&amp;$A127,Геокодування!$B$2:$B$361,0))),""))))</f>
        <v>32.381808999999997</v>
      </c>
      <c r="T127" s="44" t="str">
        <f>IF($O127="","",IFERROR(INDEX('Координати майданчиків'!$B$4:$B$64,MATCH($A127&amp;IF($P127="","",", "&amp;$P127),'Координати майданчиків'!$B$4:$B$64,0)),IFERROR(INDEX('Координати майданчиків'!$B$4:$B$64,MATCH($A127,'Координати майданчиків'!$B$4:$B$64,0)),"")))</f>
        <v/>
      </c>
    </row>
    <row r="128" spans="1:20" x14ac:dyDescent="0.35">
      <c r="A128" s="26" t="str">
        <f t="shared" si="3"/>
        <v>вул. В. Чорновола</v>
      </c>
      <c r="B128" s="26" t="str">
        <f t="shared" si="4"/>
        <v>АЗС</v>
      </c>
      <c r="C128" s="27" t="str" cm="1">
        <f t="array" ref="C128">IF($O128="","",_xlfn.TEXTJOIN(", ",TRUE,IF(EXACT('Дані_зв''язок'!$J$4:$J$1012,$O128)*('Дані_зв''язок'!$C$4:$C$1012=C$4),'Дані_зв''язок'!$D$4:$D$1012,"")))</f>
        <v>12:10</v>
      </c>
      <c r="D128" s="27" t="str" cm="1">
        <f t="array" ref="D128">IF($O128="","",_xlfn.TEXTJOIN(", ",TRUE,IF(EXACT('Дані_зв''язок'!$J$4:$J$1012,$O128)*('Дані_зв''язок'!$C$4:$C$1012=D$4),'Дані_зв''язок'!$D$4:$D$1012,"")))</f>
        <v/>
      </c>
      <c r="E128" s="27" t="str" cm="1">
        <f t="array" ref="E128">IF($O128="","",_xlfn.TEXTJOIN(", ",TRUE,IF(EXACT('Дані_зв''язок'!$J$4:$J$1012,$O128)*('Дані_зв''язок'!$C$4:$C$1012=E$4),'Дані_зв''язок'!$D$4:$D$1012,"")))</f>
        <v/>
      </c>
      <c r="F128" s="27" t="str" cm="1">
        <f t="array" ref="F128">IF($O128="","",_xlfn.TEXTJOIN(", ",TRUE,IF(EXACT('Дані_зв''язок'!$J$4:$J$1012,$O128)*('Дані_зв''язок'!$C$4:$C$1012=F$4),'Дані_зв''язок'!$D$4:$D$1012,"")))</f>
        <v/>
      </c>
      <c r="G128" s="27" t="str" cm="1">
        <f t="array" ref="G128">IF($O128="","",_xlfn.TEXTJOIN(", ",TRUE,IF(EXACT('Дані_зв''язок'!$J$4:$J$1012,$O128)*('Дані_зв''язок'!$C$4:$C$1012=G$4),'Дані_зв''язок'!$D$4:$D$1012,"")))</f>
        <v>10:05</v>
      </c>
      <c r="H128" s="27" t="str" cm="1">
        <f t="array" ref="H128">IF($O128="","",_xlfn.TEXTJOIN(", ",TRUE,IF(EXACT('Дані_зв''язок'!$J$4:$J$1012,$O128)*('Дані_зв''язок'!$C$4:$C$1012=H$4),'Дані_зв''язок'!$D$4:$D$1012,"")))</f>
        <v/>
      </c>
      <c r="I128" s="27" t="str" cm="1">
        <f t="array" ref="I128">IF($O128="","",_xlfn.TEXTJOIN(", ",TRUE,IF(EXACT('Дані_зв''язок'!$J$4:$J$1012,$O128)*('Дані_зв''язок'!$C$4:$C$1012=I$4),'Дані_зв''язок'!$D$4:$D$1012,"")))</f>
        <v/>
      </c>
      <c r="J128" s="27" cm="1">
        <f t="array" ref="J128">IF($O128="","",COUNTIF(C128:I128,"?*")+SUMPRODUCT(LEN(C128:I128)-LEN(SUBSTITUTE(C128:I128,",",""))))</f>
        <v>2</v>
      </c>
      <c r="K128" s="28" t="str" cm="1">
        <f t="array" ref="K128">IF($O128="","",_xlfn.TEXTJOIN(", ",TRUE,IF(EXACT('Дані_зв''язок'!$J$4:$J$1012,$O128),'Дані_зв''язок'!$L$4:$L$1012,"")))</f>
        <v>№1</v>
      </c>
      <c r="L128" s="28" t="str" cm="1">
        <f t="array" ref="L128">IF($O128="","",_xlfn.TEXTJOIN(", ",TRUE,IF(EXACT('Дані_зв''язок'!$J$4:$J$1012,$O128),'Дані_зв''язок'!$M$4:$M$1012,"")))</f>
        <v>АТ-4021/1120, КАМАЗ 55111</v>
      </c>
      <c r="M128" s="27" cm="1">
        <f t="array" ref="M128">IF($O128="","",IF(SUMPRODUCT(MAX(EXACT('Дані_зв''язок'!$J$4:$J$1012,$O128)*IFERROR('Дані_зв''язок'!$H$4:$H$1012,0)))=0,"",SUMPRODUCT(MAX(EXACT('Дані_зв''язок'!$J$4:$J$1012,$O128)*IFERROR('Дані_зв''язок'!$H$4:$H$1012,0)))))</f>
        <v>1</v>
      </c>
      <c r="O128" s="30" t="s">
        <v>1226</v>
      </c>
      <c r="P128" s="24" t="str" cm="1">
        <f t="array" ref="P128">IF($O128="","",IF($B128="","",IFERROR(IF(MIN(IFERROR(VALUE(TRIM(MID(SUBSTITUTE(SUBSTITUTE($B128,","," ")," ",REPT(" ",30)),{1;31;61;91;121;151;181},30))),""))=0,"",MIN(IFERROR(VALUE(TRIM(MID(SUBSTITUTE(SUBSTITUTE($B128,","," ")," ",REPT(" ",30)),{1;31;61;91;121;151;181},30))),""))),"")))</f>
        <v/>
      </c>
      <c r="Q128" s="23" t="str">
        <f t="shared" si="5"/>
        <v>Прилуки, Чернігівська обл., вул. В. Чорновола</v>
      </c>
      <c r="R128" s="35">
        <f>IF($O128="","",IFERROR(INDEX('Координати майданчиків'!$H$4:$H$64,MATCH($T128,'Координати майданчиків'!$B$4:$B$64,0)),IFERROR(IF(ABS(INDEX(Геокодування!$C$2:$C$361,MATCH($Q128,Геокодування!$B$2:$B$361,0))-50.5884)+ABS(INDEX(Геокодування!$D$2:$D$361,MATCH($Q128,Геокодування!$B$2:$B$361,0))-32.3876)&gt;0.15,"",INDEX(Геокодування!$C$2:$C$361,MATCH($Q128,Геокодування!$B$2:$B$361,0))),IFERROR(IF(ABS(INDEX(Геокодування!$C$2:$C$361,MATCH("Прилуки, Чернігівська обл., "&amp;$A128,Геокодування!$B$2:$B$361,0))-50.5884)+ABS(INDEX(Геокодування!$D$2:$D$361,MATCH("Прилуки, Чернігівська обл., "&amp;$A128,Геокодування!$B$2:$B$361,0))-32.3876)&gt;0.15,"",INDEX(Геокодування!$C$2:$C$361,MATCH("Прилуки, Чернігівська обл., "&amp;$A128,Геокодування!$B$2:$B$361,0))),""))))</f>
        <v>50.588054999999997</v>
      </c>
      <c r="S128" s="43">
        <f>IF($O128="","",IFERROR(INDEX('Координати майданчиків'!$I$4:$I$64,MATCH($T128,'Координати майданчиків'!$B$4:$B$64,0)),IFERROR(IF(ABS(INDEX(Геокодування!$C$2:$C$361,MATCH($Q128,Геокодування!$B$2:$B$361,0))-50.5884)+ABS(INDEX(Геокодування!$D$2:$D$361,MATCH($Q128,Геокодування!$B$2:$B$361,0))-32.3876)&gt;0.15,"",INDEX(Геокодування!$D$2:$D$361,MATCH($Q128,Геокодування!$B$2:$B$361,0))),IFERROR(IF(ABS(INDEX(Геокодування!$C$2:$C$361,MATCH("Прилуки, Чернігівська обл., "&amp;$A128,Геокодування!$B$2:$B$361,0))-50.5884)+ABS(INDEX(Геокодування!$D$2:$D$361,MATCH("Прилуки, Чернігівська обл., "&amp;$A128,Геокодування!$B$2:$B$361,0))-32.3876)&gt;0.15,"",INDEX(Геокодування!$D$2:$D$361,MATCH("Прилуки, Чернігівська обл., "&amp;$A128,Геокодування!$B$2:$B$361,0))),""))))</f>
        <v>32.381808999999997</v>
      </c>
      <c r="T128" s="44" t="str">
        <f>IF($O128="","",IFERROR(INDEX('Координати майданчиків'!$B$4:$B$64,MATCH($A128&amp;IF($P128="","",", "&amp;$P128),'Координати майданчиків'!$B$4:$B$64,0)),IFERROR(INDEX('Координати майданчиків'!$B$4:$B$64,MATCH($A128,'Координати майданчиків'!$B$4:$B$64,0)),"")))</f>
        <v/>
      </c>
    </row>
    <row r="129" spans="1:20" x14ac:dyDescent="0.35">
      <c r="A129" s="26" t="str">
        <f t="shared" si="3"/>
        <v>вул. В. Чорновола</v>
      </c>
      <c r="B129" s="26" t="str">
        <f t="shared" si="4"/>
        <v>Панорама</v>
      </c>
      <c r="C129" s="27" t="str" cm="1">
        <f t="array" ref="C129">IF($O129="","",_xlfn.TEXTJOIN(", ",TRUE,IF(EXACT('Дані_зв''язок'!$J$4:$J$1012,$O129)*('Дані_зв''язок'!$C$4:$C$1012=C$4),'Дані_зв''язок'!$D$4:$D$1012,"")))</f>
        <v/>
      </c>
      <c r="D129" s="27" t="str" cm="1">
        <f t="array" ref="D129">IF($O129="","",_xlfn.TEXTJOIN(", ",TRUE,IF(EXACT('Дані_зв''язок'!$J$4:$J$1012,$O129)*('Дані_зв''язок'!$C$4:$C$1012=D$4),'Дані_зв''язок'!$D$4:$D$1012,"")))</f>
        <v>10:00</v>
      </c>
      <c r="E129" s="27" t="str" cm="1">
        <f t="array" ref="E129">IF($O129="","",_xlfn.TEXTJOIN(", ",TRUE,IF(EXACT('Дані_зв''язок'!$J$4:$J$1012,$O129)*('Дані_зв''язок'!$C$4:$C$1012=E$4),'Дані_зв''язок'!$D$4:$D$1012,"")))</f>
        <v/>
      </c>
      <c r="F129" s="27" t="str" cm="1">
        <f t="array" ref="F129">IF($O129="","",_xlfn.TEXTJOIN(", ",TRUE,IF(EXACT('Дані_зв''язок'!$J$4:$J$1012,$O129)*('Дані_зв''язок'!$C$4:$C$1012=F$4),'Дані_зв''язок'!$D$4:$D$1012,"")))</f>
        <v/>
      </c>
      <c r="G129" s="27" t="str" cm="1">
        <f t="array" ref="G129">IF($O129="","",_xlfn.TEXTJOIN(", ",TRUE,IF(EXACT('Дані_зв''язок'!$J$4:$J$1012,$O129)*('Дані_зв''язок'!$C$4:$C$1012=G$4),'Дані_зв''язок'!$D$4:$D$1012,"")))</f>
        <v>10:50</v>
      </c>
      <c r="H129" s="27" t="str" cm="1">
        <f t="array" ref="H129">IF($O129="","",_xlfn.TEXTJOIN(", ",TRUE,IF(EXACT('Дані_зв''язок'!$J$4:$J$1012,$O129)*('Дані_зв''язок'!$C$4:$C$1012=H$4),'Дані_зв''язок'!$D$4:$D$1012,"")))</f>
        <v>10:00</v>
      </c>
      <c r="I129" s="27" t="str" cm="1">
        <f t="array" ref="I129">IF($O129="","",_xlfn.TEXTJOIN(", ",TRUE,IF(EXACT('Дані_зв''язок'!$J$4:$J$1012,$O129)*('Дані_зв''язок'!$C$4:$C$1012=I$4),'Дані_зв''язок'!$D$4:$D$1012,"")))</f>
        <v/>
      </c>
      <c r="J129" s="27" cm="1">
        <f t="array" ref="J129">IF($O129="","",COUNTIF(C129:I129,"?*")+SUMPRODUCT(LEN(C129:I129)-LEN(SUBSTITUTE(C129:I129,",",""))))</f>
        <v>3</v>
      </c>
      <c r="K129" s="28" t="str" cm="1">
        <f t="array" ref="K129">IF($O129="","",_xlfn.TEXTJOIN(", ",TRUE,IF(EXACT('Дані_зв''язок'!$J$4:$J$1012,$O129),'Дані_зв''язок'!$L$4:$L$1012,"")))</f>
        <v>№1</v>
      </c>
      <c r="L129" s="28" t="str" cm="1">
        <f t="array" ref="L129">IF($O129="","",_xlfn.TEXTJOIN(", ",TRUE,IF(EXACT('Дані_зв''язок'!$J$4:$J$1012,$O129),'Дані_зв''язок'!$M$4:$M$1012,"")))</f>
        <v>КАМАЗ 55111</v>
      </c>
      <c r="M129" s="27" cm="1">
        <f t="array" ref="M129">IF($O129="","",IF(SUMPRODUCT(MAX(EXACT('Дані_зв''язок'!$J$4:$J$1012,$O129)*IFERROR('Дані_зв''язок'!$H$4:$H$1012,0)))=0,"",SUMPRODUCT(MAX(EXACT('Дані_зв''язок'!$J$4:$J$1012,$O129)*IFERROR('Дані_зв''язок'!$H$4:$H$1012,0)))))</f>
        <v>1</v>
      </c>
      <c r="O129" s="30" t="s">
        <v>1227</v>
      </c>
      <c r="P129" s="24" t="str" cm="1">
        <f t="array" ref="P129">IF($O129="","",IF($B129="","",IFERROR(IF(MIN(IFERROR(VALUE(TRIM(MID(SUBSTITUTE(SUBSTITUTE($B129,","," ")," ",REPT(" ",30)),{1;31;61;91;121;151;181},30))),""))=0,"",MIN(IFERROR(VALUE(TRIM(MID(SUBSTITUTE(SUBSTITUTE($B129,","," ")," ",REPT(" ",30)),{1;31;61;91;121;151;181},30))),""))),"")))</f>
        <v/>
      </c>
      <c r="Q129" s="23" t="str">
        <f t="shared" si="5"/>
        <v>Прилуки, Чернігівська обл., вул. В. Чорновола</v>
      </c>
      <c r="R129" s="35">
        <f>IF($O129="","",IFERROR(INDEX('Координати майданчиків'!$H$4:$H$64,MATCH($T129,'Координати майданчиків'!$B$4:$B$64,0)),IFERROR(IF(ABS(INDEX(Геокодування!$C$2:$C$361,MATCH($Q129,Геокодування!$B$2:$B$361,0))-50.5884)+ABS(INDEX(Геокодування!$D$2:$D$361,MATCH($Q129,Геокодування!$B$2:$B$361,0))-32.3876)&gt;0.15,"",INDEX(Геокодування!$C$2:$C$361,MATCH($Q129,Геокодування!$B$2:$B$361,0))),IFERROR(IF(ABS(INDEX(Геокодування!$C$2:$C$361,MATCH("Прилуки, Чернігівська обл., "&amp;$A129,Геокодування!$B$2:$B$361,0))-50.5884)+ABS(INDEX(Геокодування!$D$2:$D$361,MATCH("Прилуки, Чернігівська обл., "&amp;$A129,Геокодування!$B$2:$B$361,0))-32.3876)&gt;0.15,"",INDEX(Геокодування!$C$2:$C$361,MATCH("Прилуки, Чернігівська обл., "&amp;$A129,Геокодування!$B$2:$B$361,0))),""))))</f>
        <v>50.588054999999997</v>
      </c>
      <c r="S129" s="43">
        <f>IF($O129="","",IFERROR(INDEX('Координати майданчиків'!$I$4:$I$64,MATCH($T129,'Координати майданчиків'!$B$4:$B$64,0)),IFERROR(IF(ABS(INDEX(Геокодування!$C$2:$C$361,MATCH($Q129,Геокодування!$B$2:$B$361,0))-50.5884)+ABS(INDEX(Геокодування!$D$2:$D$361,MATCH($Q129,Геокодування!$B$2:$B$361,0))-32.3876)&gt;0.15,"",INDEX(Геокодування!$D$2:$D$361,MATCH($Q129,Геокодування!$B$2:$B$361,0))),IFERROR(IF(ABS(INDEX(Геокодування!$C$2:$C$361,MATCH("Прилуки, Чернігівська обл., "&amp;$A129,Геокодування!$B$2:$B$361,0))-50.5884)+ABS(INDEX(Геокодування!$D$2:$D$361,MATCH("Прилуки, Чернігівська обл., "&amp;$A129,Геокодування!$B$2:$B$361,0))-32.3876)&gt;0.15,"",INDEX(Геокодування!$D$2:$D$361,MATCH("Прилуки, Чернігівська обл., "&amp;$A129,Геокодування!$B$2:$B$361,0))),""))))</f>
        <v>32.381808999999997</v>
      </c>
      <c r="T129" s="44" t="str">
        <f>IF($O129="","",IFERROR(INDEX('Координати майданчиків'!$B$4:$B$64,MATCH($A129&amp;IF($P129="","",", "&amp;$P129),'Координати майданчиків'!$B$4:$B$64,0)),IFERROR(INDEX('Координати майданчиків'!$B$4:$B$64,MATCH($A129,'Координати майданчиків'!$B$4:$B$64,0)),"")))</f>
        <v/>
      </c>
    </row>
    <row r="130" spans="1:20" x14ac:dyDescent="0.35">
      <c r="A130" s="26" t="str">
        <f t="shared" si="3"/>
        <v>вул. В. Чорновола</v>
      </c>
      <c r="B130" s="26" t="str">
        <f t="shared" si="4"/>
        <v>Приймальний пункт</v>
      </c>
      <c r="C130" s="27" t="str" cm="1">
        <f t="array" ref="C130">IF($O130="","",_xlfn.TEXTJOIN(", ",TRUE,IF(EXACT('Дані_зв''язок'!$J$4:$J$1012,$O130)*('Дані_зв''язок'!$C$4:$C$1012=C$4),'Дані_зв''язок'!$D$4:$D$1012,"")))</f>
        <v>10:10, 14:55</v>
      </c>
      <c r="D130" s="27" t="str" cm="1">
        <f t="array" ref="D130">IF($O130="","",_xlfn.TEXTJOIN(", ",TRUE,IF(EXACT('Дані_зв''язок'!$J$4:$J$1012,$O130)*('Дані_зв''язок'!$C$4:$C$1012=D$4),'Дані_зв''язок'!$D$4:$D$1012,"")))</f>
        <v>15:00</v>
      </c>
      <c r="E130" s="27" t="str" cm="1">
        <f t="array" ref="E130">IF($O130="","",_xlfn.TEXTJOIN(", ",TRUE,IF(EXACT('Дані_зв''язок'!$J$4:$J$1012,$O130)*('Дані_зв''язок'!$C$4:$C$1012=E$4),'Дані_зв''язок'!$D$4:$D$1012,"")))</f>
        <v>9:30, 14:55</v>
      </c>
      <c r="F130" s="27" t="str" cm="1">
        <f t="array" ref="F130">IF($O130="","",_xlfn.TEXTJOIN(", ",TRUE,IF(EXACT('Дані_зв''язок'!$J$4:$J$1012,$O130)*('Дані_зв''язок'!$C$4:$C$1012=F$4),'Дані_зв''язок'!$D$4:$D$1012,"")))</f>
        <v>10:55</v>
      </c>
      <c r="G130" s="27" t="str" cm="1">
        <f t="array" ref="G130">IF($O130="","",_xlfn.TEXTJOIN(", ",TRUE,IF(EXACT('Дані_зв''язок'!$J$4:$J$1012,$O130)*('Дані_зв''язок'!$C$4:$C$1012=G$4),'Дані_зв''язок'!$D$4:$D$1012,"")))</f>
        <v>13:10</v>
      </c>
      <c r="H130" s="27" t="str" cm="1">
        <f t="array" ref="H130">IF($O130="","",_xlfn.TEXTJOIN(", ",TRUE,IF(EXACT('Дані_зв''язок'!$J$4:$J$1012,$O130)*('Дані_зв''язок'!$C$4:$C$1012=H$4),'Дані_зв''язок'!$D$4:$D$1012,"")))</f>
        <v>14:00</v>
      </c>
      <c r="I130" s="27" t="str" cm="1">
        <f t="array" ref="I130">IF($O130="","",_xlfn.TEXTJOIN(", ",TRUE,IF(EXACT('Дані_зв''язок'!$J$4:$J$1012,$O130)*('Дані_зв''язок'!$C$4:$C$1012=I$4),'Дані_зв''язок'!$D$4:$D$1012,"")))</f>
        <v>10:55</v>
      </c>
      <c r="J130" s="27" cm="1">
        <f t="array" ref="J130">IF($O130="","",COUNTIF(C130:I130,"?*")+SUMPRODUCT(LEN(C130:I130)-LEN(SUBSTITUTE(C130:I130,",",""))))</f>
        <v>9</v>
      </c>
      <c r="K130" s="28" t="str" cm="1">
        <f t="array" ref="K130">IF($O130="","",_xlfn.TEXTJOIN(", ",TRUE,IF(EXACT('Дані_зв''язок'!$J$4:$J$1012,$O130),'Дані_зв''язок'!$L$4:$L$1012,"")))</f>
        <v>№3</v>
      </c>
      <c r="L130" s="28" t="str" cm="1">
        <f t="array" ref="L130">IF($O130="","",_xlfn.TEXTJOIN(", ",TRUE,IF(EXACT('Дані_зв''язок'!$J$4:$J$1012,$O130),'Дані_зв''язок'!$M$4:$M$1012,"")))</f>
        <v>МАЗ-4371, ГАЗ 3309</v>
      </c>
      <c r="M130" s="27" cm="1">
        <f t="array" ref="M130">IF($O130="","",IF(SUMPRODUCT(MAX(EXACT('Дані_зв''язок'!$J$4:$J$1012,$O130)*IFERROR('Дані_зв''язок'!$H$4:$H$1012,0)))=0,"",SUMPRODUCT(MAX(EXACT('Дані_зв''язок'!$J$4:$J$1012,$O130)*IFERROR('Дані_зв''язок'!$H$4:$H$1012,0)))))</f>
        <v>5</v>
      </c>
      <c r="O130" s="30" t="s">
        <v>1228</v>
      </c>
      <c r="P130" s="24" t="str" cm="1">
        <f t="array" ref="P130">IF($O130="","",IF($B130="","",IFERROR(IF(MIN(IFERROR(VALUE(TRIM(MID(SUBSTITUTE(SUBSTITUTE($B130,","," ")," ",REPT(" ",30)),{1;31;61;91;121;151;181},30))),""))=0,"",MIN(IFERROR(VALUE(TRIM(MID(SUBSTITUTE(SUBSTITUTE($B130,","," ")," ",REPT(" ",30)),{1;31;61;91;121;151;181},30))),""))),"")))</f>
        <v/>
      </c>
      <c r="Q130" s="23" t="str">
        <f t="shared" si="5"/>
        <v>Прилуки, Чернігівська обл., вул. В. Чорновола</v>
      </c>
      <c r="R130" s="35">
        <f>IF($O130="","",IFERROR(INDEX('Координати майданчиків'!$H$4:$H$64,MATCH($T130,'Координати майданчиків'!$B$4:$B$64,0)),IFERROR(IF(ABS(INDEX(Геокодування!$C$2:$C$361,MATCH($Q130,Геокодування!$B$2:$B$361,0))-50.5884)+ABS(INDEX(Геокодування!$D$2:$D$361,MATCH($Q130,Геокодування!$B$2:$B$361,0))-32.3876)&gt;0.15,"",INDEX(Геокодування!$C$2:$C$361,MATCH($Q130,Геокодування!$B$2:$B$361,0))),IFERROR(IF(ABS(INDEX(Геокодування!$C$2:$C$361,MATCH("Прилуки, Чернігівська обл., "&amp;$A130,Геокодування!$B$2:$B$361,0))-50.5884)+ABS(INDEX(Геокодування!$D$2:$D$361,MATCH("Прилуки, Чернігівська обл., "&amp;$A130,Геокодування!$B$2:$B$361,0))-32.3876)&gt;0.15,"",INDEX(Геокодування!$C$2:$C$361,MATCH("Прилуки, Чернігівська обл., "&amp;$A130,Геокодування!$B$2:$B$361,0))),""))))</f>
        <v>50.588054999999997</v>
      </c>
      <c r="S130" s="43">
        <f>IF($O130="","",IFERROR(INDEX('Координати майданчиків'!$I$4:$I$64,MATCH($T130,'Координати майданчиків'!$B$4:$B$64,0)),IFERROR(IF(ABS(INDEX(Геокодування!$C$2:$C$361,MATCH($Q130,Геокодування!$B$2:$B$361,0))-50.5884)+ABS(INDEX(Геокодування!$D$2:$D$361,MATCH($Q130,Геокодування!$B$2:$B$361,0))-32.3876)&gt;0.15,"",INDEX(Геокодування!$D$2:$D$361,MATCH($Q130,Геокодування!$B$2:$B$361,0))),IFERROR(IF(ABS(INDEX(Геокодування!$C$2:$C$361,MATCH("Прилуки, Чернігівська обл., "&amp;$A130,Геокодування!$B$2:$B$361,0))-50.5884)+ABS(INDEX(Геокодування!$D$2:$D$361,MATCH("Прилуки, Чернігівська обл., "&amp;$A130,Геокодування!$B$2:$B$361,0))-32.3876)&gt;0.15,"",INDEX(Геокодування!$D$2:$D$361,MATCH("Прилуки, Чернігівська обл., "&amp;$A130,Геокодування!$B$2:$B$361,0))),""))))</f>
        <v>32.381808999999997</v>
      </c>
      <c r="T130" s="44" t="str">
        <f>IF($O130="","",IFERROR(INDEX('Координати майданчиків'!$B$4:$B$64,MATCH($A130&amp;IF($P130="","",", "&amp;$P130),'Координати майданчиків'!$B$4:$B$64,0)),IFERROR(INDEX('Координати майданчиків'!$B$4:$B$64,MATCH($A130,'Координати майданчиків'!$B$4:$B$64,0)),"")))</f>
        <v/>
      </c>
    </row>
    <row r="131" spans="1:20" x14ac:dyDescent="0.35">
      <c r="A131" s="26" t="str">
        <f t="shared" si="3"/>
        <v>вул. Варвинська</v>
      </c>
      <c r="B131" s="26" t="str">
        <f t="shared" si="4"/>
        <v>14,18  28,42</v>
      </c>
      <c r="C131" s="27" t="str" cm="1">
        <f t="array" ref="C131">IF($O131="","",_xlfn.TEXTJOIN(", ",TRUE,IF(EXACT('Дані_зв''язок'!$J$4:$J$1012,$O131)*('Дані_зв''язок'!$C$4:$C$1012=C$4),'Дані_зв''язок'!$D$4:$D$1012,"")))</f>
        <v/>
      </c>
      <c r="D131" s="27" t="str" cm="1">
        <f t="array" ref="D131">IF($O131="","",_xlfn.TEXTJOIN(", ",TRUE,IF(EXACT('Дані_зв''язок'!$J$4:$J$1012,$O131)*('Дані_зв''язок'!$C$4:$C$1012=D$4),'Дані_зв''язок'!$D$4:$D$1012,"")))</f>
        <v/>
      </c>
      <c r="E131" s="27" t="str" cm="1">
        <f t="array" ref="E131">IF($O131="","",_xlfn.TEXTJOIN(", ",TRUE,IF(EXACT('Дані_зв''язок'!$J$4:$J$1012,$O131)*('Дані_зв''язок'!$C$4:$C$1012=E$4),'Дані_зв''язок'!$D$4:$D$1012,"")))</f>
        <v/>
      </c>
      <c r="F131" s="27" t="str" cm="1">
        <f t="array" ref="F131">IF($O131="","",_xlfn.TEXTJOIN(", ",TRUE,IF(EXACT('Дані_зв''язок'!$J$4:$J$1012,$O131)*('Дані_зв''язок'!$C$4:$C$1012=F$4),'Дані_зв''язок'!$D$4:$D$1012,"")))</f>
        <v>15:20</v>
      </c>
      <c r="G131" s="27" t="str" cm="1">
        <f t="array" ref="G131">IF($O131="","",_xlfn.TEXTJOIN(", ",TRUE,IF(EXACT('Дані_зв''язок'!$J$4:$J$1012,$O131)*('Дані_зв''язок'!$C$4:$C$1012=G$4),'Дані_зв''язок'!$D$4:$D$1012,"")))</f>
        <v/>
      </c>
      <c r="H131" s="27" t="str" cm="1">
        <f t="array" ref="H131">IF($O131="","",_xlfn.TEXTJOIN(", ",TRUE,IF(EXACT('Дані_зв''язок'!$J$4:$J$1012,$O131)*('Дані_зв''язок'!$C$4:$C$1012=H$4),'Дані_зв''язок'!$D$4:$D$1012,"")))</f>
        <v/>
      </c>
      <c r="I131" s="27" t="str" cm="1">
        <f t="array" ref="I131">IF($O131="","",_xlfn.TEXTJOIN(", ",TRUE,IF(EXACT('Дані_зв''язок'!$J$4:$J$1012,$O131)*('Дані_зв''язок'!$C$4:$C$1012=I$4),'Дані_зв''язок'!$D$4:$D$1012,"")))</f>
        <v/>
      </c>
      <c r="J131" s="27" cm="1">
        <f t="array" ref="J131">IF($O131="","",COUNTIF(C131:I131,"?*")+SUMPRODUCT(LEN(C131:I131)-LEN(SUBSTITUTE(C131:I131,",",""))))</f>
        <v>1</v>
      </c>
      <c r="K131" s="28" t="str" cm="1">
        <f t="array" ref="K131">IF($O131="","",_xlfn.TEXTJOIN(", ",TRUE,IF(EXACT('Дані_зв''язок'!$J$4:$J$1012,$O131),'Дані_зв''язок'!$L$4:$L$1012,"")))</f>
        <v>№6</v>
      </c>
      <c r="L131" s="28" t="str" cm="1">
        <f t="array" ref="L131">IF($O131="","",_xlfn.TEXTJOIN(", ",TRUE,IF(EXACT('Дані_зв''язок'!$J$4:$J$1012,$O131),'Дані_зв''язок'!$M$4:$M$1012,"")))</f>
        <v>АТ 4021</v>
      </c>
      <c r="M131" s="27" t="str" cm="1">
        <f t="array" ref="M131">IF($O131="","",IF(SUMPRODUCT(MAX(EXACT('Дані_зв''язок'!$J$4:$J$1012,$O131)*IFERROR('Дані_зв''язок'!$H$4:$H$1012,0)))=0,"",SUMPRODUCT(MAX(EXACT('Дані_зв''язок'!$J$4:$J$1012,$O131)*IFERROR('Дані_зв''язок'!$H$4:$H$1012,0)))))</f>
        <v/>
      </c>
      <c r="O131" s="30" t="s">
        <v>1229</v>
      </c>
      <c r="P131" s="24" cm="1">
        <f t="array" ref="P131">IF($O131="","",IF($B131="","",IFERROR(IF(MIN(IFERROR(VALUE(TRIM(MID(SUBSTITUTE(SUBSTITUTE($B131,","," ")," ",REPT(" ",30)),{1;31;61;91;121;151;181},30))),""))=0,"",MIN(IFERROR(VALUE(TRIM(MID(SUBSTITUTE(SUBSTITUTE($B131,","," ")," ",REPT(" ",30)),{1;31;61;91;121;151;181},30))),""))),"")))</f>
        <v>14</v>
      </c>
      <c r="Q131" s="23" t="str">
        <f t="shared" si="5"/>
        <v>Прилуки, Чернігівська обл., вул. Варвинська, 14</v>
      </c>
      <c r="R131" s="35">
        <f>IF($O131="","",IFERROR(INDEX('Координати майданчиків'!$H$4:$H$64,MATCH($T131,'Координати майданчиків'!$B$4:$B$64,0)),IFERROR(IF(ABS(INDEX(Геокодування!$C$2:$C$361,MATCH($Q131,Геокодування!$B$2:$B$361,0))-50.5884)+ABS(INDEX(Геокодування!$D$2:$D$361,MATCH($Q131,Геокодування!$B$2:$B$361,0))-32.3876)&gt;0.15,"",INDEX(Геокодування!$C$2:$C$361,MATCH($Q131,Геокодування!$B$2:$B$361,0))),IFERROR(IF(ABS(INDEX(Геокодування!$C$2:$C$361,MATCH("Прилуки, Чернігівська обл., "&amp;$A131,Геокодування!$B$2:$B$361,0))-50.5884)+ABS(INDEX(Геокодування!$D$2:$D$361,MATCH("Прилуки, Чернігівська обл., "&amp;$A131,Геокодування!$B$2:$B$361,0))-32.3876)&gt;0.15,"",INDEX(Геокодування!$C$2:$C$361,MATCH("Прилуки, Чернігівська обл., "&amp;$A131,Геокодування!$B$2:$B$361,0))),""))))</f>
        <v>50.570281999999999</v>
      </c>
      <c r="S131" s="43">
        <f>IF($O131="","",IFERROR(INDEX('Координати майданчиків'!$I$4:$I$64,MATCH($T131,'Координати майданчиків'!$B$4:$B$64,0)),IFERROR(IF(ABS(INDEX(Геокодування!$C$2:$C$361,MATCH($Q131,Геокодування!$B$2:$B$361,0))-50.5884)+ABS(INDEX(Геокодування!$D$2:$D$361,MATCH($Q131,Геокодування!$B$2:$B$361,0))-32.3876)&gt;0.15,"",INDEX(Геокодування!$D$2:$D$361,MATCH($Q131,Геокодування!$B$2:$B$361,0))),IFERROR(IF(ABS(INDEX(Геокодування!$C$2:$C$361,MATCH("Прилуки, Чернігівська обл., "&amp;$A131,Геокодування!$B$2:$B$361,0))-50.5884)+ABS(INDEX(Геокодування!$D$2:$D$361,MATCH("Прилуки, Чернігівська обл., "&amp;$A131,Геокодування!$B$2:$B$361,0))-32.3876)&gt;0.15,"",INDEX(Геокодування!$D$2:$D$361,MATCH("Прилуки, Чернігівська обл., "&amp;$A131,Геокодування!$B$2:$B$361,0))),""))))</f>
        <v>32.426704000000001</v>
      </c>
      <c r="T131" s="44" t="str">
        <f>IF($O131="","",IFERROR(INDEX('Координати майданчиків'!$B$4:$B$64,MATCH($A131&amp;IF($P131="","",", "&amp;$P131),'Координати майданчиків'!$B$4:$B$64,0)),IFERROR(INDEX('Координати майданчиків'!$B$4:$B$64,MATCH($A131,'Координати майданчиків'!$B$4:$B$64,0)),"")))</f>
        <v/>
      </c>
    </row>
    <row r="132" spans="1:20" x14ac:dyDescent="0.35">
      <c r="A132" s="26" t="str">
        <f t="shared" si="3"/>
        <v>вул. Вербна</v>
      </c>
      <c r="B132" s="26" t="str">
        <f t="shared" si="4"/>
        <v/>
      </c>
      <c r="C132" s="27" t="str" cm="1">
        <f t="array" ref="C132">IF($O132="","",_xlfn.TEXTJOIN(", ",TRUE,IF(EXACT('Дані_зв''язок'!$J$4:$J$1012,$O132)*('Дані_зв''язок'!$C$4:$C$1012=C$4),'Дані_зв''язок'!$D$4:$D$1012,"")))</f>
        <v/>
      </c>
      <c r="D132" s="27" t="str" cm="1">
        <f t="array" ref="D132">IF($O132="","",_xlfn.TEXTJOIN(", ",TRUE,IF(EXACT('Дані_зв''язок'!$J$4:$J$1012,$O132)*('Дані_зв''язок'!$C$4:$C$1012=D$4),'Дані_зв''язок'!$D$4:$D$1012,"")))</f>
        <v/>
      </c>
      <c r="E132" s="27" t="str" cm="1">
        <f t="array" ref="E132">IF($O132="","",_xlfn.TEXTJOIN(", ",TRUE,IF(EXACT('Дані_зв''язок'!$J$4:$J$1012,$O132)*('Дані_зв''язок'!$C$4:$C$1012=E$4),'Дані_зв''язок'!$D$4:$D$1012,"")))</f>
        <v/>
      </c>
      <c r="F132" s="27" t="str" cm="1">
        <f t="array" ref="F132">IF($O132="","",_xlfn.TEXTJOIN(", ",TRUE,IF(EXACT('Дані_зв''язок'!$J$4:$J$1012,$O132)*('Дані_зв''язок'!$C$4:$C$1012=F$4),'Дані_зв''язок'!$D$4:$D$1012,"")))</f>
        <v>12:10</v>
      </c>
      <c r="G132" s="27" t="str" cm="1">
        <f t="array" ref="G132">IF($O132="","",_xlfn.TEXTJOIN(", ",TRUE,IF(EXACT('Дані_зв''язок'!$J$4:$J$1012,$O132)*('Дані_зв''язок'!$C$4:$C$1012=G$4),'Дані_зв''язок'!$D$4:$D$1012,"")))</f>
        <v/>
      </c>
      <c r="H132" s="27" t="str" cm="1">
        <f t="array" ref="H132">IF($O132="","",_xlfn.TEXTJOIN(", ",TRUE,IF(EXACT('Дані_зв''язок'!$J$4:$J$1012,$O132)*('Дані_зв''язок'!$C$4:$C$1012=H$4),'Дані_зв''язок'!$D$4:$D$1012,"")))</f>
        <v/>
      </c>
      <c r="I132" s="27" t="str" cm="1">
        <f t="array" ref="I132">IF($O132="","",_xlfn.TEXTJOIN(", ",TRUE,IF(EXACT('Дані_зв''язок'!$J$4:$J$1012,$O132)*('Дані_зв''язок'!$C$4:$C$1012=I$4),'Дані_зв''язок'!$D$4:$D$1012,"")))</f>
        <v/>
      </c>
      <c r="J132" s="27" cm="1">
        <f t="array" ref="J132">IF($O132="","",COUNTIF(C132:I132,"?*")+SUMPRODUCT(LEN(C132:I132)-LEN(SUBSTITUTE(C132:I132,",",""))))</f>
        <v>1</v>
      </c>
      <c r="K132" s="28" t="str" cm="1">
        <f t="array" ref="K132">IF($O132="","",_xlfn.TEXTJOIN(", ",TRUE,IF(EXACT('Дані_зв''язок'!$J$4:$J$1012,$O132),'Дані_зв''язок'!$L$4:$L$1012,"")))</f>
        <v>№5</v>
      </c>
      <c r="L132" s="28" t="str" cm="1">
        <f t="array" ref="L132">IF($O132="","",_xlfn.TEXTJOIN(", ",TRUE,IF(EXACT('Дані_зв''язок'!$J$4:$J$1012,$O132),'Дані_зв''язок'!$M$4:$M$1012,"")))</f>
        <v>МАЗ 4381</v>
      </c>
      <c r="M132" s="27" t="str" cm="1">
        <f t="array" ref="M132">IF($O132="","",IF(SUMPRODUCT(MAX(EXACT('Дані_зв''язок'!$J$4:$J$1012,$O132)*IFERROR('Дані_зв''язок'!$H$4:$H$1012,0)))=0,"",SUMPRODUCT(MAX(EXACT('Дані_зв''язок'!$J$4:$J$1012,$O132)*IFERROR('Дані_зв''язок'!$H$4:$H$1012,0)))))</f>
        <v/>
      </c>
      <c r="O132" s="30" t="s">
        <v>1230</v>
      </c>
      <c r="P132" s="24" t="str" cm="1">
        <f t="array" ref="P132">IF($O132="","",IF($B132="","",IFERROR(IF(MIN(IFERROR(VALUE(TRIM(MID(SUBSTITUTE(SUBSTITUTE($B132,","," ")," ",REPT(" ",30)),{1;31;61;91;121;151;181},30))),""))=0,"",MIN(IFERROR(VALUE(TRIM(MID(SUBSTITUTE(SUBSTITUTE($B132,","," ")," ",REPT(" ",30)),{1;31;61;91;121;151;181},30))),""))),"")))</f>
        <v/>
      </c>
      <c r="Q132" s="23" t="str">
        <f t="shared" si="5"/>
        <v>Прилуки, Чернігівська обл., вул. Вербна</v>
      </c>
      <c r="R132" s="35">
        <f>IF($O132="","",IFERROR(INDEX('Координати майданчиків'!$H$4:$H$64,MATCH($T132,'Координати майданчиків'!$B$4:$B$64,0)),IFERROR(IF(ABS(INDEX(Геокодування!$C$2:$C$361,MATCH($Q132,Геокодування!$B$2:$B$361,0))-50.5884)+ABS(INDEX(Геокодування!$D$2:$D$361,MATCH($Q132,Геокодування!$B$2:$B$361,0))-32.3876)&gt;0.15,"",INDEX(Геокодування!$C$2:$C$361,MATCH($Q132,Геокодування!$B$2:$B$361,0))),IFERROR(IF(ABS(INDEX(Геокодування!$C$2:$C$361,MATCH("Прилуки, Чернігівська обл., "&amp;$A132,Геокодування!$B$2:$B$361,0))-50.5884)+ABS(INDEX(Геокодування!$D$2:$D$361,MATCH("Прилуки, Чернігівська обл., "&amp;$A132,Геокодування!$B$2:$B$361,0))-32.3876)&gt;0.15,"",INDEX(Геокодування!$C$2:$C$361,MATCH("Прилуки, Чернігівська обл., "&amp;$A132,Геокодування!$B$2:$B$361,0))),""))))</f>
        <v>50.590781999999997</v>
      </c>
      <c r="S132" s="43">
        <f>IF($O132="","",IFERROR(INDEX('Координати майданчиків'!$I$4:$I$64,MATCH($T132,'Координати майданчиків'!$B$4:$B$64,0)),IFERROR(IF(ABS(INDEX(Геокодування!$C$2:$C$361,MATCH($Q132,Геокодування!$B$2:$B$361,0))-50.5884)+ABS(INDEX(Геокодування!$D$2:$D$361,MATCH($Q132,Геокодування!$B$2:$B$361,0))-32.3876)&gt;0.15,"",INDEX(Геокодування!$D$2:$D$361,MATCH($Q132,Геокодування!$B$2:$B$361,0))),IFERROR(IF(ABS(INDEX(Геокодування!$C$2:$C$361,MATCH("Прилуки, Чернігівська обл., "&amp;$A132,Геокодування!$B$2:$B$361,0))-50.5884)+ABS(INDEX(Геокодування!$D$2:$D$361,MATCH("Прилуки, Чернігівська обл., "&amp;$A132,Геокодування!$B$2:$B$361,0))-32.3876)&gt;0.15,"",INDEX(Геокодування!$D$2:$D$361,MATCH("Прилуки, Чернігівська обл., "&amp;$A132,Геокодування!$B$2:$B$361,0))),""))))</f>
        <v>32.429465</v>
      </c>
      <c r="T132" s="44" t="str">
        <f>IF($O132="","",IFERROR(INDEX('Координати майданчиків'!$B$4:$B$64,MATCH($A132&amp;IF($P132="","",", "&amp;$P132),'Координати майданчиків'!$B$4:$B$64,0)),IFERROR(INDEX('Координати майданчиків'!$B$4:$B$64,MATCH($A132,'Координати майданчиків'!$B$4:$B$64,0)),"")))</f>
        <v/>
      </c>
    </row>
    <row r="133" spans="1:20" x14ac:dyDescent="0.35">
      <c r="A133" s="26" t="str">
        <f t="shared" si="3"/>
        <v>вул. Ветеранська</v>
      </c>
      <c r="B133" s="26" t="str">
        <f t="shared" si="4"/>
        <v/>
      </c>
      <c r="C133" s="27" t="str" cm="1">
        <f t="array" ref="C133">IF($O133="","",_xlfn.TEXTJOIN(", ",TRUE,IF(EXACT('Дані_зв''язок'!$J$4:$J$1012,$O133)*('Дані_зв''язок'!$C$4:$C$1012=C$4),'Дані_зв''язок'!$D$4:$D$1012,"")))</f>
        <v>12:55</v>
      </c>
      <c r="D133" s="27" t="str" cm="1">
        <f t="array" ref="D133">IF($O133="","",_xlfn.TEXTJOIN(", ",TRUE,IF(EXACT('Дані_зв''язок'!$J$4:$J$1012,$O133)*('Дані_зв''язок'!$C$4:$C$1012=D$4),'Дані_зв''язок'!$D$4:$D$1012,"")))</f>
        <v/>
      </c>
      <c r="E133" s="27" t="str" cm="1">
        <f t="array" ref="E133">IF($O133="","",_xlfn.TEXTJOIN(", ",TRUE,IF(EXACT('Дані_зв''язок'!$J$4:$J$1012,$O133)*('Дані_зв''язок'!$C$4:$C$1012=E$4),'Дані_зв''язок'!$D$4:$D$1012,"")))</f>
        <v/>
      </c>
      <c r="F133" s="27" t="str" cm="1">
        <f t="array" ref="F133">IF($O133="","",_xlfn.TEXTJOIN(", ",TRUE,IF(EXACT('Дані_зв''язок'!$J$4:$J$1012,$O133)*('Дані_зв''язок'!$C$4:$C$1012=F$4),'Дані_зв''язок'!$D$4:$D$1012,"")))</f>
        <v/>
      </c>
      <c r="G133" s="27" t="str" cm="1">
        <f t="array" ref="G133">IF($O133="","",_xlfn.TEXTJOIN(", ",TRUE,IF(EXACT('Дані_зв''язок'!$J$4:$J$1012,$O133)*('Дані_зв''язок'!$C$4:$C$1012=G$4),'Дані_зв''язок'!$D$4:$D$1012,"")))</f>
        <v/>
      </c>
      <c r="H133" s="27" t="str" cm="1">
        <f t="array" ref="H133">IF($O133="","",_xlfn.TEXTJOIN(", ",TRUE,IF(EXACT('Дані_зв''язок'!$J$4:$J$1012,$O133)*('Дані_зв''язок'!$C$4:$C$1012=H$4),'Дані_зв''язок'!$D$4:$D$1012,"")))</f>
        <v/>
      </c>
      <c r="I133" s="27" t="str" cm="1">
        <f t="array" ref="I133">IF($O133="","",_xlfn.TEXTJOIN(", ",TRUE,IF(EXACT('Дані_зв''язок'!$J$4:$J$1012,$O133)*('Дані_зв''язок'!$C$4:$C$1012=I$4),'Дані_зв''язок'!$D$4:$D$1012,"")))</f>
        <v/>
      </c>
      <c r="J133" s="27" cm="1">
        <f t="array" ref="J133">IF($O133="","",COUNTIF(C133:I133,"?*")+SUMPRODUCT(LEN(C133:I133)-LEN(SUBSTITUTE(C133:I133,",",""))))</f>
        <v>1</v>
      </c>
      <c r="K133" s="28" t="str" cm="1">
        <f t="array" ref="K133">IF($O133="","",_xlfn.TEXTJOIN(", ",TRUE,IF(EXACT('Дані_зв''язок'!$J$4:$J$1012,$O133),'Дані_зв''язок'!$L$4:$L$1012,"")))</f>
        <v>№5</v>
      </c>
      <c r="L133" s="28" t="str" cm="1">
        <f t="array" ref="L133">IF($O133="","",_xlfn.TEXTJOIN(", ",TRUE,IF(EXACT('Дані_зв''язок'!$J$4:$J$1012,$O133),'Дані_зв''язок'!$M$4:$M$1012,"")))</f>
        <v>МАЗ 4381</v>
      </c>
      <c r="M133" s="27" t="str" cm="1">
        <f t="array" ref="M133">IF($O133="","",IF(SUMPRODUCT(MAX(EXACT('Дані_зв''язок'!$J$4:$J$1012,$O133)*IFERROR('Дані_зв''язок'!$H$4:$H$1012,0)))=0,"",SUMPRODUCT(MAX(EXACT('Дані_зв''язок'!$J$4:$J$1012,$O133)*IFERROR('Дані_зв''язок'!$H$4:$H$1012,0)))))</f>
        <v/>
      </c>
      <c r="O133" s="30" t="s">
        <v>1231</v>
      </c>
      <c r="P133" s="24" t="str" cm="1">
        <f t="array" ref="P133">IF($O133="","",IF($B133="","",IFERROR(IF(MIN(IFERROR(VALUE(TRIM(MID(SUBSTITUTE(SUBSTITUTE($B133,","," ")," ",REPT(" ",30)),{1;31;61;91;121;151;181},30))),""))=0,"",MIN(IFERROR(VALUE(TRIM(MID(SUBSTITUTE(SUBSTITUTE($B133,","," ")," ",REPT(" ",30)),{1;31;61;91;121;151;181},30))),""))),"")))</f>
        <v/>
      </c>
      <c r="Q133" s="23" t="str">
        <f t="shared" si="5"/>
        <v>Прилуки, Чернігівська обл., вул. Ветеранська</v>
      </c>
      <c r="R133" s="35">
        <f>IF($O133="","",IFERROR(INDEX('Координати майданчиків'!$H$4:$H$64,MATCH($T133,'Координати майданчиків'!$B$4:$B$64,0)),IFERROR(IF(ABS(INDEX(Геокодування!$C$2:$C$361,MATCH($Q133,Геокодування!$B$2:$B$361,0))-50.5884)+ABS(INDEX(Геокодування!$D$2:$D$361,MATCH($Q133,Геокодування!$B$2:$B$361,0))-32.3876)&gt;0.15,"",INDEX(Геокодування!$C$2:$C$361,MATCH($Q133,Геокодування!$B$2:$B$361,0))),IFERROR(IF(ABS(INDEX(Геокодування!$C$2:$C$361,MATCH("Прилуки, Чернігівська обл., "&amp;$A133,Геокодування!$B$2:$B$361,0))-50.5884)+ABS(INDEX(Геокодування!$D$2:$D$361,MATCH("Прилуки, Чернігівська обл., "&amp;$A133,Геокодування!$B$2:$B$361,0))-32.3876)&gt;0.15,"",INDEX(Геокодування!$C$2:$C$361,MATCH("Прилуки, Чернігівська обл., "&amp;$A133,Геокодування!$B$2:$B$361,0))),""))))</f>
        <v>50.590432</v>
      </c>
      <c r="S133" s="43">
        <f>IF($O133="","",IFERROR(INDEX('Координати майданчиків'!$I$4:$I$64,MATCH($T133,'Координати майданчиків'!$B$4:$B$64,0)),IFERROR(IF(ABS(INDEX(Геокодування!$C$2:$C$361,MATCH($Q133,Геокодування!$B$2:$B$361,0))-50.5884)+ABS(INDEX(Геокодування!$D$2:$D$361,MATCH($Q133,Геокодування!$B$2:$B$361,0))-32.3876)&gt;0.15,"",INDEX(Геокодування!$D$2:$D$361,MATCH($Q133,Геокодування!$B$2:$B$361,0))),IFERROR(IF(ABS(INDEX(Геокодування!$C$2:$C$361,MATCH("Прилуки, Чернігівська обл., "&amp;$A133,Геокодування!$B$2:$B$361,0))-50.5884)+ABS(INDEX(Геокодування!$D$2:$D$361,MATCH("Прилуки, Чернігівська обл., "&amp;$A133,Геокодування!$B$2:$B$361,0))-32.3876)&gt;0.15,"",INDEX(Геокодування!$D$2:$D$361,MATCH("Прилуки, Чернігівська обл., "&amp;$A133,Геокодування!$B$2:$B$361,0))),""))))</f>
        <v>32.371955999999997</v>
      </c>
      <c r="T133" s="44" t="str">
        <f>IF($O133="","",IFERROR(INDEX('Координати майданчиків'!$B$4:$B$64,MATCH($A133&amp;IF($P133="","",", "&amp;$P133),'Координати майданчиків'!$B$4:$B$64,0)),IFERROR(INDEX('Координати майданчиків'!$B$4:$B$64,MATCH($A133,'Координати майданчиків'!$B$4:$B$64,0)),"")))</f>
        <v/>
      </c>
    </row>
    <row r="134" spans="1:20" x14ac:dyDescent="0.35">
      <c r="A134" s="26" t="str">
        <f t="shared" ref="A134:A197" si="6">IF($O134="","",LEFT($O134,FIND("|",$O134)-1))</f>
        <v>вул. Ветеранська</v>
      </c>
      <c r="B134" s="26" t="str">
        <f t="shared" ref="B134:B197" si="7">IF($O134="","",MID($O134,FIND("|",$O134)+1,999))</f>
        <v>парк Вічної Слави</v>
      </c>
      <c r="C134" s="27" t="str" cm="1">
        <f t="array" ref="C134">IF($O134="","",_xlfn.TEXTJOIN(", ",TRUE,IF(EXACT('Дані_зв''язок'!$J$4:$J$1012,$O134)*('Дані_зв''язок'!$C$4:$C$1012=C$4),'Дані_зв''язок'!$D$4:$D$1012,"")))</f>
        <v>7:40</v>
      </c>
      <c r="D134" s="27" t="str" cm="1">
        <f t="array" ref="D134">IF($O134="","",_xlfn.TEXTJOIN(", ",TRUE,IF(EXACT('Дані_зв''язок'!$J$4:$J$1012,$O134)*('Дані_зв''язок'!$C$4:$C$1012=D$4),'Дані_зв''язок'!$D$4:$D$1012,"")))</f>
        <v>7:40</v>
      </c>
      <c r="E134" s="27" t="str" cm="1">
        <f t="array" ref="E134">IF($O134="","",_xlfn.TEXTJOIN(", ",TRUE,IF(EXACT('Дані_зв''язок'!$J$4:$J$1012,$O134)*('Дані_зв''язок'!$C$4:$C$1012=E$4),'Дані_зв''язок'!$D$4:$D$1012,"")))</f>
        <v>7:40</v>
      </c>
      <c r="F134" s="27" t="str" cm="1">
        <f t="array" ref="F134">IF($O134="","",_xlfn.TEXTJOIN(", ",TRUE,IF(EXACT('Дані_зв''язок'!$J$4:$J$1012,$O134)*('Дані_зв''язок'!$C$4:$C$1012=F$4),'Дані_зв''язок'!$D$4:$D$1012,"")))</f>
        <v>8:55</v>
      </c>
      <c r="G134" s="27" t="str" cm="1">
        <f t="array" ref="G134">IF($O134="","",_xlfn.TEXTJOIN(", ",TRUE,IF(EXACT('Дані_зв''язок'!$J$4:$J$1012,$O134)*('Дані_зв''язок'!$C$4:$C$1012=G$4),'Дані_зв''язок'!$D$4:$D$1012,"")))</f>
        <v>7:40</v>
      </c>
      <c r="H134" s="27" t="str" cm="1">
        <f t="array" ref="H134">IF($O134="","",_xlfn.TEXTJOIN(", ",TRUE,IF(EXACT('Дані_зв''язок'!$J$4:$J$1012,$O134)*('Дані_зв''язок'!$C$4:$C$1012=H$4),'Дані_зв''язок'!$D$4:$D$1012,"")))</f>
        <v>7:40</v>
      </c>
      <c r="I134" s="27" t="str" cm="1">
        <f t="array" ref="I134">IF($O134="","",_xlfn.TEXTJOIN(", ",TRUE,IF(EXACT('Дані_зв''язок'!$J$4:$J$1012,$O134)*('Дані_зв''язок'!$C$4:$C$1012=I$4),'Дані_зв''язок'!$D$4:$D$1012,"")))</f>
        <v>8:55</v>
      </c>
      <c r="J134" s="27" cm="1">
        <f t="array" ref="J134">IF($O134="","",COUNTIF(C134:I134,"?*")+SUMPRODUCT(LEN(C134:I134)-LEN(SUBSTITUTE(C134:I134,",",""))))</f>
        <v>7</v>
      </c>
      <c r="K134" s="28" t="str" cm="1">
        <f t="array" ref="K134">IF($O134="","",_xlfn.TEXTJOIN(", ",TRUE,IF(EXACT('Дані_зв''язок'!$J$4:$J$1012,$O134),'Дані_зв''язок'!$L$4:$L$1012,"")))</f>
        <v>№1</v>
      </c>
      <c r="L134" s="28" t="str" cm="1">
        <f t="array" ref="L134">IF($O134="","",_xlfn.TEXTJOIN(", ",TRUE,IF(EXACT('Дані_зв''язок'!$J$4:$J$1012,$O134),'Дані_зв''язок'!$M$4:$M$1012,"")))</f>
        <v>КАМАЗ 55111, АТ-4021/1120</v>
      </c>
      <c r="M134" s="27" cm="1">
        <f t="array" ref="M134">IF($O134="","",IF(SUMPRODUCT(MAX(EXACT('Дані_зв''язок'!$J$4:$J$1012,$O134)*IFERROR('Дані_зв''язок'!$H$4:$H$1012,0)))=0,"",SUMPRODUCT(MAX(EXACT('Дані_зв''язок'!$J$4:$J$1012,$O134)*IFERROR('Дані_зв''язок'!$H$4:$H$1012,0)))))</f>
        <v>3</v>
      </c>
      <c r="O134" s="30" t="s">
        <v>1232</v>
      </c>
      <c r="P134" s="24" t="str" cm="1">
        <f t="array" ref="P134">IF($O134="","",IF($B134="","",IFERROR(IF(MIN(IFERROR(VALUE(TRIM(MID(SUBSTITUTE(SUBSTITUTE($B134,","," ")," ",REPT(" ",30)),{1;31;61;91;121;151;181},30))),""))=0,"",MIN(IFERROR(VALUE(TRIM(MID(SUBSTITUTE(SUBSTITUTE($B134,","," ")," ",REPT(" ",30)),{1;31;61;91;121;151;181},30))),""))),"")))</f>
        <v/>
      </c>
      <c r="Q134" s="23" t="str">
        <f t="shared" ref="Q134:Q197" si="8">IF($O134="","","Прилуки, Чернігівська обл., "&amp;$A134&amp;IF($P134="","",", "&amp;$P134))</f>
        <v>Прилуки, Чернігівська обл., вул. Ветеранська</v>
      </c>
      <c r="R134" s="35">
        <f>IF($O134="","",IFERROR(INDEX('Координати майданчиків'!$H$4:$H$64,MATCH($T134,'Координати майданчиків'!$B$4:$B$64,0)),IFERROR(IF(ABS(INDEX(Геокодування!$C$2:$C$361,MATCH($Q134,Геокодування!$B$2:$B$361,0))-50.5884)+ABS(INDEX(Геокодування!$D$2:$D$361,MATCH($Q134,Геокодування!$B$2:$B$361,0))-32.3876)&gt;0.15,"",INDEX(Геокодування!$C$2:$C$361,MATCH($Q134,Геокодування!$B$2:$B$361,0))),IFERROR(IF(ABS(INDEX(Геокодування!$C$2:$C$361,MATCH("Прилуки, Чернігівська обл., "&amp;$A134,Геокодування!$B$2:$B$361,0))-50.5884)+ABS(INDEX(Геокодування!$D$2:$D$361,MATCH("Прилуки, Чернігівська обл., "&amp;$A134,Геокодування!$B$2:$B$361,0))-32.3876)&gt;0.15,"",INDEX(Геокодування!$C$2:$C$361,MATCH("Прилуки, Чернігівська обл., "&amp;$A134,Геокодування!$B$2:$B$361,0))),""))))</f>
        <v>50.590432</v>
      </c>
      <c r="S134" s="43">
        <f>IF($O134="","",IFERROR(INDEX('Координати майданчиків'!$I$4:$I$64,MATCH($T134,'Координати майданчиків'!$B$4:$B$64,0)),IFERROR(IF(ABS(INDEX(Геокодування!$C$2:$C$361,MATCH($Q134,Геокодування!$B$2:$B$361,0))-50.5884)+ABS(INDEX(Геокодування!$D$2:$D$361,MATCH($Q134,Геокодування!$B$2:$B$361,0))-32.3876)&gt;0.15,"",INDEX(Геокодування!$D$2:$D$361,MATCH($Q134,Геокодування!$B$2:$B$361,0))),IFERROR(IF(ABS(INDEX(Геокодування!$C$2:$C$361,MATCH("Прилуки, Чернігівська обл., "&amp;$A134,Геокодування!$B$2:$B$361,0))-50.5884)+ABS(INDEX(Геокодування!$D$2:$D$361,MATCH("Прилуки, Чернігівська обл., "&amp;$A134,Геокодування!$B$2:$B$361,0))-32.3876)&gt;0.15,"",INDEX(Геокодування!$D$2:$D$361,MATCH("Прилуки, Чернігівська обл., "&amp;$A134,Геокодування!$B$2:$B$361,0))),""))))</f>
        <v>32.371955999999997</v>
      </c>
      <c r="T134" s="44" t="str">
        <f>IF($O134="","",IFERROR(INDEX('Координати майданчиків'!$B$4:$B$64,MATCH($A134&amp;IF($P134="","",", "&amp;$P134),'Координати майданчиків'!$B$4:$B$64,0)),IFERROR(INDEX('Координати майданчиків'!$B$4:$B$64,MATCH($A134,'Координати майданчиків'!$B$4:$B$64,0)),"")))</f>
        <v/>
      </c>
    </row>
    <row r="135" spans="1:20" x14ac:dyDescent="0.35">
      <c r="A135" s="26" t="str">
        <f t="shared" si="6"/>
        <v>вул. Ветеранська</v>
      </c>
      <c r="B135" s="26" t="str">
        <f t="shared" si="7"/>
        <v>шк. 2</v>
      </c>
      <c r="C135" s="27" t="str" cm="1">
        <f t="array" ref="C135">IF($O135="","",_xlfn.TEXTJOIN(", ",TRUE,IF(EXACT('Дані_зв''язок'!$J$4:$J$1012,$O135)*('Дані_зв''язок'!$C$4:$C$1012=C$4),'Дані_зв''язок'!$D$4:$D$1012,"")))</f>
        <v>9:50</v>
      </c>
      <c r="D135" s="27" t="str" cm="1">
        <f t="array" ref="D135">IF($O135="","",_xlfn.TEXTJOIN(", ",TRUE,IF(EXACT('Дані_зв''язок'!$J$4:$J$1012,$O135)*('Дані_зв''язок'!$C$4:$C$1012=D$4),'Дані_зв''язок'!$D$4:$D$1012,"")))</f>
        <v/>
      </c>
      <c r="E135" s="27" t="str" cm="1">
        <f t="array" ref="E135">IF($O135="","",_xlfn.TEXTJOIN(", ",TRUE,IF(EXACT('Дані_зв''язок'!$J$4:$J$1012,$O135)*('Дані_зв''язок'!$C$4:$C$1012=E$4),'Дані_зв''язок'!$D$4:$D$1012,"")))</f>
        <v/>
      </c>
      <c r="F135" s="27" t="str" cm="1">
        <f t="array" ref="F135">IF($O135="","",_xlfn.TEXTJOIN(", ",TRUE,IF(EXACT('Дані_зв''язок'!$J$4:$J$1012,$O135)*('Дані_зв''язок'!$C$4:$C$1012=F$4),'Дані_зв''язок'!$D$4:$D$1012,"")))</f>
        <v/>
      </c>
      <c r="G135" s="27" t="str" cm="1">
        <f t="array" ref="G135">IF($O135="","",_xlfn.TEXTJOIN(", ",TRUE,IF(EXACT('Дані_зв''язок'!$J$4:$J$1012,$O135)*('Дані_зв''язок'!$C$4:$C$1012=G$4),'Дані_зв''язок'!$D$4:$D$1012,"")))</f>
        <v/>
      </c>
      <c r="H135" s="27" t="str" cm="1">
        <f t="array" ref="H135">IF($O135="","",_xlfn.TEXTJOIN(", ",TRUE,IF(EXACT('Дані_зв''язок'!$J$4:$J$1012,$O135)*('Дані_зв''язок'!$C$4:$C$1012=H$4),'Дані_зв''язок'!$D$4:$D$1012,"")))</f>
        <v/>
      </c>
      <c r="I135" s="27" t="str" cm="1">
        <f t="array" ref="I135">IF($O135="","",_xlfn.TEXTJOIN(", ",TRUE,IF(EXACT('Дані_зв''язок'!$J$4:$J$1012,$O135)*('Дані_зв''язок'!$C$4:$C$1012=I$4),'Дані_зв''язок'!$D$4:$D$1012,"")))</f>
        <v/>
      </c>
      <c r="J135" s="27" cm="1">
        <f t="array" ref="J135">IF($O135="","",COUNTIF(C135:I135,"?*")+SUMPRODUCT(LEN(C135:I135)-LEN(SUBSTITUTE(C135:I135,",",""))))</f>
        <v>1</v>
      </c>
      <c r="K135" s="28" t="str" cm="1">
        <f t="array" ref="K135">IF($O135="","",_xlfn.TEXTJOIN(", ",TRUE,IF(EXACT('Дані_зв''язок'!$J$4:$J$1012,$O135),'Дані_зв''язок'!$L$4:$L$1012,"")))</f>
        <v>№3</v>
      </c>
      <c r="L135" s="28" t="str" cm="1">
        <f t="array" ref="L135">IF($O135="","",_xlfn.TEXTJOIN(", ",TRUE,IF(EXACT('Дані_зв''язок'!$J$4:$J$1012,$O135),'Дані_зв''язок'!$M$4:$M$1012,"")))</f>
        <v>ГАЗ 3309</v>
      </c>
      <c r="M135" s="27" cm="1">
        <f t="array" ref="M135">IF($O135="","",IF(SUMPRODUCT(MAX(EXACT('Дані_зв''язок'!$J$4:$J$1012,$O135)*IFERROR('Дані_зв''язок'!$H$4:$H$1012,0)))=0,"",SUMPRODUCT(MAX(EXACT('Дані_зв''язок'!$J$4:$J$1012,$O135)*IFERROR('Дані_зв''язок'!$H$4:$H$1012,0)))))</f>
        <v>1</v>
      </c>
      <c r="O135" s="30" t="s">
        <v>1233</v>
      </c>
      <c r="P135" s="24" cm="1">
        <f t="array" ref="P135">IF($O135="","",IF($B135="","",IFERROR(IF(MIN(IFERROR(VALUE(TRIM(MID(SUBSTITUTE(SUBSTITUTE($B135,","," ")," ",REPT(" ",30)),{1;31;61;91;121;151;181},30))),""))=0,"",MIN(IFERROR(VALUE(TRIM(MID(SUBSTITUTE(SUBSTITUTE($B135,","," ")," ",REPT(" ",30)),{1;31;61;91;121;151;181},30))),""))),"")))</f>
        <v>2</v>
      </c>
      <c r="Q135" s="23" t="str">
        <f t="shared" si="8"/>
        <v>Прилуки, Чернігівська обл., вул. Ветеранська, 2</v>
      </c>
      <c r="R135" s="35">
        <f>IF($O135="","",IFERROR(INDEX('Координати майданчиків'!$H$4:$H$64,MATCH($T135,'Координати майданчиків'!$B$4:$B$64,0)),IFERROR(IF(ABS(INDEX(Геокодування!$C$2:$C$361,MATCH($Q135,Геокодування!$B$2:$B$361,0))-50.5884)+ABS(INDEX(Геокодування!$D$2:$D$361,MATCH($Q135,Геокодування!$B$2:$B$361,0))-32.3876)&gt;0.15,"",INDEX(Геокодування!$C$2:$C$361,MATCH($Q135,Геокодування!$B$2:$B$361,0))),IFERROR(IF(ABS(INDEX(Геокодування!$C$2:$C$361,MATCH("Прилуки, Чернігівська обл., "&amp;$A135,Геокодування!$B$2:$B$361,0))-50.5884)+ABS(INDEX(Геокодування!$D$2:$D$361,MATCH("Прилуки, Чернігівська обл., "&amp;$A135,Геокодування!$B$2:$B$361,0))-32.3876)&gt;0.15,"",INDEX(Геокодування!$C$2:$C$361,MATCH("Прилуки, Чернігівська обл., "&amp;$A135,Геокодування!$B$2:$B$361,0))),""))))</f>
        <v>50.597923000000002</v>
      </c>
      <c r="S135" s="43">
        <f>IF($O135="","",IFERROR(INDEX('Координати майданчиків'!$I$4:$I$64,MATCH($T135,'Координати майданчиків'!$B$4:$B$64,0)),IFERROR(IF(ABS(INDEX(Геокодування!$C$2:$C$361,MATCH($Q135,Геокодування!$B$2:$B$361,0))-50.5884)+ABS(INDEX(Геокодування!$D$2:$D$361,MATCH($Q135,Геокодування!$B$2:$B$361,0))-32.3876)&gt;0.15,"",INDEX(Геокодування!$D$2:$D$361,MATCH($Q135,Геокодування!$B$2:$B$361,0))),IFERROR(IF(ABS(INDEX(Геокодування!$C$2:$C$361,MATCH("Прилуки, Чернігівська обл., "&amp;$A135,Геокодування!$B$2:$B$361,0))-50.5884)+ABS(INDEX(Геокодування!$D$2:$D$361,MATCH("Прилуки, Чернігівська обл., "&amp;$A135,Геокодування!$B$2:$B$361,0))-32.3876)&gt;0.15,"",INDEX(Геокодування!$D$2:$D$361,MATCH("Прилуки, Чернігівська обл., "&amp;$A135,Геокодування!$B$2:$B$361,0))),""))))</f>
        <v>32.374448000000001</v>
      </c>
      <c r="T135" s="44" t="str">
        <f>IF($O135="","",IFERROR(INDEX('Координати майданчиків'!$B$4:$B$64,MATCH($A135&amp;IF($P135="","",", "&amp;$P135),'Координати майданчиків'!$B$4:$B$64,0)),IFERROR(INDEX('Координати майданчиків'!$B$4:$B$64,MATCH($A135,'Координати майданчиків'!$B$4:$B$64,0)),"")))</f>
        <v/>
      </c>
    </row>
    <row r="136" spans="1:20" x14ac:dyDescent="0.35">
      <c r="A136" s="26" t="str">
        <f t="shared" si="6"/>
        <v>вул. Вокзальна</v>
      </c>
      <c r="B136" s="26" t="str">
        <f t="shared" si="7"/>
        <v/>
      </c>
      <c r="C136" s="27" t="str" cm="1">
        <f t="array" ref="C136">IF($O136="","",_xlfn.TEXTJOIN(", ",TRUE,IF(EXACT('Дані_зв''язок'!$J$4:$J$1012,$O136)*('Дані_зв''язок'!$C$4:$C$1012=C$4),'Дані_зв''язок'!$D$4:$D$1012,"")))</f>
        <v/>
      </c>
      <c r="D136" s="27" t="str" cm="1">
        <f t="array" ref="D136">IF($O136="","",_xlfn.TEXTJOIN(", ",TRUE,IF(EXACT('Дані_зв''язок'!$J$4:$J$1012,$O136)*('Дані_зв''язок'!$C$4:$C$1012=D$4),'Дані_зв''язок'!$D$4:$D$1012,"")))</f>
        <v/>
      </c>
      <c r="E136" s="27" t="str" cm="1">
        <f t="array" ref="E136">IF($O136="","",_xlfn.TEXTJOIN(", ",TRUE,IF(EXACT('Дані_зв''язок'!$J$4:$J$1012,$O136)*('Дані_зв''язок'!$C$4:$C$1012=E$4),'Дані_зв''язок'!$D$4:$D$1012,"")))</f>
        <v/>
      </c>
      <c r="F136" s="27" t="str" cm="1">
        <f t="array" ref="F136">IF($O136="","",_xlfn.TEXTJOIN(", ",TRUE,IF(EXACT('Дані_зв''язок'!$J$4:$J$1012,$O136)*('Дані_зв''язок'!$C$4:$C$1012=F$4),'Дані_зв''язок'!$D$4:$D$1012,"")))</f>
        <v>11:50</v>
      </c>
      <c r="G136" s="27" t="str" cm="1">
        <f t="array" ref="G136">IF($O136="","",_xlfn.TEXTJOIN(", ",TRUE,IF(EXACT('Дані_зв''язок'!$J$4:$J$1012,$O136)*('Дані_зв''язок'!$C$4:$C$1012=G$4),'Дані_зв''язок'!$D$4:$D$1012,"")))</f>
        <v/>
      </c>
      <c r="H136" s="27" t="str" cm="1">
        <f t="array" ref="H136">IF($O136="","",_xlfn.TEXTJOIN(", ",TRUE,IF(EXACT('Дані_зв''язок'!$J$4:$J$1012,$O136)*('Дані_зв''язок'!$C$4:$C$1012=H$4),'Дані_зв''язок'!$D$4:$D$1012,"")))</f>
        <v/>
      </c>
      <c r="I136" s="27" t="str" cm="1">
        <f t="array" ref="I136">IF($O136="","",_xlfn.TEXTJOIN(", ",TRUE,IF(EXACT('Дані_зв''язок'!$J$4:$J$1012,$O136)*('Дані_зв''язок'!$C$4:$C$1012=I$4),'Дані_зв''язок'!$D$4:$D$1012,"")))</f>
        <v/>
      </c>
      <c r="J136" s="27" cm="1">
        <f t="array" ref="J136">IF($O136="","",COUNTIF(C136:I136,"?*")+SUMPRODUCT(LEN(C136:I136)-LEN(SUBSTITUTE(C136:I136,",",""))))</f>
        <v>1</v>
      </c>
      <c r="K136" s="28" t="str" cm="1">
        <f t="array" ref="K136">IF($O136="","",_xlfn.TEXTJOIN(", ",TRUE,IF(EXACT('Дані_зв''язок'!$J$4:$J$1012,$O136),'Дані_зв''язок'!$L$4:$L$1012,"")))</f>
        <v>№5</v>
      </c>
      <c r="L136" s="28" t="str" cm="1">
        <f t="array" ref="L136">IF($O136="","",_xlfn.TEXTJOIN(", ",TRUE,IF(EXACT('Дані_зв''язок'!$J$4:$J$1012,$O136),'Дані_зв''язок'!$M$4:$M$1012,"")))</f>
        <v>МАЗ 4381</v>
      </c>
      <c r="M136" s="27" t="str" cm="1">
        <f t="array" ref="M136">IF($O136="","",IF(SUMPRODUCT(MAX(EXACT('Дані_зв''язок'!$J$4:$J$1012,$O136)*IFERROR('Дані_зв''язок'!$H$4:$H$1012,0)))=0,"",SUMPRODUCT(MAX(EXACT('Дані_зв''язок'!$J$4:$J$1012,$O136)*IFERROR('Дані_зв''язок'!$H$4:$H$1012,0)))))</f>
        <v/>
      </c>
      <c r="O136" s="30" t="s">
        <v>1235</v>
      </c>
      <c r="P136" s="24" t="str" cm="1">
        <f t="array" ref="P136">IF($O136="","",IF($B136="","",IFERROR(IF(MIN(IFERROR(VALUE(TRIM(MID(SUBSTITUTE(SUBSTITUTE($B136,","," ")," ",REPT(" ",30)),{1;31;61;91;121;151;181},30))),""))=0,"",MIN(IFERROR(VALUE(TRIM(MID(SUBSTITUTE(SUBSTITUTE($B136,","," ")," ",REPT(" ",30)),{1;31;61;91;121;151;181},30))),""))),"")))</f>
        <v/>
      </c>
      <c r="Q136" s="23" t="str">
        <f t="shared" si="8"/>
        <v>Прилуки, Чернігівська обл., вул. Вокзальна</v>
      </c>
      <c r="R136" s="35">
        <f>IF($O136="","",IFERROR(INDEX('Координати майданчиків'!$H$4:$H$64,MATCH($T136,'Координати майданчиків'!$B$4:$B$64,0)),IFERROR(IF(ABS(INDEX(Геокодування!$C$2:$C$361,MATCH($Q136,Геокодування!$B$2:$B$361,0))-50.5884)+ABS(INDEX(Геокодування!$D$2:$D$361,MATCH($Q136,Геокодування!$B$2:$B$361,0))-32.3876)&gt;0.15,"",INDEX(Геокодування!$C$2:$C$361,MATCH($Q136,Геокодування!$B$2:$B$361,0))),IFERROR(IF(ABS(INDEX(Геокодування!$C$2:$C$361,MATCH("Прилуки, Чернігівська обл., "&amp;$A136,Геокодування!$B$2:$B$361,0))-50.5884)+ABS(INDEX(Геокодування!$D$2:$D$361,MATCH("Прилуки, Чернігівська обл., "&amp;$A136,Геокодування!$B$2:$B$361,0))-32.3876)&gt;0.15,"",INDEX(Геокодування!$C$2:$C$361,MATCH("Прилуки, Чернігівська обл., "&amp;$A136,Геокодування!$B$2:$B$361,0))),""))))</f>
        <v>50.581904999999999</v>
      </c>
      <c r="S136" s="43">
        <f>IF($O136="","",IFERROR(INDEX('Координати майданчиків'!$I$4:$I$64,MATCH($T136,'Координати майданчиків'!$B$4:$B$64,0)),IFERROR(IF(ABS(INDEX(Геокодування!$C$2:$C$361,MATCH($Q136,Геокодування!$B$2:$B$361,0))-50.5884)+ABS(INDEX(Геокодування!$D$2:$D$361,MATCH($Q136,Геокодування!$B$2:$B$361,0))-32.3876)&gt;0.15,"",INDEX(Геокодування!$D$2:$D$361,MATCH($Q136,Геокодування!$B$2:$B$361,0))),IFERROR(IF(ABS(INDEX(Геокодування!$C$2:$C$361,MATCH("Прилуки, Чернігівська обл., "&amp;$A136,Геокодування!$B$2:$B$361,0))-50.5884)+ABS(INDEX(Геокодування!$D$2:$D$361,MATCH("Прилуки, Чернігівська обл., "&amp;$A136,Геокодування!$B$2:$B$361,0))-32.3876)&gt;0.15,"",INDEX(Геокодування!$D$2:$D$361,MATCH("Прилуки, Чернігівська обл., "&amp;$A136,Геокодування!$B$2:$B$361,0))),""))))</f>
        <v>32.383752999999999</v>
      </c>
      <c r="T136" s="44" t="str">
        <f>IF($O136="","",IFERROR(INDEX('Координати майданчиків'!$B$4:$B$64,MATCH($A136&amp;IF($P136="","",", "&amp;$P136),'Координати майданчиків'!$B$4:$B$64,0)),IFERROR(INDEX('Координати майданчиків'!$B$4:$B$64,MATCH($A136,'Координати майданчиків'!$B$4:$B$64,0)),"")))</f>
        <v/>
      </c>
    </row>
    <row r="137" spans="1:20" x14ac:dyDescent="0.35">
      <c r="A137" s="26" t="str">
        <f t="shared" si="6"/>
        <v>вул. Вокзальна</v>
      </c>
      <c r="B137" s="26" t="str">
        <f t="shared" si="7"/>
        <v>"Лімон"</v>
      </c>
      <c r="C137" s="27" t="str" cm="1">
        <f t="array" ref="C137">IF($O137="","",_xlfn.TEXTJOIN(", ",TRUE,IF(EXACT('Дані_зв''язок'!$J$4:$J$1012,$O137)*('Дані_зв''язок'!$C$4:$C$1012=C$4),'Дані_зв''язок'!$D$4:$D$1012,"")))</f>
        <v>10:35</v>
      </c>
      <c r="D137" s="27" t="str" cm="1">
        <f t="array" ref="D137">IF($O137="","",_xlfn.TEXTJOIN(", ",TRUE,IF(EXACT('Дані_зв''язок'!$J$4:$J$1012,$O137)*('Дані_зв''язок'!$C$4:$C$1012=D$4),'Дані_зв''язок'!$D$4:$D$1012,"")))</f>
        <v/>
      </c>
      <c r="E137" s="27" t="str" cm="1">
        <f t="array" ref="E137">IF($O137="","",_xlfn.TEXTJOIN(", ",TRUE,IF(EXACT('Дані_зв''язок'!$J$4:$J$1012,$O137)*('Дані_зв''язок'!$C$4:$C$1012=E$4),'Дані_зв''язок'!$D$4:$D$1012,"")))</f>
        <v/>
      </c>
      <c r="F137" s="27" t="str" cm="1">
        <f t="array" ref="F137">IF($O137="","",_xlfn.TEXTJOIN(", ",TRUE,IF(EXACT('Дані_зв''язок'!$J$4:$J$1012,$O137)*('Дані_зв''язок'!$C$4:$C$1012=F$4),'Дані_зв''язок'!$D$4:$D$1012,"")))</f>
        <v/>
      </c>
      <c r="G137" s="27" t="str" cm="1">
        <f t="array" ref="G137">IF($O137="","",_xlfn.TEXTJOIN(", ",TRUE,IF(EXACT('Дані_зв''язок'!$J$4:$J$1012,$O137)*('Дані_зв''язок'!$C$4:$C$1012=G$4),'Дані_зв''язок'!$D$4:$D$1012,"")))</f>
        <v>10:10</v>
      </c>
      <c r="H137" s="27" t="str" cm="1">
        <f t="array" ref="H137">IF($O137="","",_xlfn.TEXTJOIN(", ",TRUE,IF(EXACT('Дані_зв''язок'!$J$4:$J$1012,$O137)*('Дані_зв''язок'!$C$4:$C$1012=H$4),'Дані_зв''язок'!$D$4:$D$1012,"")))</f>
        <v/>
      </c>
      <c r="I137" s="27" t="str" cm="1">
        <f t="array" ref="I137">IF($O137="","",_xlfn.TEXTJOIN(", ",TRUE,IF(EXACT('Дані_зв''язок'!$J$4:$J$1012,$O137)*('Дані_зв''язок'!$C$4:$C$1012=I$4),'Дані_зв''язок'!$D$4:$D$1012,"")))</f>
        <v/>
      </c>
      <c r="J137" s="27" cm="1">
        <f t="array" ref="J137">IF($O137="","",COUNTIF(C137:I137,"?*")+SUMPRODUCT(LEN(C137:I137)-LEN(SUBSTITUTE(C137:I137,",",""))))</f>
        <v>2</v>
      </c>
      <c r="K137" s="28" t="str" cm="1">
        <f t="array" ref="K137">IF($O137="","",_xlfn.TEXTJOIN(", ",TRUE,IF(EXACT('Дані_зв''язок'!$J$4:$J$1012,$O137),'Дані_зв''язок'!$L$4:$L$1012,"")))</f>
        <v>№3</v>
      </c>
      <c r="L137" s="28" t="str" cm="1">
        <f t="array" ref="L137">IF($O137="","",_xlfn.TEXTJOIN(", ",TRUE,IF(EXACT('Дані_зв''язок'!$J$4:$J$1012,$O137),'Дані_зв''язок'!$M$4:$M$1012,"")))</f>
        <v>МАЗ-4371</v>
      </c>
      <c r="M137" s="27" cm="1">
        <f t="array" ref="M137">IF($O137="","",IF(SUMPRODUCT(MAX(EXACT('Дані_зв''язок'!$J$4:$J$1012,$O137)*IFERROR('Дані_зв''язок'!$H$4:$H$1012,0)))=0,"",SUMPRODUCT(MAX(EXACT('Дані_зв''язок'!$J$4:$J$1012,$O137)*IFERROR('Дані_зв''язок'!$H$4:$H$1012,0)))))</f>
        <v>1</v>
      </c>
      <c r="O137" s="30" t="s">
        <v>1236</v>
      </c>
      <c r="P137" s="24" t="str" cm="1">
        <f t="array" ref="P137">IF($O137="","",IF($B137="","",IFERROR(IF(MIN(IFERROR(VALUE(TRIM(MID(SUBSTITUTE(SUBSTITUTE($B137,","," ")," ",REPT(" ",30)),{1;31;61;91;121;151;181},30))),""))=0,"",MIN(IFERROR(VALUE(TRIM(MID(SUBSTITUTE(SUBSTITUTE($B137,","," ")," ",REPT(" ",30)),{1;31;61;91;121;151;181},30))),""))),"")))</f>
        <v/>
      </c>
      <c r="Q137" s="23" t="str">
        <f t="shared" si="8"/>
        <v>Прилуки, Чернігівська обл., вул. Вокзальна</v>
      </c>
      <c r="R137" s="35">
        <f>IF($O137="","",IFERROR(INDEX('Координати майданчиків'!$H$4:$H$64,MATCH($T137,'Координати майданчиків'!$B$4:$B$64,0)),IFERROR(IF(ABS(INDEX(Геокодування!$C$2:$C$361,MATCH($Q137,Геокодування!$B$2:$B$361,0))-50.5884)+ABS(INDEX(Геокодування!$D$2:$D$361,MATCH($Q137,Геокодування!$B$2:$B$361,0))-32.3876)&gt;0.15,"",INDEX(Геокодування!$C$2:$C$361,MATCH($Q137,Геокодування!$B$2:$B$361,0))),IFERROR(IF(ABS(INDEX(Геокодування!$C$2:$C$361,MATCH("Прилуки, Чернігівська обл., "&amp;$A137,Геокодування!$B$2:$B$361,0))-50.5884)+ABS(INDEX(Геокодування!$D$2:$D$361,MATCH("Прилуки, Чернігівська обл., "&amp;$A137,Геокодування!$B$2:$B$361,0))-32.3876)&gt;0.15,"",INDEX(Геокодування!$C$2:$C$361,MATCH("Прилуки, Чернігівська обл., "&amp;$A137,Геокодування!$B$2:$B$361,0))),""))))</f>
        <v>50.581904999999999</v>
      </c>
      <c r="S137" s="43">
        <f>IF($O137="","",IFERROR(INDEX('Координати майданчиків'!$I$4:$I$64,MATCH($T137,'Координати майданчиків'!$B$4:$B$64,0)),IFERROR(IF(ABS(INDEX(Геокодування!$C$2:$C$361,MATCH($Q137,Геокодування!$B$2:$B$361,0))-50.5884)+ABS(INDEX(Геокодування!$D$2:$D$361,MATCH($Q137,Геокодування!$B$2:$B$361,0))-32.3876)&gt;0.15,"",INDEX(Геокодування!$D$2:$D$361,MATCH($Q137,Геокодування!$B$2:$B$361,0))),IFERROR(IF(ABS(INDEX(Геокодування!$C$2:$C$361,MATCH("Прилуки, Чернігівська обл., "&amp;$A137,Геокодування!$B$2:$B$361,0))-50.5884)+ABS(INDEX(Геокодування!$D$2:$D$361,MATCH("Прилуки, Чернігівська обл., "&amp;$A137,Геокодування!$B$2:$B$361,0))-32.3876)&gt;0.15,"",INDEX(Геокодування!$D$2:$D$361,MATCH("Прилуки, Чернігівська обл., "&amp;$A137,Геокодування!$B$2:$B$361,0))),""))))</f>
        <v>32.383752999999999</v>
      </c>
      <c r="T137" s="44" t="str">
        <f>IF($O137="","",IFERROR(INDEX('Координати майданчиків'!$B$4:$B$64,MATCH($A137&amp;IF($P137="","",", "&amp;$P137),'Координати майданчиків'!$B$4:$B$64,0)),IFERROR(INDEX('Координати майданчиків'!$B$4:$B$64,MATCH($A137,'Координати майданчиків'!$B$4:$B$64,0)),"")))</f>
        <v/>
      </c>
    </row>
    <row r="138" spans="1:20" x14ac:dyDescent="0.35">
      <c r="A138" s="26" t="str">
        <f t="shared" si="6"/>
        <v>вул. Вокзальна</v>
      </c>
      <c r="B138" s="26" t="str">
        <f t="shared" si="7"/>
        <v>12</v>
      </c>
      <c r="C138" s="27" t="str" cm="1">
        <f t="array" ref="C138">IF($O138="","",_xlfn.TEXTJOIN(", ",TRUE,IF(EXACT('Дані_зв''язок'!$J$4:$J$1012,$O138)*('Дані_зв''язок'!$C$4:$C$1012=C$4),'Дані_зв''язок'!$D$4:$D$1012,"")))</f>
        <v>7:55</v>
      </c>
      <c r="D138" s="27" t="str" cm="1">
        <f t="array" ref="D138">IF($O138="","",_xlfn.TEXTJOIN(", ",TRUE,IF(EXACT('Дані_зв''язок'!$J$4:$J$1012,$O138)*('Дані_зв''язок'!$C$4:$C$1012=D$4),'Дані_зв''язок'!$D$4:$D$1012,"")))</f>
        <v>7:55</v>
      </c>
      <c r="E138" s="27" t="str" cm="1">
        <f t="array" ref="E138">IF($O138="","",_xlfn.TEXTJOIN(", ",TRUE,IF(EXACT('Дані_зв''язок'!$J$4:$J$1012,$O138)*('Дані_зв''язок'!$C$4:$C$1012=E$4),'Дані_зв''язок'!$D$4:$D$1012,"")))</f>
        <v>13:15</v>
      </c>
      <c r="F138" s="27" t="str" cm="1">
        <f t="array" ref="F138">IF($O138="","",_xlfn.TEXTJOIN(", ",TRUE,IF(EXACT('Дані_зв''язок'!$J$4:$J$1012,$O138)*('Дані_зв''язок'!$C$4:$C$1012=F$4),'Дані_зв''язок'!$D$4:$D$1012,"")))</f>
        <v>7:55</v>
      </c>
      <c r="G138" s="27" t="str" cm="1">
        <f t="array" ref="G138">IF($O138="","",_xlfn.TEXTJOIN(", ",TRUE,IF(EXACT('Дані_зв''язок'!$J$4:$J$1012,$O138)*('Дані_зв''язок'!$C$4:$C$1012=G$4),'Дані_зв''язок'!$D$4:$D$1012,"")))</f>
        <v>7:55</v>
      </c>
      <c r="H138" s="27" t="str" cm="1">
        <f t="array" ref="H138">IF($O138="","",_xlfn.TEXTJOIN(", ",TRUE,IF(EXACT('Дані_зв''язок'!$J$4:$J$1012,$O138)*('Дані_зв''язок'!$C$4:$C$1012=H$4),'Дані_зв''язок'!$D$4:$D$1012,"")))</f>
        <v>13:15</v>
      </c>
      <c r="I138" s="27" t="str" cm="1">
        <f t="array" ref="I138">IF($O138="","",_xlfn.TEXTJOIN(", ",TRUE,IF(EXACT('Дані_зв''язок'!$J$4:$J$1012,$O138)*('Дані_зв''язок'!$C$4:$C$1012=I$4),'Дані_зв''язок'!$D$4:$D$1012,"")))</f>
        <v>7:55</v>
      </c>
      <c r="J138" s="27" cm="1">
        <f t="array" ref="J138">IF($O138="","",COUNTIF(C138:I138,"?*")+SUMPRODUCT(LEN(C138:I138)-LEN(SUBSTITUTE(C138:I138,",",""))))</f>
        <v>7</v>
      </c>
      <c r="K138" s="28" t="str" cm="1">
        <f t="array" ref="K138">IF($O138="","",_xlfn.TEXTJOIN(", ",TRUE,IF(EXACT('Дані_зв''язок'!$J$4:$J$1012,$O138),'Дані_зв''язок'!$L$4:$L$1012,"")))</f>
        <v>№2</v>
      </c>
      <c r="L138" s="28" t="str" cm="1">
        <f t="array" ref="L138">IF($O138="","",_xlfn.TEXTJOIN(", ",TRUE,IF(EXACT('Дані_зв''язок'!$J$4:$J$1012,$O138),'Дані_зв''язок'!$M$4:$M$1012,"")))</f>
        <v>АТ 4021/1120, АТ-4021/1120</v>
      </c>
      <c r="M138" s="27" cm="1">
        <f t="array" ref="M138">IF($O138="","",IF(SUMPRODUCT(MAX(EXACT('Дані_зв''язок'!$J$4:$J$1012,$O138)*IFERROR('Дані_зв''язок'!$H$4:$H$1012,0)))=0,"",SUMPRODUCT(MAX(EXACT('Дані_зв''язок'!$J$4:$J$1012,$O138)*IFERROR('Дані_зв''язок'!$H$4:$H$1012,0)))))</f>
        <v>2</v>
      </c>
      <c r="O138" s="30" t="s">
        <v>1237</v>
      </c>
      <c r="P138" s="24" cm="1">
        <f t="array" ref="P138">IF($O138="","",IF($B138="","",IFERROR(IF(MIN(IFERROR(VALUE(TRIM(MID(SUBSTITUTE(SUBSTITUTE($B138,","," ")," ",REPT(" ",30)),{1;31;61;91;121;151;181},30))),""))=0,"",MIN(IFERROR(VALUE(TRIM(MID(SUBSTITUTE(SUBSTITUTE($B138,","," ")," ",REPT(" ",30)),{1;31;61;91;121;151;181},30))),""))),"")))</f>
        <v>12</v>
      </c>
      <c r="Q138" s="23" t="str">
        <f t="shared" si="8"/>
        <v>Прилуки, Чернігівська обл., вул. Вокзальна, 12</v>
      </c>
      <c r="R138" s="35">
        <f>IF($O138="","",IFERROR(INDEX('Координати майданчиків'!$H$4:$H$64,MATCH($T138,'Координати майданчиків'!$B$4:$B$64,0)),IFERROR(IF(ABS(INDEX(Геокодування!$C$2:$C$361,MATCH($Q138,Геокодування!$B$2:$B$361,0))-50.5884)+ABS(INDEX(Геокодування!$D$2:$D$361,MATCH($Q138,Геокодування!$B$2:$B$361,0))-32.3876)&gt;0.15,"",INDEX(Геокодування!$C$2:$C$361,MATCH($Q138,Геокодування!$B$2:$B$361,0))),IFERROR(IF(ABS(INDEX(Геокодування!$C$2:$C$361,MATCH("Прилуки, Чернігівська обл., "&amp;$A138,Геокодування!$B$2:$B$361,0))-50.5884)+ABS(INDEX(Геокодування!$D$2:$D$361,MATCH("Прилуки, Чернігівська обл., "&amp;$A138,Геокодування!$B$2:$B$361,0))-32.3876)&gt;0.15,"",INDEX(Геокодування!$C$2:$C$361,MATCH("Прилуки, Чернігівська обл., "&amp;$A138,Геокодування!$B$2:$B$361,0))),""))))</f>
        <v>50.5886</v>
      </c>
      <c r="S138" s="43">
        <f>IF($O138="","",IFERROR(INDEX('Координати майданчиків'!$I$4:$I$64,MATCH($T138,'Координати майданчиків'!$B$4:$B$64,0)),IFERROR(IF(ABS(INDEX(Геокодування!$C$2:$C$361,MATCH($Q138,Геокодування!$B$2:$B$361,0))-50.5884)+ABS(INDEX(Геокодування!$D$2:$D$361,MATCH($Q138,Геокодування!$B$2:$B$361,0))-32.3876)&gt;0.15,"",INDEX(Геокодування!$D$2:$D$361,MATCH($Q138,Геокодування!$B$2:$B$361,0))),IFERROR(IF(ABS(INDEX(Геокодування!$C$2:$C$361,MATCH("Прилуки, Чернігівська обл., "&amp;$A138,Геокодування!$B$2:$B$361,0))-50.5884)+ABS(INDEX(Геокодування!$D$2:$D$361,MATCH("Прилуки, Чернігівська обл., "&amp;$A138,Геокодування!$B$2:$B$361,0))-32.3876)&gt;0.15,"",INDEX(Геокодування!$D$2:$D$361,MATCH("Прилуки, Чернігівська обл., "&amp;$A138,Геокодування!$B$2:$B$361,0))),""))))</f>
        <v>32.384219999999999</v>
      </c>
      <c r="T138" s="44" t="str">
        <f>IF($O138="","",IFERROR(INDEX('Координати майданчиків'!$B$4:$B$64,MATCH($A138&amp;IF($P138="","",", "&amp;$P138),'Координати майданчиків'!$B$4:$B$64,0)),IFERROR(INDEX('Координати майданчиків'!$B$4:$B$64,MATCH($A138,'Координати майданчиків'!$B$4:$B$64,0)),"")))</f>
        <v/>
      </c>
    </row>
    <row r="139" spans="1:20" x14ac:dyDescent="0.35">
      <c r="A139" s="26" t="str">
        <f t="shared" si="6"/>
        <v>вул. Вокзальна</v>
      </c>
      <c r="B139" s="26" t="str">
        <f t="shared" si="7"/>
        <v>29</v>
      </c>
      <c r="C139" s="27" t="str" cm="1">
        <f t="array" ref="C139">IF($O139="","",_xlfn.TEXTJOIN(", ",TRUE,IF(EXACT('Дані_зв''язок'!$J$4:$J$1012,$O139)*('Дані_зв''язок'!$C$4:$C$1012=C$4),'Дані_зв''язок'!$D$4:$D$1012,"")))</f>
        <v>8:00, 15:40</v>
      </c>
      <c r="D139" s="27" t="str" cm="1">
        <f t="array" ref="D139">IF($O139="","",_xlfn.TEXTJOIN(", ",TRUE,IF(EXACT('Дані_зв''язок'!$J$4:$J$1012,$O139)*('Дані_зв''язок'!$C$4:$C$1012=D$4),'Дані_зв''язок'!$D$4:$D$1012,"")))</f>
        <v>8:15, 15:10</v>
      </c>
      <c r="E139" s="27" t="str" cm="1">
        <f t="array" ref="E139">IF($O139="","",_xlfn.TEXTJOIN(", ",TRUE,IF(EXACT('Дані_зв''язок'!$J$4:$J$1012,$O139)*('Дані_зв''язок'!$C$4:$C$1012=E$4),'Дані_зв''язок'!$D$4:$D$1012,"")))</f>
        <v/>
      </c>
      <c r="F139" s="27" t="str" cm="1">
        <f t="array" ref="F139">IF($O139="","",_xlfn.TEXTJOIN(", ",TRUE,IF(EXACT('Дані_зв''язок'!$J$4:$J$1012,$O139)*('Дані_зв''язок'!$C$4:$C$1012=F$4),'Дані_зв''язок'!$D$4:$D$1012,"")))</f>
        <v/>
      </c>
      <c r="G139" s="27" t="str" cm="1">
        <f t="array" ref="G139">IF($O139="","",_xlfn.TEXTJOIN(", ",TRUE,IF(EXACT('Дані_зв''язок'!$J$4:$J$1012,$O139)*('Дані_зв''язок'!$C$4:$C$1012=G$4),'Дані_зв''язок'!$D$4:$D$1012,"")))</f>
        <v/>
      </c>
      <c r="H139" s="27" t="str" cm="1">
        <f t="array" ref="H139">IF($O139="","",_xlfn.TEXTJOIN(", ",TRUE,IF(EXACT('Дані_зв''язок'!$J$4:$J$1012,$O139)*('Дані_зв''язок'!$C$4:$C$1012=H$4),'Дані_зв''язок'!$D$4:$D$1012,"")))</f>
        <v/>
      </c>
      <c r="I139" s="27" t="str" cm="1">
        <f t="array" ref="I139">IF($O139="","",_xlfn.TEXTJOIN(", ",TRUE,IF(EXACT('Дані_зв''язок'!$J$4:$J$1012,$O139)*('Дані_зв''язок'!$C$4:$C$1012=I$4),'Дані_зв''язок'!$D$4:$D$1012,"")))</f>
        <v>15:30</v>
      </c>
      <c r="J139" s="27" cm="1">
        <f t="array" ref="J139">IF($O139="","",COUNTIF(C139:I139,"?*")+SUMPRODUCT(LEN(C139:I139)-LEN(SUBSTITUTE(C139:I139,",",""))))</f>
        <v>5</v>
      </c>
      <c r="K139" s="28" t="str" cm="1">
        <f t="array" ref="K139">IF($O139="","",_xlfn.TEXTJOIN(", ",TRUE,IF(EXACT('Дані_зв''язок'!$J$4:$J$1012,$O139),'Дані_зв''язок'!$L$4:$L$1012,"")))</f>
        <v>№4</v>
      </c>
      <c r="L139" s="28" t="str" cm="1">
        <f t="array" ref="L139">IF($O139="","",_xlfn.TEXTJOIN(", ",TRUE,IF(EXACT('Дані_зв''язок'!$J$4:$J$1012,$O139),'Дані_зв''язок'!$M$4:$M$1012,"")))</f>
        <v>АТ 40-42/ROD21003</v>
      </c>
      <c r="M139" s="27" cm="1">
        <f t="array" ref="M139">IF($O139="","",IF(SUMPRODUCT(MAX(EXACT('Дані_зв''язок'!$J$4:$J$1012,$O139)*IFERROR('Дані_зв''язок'!$H$4:$H$1012,0)))=0,"",SUMPRODUCT(MAX(EXACT('Дані_зв''язок'!$J$4:$J$1012,$O139)*IFERROR('Дані_зв''язок'!$H$4:$H$1012,0)))))</f>
        <v>3</v>
      </c>
      <c r="O139" s="30" t="s">
        <v>1238</v>
      </c>
      <c r="P139" s="24" cm="1">
        <f t="array" ref="P139">IF($O139="","",IF($B139="","",IFERROR(IF(MIN(IFERROR(VALUE(TRIM(MID(SUBSTITUTE(SUBSTITUTE($B139,","," ")," ",REPT(" ",30)),{1;31;61;91;121;151;181},30))),""))=0,"",MIN(IFERROR(VALUE(TRIM(MID(SUBSTITUTE(SUBSTITUTE($B139,","," ")," ",REPT(" ",30)),{1;31;61;91;121;151;181},30))),""))),"")))</f>
        <v>29</v>
      </c>
      <c r="Q139" s="23" t="str">
        <f t="shared" si="8"/>
        <v>Прилуки, Чернігівська обл., вул. Вокзальна, 29</v>
      </c>
      <c r="R139" s="35">
        <f>IF($O139="","",IFERROR(INDEX('Координати майданчиків'!$H$4:$H$64,MATCH($T139,'Координати майданчиків'!$B$4:$B$64,0)),IFERROR(IF(ABS(INDEX(Геокодування!$C$2:$C$361,MATCH($Q139,Геокодування!$B$2:$B$361,0))-50.5884)+ABS(INDEX(Геокодування!$D$2:$D$361,MATCH($Q139,Геокодування!$B$2:$B$361,0))-32.3876)&gt;0.15,"",INDEX(Геокодування!$C$2:$C$361,MATCH($Q139,Геокодування!$B$2:$B$361,0))),IFERROR(IF(ABS(INDEX(Геокодування!$C$2:$C$361,MATCH("Прилуки, Чернігівська обл., "&amp;$A139,Геокодування!$B$2:$B$361,0))-50.5884)+ABS(INDEX(Геокодування!$D$2:$D$361,MATCH("Прилуки, Чернігівська обл., "&amp;$A139,Геокодування!$B$2:$B$361,0))-32.3876)&gt;0.15,"",INDEX(Геокодування!$C$2:$C$361,MATCH("Прилуки, Чернігівська обл., "&amp;$A139,Геокодування!$B$2:$B$361,0))),""))))</f>
        <v>50.5886</v>
      </c>
      <c r="S139" s="43">
        <f>IF($O139="","",IFERROR(INDEX('Координати майданчиків'!$I$4:$I$64,MATCH($T139,'Координати майданчиків'!$B$4:$B$64,0)),IFERROR(IF(ABS(INDEX(Геокодування!$C$2:$C$361,MATCH($Q139,Геокодування!$B$2:$B$361,0))-50.5884)+ABS(INDEX(Геокодування!$D$2:$D$361,MATCH($Q139,Геокодування!$B$2:$B$361,0))-32.3876)&gt;0.15,"",INDEX(Геокодування!$D$2:$D$361,MATCH($Q139,Геокодування!$B$2:$B$361,0))),IFERROR(IF(ABS(INDEX(Геокодування!$C$2:$C$361,MATCH("Прилуки, Чернігівська обл., "&amp;$A139,Геокодування!$B$2:$B$361,0))-50.5884)+ABS(INDEX(Геокодування!$D$2:$D$361,MATCH("Прилуки, Чернігівська обл., "&amp;$A139,Геокодування!$B$2:$B$361,0))-32.3876)&gt;0.15,"",INDEX(Геокодування!$D$2:$D$361,MATCH("Прилуки, Чернігівська обл., "&amp;$A139,Геокодування!$B$2:$B$361,0))),""))))</f>
        <v>32.384219999999999</v>
      </c>
      <c r="T139" s="44" t="str">
        <f>IF($O139="","",IFERROR(INDEX('Координати майданчиків'!$B$4:$B$64,MATCH($A139&amp;IF($P139="","",", "&amp;$P139),'Координати майданчиків'!$B$4:$B$64,0)),IFERROR(INDEX('Координати майданчиків'!$B$4:$B$64,MATCH($A139,'Координати майданчиків'!$B$4:$B$64,0)),"")))</f>
        <v/>
      </c>
    </row>
    <row r="140" spans="1:20" x14ac:dyDescent="0.35">
      <c r="A140" s="26" t="str">
        <f t="shared" si="6"/>
        <v>вул. Вокзальна</v>
      </c>
      <c r="B140" s="26" t="str">
        <f t="shared" si="7"/>
        <v>29 а</v>
      </c>
      <c r="C140" s="27" t="str" cm="1">
        <f t="array" ref="C140">IF($O140="","",_xlfn.TEXTJOIN(", ",TRUE,IF(EXACT('Дані_зв''язок'!$J$4:$J$1012,$O140)*('Дані_зв''язок'!$C$4:$C$1012=C$4),'Дані_зв''язок'!$D$4:$D$1012,"")))</f>
        <v/>
      </c>
      <c r="D140" s="27" t="str" cm="1">
        <f t="array" ref="D140">IF($O140="","",_xlfn.TEXTJOIN(", ",TRUE,IF(EXACT('Дані_зв''язок'!$J$4:$J$1012,$O140)*('Дані_зв''язок'!$C$4:$C$1012=D$4),'Дані_зв''язок'!$D$4:$D$1012,"")))</f>
        <v/>
      </c>
      <c r="E140" s="27" t="str" cm="1">
        <f t="array" ref="E140">IF($O140="","",_xlfn.TEXTJOIN(", ",TRUE,IF(EXACT('Дані_зв''язок'!$J$4:$J$1012,$O140)*('Дані_зв''язок'!$C$4:$C$1012=E$4),'Дані_зв''язок'!$D$4:$D$1012,"")))</f>
        <v>7:45</v>
      </c>
      <c r="F140" s="27" t="str" cm="1">
        <f t="array" ref="F140">IF($O140="","",_xlfn.TEXTJOIN(", ",TRUE,IF(EXACT('Дані_зв''язок'!$J$4:$J$1012,$O140)*('Дані_зв''язок'!$C$4:$C$1012=F$4),'Дані_зв''язок'!$D$4:$D$1012,"")))</f>
        <v/>
      </c>
      <c r="G140" s="27" t="str" cm="1">
        <f t="array" ref="G140">IF($O140="","",_xlfn.TEXTJOIN(", ",TRUE,IF(EXACT('Дані_зв''язок'!$J$4:$J$1012,$O140)*('Дані_зв''язок'!$C$4:$C$1012=G$4),'Дані_зв''язок'!$D$4:$D$1012,"")))</f>
        <v/>
      </c>
      <c r="H140" s="27" t="str" cm="1">
        <f t="array" ref="H140">IF($O140="","",_xlfn.TEXTJOIN(", ",TRUE,IF(EXACT('Дані_зв''язок'!$J$4:$J$1012,$O140)*('Дані_зв''язок'!$C$4:$C$1012=H$4),'Дані_зв''язок'!$D$4:$D$1012,"")))</f>
        <v>7:45</v>
      </c>
      <c r="I140" s="27" t="str" cm="1">
        <f t="array" ref="I140">IF($O140="","",_xlfn.TEXTJOIN(", ",TRUE,IF(EXACT('Дані_зв''язок'!$J$4:$J$1012,$O140)*('Дані_зв''язок'!$C$4:$C$1012=I$4),'Дані_зв''язок'!$D$4:$D$1012,"")))</f>
        <v/>
      </c>
      <c r="J140" s="27" cm="1">
        <f t="array" ref="J140">IF($O140="","",COUNTIF(C140:I140,"?*")+SUMPRODUCT(LEN(C140:I140)-LEN(SUBSTITUTE(C140:I140,",",""))))</f>
        <v>2</v>
      </c>
      <c r="K140" s="28" t="str" cm="1">
        <f t="array" ref="K140">IF($O140="","",_xlfn.TEXTJOIN(", ",TRUE,IF(EXACT('Дані_зв''язок'!$J$4:$J$1012,$O140),'Дані_зв''язок'!$L$4:$L$1012,"")))</f>
        <v>№4</v>
      </c>
      <c r="L140" s="28" t="str" cm="1">
        <f t="array" ref="L140">IF($O140="","",_xlfn.TEXTJOIN(", ",TRUE,IF(EXACT('Дані_зв''язок'!$J$4:$J$1012,$O140),'Дані_зв''язок'!$M$4:$M$1012,"")))</f>
        <v>ГАЗ 3309</v>
      </c>
      <c r="M140" s="27" cm="1">
        <f t="array" ref="M140">IF($O140="","",IF(SUMPRODUCT(MAX(EXACT('Дані_зв''язок'!$J$4:$J$1012,$O140)*IFERROR('Дані_зв''язок'!$H$4:$H$1012,0)))=0,"",SUMPRODUCT(MAX(EXACT('Дані_зв''язок'!$J$4:$J$1012,$O140)*IFERROR('Дані_зв''язок'!$H$4:$H$1012,0)))))</f>
        <v>3</v>
      </c>
      <c r="O140" s="30" t="s">
        <v>1239</v>
      </c>
      <c r="P140" s="24" cm="1">
        <f t="array" ref="P140">IF($O140="","",IF($B140="","",IFERROR(IF(MIN(IFERROR(VALUE(TRIM(MID(SUBSTITUTE(SUBSTITUTE($B140,","," ")," ",REPT(" ",30)),{1;31;61;91;121;151;181},30))),""))=0,"",MIN(IFERROR(VALUE(TRIM(MID(SUBSTITUTE(SUBSTITUTE($B140,","," ")," ",REPT(" ",30)),{1;31;61;91;121;151;181},30))),""))),"")))</f>
        <v>29</v>
      </c>
      <c r="Q140" s="23" t="str">
        <f t="shared" si="8"/>
        <v>Прилуки, Чернігівська обл., вул. Вокзальна, 29</v>
      </c>
      <c r="R140" s="35">
        <f>IF($O140="","",IFERROR(INDEX('Координати майданчиків'!$H$4:$H$64,MATCH($T140,'Координати майданчиків'!$B$4:$B$64,0)),IFERROR(IF(ABS(INDEX(Геокодування!$C$2:$C$361,MATCH($Q140,Геокодування!$B$2:$B$361,0))-50.5884)+ABS(INDEX(Геокодування!$D$2:$D$361,MATCH($Q140,Геокодування!$B$2:$B$361,0))-32.3876)&gt;0.15,"",INDEX(Геокодування!$C$2:$C$361,MATCH($Q140,Геокодування!$B$2:$B$361,0))),IFERROR(IF(ABS(INDEX(Геокодування!$C$2:$C$361,MATCH("Прилуки, Чернігівська обл., "&amp;$A140,Геокодування!$B$2:$B$361,0))-50.5884)+ABS(INDEX(Геокодування!$D$2:$D$361,MATCH("Прилуки, Чернігівська обл., "&amp;$A140,Геокодування!$B$2:$B$361,0))-32.3876)&gt;0.15,"",INDEX(Геокодування!$C$2:$C$361,MATCH("Прилуки, Чернігівська обл., "&amp;$A140,Геокодування!$B$2:$B$361,0))),""))))</f>
        <v>50.5886</v>
      </c>
      <c r="S140" s="43">
        <f>IF($O140="","",IFERROR(INDEX('Координати майданчиків'!$I$4:$I$64,MATCH($T140,'Координати майданчиків'!$B$4:$B$64,0)),IFERROR(IF(ABS(INDEX(Геокодування!$C$2:$C$361,MATCH($Q140,Геокодування!$B$2:$B$361,0))-50.5884)+ABS(INDEX(Геокодування!$D$2:$D$361,MATCH($Q140,Геокодування!$B$2:$B$361,0))-32.3876)&gt;0.15,"",INDEX(Геокодування!$D$2:$D$361,MATCH($Q140,Геокодування!$B$2:$B$361,0))),IFERROR(IF(ABS(INDEX(Геокодування!$C$2:$C$361,MATCH("Прилуки, Чернігівська обл., "&amp;$A140,Геокодування!$B$2:$B$361,0))-50.5884)+ABS(INDEX(Геокодування!$D$2:$D$361,MATCH("Прилуки, Чернігівська обл., "&amp;$A140,Геокодування!$B$2:$B$361,0))-32.3876)&gt;0.15,"",INDEX(Геокодування!$D$2:$D$361,MATCH("Прилуки, Чернігівська обл., "&amp;$A140,Геокодування!$B$2:$B$361,0))),""))))</f>
        <v>32.384219999999999</v>
      </c>
      <c r="T140" s="44" t="str">
        <f>IF($O140="","",IFERROR(INDEX('Координати майданчиків'!$B$4:$B$64,MATCH($A140&amp;IF($P140="","",", "&amp;$P140),'Координати майданчиків'!$B$4:$B$64,0)),IFERROR(INDEX('Координати майданчиків'!$B$4:$B$64,MATCH($A140,'Координати майданчиків'!$B$4:$B$64,0)),"")))</f>
        <v/>
      </c>
    </row>
    <row r="141" spans="1:20" x14ac:dyDescent="0.35">
      <c r="A141" s="26" t="str">
        <f t="shared" si="6"/>
        <v>вул. Вокзальна</v>
      </c>
      <c r="B141" s="26" t="str">
        <f t="shared" si="7"/>
        <v>29а</v>
      </c>
      <c r="C141" s="27" t="str" cm="1">
        <f t="array" ref="C141">IF($O141="","",_xlfn.TEXTJOIN(", ",TRUE,IF(EXACT('Дані_зв''язок'!$J$4:$J$1012,$O141)*('Дані_зв''язок'!$C$4:$C$1012=C$4),'Дані_зв''язок'!$D$4:$D$1012,"")))</f>
        <v/>
      </c>
      <c r="D141" s="27" t="str" cm="1">
        <f t="array" ref="D141">IF($O141="","",_xlfn.TEXTJOIN(", ",TRUE,IF(EXACT('Дані_зв''язок'!$J$4:$J$1012,$O141)*('Дані_зв''язок'!$C$4:$C$1012=D$4),'Дані_зв''язок'!$D$4:$D$1012,"")))</f>
        <v/>
      </c>
      <c r="E141" s="27" t="str" cm="1">
        <f t="array" ref="E141">IF($O141="","",_xlfn.TEXTJOIN(", ",TRUE,IF(EXACT('Дані_зв''язок'!$J$4:$J$1012,$O141)*('Дані_зв''язок'!$C$4:$C$1012=E$4),'Дані_зв''язок'!$D$4:$D$1012,"")))</f>
        <v/>
      </c>
      <c r="F141" s="27" t="str" cm="1">
        <f t="array" ref="F141">IF($O141="","",_xlfn.TEXTJOIN(", ",TRUE,IF(EXACT('Дані_зв''язок'!$J$4:$J$1012,$O141)*('Дані_зв''язок'!$C$4:$C$1012=F$4),'Дані_зв''язок'!$D$4:$D$1012,"")))</f>
        <v>8:00, 15:30</v>
      </c>
      <c r="G141" s="27" t="str" cm="1">
        <f t="array" ref="G141">IF($O141="","",_xlfn.TEXTJOIN(", ",TRUE,IF(EXACT('Дані_зв''язок'!$J$4:$J$1012,$O141)*('Дані_зв''язок'!$C$4:$C$1012=G$4),'Дані_зв''язок'!$D$4:$D$1012,"")))</f>
        <v>8:00, 15:00</v>
      </c>
      <c r="H141" s="27" t="str" cm="1">
        <f t="array" ref="H141">IF($O141="","",_xlfn.TEXTJOIN(", ",TRUE,IF(EXACT('Дані_зв''язок'!$J$4:$J$1012,$O141)*('Дані_зв''язок'!$C$4:$C$1012=H$4),'Дані_зв''язок'!$D$4:$D$1012,"")))</f>
        <v/>
      </c>
      <c r="I141" s="27" t="str" cm="1">
        <f t="array" ref="I141">IF($O141="","",_xlfn.TEXTJOIN(", ",TRUE,IF(EXACT('Дані_зв''язок'!$J$4:$J$1012,$O141)*('Дані_зв''язок'!$C$4:$C$1012=I$4),'Дані_зв''язок'!$D$4:$D$1012,"")))</f>
        <v>8:15</v>
      </c>
      <c r="J141" s="27" cm="1">
        <f t="array" ref="J141">IF($O141="","",COUNTIF(C141:I141,"?*")+SUMPRODUCT(LEN(C141:I141)-LEN(SUBSTITUTE(C141:I141,",",""))))</f>
        <v>5</v>
      </c>
      <c r="K141" s="28" t="str" cm="1">
        <f t="array" ref="K141">IF($O141="","",_xlfn.TEXTJOIN(", ",TRUE,IF(EXACT('Дані_зв''язок'!$J$4:$J$1012,$O141),'Дані_зв''язок'!$L$4:$L$1012,"")))</f>
        <v>№4</v>
      </c>
      <c r="L141" s="28" t="str" cm="1">
        <f t="array" ref="L141">IF($O141="","",_xlfn.TEXTJOIN(", ",TRUE,IF(EXACT('Дані_зв''язок'!$J$4:$J$1012,$O141),'Дані_зв''язок'!$M$4:$M$1012,"")))</f>
        <v>АТ 40-42/ROD21003</v>
      </c>
      <c r="M141" s="27" cm="1">
        <f t="array" ref="M141">IF($O141="","",IF(SUMPRODUCT(MAX(EXACT('Дані_зв''язок'!$J$4:$J$1012,$O141)*IFERROR('Дані_зв''язок'!$H$4:$H$1012,0)))=0,"",SUMPRODUCT(MAX(EXACT('Дані_зв''язок'!$J$4:$J$1012,$O141)*IFERROR('Дані_зв''язок'!$H$4:$H$1012,0)))))</f>
        <v>3</v>
      </c>
      <c r="O141" s="30" t="s">
        <v>1240</v>
      </c>
      <c r="P141" s="24" t="str" cm="1">
        <f t="array" ref="P141">IF($O141="","",IF($B141="","",IFERROR(IF(MIN(IFERROR(VALUE(TRIM(MID(SUBSTITUTE(SUBSTITUTE($B141,","," ")," ",REPT(" ",30)),{1;31;61;91;121;151;181},30))),""))=0,"",MIN(IFERROR(VALUE(TRIM(MID(SUBSTITUTE(SUBSTITUTE($B141,","," ")," ",REPT(" ",30)),{1;31;61;91;121;151;181},30))),""))),"")))</f>
        <v/>
      </c>
      <c r="Q141" s="23" t="str">
        <f t="shared" si="8"/>
        <v>Прилуки, Чернігівська обл., вул. Вокзальна</v>
      </c>
      <c r="R141" s="35">
        <f>IF($O141="","",IFERROR(INDEX('Координати майданчиків'!$H$4:$H$64,MATCH($T141,'Координати майданчиків'!$B$4:$B$64,0)),IFERROR(IF(ABS(INDEX(Геокодування!$C$2:$C$361,MATCH($Q141,Геокодування!$B$2:$B$361,0))-50.5884)+ABS(INDEX(Геокодування!$D$2:$D$361,MATCH($Q141,Геокодування!$B$2:$B$361,0))-32.3876)&gt;0.15,"",INDEX(Геокодування!$C$2:$C$361,MATCH($Q141,Геокодування!$B$2:$B$361,0))),IFERROR(IF(ABS(INDEX(Геокодування!$C$2:$C$361,MATCH("Прилуки, Чернігівська обл., "&amp;$A141,Геокодування!$B$2:$B$361,0))-50.5884)+ABS(INDEX(Геокодування!$D$2:$D$361,MATCH("Прилуки, Чернігівська обл., "&amp;$A141,Геокодування!$B$2:$B$361,0))-32.3876)&gt;0.15,"",INDEX(Геокодування!$C$2:$C$361,MATCH("Прилуки, Чернігівська обл., "&amp;$A141,Геокодування!$B$2:$B$361,0))),""))))</f>
        <v>50.581904999999999</v>
      </c>
      <c r="S141" s="43">
        <f>IF($O141="","",IFERROR(INDEX('Координати майданчиків'!$I$4:$I$64,MATCH($T141,'Координати майданчиків'!$B$4:$B$64,0)),IFERROR(IF(ABS(INDEX(Геокодування!$C$2:$C$361,MATCH($Q141,Геокодування!$B$2:$B$361,0))-50.5884)+ABS(INDEX(Геокодування!$D$2:$D$361,MATCH($Q141,Геокодування!$B$2:$B$361,0))-32.3876)&gt;0.15,"",INDEX(Геокодування!$D$2:$D$361,MATCH($Q141,Геокодування!$B$2:$B$361,0))),IFERROR(IF(ABS(INDEX(Геокодування!$C$2:$C$361,MATCH("Прилуки, Чернігівська обл., "&amp;$A141,Геокодування!$B$2:$B$361,0))-50.5884)+ABS(INDEX(Геокодування!$D$2:$D$361,MATCH("Прилуки, Чернігівська обл., "&amp;$A141,Геокодування!$B$2:$B$361,0))-32.3876)&gt;0.15,"",INDEX(Геокодування!$D$2:$D$361,MATCH("Прилуки, Чернігівська обл., "&amp;$A141,Геокодування!$B$2:$B$361,0))),""))))</f>
        <v>32.383752999999999</v>
      </c>
      <c r="T141" s="44" t="str">
        <f>IF($O141="","",IFERROR(INDEX('Координати майданчиків'!$B$4:$B$64,MATCH($A141&amp;IF($P141="","",", "&amp;$P141),'Координати майданчиків'!$B$4:$B$64,0)),IFERROR(INDEX('Координати майданчиків'!$B$4:$B$64,MATCH($A141,'Координати майданчиків'!$B$4:$B$64,0)),"")))</f>
        <v/>
      </c>
    </row>
    <row r="142" spans="1:20" x14ac:dyDescent="0.35">
      <c r="A142" s="26" t="str">
        <f t="shared" si="6"/>
        <v>вул. Вокзальна</v>
      </c>
      <c r="B142" s="26" t="str">
        <f t="shared" si="7"/>
        <v>3</v>
      </c>
      <c r="C142" s="27" t="str" cm="1">
        <f t="array" ref="C142">IF($O142="","",_xlfn.TEXTJOIN(", ",TRUE,IF(EXACT('Дані_зв''язок'!$J$4:$J$1012,$O142)*('Дані_зв''язок'!$C$4:$C$1012=C$4),'Дані_зв''язок'!$D$4:$D$1012,"")))</f>
        <v>8:15, 15:25</v>
      </c>
      <c r="D142" s="27" t="str" cm="1">
        <f t="array" ref="D142">IF($O142="","",_xlfn.TEXTJOIN(", ",TRUE,IF(EXACT('Дані_зв''язок'!$J$4:$J$1012,$O142)*('Дані_зв''язок'!$C$4:$C$1012=D$4),'Дані_зв''язок'!$D$4:$D$1012,"")))</f>
        <v>8:25, 15:25</v>
      </c>
      <c r="E142" s="27" t="str" cm="1">
        <f t="array" ref="E142">IF($O142="","",_xlfn.TEXTJOIN(", ",TRUE,IF(EXACT('Дані_зв''язок'!$J$4:$J$1012,$O142)*('Дані_зв''язок'!$C$4:$C$1012=E$4),'Дані_зв''язок'!$D$4:$D$1012,"")))</f>
        <v>8:00</v>
      </c>
      <c r="F142" s="27" t="str" cm="1">
        <f t="array" ref="F142">IF($O142="","",_xlfn.TEXTJOIN(", ",TRUE,IF(EXACT('Дані_зв''язок'!$J$4:$J$1012,$O142)*('Дані_зв''язок'!$C$4:$C$1012=F$4),'Дані_зв''язок'!$D$4:$D$1012,"")))</f>
        <v>8:15, 15:25</v>
      </c>
      <c r="G142" s="27" t="str" cm="1">
        <f t="array" ref="G142">IF($O142="","",_xlfn.TEXTJOIN(", ",TRUE,IF(EXACT('Дані_зв''язок'!$J$4:$J$1012,$O142)*('Дані_зв''язок'!$C$4:$C$1012=G$4),'Дані_зв''язок'!$D$4:$D$1012,"")))</f>
        <v>8:15, 15:05</v>
      </c>
      <c r="H142" s="27" t="str" cm="1">
        <f t="array" ref="H142">IF($O142="","",_xlfn.TEXTJOIN(", ",TRUE,IF(EXACT('Дані_зв''язок'!$J$4:$J$1012,$O142)*('Дані_зв''язок'!$C$4:$C$1012=H$4),'Дані_зв''язок'!$D$4:$D$1012,"")))</f>
        <v>8:00</v>
      </c>
      <c r="I142" s="27" t="str" cm="1">
        <f t="array" ref="I142">IF($O142="","",_xlfn.TEXTJOIN(", ",TRUE,IF(EXACT('Дані_зв''язок'!$J$4:$J$1012,$O142)*('Дані_зв''язок'!$C$4:$C$1012=I$4),'Дані_зв''язок'!$D$4:$D$1012,"")))</f>
        <v>8:25, 15:25</v>
      </c>
      <c r="J142" s="27" cm="1">
        <f t="array" ref="J142">IF($O142="","",COUNTIF(C142:I142,"?*")+SUMPRODUCT(LEN(C142:I142)-LEN(SUBSTITUTE(C142:I142,",",""))))</f>
        <v>12</v>
      </c>
      <c r="K142" s="28" t="str" cm="1">
        <f t="array" ref="K142">IF($O142="","",_xlfn.TEXTJOIN(", ",TRUE,IF(EXACT('Дані_зв''язок'!$J$4:$J$1012,$O142),'Дані_зв''язок'!$L$4:$L$1012,"")))</f>
        <v>№4</v>
      </c>
      <c r="L142" s="28" t="str" cm="1">
        <f t="array" ref="L142">IF($O142="","",_xlfn.TEXTJOIN(", ",TRUE,IF(EXACT('Дані_зв''язок'!$J$4:$J$1012,$O142),'Дані_зв''язок'!$M$4:$M$1012,"")))</f>
        <v>АТ 40-42/ROD21003, ГАЗ 3309</v>
      </c>
      <c r="M142" s="27" cm="1">
        <f t="array" ref="M142">IF($O142="","",IF(SUMPRODUCT(MAX(EXACT('Дані_зв''язок'!$J$4:$J$1012,$O142)*IFERROR('Дані_зв''язок'!$H$4:$H$1012,0)))=0,"",SUMPRODUCT(MAX(EXACT('Дані_зв''язок'!$J$4:$J$1012,$O142)*IFERROR('Дані_зв''язок'!$H$4:$H$1012,0)))))</f>
        <v>3</v>
      </c>
      <c r="O142" s="30" t="s">
        <v>1241</v>
      </c>
      <c r="P142" s="24" cm="1">
        <f t="array" ref="P142">IF($O142="","",IF($B142="","",IFERROR(IF(MIN(IFERROR(VALUE(TRIM(MID(SUBSTITUTE(SUBSTITUTE($B142,","," ")," ",REPT(" ",30)),{1;31;61;91;121;151;181},30))),""))=0,"",MIN(IFERROR(VALUE(TRIM(MID(SUBSTITUTE(SUBSTITUTE($B142,","," ")," ",REPT(" ",30)),{1;31;61;91;121;151;181},30))),""))),"")))</f>
        <v>3</v>
      </c>
      <c r="Q142" s="23" t="str">
        <f t="shared" si="8"/>
        <v>Прилуки, Чернігівська обл., вул. Вокзальна, 3</v>
      </c>
      <c r="R142" s="35">
        <f>IF($O142="","",IFERROR(INDEX('Координати майданчиків'!$H$4:$H$64,MATCH($T142,'Координати майданчиків'!$B$4:$B$64,0)),IFERROR(IF(ABS(INDEX(Геокодування!$C$2:$C$361,MATCH($Q142,Геокодування!$B$2:$B$361,0))-50.5884)+ABS(INDEX(Геокодування!$D$2:$D$361,MATCH($Q142,Геокодування!$B$2:$B$361,0))-32.3876)&gt;0.15,"",INDEX(Геокодування!$C$2:$C$361,MATCH($Q142,Геокодування!$B$2:$B$361,0))),IFERROR(IF(ABS(INDEX(Геокодування!$C$2:$C$361,MATCH("Прилуки, Чернігівська обл., "&amp;$A142,Геокодування!$B$2:$B$361,0))-50.5884)+ABS(INDEX(Геокодування!$D$2:$D$361,MATCH("Прилуки, Чернігівська обл., "&amp;$A142,Геокодування!$B$2:$B$361,0))-32.3876)&gt;0.15,"",INDEX(Геокодування!$C$2:$C$361,MATCH("Прилуки, Чернігівська обл., "&amp;$A142,Геокодування!$B$2:$B$361,0))),""))))</f>
        <v>50.593400000000003</v>
      </c>
      <c r="S142" s="43">
        <f>IF($O142="","",IFERROR(INDEX('Координати майданчиків'!$I$4:$I$64,MATCH($T142,'Координати майданчиків'!$B$4:$B$64,0)),IFERROR(IF(ABS(INDEX(Геокодування!$C$2:$C$361,MATCH($Q142,Геокодування!$B$2:$B$361,0))-50.5884)+ABS(INDEX(Геокодування!$D$2:$D$361,MATCH($Q142,Геокодування!$B$2:$B$361,0))-32.3876)&gt;0.15,"",INDEX(Геокодування!$D$2:$D$361,MATCH($Q142,Геокодування!$B$2:$B$361,0))),IFERROR(IF(ABS(INDEX(Геокодування!$C$2:$C$361,MATCH("Прилуки, Чернігівська обл., "&amp;$A142,Геокодування!$B$2:$B$361,0))-50.5884)+ABS(INDEX(Геокодування!$D$2:$D$361,MATCH("Прилуки, Чернігівська обл., "&amp;$A142,Геокодування!$B$2:$B$361,0))-32.3876)&gt;0.15,"",INDEX(Геокодування!$D$2:$D$361,MATCH("Прилуки, Чернігівська обл., "&amp;$A142,Геокодування!$B$2:$B$361,0))),""))))</f>
        <v>32.386189999999999</v>
      </c>
      <c r="T142" s="44" t="str">
        <f>IF($O142="","",IFERROR(INDEX('Координати майданчиків'!$B$4:$B$64,MATCH($A142&amp;IF($P142="","",", "&amp;$P142),'Координати майданчиків'!$B$4:$B$64,0)),IFERROR(INDEX('Координати майданчиків'!$B$4:$B$64,MATCH($A142,'Координати майданчиків'!$B$4:$B$64,0)),"")))</f>
        <v>вул. Вокзальна, 3</v>
      </c>
    </row>
    <row r="143" spans="1:20" x14ac:dyDescent="0.35">
      <c r="A143" s="26" t="str">
        <f t="shared" si="6"/>
        <v>вул. Вокзальна</v>
      </c>
      <c r="B143" s="26" t="str">
        <f t="shared" si="7"/>
        <v>35</v>
      </c>
      <c r="C143" s="27" t="str" cm="1">
        <f t="array" ref="C143">IF($O143="","",_xlfn.TEXTJOIN(", ",TRUE,IF(EXACT('Дані_зв''язок'!$J$4:$J$1012,$O143)*('Дані_зв''язок'!$C$4:$C$1012=C$4),'Дані_зв''язок'!$D$4:$D$1012,"")))</f>
        <v>7:45</v>
      </c>
      <c r="D143" s="27" t="str" cm="1">
        <f t="array" ref="D143">IF($O143="","",_xlfn.TEXTJOIN(", ",TRUE,IF(EXACT('Дані_зв''язок'!$J$4:$J$1012,$O143)*('Дані_зв''язок'!$C$4:$C$1012=D$4),'Дані_зв''язок'!$D$4:$D$1012,"")))</f>
        <v>8:00</v>
      </c>
      <c r="E143" s="27" t="str" cm="1">
        <f t="array" ref="E143">IF($O143="","",_xlfn.TEXTJOIN(", ",TRUE,IF(EXACT('Дані_зв''язок'!$J$4:$J$1012,$O143)*('Дані_зв''язок'!$C$4:$C$1012=E$4),'Дані_зв''язок'!$D$4:$D$1012,"")))</f>
        <v>13:55</v>
      </c>
      <c r="F143" s="27" t="str" cm="1">
        <f t="array" ref="F143">IF($O143="","",_xlfn.TEXTJOIN(", ",TRUE,IF(EXACT('Дані_зв''язок'!$J$4:$J$1012,$O143)*('Дані_зв''язок'!$C$4:$C$1012=F$4),'Дані_зв''язок'!$D$4:$D$1012,"")))</f>
        <v>7:45</v>
      </c>
      <c r="G143" s="27" t="str" cm="1">
        <f t="array" ref="G143">IF($O143="","",_xlfn.TEXTJOIN(", ",TRUE,IF(EXACT('Дані_зв''язок'!$J$4:$J$1012,$O143)*('Дані_зв''язок'!$C$4:$C$1012=G$4),'Дані_зв''язок'!$D$4:$D$1012,"")))</f>
        <v>7:45</v>
      </c>
      <c r="H143" s="27" t="str" cm="1">
        <f t="array" ref="H143">IF($O143="","",_xlfn.TEXTJOIN(", ",TRUE,IF(EXACT('Дані_зв''язок'!$J$4:$J$1012,$O143)*('Дані_зв''язок'!$C$4:$C$1012=H$4),'Дані_зв''язок'!$D$4:$D$1012,"")))</f>
        <v>13:55</v>
      </c>
      <c r="I143" s="27" t="str" cm="1">
        <f t="array" ref="I143">IF($O143="","",_xlfn.TEXTJOIN(", ",TRUE,IF(EXACT('Дані_зв''язок'!$J$4:$J$1012,$O143)*('Дані_зв''язок'!$C$4:$C$1012=I$4),'Дані_зв''язок'!$D$4:$D$1012,"")))</f>
        <v>8:00</v>
      </c>
      <c r="J143" s="27" cm="1">
        <f t="array" ref="J143">IF($O143="","",COUNTIF(C143:I143,"?*")+SUMPRODUCT(LEN(C143:I143)-LEN(SUBSTITUTE(C143:I143,",",""))))</f>
        <v>7</v>
      </c>
      <c r="K143" s="28" t="str" cm="1">
        <f t="array" ref="K143">IF($O143="","",_xlfn.TEXTJOIN(", ",TRUE,IF(EXACT('Дані_зв''язок'!$J$4:$J$1012,$O143),'Дані_зв''язок'!$L$4:$L$1012,"")))</f>
        <v>№4</v>
      </c>
      <c r="L143" s="28" t="str" cm="1">
        <f t="array" ref="L143">IF($O143="","",_xlfn.TEXTJOIN(", ",TRUE,IF(EXACT('Дані_зв''язок'!$J$4:$J$1012,$O143),'Дані_зв''язок'!$M$4:$M$1012,"")))</f>
        <v>АТ 40-42/ROD21003, ГАЗ 3309</v>
      </c>
      <c r="M143" s="27" cm="1">
        <f t="array" ref="M143">IF($O143="","",IF(SUMPRODUCT(MAX(EXACT('Дані_зв''язок'!$J$4:$J$1012,$O143)*IFERROR('Дані_зв''язок'!$H$4:$H$1012,0)))=0,"",SUMPRODUCT(MAX(EXACT('Дані_зв''язок'!$J$4:$J$1012,$O143)*IFERROR('Дані_зв''язок'!$H$4:$H$1012,0)))))</f>
        <v>2</v>
      </c>
      <c r="O143" s="30" t="s">
        <v>1242</v>
      </c>
      <c r="P143" s="24" cm="1">
        <f t="array" ref="P143">IF($O143="","",IF($B143="","",IFERROR(IF(MIN(IFERROR(VALUE(TRIM(MID(SUBSTITUTE(SUBSTITUTE($B143,","," ")," ",REPT(" ",30)),{1;31;61;91;121;151;181},30))),""))=0,"",MIN(IFERROR(VALUE(TRIM(MID(SUBSTITUTE(SUBSTITUTE($B143,","," ")," ",REPT(" ",30)),{1;31;61;91;121;151;181},30))),""))),"")))</f>
        <v>35</v>
      </c>
      <c r="Q143" s="23" t="str">
        <f t="shared" si="8"/>
        <v>Прилуки, Чернігівська обл., вул. Вокзальна, 35</v>
      </c>
      <c r="R143" s="35">
        <f>IF($O143="","",IFERROR(INDEX('Координати майданчиків'!$H$4:$H$64,MATCH($T143,'Координати майданчиків'!$B$4:$B$64,0)),IFERROR(IF(ABS(INDEX(Геокодування!$C$2:$C$361,MATCH($Q143,Геокодування!$B$2:$B$361,0))-50.5884)+ABS(INDEX(Геокодування!$D$2:$D$361,MATCH($Q143,Геокодування!$B$2:$B$361,0))-32.3876)&gt;0.15,"",INDEX(Геокодування!$C$2:$C$361,MATCH($Q143,Геокодування!$B$2:$B$361,0))),IFERROR(IF(ABS(INDEX(Геокодування!$C$2:$C$361,MATCH("Прилуки, Чернігівська обл., "&amp;$A143,Геокодування!$B$2:$B$361,0))-50.5884)+ABS(INDEX(Геокодування!$D$2:$D$361,MATCH("Прилуки, Чернігівська обл., "&amp;$A143,Геокодування!$B$2:$B$361,0))-32.3876)&gt;0.15,"",INDEX(Геокодування!$C$2:$C$361,MATCH("Прилуки, Чернігівська обл., "&amp;$A143,Геокодування!$B$2:$B$361,0))),""))))</f>
        <v>50.589114000000002</v>
      </c>
      <c r="S143" s="43">
        <f>IF($O143="","",IFERROR(INDEX('Координати майданчиків'!$I$4:$I$64,MATCH($T143,'Координати майданчиків'!$B$4:$B$64,0)),IFERROR(IF(ABS(INDEX(Геокодування!$C$2:$C$361,MATCH($Q143,Геокодування!$B$2:$B$361,0))-50.5884)+ABS(INDEX(Геокодування!$D$2:$D$361,MATCH($Q143,Геокодування!$B$2:$B$361,0))-32.3876)&gt;0.15,"",INDEX(Геокодування!$D$2:$D$361,MATCH($Q143,Геокодування!$B$2:$B$361,0))),IFERROR(IF(ABS(INDEX(Геокодування!$C$2:$C$361,MATCH("Прилуки, Чернігівська обл., "&amp;$A143,Геокодування!$B$2:$B$361,0))-50.5884)+ABS(INDEX(Геокодування!$D$2:$D$361,MATCH("Прилуки, Чернігівська обл., "&amp;$A143,Геокодування!$B$2:$B$361,0))-32.3876)&gt;0.15,"",INDEX(Геокодування!$D$2:$D$361,MATCH("Прилуки, Чернігівська обл., "&amp;$A143,Геокодування!$B$2:$B$361,0))),""))))</f>
        <v>32.384971999999998</v>
      </c>
      <c r="T143" s="44" t="str">
        <f>IF($O143="","",IFERROR(INDEX('Координати майданчиків'!$B$4:$B$64,MATCH($A143&amp;IF($P143="","",", "&amp;$P143),'Координати майданчиків'!$B$4:$B$64,0)),IFERROR(INDEX('Координати майданчиків'!$B$4:$B$64,MATCH($A143,'Координати майданчиків'!$B$4:$B$64,0)),"")))</f>
        <v/>
      </c>
    </row>
    <row r="144" spans="1:20" x14ac:dyDescent="0.35">
      <c r="A144" s="26" t="str">
        <f t="shared" si="6"/>
        <v>вул. Вокзальна</v>
      </c>
      <c r="B144" s="26" t="str">
        <f t="shared" si="7"/>
        <v>5 ліцей</v>
      </c>
      <c r="C144" s="27" t="str" cm="1">
        <f t="array" ref="C144">IF($O144="","",_xlfn.TEXTJOIN(", ",TRUE,IF(EXACT('Дані_зв''язок'!$J$4:$J$1012,$O144)*('Дані_зв''язок'!$C$4:$C$1012=C$4),'Дані_зв''язок'!$D$4:$D$1012,"")))</f>
        <v>15:30</v>
      </c>
      <c r="D144" s="27" t="str" cm="1">
        <f t="array" ref="D144">IF($O144="","",_xlfn.TEXTJOIN(", ",TRUE,IF(EXACT('Дані_зв''язок'!$J$4:$J$1012,$O144)*('Дані_зв''язок'!$C$4:$C$1012=D$4),'Дані_зв''язок'!$D$4:$D$1012,"")))</f>
        <v/>
      </c>
      <c r="E144" s="27" t="str" cm="1">
        <f t="array" ref="E144">IF($O144="","",_xlfn.TEXTJOIN(", ",TRUE,IF(EXACT('Дані_зв''язок'!$J$4:$J$1012,$O144)*('Дані_зв''язок'!$C$4:$C$1012=E$4),'Дані_зв''язок'!$D$4:$D$1012,"")))</f>
        <v/>
      </c>
      <c r="F144" s="27" t="str" cm="1">
        <f t="array" ref="F144">IF($O144="","",_xlfn.TEXTJOIN(", ",TRUE,IF(EXACT('Дані_зв''язок'!$J$4:$J$1012,$O144)*('Дані_зв''язок'!$C$4:$C$1012=F$4),'Дані_зв''язок'!$D$4:$D$1012,"")))</f>
        <v/>
      </c>
      <c r="G144" s="27" t="str" cm="1">
        <f t="array" ref="G144">IF($O144="","",_xlfn.TEXTJOIN(", ",TRUE,IF(EXACT('Дані_зв''язок'!$J$4:$J$1012,$O144)*('Дані_зв''язок'!$C$4:$C$1012=G$4),'Дані_зв''язок'!$D$4:$D$1012,"")))</f>
        <v/>
      </c>
      <c r="H144" s="27" t="str" cm="1">
        <f t="array" ref="H144">IF($O144="","",_xlfn.TEXTJOIN(", ",TRUE,IF(EXACT('Дані_зв''язок'!$J$4:$J$1012,$O144)*('Дані_зв''язок'!$C$4:$C$1012=H$4),'Дані_зв''язок'!$D$4:$D$1012,"")))</f>
        <v/>
      </c>
      <c r="I144" s="27" t="str" cm="1">
        <f t="array" ref="I144">IF($O144="","",_xlfn.TEXTJOIN(", ",TRUE,IF(EXACT('Дані_зв''язок'!$J$4:$J$1012,$O144)*('Дані_зв''язок'!$C$4:$C$1012=I$4),'Дані_зв''язок'!$D$4:$D$1012,"")))</f>
        <v/>
      </c>
      <c r="J144" s="27" cm="1">
        <f t="array" ref="J144">IF($O144="","",COUNTIF(C144:I144,"?*")+SUMPRODUCT(LEN(C144:I144)-LEN(SUBSTITUTE(C144:I144,",",""))))</f>
        <v>1</v>
      </c>
      <c r="K144" s="28" t="str" cm="1">
        <f t="array" ref="K144">IF($O144="","",_xlfn.TEXTJOIN(", ",TRUE,IF(EXACT('Дані_зв''язок'!$J$4:$J$1012,$O144),'Дані_зв''язок'!$L$4:$L$1012,"")))</f>
        <v>№4</v>
      </c>
      <c r="L144" s="28" t="str" cm="1">
        <f t="array" ref="L144">IF($O144="","",_xlfn.TEXTJOIN(", ",TRUE,IF(EXACT('Дані_зв''язок'!$J$4:$J$1012,$O144),'Дані_зв''язок'!$M$4:$M$1012,"")))</f>
        <v>АТ 40-42/ROD21003</v>
      </c>
      <c r="M144" s="27" cm="1">
        <f t="array" ref="M144">IF($O144="","",IF(SUMPRODUCT(MAX(EXACT('Дані_зв''язок'!$J$4:$J$1012,$O144)*IFERROR('Дані_зв''язок'!$H$4:$H$1012,0)))=0,"",SUMPRODUCT(MAX(EXACT('Дані_зв''язок'!$J$4:$J$1012,$O144)*IFERROR('Дані_зв''язок'!$H$4:$H$1012,0)))))</f>
        <v>3</v>
      </c>
      <c r="O144" s="30" t="s">
        <v>1243</v>
      </c>
      <c r="P144" s="24" cm="1">
        <f t="array" ref="P144">IF($O144="","",IF($B144="","",IFERROR(IF(MIN(IFERROR(VALUE(TRIM(MID(SUBSTITUTE(SUBSTITUTE($B144,","," ")," ",REPT(" ",30)),{1;31;61;91;121;151;181},30))),""))=0,"",MIN(IFERROR(VALUE(TRIM(MID(SUBSTITUTE(SUBSTITUTE($B144,","," ")," ",REPT(" ",30)),{1;31;61;91;121;151;181},30))),""))),"")))</f>
        <v>5</v>
      </c>
      <c r="Q144" s="23" t="str">
        <f t="shared" si="8"/>
        <v>Прилуки, Чернігівська обл., вул. Вокзальна, 5</v>
      </c>
      <c r="R144" s="35">
        <f>IF($O144="","",IFERROR(INDEX('Координати майданчиків'!$H$4:$H$64,MATCH($T144,'Координати майданчиків'!$B$4:$B$64,0)),IFERROR(IF(ABS(INDEX(Геокодування!$C$2:$C$361,MATCH($Q144,Геокодування!$B$2:$B$361,0))-50.5884)+ABS(INDEX(Геокодування!$D$2:$D$361,MATCH($Q144,Геокодування!$B$2:$B$361,0))-32.3876)&gt;0.15,"",INDEX(Геокодування!$C$2:$C$361,MATCH($Q144,Геокодування!$B$2:$B$361,0))),IFERROR(IF(ABS(INDEX(Геокодування!$C$2:$C$361,MATCH("Прилуки, Чернігівська обл., "&amp;$A144,Геокодування!$B$2:$B$361,0))-50.5884)+ABS(INDEX(Геокодування!$D$2:$D$361,MATCH("Прилуки, Чернігівська обл., "&amp;$A144,Геокодування!$B$2:$B$361,0))-32.3876)&gt;0.15,"",INDEX(Геокодування!$C$2:$C$361,MATCH("Прилуки, Чернігівська обл., "&amp;$A144,Геокодування!$B$2:$B$361,0))),""))))</f>
        <v>50.592942000000001</v>
      </c>
      <c r="S144" s="43">
        <f>IF($O144="","",IFERROR(INDEX('Координати майданчиків'!$I$4:$I$64,MATCH($T144,'Координати майданчиків'!$B$4:$B$64,0)),IFERROR(IF(ABS(INDEX(Геокодування!$C$2:$C$361,MATCH($Q144,Геокодування!$B$2:$B$361,0))-50.5884)+ABS(INDEX(Геокодування!$D$2:$D$361,MATCH($Q144,Геокодування!$B$2:$B$361,0))-32.3876)&gt;0.15,"",INDEX(Геокодування!$D$2:$D$361,MATCH($Q144,Геокодування!$B$2:$B$361,0))),IFERROR(IF(ABS(INDEX(Геокодування!$C$2:$C$361,MATCH("Прилуки, Чернігівська обл., "&amp;$A144,Геокодування!$B$2:$B$361,0))-50.5884)+ABS(INDEX(Геокодування!$D$2:$D$361,MATCH("Прилуки, Чернігівська обл., "&amp;$A144,Геокодування!$B$2:$B$361,0))-32.3876)&gt;0.15,"",INDEX(Геокодування!$D$2:$D$361,MATCH("Прилуки, Чернігівська обл., "&amp;$A144,Геокодування!$B$2:$B$361,0))),""))))</f>
        <v>32.386243</v>
      </c>
      <c r="T144" s="44" t="str">
        <f>IF($O144="","",IFERROR(INDEX('Координати майданчиків'!$B$4:$B$64,MATCH($A144&amp;IF($P144="","",", "&amp;$P144),'Координати майданчиків'!$B$4:$B$64,0)),IFERROR(INDEX('Координати майданчиків'!$B$4:$B$64,MATCH($A144,'Координати майданчиків'!$B$4:$B$64,0)),"")))</f>
        <v/>
      </c>
    </row>
    <row r="145" spans="1:20" x14ac:dyDescent="0.35">
      <c r="A145" s="26" t="str">
        <f t="shared" si="6"/>
        <v>вул. Вокзальна</v>
      </c>
      <c r="B145" s="26" t="str">
        <f t="shared" si="7"/>
        <v>Аврора</v>
      </c>
      <c r="C145" s="27" t="str" cm="1">
        <f t="array" ref="C145">IF($O145="","",_xlfn.TEXTJOIN(", ",TRUE,IF(EXACT('Дані_зв''язок'!$J$4:$J$1012,$O145)*('Дані_зв''язок'!$C$4:$C$1012=C$4),'Дані_зв''язок'!$D$4:$D$1012,"")))</f>
        <v>12:20</v>
      </c>
      <c r="D145" s="27" t="str" cm="1">
        <f t="array" ref="D145">IF($O145="","",_xlfn.TEXTJOIN(", ",TRUE,IF(EXACT('Дані_зв''язок'!$J$4:$J$1012,$O145)*('Дані_зв''язок'!$C$4:$C$1012=D$4),'Дані_зв''язок'!$D$4:$D$1012,"")))</f>
        <v/>
      </c>
      <c r="E145" s="27" t="str" cm="1">
        <f t="array" ref="E145">IF($O145="","",_xlfn.TEXTJOIN(", ",TRUE,IF(EXACT('Дані_зв''язок'!$J$4:$J$1012,$O145)*('Дані_зв''язок'!$C$4:$C$1012=E$4),'Дані_зв''язок'!$D$4:$D$1012,"")))</f>
        <v/>
      </c>
      <c r="F145" s="27" t="str" cm="1">
        <f t="array" ref="F145">IF($O145="","",_xlfn.TEXTJOIN(", ",TRUE,IF(EXACT('Дані_зв''язок'!$J$4:$J$1012,$O145)*('Дані_зв''язок'!$C$4:$C$1012=F$4),'Дані_зв''язок'!$D$4:$D$1012,"")))</f>
        <v/>
      </c>
      <c r="G145" s="27" t="str" cm="1">
        <f t="array" ref="G145">IF($O145="","",_xlfn.TEXTJOIN(", ",TRUE,IF(EXACT('Дані_зв''язок'!$J$4:$J$1012,$O145)*('Дані_зв''язок'!$C$4:$C$1012=G$4),'Дані_зв''язок'!$D$4:$D$1012,"")))</f>
        <v/>
      </c>
      <c r="H145" s="27" t="str" cm="1">
        <f t="array" ref="H145">IF($O145="","",_xlfn.TEXTJOIN(", ",TRUE,IF(EXACT('Дані_зв''язок'!$J$4:$J$1012,$O145)*('Дані_зв''язок'!$C$4:$C$1012=H$4),'Дані_зв''язок'!$D$4:$D$1012,"")))</f>
        <v/>
      </c>
      <c r="I145" s="27" t="str" cm="1">
        <f t="array" ref="I145">IF($O145="","",_xlfn.TEXTJOIN(", ",TRUE,IF(EXACT('Дані_зв''язок'!$J$4:$J$1012,$O145)*('Дані_зв''язок'!$C$4:$C$1012=I$4),'Дані_зв''язок'!$D$4:$D$1012,"")))</f>
        <v/>
      </c>
      <c r="J145" s="27" cm="1">
        <f t="array" ref="J145">IF($O145="","",COUNTIF(C145:I145,"?*")+SUMPRODUCT(LEN(C145:I145)-LEN(SUBSTITUTE(C145:I145,",",""))))</f>
        <v>1</v>
      </c>
      <c r="K145" s="28" t="str" cm="1">
        <f t="array" ref="K145">IF($O145="","",_xlfn.TEXTJOIN(", ",TRUE,IF(EXACT('Дані_зв''язок'!$J$4:$J$1012,$O145),'Дані_зв''язок'!$L$4:$L$1012,"")))</f>
        <v>№1</v>
      </c>
      <c r="L145" s="28" t="str" cm="1">
        <f t="array" ref="L145">IF($O145="","",_xlfn.TEXTJOIN(", ",TRUE,IF(EXACT('Дані_зв''язок'!$J$4:$J$1012,$O145),'Дані_зв''язок'!$M$4:$M$1012,"")))</f>
        <v>АТ-4021/1120</v>
      </c>
      <c r="M145" s="27" cm="1">
        <f t="array" ref="M145">IF($O145="","",IF(SUMPRODUCT(MAX(EXACT('Дані_зв''язок'!$J$4:$J$1012,$O145)*IFERROR('Дані_зв''язок'!$H$4:$H$1012,0)))=0,"",SUMPRODUCT(MAX(EXACT('Дані_зв''язок'!$J$4:$J$1012,$O145)*IFERROR('Дані_зв''язок'!$H$4:$H$1012,0)))))</f>
        <v>1</v>
      </c>
      <c r="O145" s="30" t="s">
        <v>1244</v>
      </c>
      <c r="P145" s="24" t="str" cm="1">
        <f t="array" ref="P145">IF($O145="","",IF($B145="","",IFERROR(IF(MIN(IFERROR(VALUE(TRIM(MID(SUBSTITUTE(SUBSTITUTE($B145,","," ")," ",REPT(" ",30)),{1;31;61;91;121;151;181},30))),""))=0,"",MIN(IFERROR(VALUE(TRIM(MID(SUBSTITUTE(SUBSTITUTE($B145,","," ")," ",REPT(" ",30)),{1;31;61;91;121;151;181},30))),""))),"")))</f>
        <v/>
      </c>
      <c r="Q145" s="23" t="str">
        <f t="shared" si="8"/>
        <v>Прилуки, Чернігівська обл., вул. Вокзальна</v>
      </c>
      <c r="R145" s="35">
        <f>IF($O145="","",IFERROR(INDEX('Координати майданчиків'!$H$4:$H$64,MATCH($T145,'Координати майданчиків'!$B$4:$B$64,0)),IFERROR(IF(ABS(INDEX(Геокодування!$C$2:$C$361,MATCH($Q145,Геокодування!$B$2:$B$361,0))-50.5884)+ABS(INDEX(Геокодування!$D$2:$D$361,MATCH($Q145,Геокодування!$B$2:$B$361,0))-32.3876)&gt;0.15,"",INDEX(Геокодування!$C$2:$C$361,MATCH($Q145,Геокодування!$B$2:$B$361,0))),IFERROR(IF(ABS(INDEX(Геокодування!$C$2:$C$361,MATCH("Прилуки, Чернігівська обл., "&amp;$A145,Геокодування!$B$2:$B$361,0))-50.5884)+ABS(INDEX(Геокодування!$D$2:$D$361,MATCH("Прилуки, Чернігівська обл., "&amp;$A145,Геокодування!$B$2:$B$361,0))-32.3876)&gt;0.15,"",INDEX(Геокодування!$C$2:$C$361,MATCH("Прилуки, Чернігівська обл., "&amp;$A145,Геокодування!$B$2:$B$361,0))),""))))</f>
        <v>50.581904999999999</v>
      </c>
      <c r="S145" s="43">
        <f>IF($O145="","",IFERROR(INDEX('Координати майданчиків'!$I$4:$I$64,MATCH($T145,'Координати майданчиків'!$B$4:$B$64,0)),IFERROR(IF(ABS(INDEX(Геокодування!$C$2:$C$361,MATCH($Q145,Геокодування!$B$2:$B$361,0))-50.5884)+ABS(INDEX(Геокодування!$D$2:$D$361,MATCH($Q145,Геокодування!$B$2:$B$361,0))-32.3876)&gt;0.15,"",INDEX(Геокодування!$D$2:$D$361,MATCH($Q145,Геокодування!$B$2:$B$361,0))),IFERROR(IF(ABS(INDEX(Геокодування!$C$2:$C$361,MATCH("Прилуки, Чернігівська обл., "&amp;$A145,Геокодування!$B$2:$B$361,0))-50.5884)+ABS(INDEX(Геокодування!$D$2:$D$361,MATCH("Прилуки, Чернігівська обл., "&amp;$A145,Геокодування!$B$2:$B$361,0))-32.3876)&gt;0.15,"",INDEX(Геокодування!$D$2:$D$361,MATCH("Прилуки, Чернігівська обл., "&amp;$A145,Геокодування!$B$2:$B$361,0))),""))))</f>
        <v>32.383752999999999</v>
      </c>
      <c r="T145" s="44" t="str">
        <f>IF($O145="","",IFERROR(INDEX('Координати майданчиків'!$B$4:$B$64,MATCH($A145&amp;IF($P145="","",", "&amp;$P145),'Координати майданчиків'!$B$4:$B$64,0)),IFERROR(INDEX('Координати майданчиків'!$B$4:$B$64,MATCH($A145,'Координати майданчиків'!$B$4:$B$64,0)),"")))</f>
        <v/>
      </c>
    </row>
    <row r="146" spans="1:20" x14ac:dyDescent="0.35">
      <c r="A146" s="26" t="str">
        <f t="shared" si="6"/>
        <v>вул. Вокзальна</v>
      </c>
      <c r="B146" s="26" t="str">
        <f t="shared" si="7"/>
        <v>центр зайнятості</v>
      </c>
      <c r="C146" s="27" t="str" cm="1">
        <f t="array" ref="C146">IF($O146="","",_xlfn.TEXTJOIN(", ",TRUE,IF(EXACT('Дані_зв''язок'!$J$4:$J$1012,$O146)*('Дані_зв''язок'!$C$4:$C$1012=C$4),'Дані_зв''язок'!$D$4:$D$1012,"")))</f>
        <v>8:10</v>
      </c>
      <c r="D146" s="27" t="str" cm="1">
        <f t="array" ref="D146">IF($O146="","",_xlfn.TEXTJOIN(", ",TRUE,IF(EXACT('Дані_зв''язок'!$J$4:$J$1012,$O146)*('Дані_зв''язок'!$C$4:$C$1012=D$4),'Дані_зв''язок'!$D$4:$D$1012,"")))</f>
        <v>8:10, 15:30</v>
      </c>
      <c r="E146" s="27" t="str" cm="1">
        <f t="array" ref="E146">IF($O146="","",_xlfn.TEXTJOIN(", ",TRUE,IF(EXACT('Дані_зв''язок'!$J$4:$J$1012,$O146)*('Дані_зв''язок'!$C$4:$C$1012=E$4),'Дані_зв''язок'!$D$4:$D$1012,"")))</f>
        <v>8:20, 15:15</v>
      </c>
      <c r="F146" s="27" t="str" cm="1">
        <f t="array" ref="F146">IF($O146="","",_xlfn.TEXTJOIN(", ",TRUE,IF(EXACT('Дані_зв''язок'!$J$4:$J$1012,$O146)*('Дані_зв''язок'!$C$4:$C$1012=F$4),'Дані_зв''язок'!$D$4:$D$1012,"")))</f>
        <v>8:10</v>
      </c>
      <c r="G146" s="27" t="str" cm="1">
        <f t="array" ref="G146">IF($O146="","",_xlfn.TEXTJOIN(", ",TRUE,IF(EXACT('Дані_зв''язок'!$J$4:$J$1012,$O146)*('Дані_зв''язок'!$C$4:$C$1012=G$4),'Дані_зв''язок'!$D$4:$D$1012,"")))</f>
        <v>8:10</v>
      </c>
      <c r="H146" s="27" t="str" cm="1">
        <f t="array" ref="H146">IF($O146="","",_xlfn.TEXTJOIN(", ",TRUE,IF(EXACT('Дані_зв''язок'!$J$4:$J$1012,$O146)*('Дані_зв''язок'!$C$4:$C$1012=H$4),'Дані_зв''язок'!$D$4:$D$1012,"")))</f>
        <v>8:20, 15:15</v>
      </c>
      <c r="I146" s="27" t="str" cm="1">
        <f t="array" ref="I146">IF($O146="","",_xlfn.TEXTJOIN(", ",TRUE,IF(EXACT('Дані_зв''язок'!$J$4:$J$1012,$O146)*('Дані_зв''язок'!$C$4:$C$1012=I$4),'Дані_зв''язок'!$D$4:$D$1012,"")))</f>
        <v>8:10, 15:05</v>
      </c>
      <c r="J146" s="27" cm="1">
        <f t="array" ref="J146">IF($O146="","",COUNTIF(C146:I146,"?*")+SUMPRODUCT(LEN(C146:I146)-LEN(SUBSTITUTE(C146:I146,",",""))))</f>
        <v>11</v>
      </c>
      <c r="K146" s="28" t="str" cm="1">
        <f t="array" ref="K146">IF($O146="","",_xlfn.TEXTJOIN(", ",TRUE,IF(EXACT('Дані_зв''язок'!$J$4:$J$1012,$O146),'Дані_зв''язок'!$L$4:$L$1012,"")))</f>
        <v>№2</v>
      </c>
      <c r="L146" s="28" t="str" cm="1">
        <f t="array" ref="L146">IF($O146="","",_xlfn.TEXTJOIN(", ",TRUE,IF(EXACT('Дані_зв''язок'!$J$4:$J$1012,$O146),'Дані_зв''язок'!$M$4:$M$1012,"")))</f>
        <v>АТ 4021/1120, АТ-4021/1120</v>
      </c>
      <c r="M146" s="27" cm="1">
        <f t="array" ref="M146">IF($O146="","",IF(SUMPRODUCT(MAX(EXACT('Дані_зв''язок'!$J$4:$J$1012,$O146)*IFERROR('Дані_зв''язок'!$H$4:$H$1012,0)))=0,"",SUMPRODUCT(MAX(EXACT('Дані_зв''язок'!$J$4:$J$1012,$O146)*IFERROR('Дані_зв''язок'!$H$4:$H$1012,0)))))</f>
        <v>3</v>
      </c>
      <c r="O146" s="30" t="s">
        <v>1245</v>
      </c>
      <c r="P146" s="24" t="str" cm="1">
        <f t="array" ref="P146">IF($O146="","",IF($B146="","",IFERROR(IF(MIN(IFERROR(VALUE(TRIM(MID(SUBSTITUTE(SUBSTITUTE($B146,","," ")," ",REPT(" ",30)),{1;31;61;91;121;151;181},30))),""))=0,"",MIN(IFERROR(VALUE(TRIM(MID(SUBSTITUTE(SUBSTITUTE($B146,","," ")," ",REPT(" ",30)),{1;31;61;91;121;151;181},30))),""))),"")))</f>
        <v/>
      </c>
      <c r="Q146" s="23" t="str">
        <f t="shared" si="8"/>
        <v>Прилуки, Чернігівська обл., вул. Вокзальна</v>
      </c>
      <c r="R146" s="35">
        <f>IF($O146="","",IFERROR(INDEX('Координати майданчиків'!$H$4:$H$64,MATCH($T146,'Координати майданчиків'!$B$4:$B$64,0)),IFERROR(IF(ABS(INDEX(Геокодування!$C$2:$C$361,MATCH($Q146,Геокодування!$B$2:$B$361,0))-50.5884)+ABS(INDEX(Геокодування!$D$2:$D$361,MATCH($Q146,Геокодування!$B$2:$B$361,0))-32.3876)&gt;0.15,"",INDEX(Геокодування!$C$2:$C$361,MATCH($Q146,Геокодування!$B$2:$B$361,0))),IFERROR(IF(ABS(INDEX(Геокодування!$C$2:$C$361,MATCH("Прилуки, Чернігівська обл., "&amp;$A146,Геокодування!$B$2:$B$361,0))-50.5884)+ABS(INDEX(Геокодування!$D$2:$D$361,MATCH("Прилуки, Чернігівська обл., "&amp;$A146,Геокодування!$B$2:$B$361,0))-32.3876)&gt;0.15,"",INDEX(Геокодування!$C$2:$C$361,MATCH("Прилуки, Чернігівська обл., "&amp;$A146,Геокодування!$B$2:$B$361,0))),""))))</f>
        <v>50.581904999999999</v>
      </c>
      <c r="S146" s="43">
        <f>IF($O146="","",IFERROR(INDEX('Координати майданчиків'!$I$4:$I$64,MATCH($T146,'Координати майданчиків'!$B$4:$B$64,0)),IFERROR(IF(ABS(INDEX(Геокодування!$C$2:$C$361,MATCH($Q146,Геокодування!$B$2:$B$361,0))-50.5884)+ABS(INDEX(Геокодування!$D$2:$D$361,MATCH($Q146,Геокодування!$B$2:$B$361,0))-32.3876)&gt;0.15,"",INDEX(Геокодування!$D$2:$D$361,MATCH($Q146,Геокодування!$B$2:$B$361,0))),IFERROR(IF(ABS(INDEX(Геокодування!$C$2:$C$361,MATCH("Прилуки, Чернігівська обл., "&amp;$A146,Геокодування!$B$2:$B$361,0))-50.5884)+ABS(INDEX(Геокодування!$D$2:$D$361,MATCH("Прилуки, Чернігівська обл., "&amp;$A146,Геокодування!$B$2:$B$361,0))-32.3876)&gt;0.15,"",INDEX(Геокодування!$D$2:$D$361,MATCH("Прилуки, Чернігівська обл., "&amp;$A146,Геокодування!$B$2:$B$361,0))),""))))</f>
        <v>32.383752999999999</v>
      </c>
      <c r="T146" s="44" t="str">
        <f>IF($O146="","",IFERROR(INDEX('Координати майданчиків'!$B$4:$B$64,MATCH($A146&amp;IF($P146="","",", "&amp;$P146),'Координати майданчиків'!$B$4:$B$64,0)),IFERROR(INDEX('Координати майданчиків'!$B$4:$B$64,MATCH($A146,'Координати майданчиків'!$B$4:$B$64,0)),"")))</f>
        <v/>
      </c>
    </row>
    <row r="147" spans="1:20" x14ac:dyDescent="0.35">
      <c r="A147" s="26" t="str">
        <f t="shared" si="6"/>
        <v>вул. Волошинівська</v>
      </c>
      <c r="B147" s="26" t="str">
        <f t="shared" si="7"/>
        <v>3,23  42,60</v>
      </c>
      <c r="C147" s="27" t="str" cm="1">
        <f t="array" ref="C147">IF($O147="","",_xlfn.TEXTJOIN(", ",TRUE,IF(EXACT('Дані_зв''язок'!$J$4:$J$1012,$O147)*('Дані_зв''язок'!$C$4:$C$1012=C$4),'Дані_зв''язок'!$D$4:$D$1012,"")))</f>
        <v/>
      </c>
      <c r="D147" s="27" t="str" cm="1">
        <f t="array" ref="D147">IF($O147="","",_xlfn.TEXTJOIN(", ",TRUE,IF(EXACT('Дані_зв''язок'!$J$4:$J$1012,$O147)*('Дані_зв''язок'!$C$4:$C$1012=D$4),'Дані_зв''язок'!$D$4:$D$1012,"")))</f>
        <v>14:55</v>
      </c>
      <c r="E147" s="27" t="str" cm="1">
        <f t="array" ref="E147">IF($O147="","",_xlfn.TEXTJOIN(", ",TRUE,IF(EXACT('Дані_зв''язок'!$J$4:$J$1012,$O147)*('Дані_зв''язок'!$C$4:$C$1012=E$4),'Дані_зв''язок'!$D$4:$D$1012,"")))</f>
        <v/>
      </c>
      <c r="F147" s="27" t="str" cm="1">
        <f t="array" ref="F147">IF($O147="","",_xlfn.TEXTJOIN(", ",TRUE,IF(EXACT('Дані_зв''язок'!$J$4:$J$1012,$O147)*('Дані_зв''язок'!$C$4:$C$1012=F$4),'Дані_зв''язок'!$D$4:$D$1012,"")))</f>
        <v/>
      </c>
      <c r="G147" s="27" t="str" cm="1">
        <f t="array" ref="G147">IF($O147="","",_xlfn.TEXTJOIN(", ",TRUE,IF(EXACT('Дані_зв''язок'!$J$4:$J$1012,$O147)*('Дані_зв''язок'!$C$4:$C$1012=G$4),'Дані_зв''язок'!$D$4:$D$1012,"")))</f>
        <v/>
      </c>
      <c r="H147" s="27" t="str" cm="1">
        <f t="array" ref="H147">IF($O147="","",_xlfn.TEXTJOIN(", ",TRUE,IF(EXACT('Дані_зв''язок'!$J$4:$J$1012,$O147)*('Дані_зв''язок'!$C$4:$C$1012=H$4),'Дані_зв''язок'!$D$4:$D$1012,"")))</f>
        <v/>
      </c>
      <c r="I147" s="27" t="str" cm="1">
        <f t="array" ref="I147">IF($O147="","",_xlfn.TEXTJOIN(", ",TRUE,IF(EXACT('Дані_зв''язок'!$J$4:$J$1012,$O147)*('Дані_зв''язок'!$C$4:$C$1012=I$4),'Дані_зв''язок'!$D$4:$D$1012,"")))</f>
        <v/>
      </c>
      <c r="J147" s="27" cm="1">
        <f t="array" ref="J147">IF($O147="","",COUNTIF(C147:I147,"?*")+SUMPRODUCT(LEN(C147:I147)-LEN(SUBSTITUTE(C147:I147,",",""))))</f>
        <v>1</v>
      </c>
      <c r="K147" s="28" t="str" cm="1">
        <f t="array" ref="K147">IF($O147="","",_xlfn.TEXTJOIN(", ",TRUE,IF(EXACT('Дані_зв''язок'!$J$4:$J$1012,$O147),'Дані_зв''язок'!$L$4:$L$1012,"")))</f>
        <v>№6</v>
      </c>
      <c r="L147" s="28" t="str" cm="1">
        <f t="array" ref="L147">IF($O147="","",_xlfn.TEXTJOIN(", ",TRUE,IF(EXACT('Дані_зв''язок'!$J$4:$J$1012,$O147),'Дані_зв''язок'!$M$4:$M$1012,"")))</f>
        <v>АТ 4021</v>
      </c>
      <c r="M147" s="27" t="str" cm="1">
        <f t="array" ref="M147">IF($O147="","",IF(SUMPRODUCT(MAX(EXACT('Дані_зв''язок'!$J$4:$J$1012,$O147)*IFERROR('Дані_зв''язок'!$H$4:$H$1012,0)))=0,"",SUMPRODUCT(MAX(EXACT('Дані_зв''язок'!$J$4:$J$1012,$O147)*IFERROR('Дані_зв''язок'!$H$4:$H$1012,0)))))</f>
        <v/>
      </c>
      <c r="O147" s="30" t="s">
        <v>1246</v>
      </c>
      <c r="P147" s="24" cm="1">
        <f t="array" ref="P147">IF($O147="","",IF($B147="","",IFERROR(IF(MIN(IFERROR(VALUE(TRIM(MID(SUBSTITUTE(SUBSTITUTE($B147,","," ")," ",REPT(" ",30)),{1;31;61;91;121;151;181},30))),""))=0,"",MIN(IFERROR(VALUE(TRIM(MID(SUBSTITUTE(SUBSTITUTE($B147,","," ")," ",REPT(" ",30)),{1;31;61;91;121;151;181},30))),""))),"")))</f>
        <v>3</v>
      </c>
      <c r="Q147" s="23" t="str">
        <f t="shared" si="8"/>
        <v>Прилуки, Чернігівська обл., вул. Волошинівська, 3</v>
      </c>
      <c r="R147" s="35">
        <f>IF($O147="","",IFERROR(INDEX('Координати майданчиків'!$H$4:$H$64,MATCH($T147,'Координати майданчиків'!$B$4:$B$64,0)),IFERROR(IF(ABS(INDEX(Геокодування!$C$2:$C$361,MATCH($Q147,Геокодування!$B$2:$B$361,0))-50.5884)+ABS(INDEX(Геокодування!$D$2:$D$361,MATCH($Q147,Геокодування!$B$2:$B$361,0))-32.3876)&gt;0.15,"",INDEX(Геокодування!$C$2:$C$361,MATCH($Q147,Геокодування!$B$2:$B$361,0))),IFERROR(IF(ABS(INDEX(Геокодування!$C$2:$C$361,MATCH("Прилуки, Чернігівська обл., "&amp;$A147,Геокодування!$B$2:$B$361,0))-50.5884)+ABS(INDEX(Геокодування!$D$2:$D$361,MATCH("Прилуки, Чернігівська обл., "&amp;$A147,Геокодування!$B$2:$B$361,0))-32.3876)&gt;0.15,"",INDEX(Геокодування!$C$2:$C$361,MATCH("Прилуки, Чернігівська обл., "&amp;$A147,Геокодування!$B$2:$B$361,0))),""))))</f>
        <v>50.602826999999998</v>
      </c>
      <c r="S147" s="43">
        <f>IF($O147="","",IFERROR(INDEX('Координати майданчиків'!$I$4:$I$64,MATCH($T147,'Координати майданчиків'!$B$4:$B$64,0)),IFERROR(IF(ABS(INDEX(Геокодування!$C$2:$C$361,MATCH($Q147,Геокодування!$B$2:$B$361,0))-50.5884)+ABS(INDEX(Геокодування!$D$2:$D$361,MATCH($Q147,Геокодування!$B$2:$B$361,0))-32.3876)&gt;0.15,"",INDEX(Геокодування!$D$2:$D$361,MATCH($Q147,Геокодування!$B$2:$B$361,0))),IFERROR(IF(ABS(INDEX(Геокодування!$C$2:$C$361,MATCH("Прилуки, Чернігівська обл., "&amp;$A147,Геокодування!$B$2:$B$361,0))-50.5884)+ABS(INDEX(Геокодування!$D$2:$D$361,MATCH("Прилуки, Чернігівська обл., "&amp;$A147,Геокодування!$B$2:$B$361,0))-32.3876)&gt;0.15,"",INDEX(Геокодування!$D$2:$D$361,MATCH("Прилуки, Чернігівська обл., "&amp;$A147,Геокодування!$B$2:$B$361,0))),""))))</f>
        <v>32.411150999999997</v>
      </c>
      <c r="T147" s="44" t="str">
        <f>IF($O147="","",IFERROR(INDEX('Координати майданчиків'!$B$4:$B$64,MATCH($A147&amp;IF($P147="","",", "&amp;$P147),'Координати майданчиків'!$B$4:$B$64,0)),IFERROR(INDEX('Координати майданчиків'!$B$4:$B$64,MATCH($A147,'Координати майданчиків'!$B$4:$B$64,0)),"")))</f>
        <v/>
      </c>
    </row>
    <row r="148" spans="1:20" x14ac:dyDescent="0.35">
      <c r="A148" s="26" t="str">
        <f t="shared" si="6"/>
        <v>вул. Військова</v>
      </c>
      <c r="B148" s="26" t="str">
        <f t="shared" si="7"/>
        <v/>
      </c>
      <c r="C148" s="27" t="str" cm="1">
        <f t="array" ref="C148">IF($O148="","",_xlfn.TEXTJOIN(", ",TRUE,IF(EXACT('Дані_зв''язок'!$J$4:$J$1012,$O148)*('Дані_зв''язок'!$C$4:$C$1012=C$4),'Дані_зв''язок'!$D$4:$D$1012,"")))</f>
        <v/>
      </c>
      <c r="D148" s="27" t="str" cm="1">
        <f t="array" ref="D148">IF($O148="","",_xlfn.TEXTJOIN(", ",TRUE,IF(EXACT('Дані_зв''язок'!$J$4:$J$1012,$O148)*('Дані_зв''язок'!$C$4:$C$1012=D$4),'Дані_зв''язок'!$D$4:$D$1012,"")))</f>
        <v>15:15</v>
      </c>
      <c r="E148" s="27" t="str" cm="1">
        <f t="array" ref="E148">IF($O148="","",_xlfn.TEXTJOIN(", ",TRUE,IF(EXACT('Дані_зв''язок'!$J$4:$J$1012,$O148)*('Дані_зв''язок'!$C$4:$C$1012=E$4),'Дані_зв''язок'!$D$4:$D$1012,"")))</f>
        <v/>
      </c>
      <c r="F148" s="27" t="str" cm="1">
        <f t="array" ref="F148">IF($O148="","",_xlfn.TEXTJOIN(", ",TRUE,IF(EXACT('Дані_зв''язок'!$J$4:$J$1012,$O148)*('Дані_зв''язок'!$C$4:$C$1012=F$4),'Дані_зв''язок'!$D$4:$D$1012,"")))</f>
        <v>9:30</v>
      </c>
      <c r="G148" s="27" t="str" cm="1">
        <f t="array" ref="G148">IF($O148="","",_xlfn.TEXTJOIN(", ",TRUE,IF(EXACT('Дані_зв''язок'!$J$4:$J$1012,$O148)*('Дані_зв''язок'!$C$4:$C$1012=G$4),'Дані_зв''язок'!$D$4:$D$1012,"")))</f>
        <v/>
      </c>
      <c r="H148" s="27" t="str" cm="1">
        <f t="array" ref="H148">IF($O148="","",_xlfn.TEXTJOIN(", ",TRUE,IF(EXACT('Дані_зв''язок'!$J$4:$J$1012,$O148)*('Дані_зв''язок'!$C$4:$C$1012=H$4),'Дані_зв''язок'!$D$4:$D$1012,"")))</f>
        <v/>
      </c>
      <c r="I148" s="27" t="str" cm="1">
        <f t="array" ref="I148">IF($O148="","",_xlfn.TEXTJOIN(", ",TRUE,IF(EXACT('Дані_зв''язок'!$J$4:$J$1012,$O148)*('Дані_зв''язок'!$C$4:$C$1012=I$4),'Дані_зв''язок'!$D$4:$D$1012,"")))</f>
        <v/>
      </c>
      <c r="J148" s="27" cm="1">
        <f t="array" ref="J148">IF($O148="","",COUNTIF(C148:I148,"?*")+SUMPRODUCT(LEN(C148:I148)-LEN(SUBSTITUTE(C148:I148,",",""))))</f>
        <v>2</v>
      </c>
      <c r="K148" s="28" t="str" cm="1">
        <f t="array" ref="K148">IF($O148="","",_xlfn.TEXTJOIN(", ",TRUE,IF(EXACT('Дані_зв''язок'!$J$4:$J$1012,$O148),'Дані_зв''язок'!$L$4:$L$1012,"")))</f>
        <v>№5</v>
      </c>
      <c r="L148" s="28" t="str" cm="1">
        <f t="array" ref="L148">IF($O148="","",_xlfn.TEXTJOIN(", ",TRUE,IF(EXACT('Дані_зв''язок'!$J$4:$J$1012,$O148),'Дані_зв''язок'!$M$4:$M$1012,"")))</f>
        <v>МАЗ 4381</v>
      </c>
      <c r="M148" s="27" t="str" cm="1">
        <f t="array" ref="M148">IF($O148="","",IF(SUMPRODUCT(MAX(EXACT('Дані_зв''язок'!$J$4:$J$1012,$O148)*IFERROR('Дані_зв''язок'!$H$4:$H$1012,0)))=0,"",SUMPRODUCT(MAX(EXACT('Дані_зв''язок'!$J$4:$J$1012,$O148)*IFERROR('Дані_зв''язок'!$H$4:$H$1012,0)))))</f>
        <v/>
      </c>
      <c r="O148" s="30" t="s">
        <v>1234</v>
      </c>
      <c r="P148" s="24" t="str" cm="1">
        <f t="array" ref="P148">IF($O148="","",IF($B148="","",IFERROR(IF(MIN(IFERROR(VALUE(TRIM(MID(SUBSTITUTE(SUBSTITUTE($B148,","," ")," ",REPT(" ",30)),{1;31;61;91;121;151;181},30))),""))=0,"",MIN(IFERROR(VALUE(TRIM(MID(SUBSTITUTE(SUBSTITUTE($B148,","," ")," ",REPT(" ",30)),{1;31;61;91;121;151;181},30))),""))),"")))</f>
        <v/>
      </c>
      <c r="Q148" s="23" t="str">
        <f t="shared" si="8"/>
        <v>Прилуки, Чернігівська обл., вул. Військова</v>
      </c>
      <c r="R148" s="35">
        <f>IF($O148="","",IFERROR(INDEX('Координати майданчиків'!$H$4:$H$64,MATCH($T148,'Координати майданчиків'!$B$4:$B$64,0)),IFERROR(IF(ABS(INDEX(Геокодування!$C$2:$C$361,MATCH($Q148,Геокодування!$B$2:$B$361,0))-50.5884)+ABS(INDEX(Геокодування!$D$2:$D$361,MATCH($Q148,Геокодування!$B$2:$B$361,0))-32.3876)&gt;0.15,"",INDEX(Геокодування!$C$2:$C$361,MATCH($Q148,Геокодування!$B$2:$B$361,0))),IFERROR(IF(ABS(INDEX(Геокодування!$C$2:$C$361,MATCH("Прилуки, Чернігівська обл., "&amp;$A148,Геокодування!$B$2:$B$361,0))-50.5884)+ABS(INDEX(Геокодування!$D$2:$D$361,MATCH("Прилуки, Чернігівська обл., "&amp;$A148,Геокодування!$B$2:$B$361,0))-32.3876)&gt;0.15,"",INDEX(Геокодування!$C$2:$C$361,MATCH("Прилуки, Чернігівська обл., "&amp;$A148,Геокодування!$B$2:$B$361,0))),""))))</f>
        <v>50.596998999999997</v>
      </c>
      <c r="S148" s="43">
        <f>IF($O148="","",IFERROR(INDEX('Координати майданчиків'!$I$4:$I$64,MATCH($T148,'Координати майданчиків'!$B$4:$B$64,0)),IFERROR(IF(ABS(INDEX(Геокодування!$C$2:$C$361,MATCH($Q148,Геокодування!$B$2:$B$361,0))-50.5884)+ABS(INDEX(Геокодування!$D$2:$D$361,MATCH($Q148,Геокодування!$B$2:$B$361,0))-32.3876)&gt;0.15,"",INDEX(Геокодування!$D$2:$D$361,MATCH($Q148,Геокодування!$B$2:$B$361,0))),IFERROR(IF(ABS(INDEX(Геокодування!$C$2:$C$361,MATCH("Прилуки, Чернігівська обл., "&amp;$A148,Геокодування!$B$2:$B$361,0))-50.5884)+ABS(INDEX(Геокодування!$D$2:$D$361,MATCH("Прилуки, Чернігівська обл., "&amp;$A148,Геокодування!$B$2:$B$361,0))-32.3876)&gt;0.15,"",INDEX(Геокодування!$D$2:$D$361,MATCH("Прилуки, Чернігівська обл., "&amp;$A148,Геокодування!$B$2:$B$361,0))),""))))</f>
        <v>32.364187999999999</v>
      </c>
      <c r="T148" s="44" t="str">
        <f>IF($O148="","",IFERROR(INDEX('Координати майданчиків'!$B$4:$B$64,MATCH($A148&amp;IF($P148="","",", "&amp;$P148),'Координати майданчиків'!$B$4:$B$64,0)),IFERROR(INDEX('Координати майданчиків'!$B$4:$B$64,MATCH($A148,'Координати майданчиків'!$B$4:$B$64,0)),"")))</f>
        <v/>
      </c>
    </row>
    <row r="149" spans="1:20" x14ac:dyDescent="0.35">
      <c r="A149" s="26" t="str">
        <f t="shared" si="6"/>
        <v>вул. Г. Сагайдачного</v>
      </c>
      <c r="B149" s="26" t="str">
        <f t="shared" si="7"/>
        <v/>
      </c>
      <c r="C149" s="27" t="str" cm="1">
        <f t="array" ref="C149">IF($O149="","",_xlfn.TEXTJOIN(", ",TRUE,IF(EXACT('Дані_зв''язок'!$J$4:$J$1012,$O149)*('Дані_зв''язок'!$C$4:$C$1012=C$4),'Дані_зв''язок'!$D$4:$D$1012,"")))</f>
        <v>7:50</v>
      </c>
      <c r="D149" s="27" t="str" cm="1">
        <f t="array" ref="D149">IF($O149="","",_xlfn.TEXTJOIN(", ",TRUE,IF(EXACT('Дані_зв''язок'!$J$4:$J$1012,$O149)*('Дані_зв''язок'!$C$4:$C$1012=D$4),'Дані_зв''язок'!$D$4:$D$1012,"")))</f>
        <v/>
      </c>
      <c r="E149" s="27" t="str" cm="1">
        <f t="array" ref="E149">IF($O149="","",_xlfn.TEXTJOIN(", ",TRUE,IF(EXACT('Дані_зв''язок'!$J$4:$J$1012,$O149)*('Дані_зв''язок'!$C$4:$C$1012=E$4),'Дані_зв''язок'!$D$4:$D$1012,"")))</f>
        <v/>
      </c>
      <c r="F149" s="27" t="str" cm="1">
        <f t="array" ref="F149">IF($O149="","",_xlfn.TEXTJOIN(", ",TRUE,IF(EXACT('Дані_зв''язок'!$J$4:$J$1012,$O149)*('Дані_зв''язок'!$C$4:$C$1012=F$4),'Дані_зв''язок'!$D$4:$D$1012,"")))</f>
        <v/>
      </c>
      <c r="G149" s="27" t="str" cm="1">
        <f t="array" ref="G149">IF($O149="","",_xlfn.TEXTJOIN(", ",TRUE,IF(EXACT('Дані_зв''язок'!$J$4:$J$1012,$O149)*('Дані_зв''язок'!$C$4:$C$1012=G$4),'Дані_зв''язок'!$D$4:$D$1012,"")))</f>
        <v/>
      </c>
      <c r="H149" s="27" t="str" cm="1">
        <f t="array" ref="H149">IF($O149="","",_xlfn.TEXTJOIN(", ",TRUE,IF(EXACT('Дані_зв''язок'!$J$4:$J$1012,$O149)*('Дані_зв''язок'!$C$4:$C$1012=H$4),'Дані_зв''язок'!$D$4:$D$1012,"")))</f>
        <v/>
      </c>
      <c r="I149" s="27" t="str" cm="1">
        <f t="array" ref="I149">IF($O149="","",_xlfn.TEXTJOIN(", ",TRUE,IF(EXACT('Дані_зв''язок'!$J$4:$J$1012,$O149)*('Дані_зв''язок'!$C$4:$C$1012=I$4),'Дані_зв''язок'!$D$4:$D$1012,"")))</f>
        <v/>
      </c>
      <c r="J149" s="27" cm="1">
        <f t="array" ref="J149">IF($O149="","",COUNTIF(C149:I149,"?*")+SUMPRODUCT(LEN(C149:I149)-LEN(SUBSTITUTE(C149:I149,",",""))))</f>
        <v>1</v>
      </c>
      <c r="K149" s="28" t="str" cm="1">
        <f t="array" ref="K149">IF($O149="","",_xlfn.TEXTJOIN(", ",TRUE,IF(EXACT('Дані_зв''язок'!$J$4:$J$1012,$O149),'Дані_зв''язок'!$L$4:$L$1012,"")))</f>
        <v>№5</v>
      </c>
      <c r="L149" s="28" t="str" cm="1">
        <f t="array" ref="L149">IF($O149="","",_xlfn.TEXTJOIN(", ",TRUE,IF(EXACT('Дані_зв''язок'!$J$4:$J$1012,$O149),'Дані_зв''язок'!$M$4:$M$1012,"")))</f>
        <v>МАЗ 4381</v>
      </c>
      <c r="M149" s="27" t="str" cm="1">
        <f t="array" ref="M149">IF($O149="","",IF(SUMPRODUCT(MAX(EXACT('Дані_зв''язок'!$J$4:$J$1012,$O149)*IFERROR('Дані_зв''язок'!$H$4:$H$1012,0)))=0,"",SUMPRODUCT(MAX(EXACT('Дані_зв''язок'!$J$4:$J$1012,$O149)*IFERROR('Дані_зв''язок'!$H$4:$H$1012,0)))))</f>
        <v/>
      </c>
      <c r="O149" s="30" t="s">
        <v>1247</v>
      </c>
      <c r="P149" s="24" t="str" cm="1">
        <f t="array" ref="P149">IF($O149="","",IF($B149="","",IFERROR(IF(MIN(IFERROR(VALUE(TRIM(MID(SUBSTITUTE(SUBSTITUTE($B149,","," ")," ",REPT(" ",30)),{1;31;61;91;121;151;181},30))),""))=0,"",MIN(IFERROR(VALUE(TRIM(MID(SUBSTITUTE(SUBSTITUTE($B149,","," ")," ",REPT(" ",30)),{1;31;61;91;121;151;181},30))),""))),"")))</f>
        <v/>
      </c>
      <c r="Q149" s="23" t="str">
        <f t="shared" si="8"/>
        <v>Прилуки, Чернігівська обл., вул. Г. Сагайдачного</v>
      </c>
      <c r="R149" s="35">
        <f>IF($O149="","",IFERROR(INDEX('Координати майданчиків'!$H$4:$H$64,MATCH($T149,'Координати майданчиків'!$B$4:$B$64,0)),IFERROR(IF(ABS(INDEX(Геокодування!$C$2:$C$361,MATCH($Q149,Геокодування!$B$2:$B$361,0))-50.5884)+ABS(INDEX(Геокодування!$D$2:$D$361,MATCH($Q149,Геокодування!$B$2:$B$361,0))-32.3876)&gt;0.15,"",INDEX(Геокодування!$C$2:$C$361,MATCH($Q149,Геокодування!$B$2:$B$361,0))),IFERROR(IF(ABS(INDEX(Геокодування!$C$2:$C$361,MATCH("Прилуки, Чернігівська обл., "&amp;$A149,Геокодування!$B$2:$B$361,0))-50.5884)+ABS(INDEX(Геокодування!$D$2:$D$361,MATCH("Прилуки, Чернігівська обл., "&amp;$A149,Геокодування!$B$2:$B$361,0))-32.3876)&gt;0.15,"",INDEX(Геокодування!$C$2:$C$361,MATCH("Прилуки, Чернігівська обл., "&amp;$A149,Геокодування!$B$2:$B$361,0))),""))))</f>
        <v>50.583993</v>
      </c>
      <c r="S149" s="43">
        <f>IF($O149="","",IFERROR(INDEX('Координати майданчиків'!$I$4:$I$64,MATCH($T149,'Координати майданчиків'!$B$4:$B$64,0)),IFERROR(IF(ABS(INDEX(Геокодування!$C$2:$C$361,MATCH($Q149,Геокодування!$B$2:$B$361,0))-50.5884)+ABS(INDEX(Геокодування!$D$2:$D$361,MATCH($Q149,Геокодування!$B$2:$B$361,0))-32.3876)&gt;0.15,"",INDEX(Геокодування!$D$2:$D$361,MATCH($Q149,Геокодування!$B$2:$B$361,0))),IFERROR(IF(ABS(INDEX(Геокодування!$C$2:$C$361,MATCH("Прилуки, Чернігівська обл., "&amp;$A149,Геокодування!$B$2:$B$361,0))-50.5884)+ABS(INDEX(Геокодування!$D$2:$D$361,MATCH("Прилуки, Чернігівська обл., "&amp;$A149,Геокодування!$B$2:$B$361,0))-32.3876)&gt;0.15,"",INDEX(Геокодування!$D$2:$D$361,MATCH("Прилуки, Чернігівська обл., "&amp;$A149,Геокодування!$B$2:$B$361,0))),""))))</f>
        <v>32.377982000000003</v>
      </c>
      <c r="T149" s="44" t="str">
        <f>IF($O149="","",IFERROR(INDEX('Координати майданчиків'!$B$4:$B$64,MATCH($A149&amp;IF($P149="","",", "&amp;$P149),'Координати майданчиків'!$B$4:$B$64,0)),IFERROR(INDEX('Координати майданчиків'!$B$4:$B$64,MATCH($A149,'Координати майданчиків'!$B$4:$B$64,0)),"")))</f>
        <v/>
      </c>
    </row>
    <row r="150" spans="1:20" x14ac:dyDescent="0.35">
      <c r="A150" s="26" t="str">
        <f t="shared" si="6"/>
        <v>вул. Галаганівська</v>
      </c>
      <c r="B150" s="26" t="str">
        <f t="shared" si="7"/>
        <v>арка</v>
      </c>
      <c r="C150" s="27" t="str" cm="1">
        <f t="array" ref="C150">IF($O150="","",_xlfn.TEXTJOIN(", ",TRUE,IF(EXACT('Дані_зв''язок'!$J$4:$J$1012,$O150)*('Дані_зв''язок'!$C$4:$C$1012=C$4),'Дані_зв''язок'!$D$4:$D$1012,"")))</f>
        <v>13:10</v>
      </c>
      <c r="D150" s="27" t="str" cm="1">
        <f t="array" ref="D150">IF($O150="","",_xlfn.TEXTJOIN(", ",TRUE,IF(EXACT('Дані_зв''язок'!$J$4:$J$1012,$O150)*('Дані_зв''язок'!$C$4:$C$1012=D$4),'Дані_зв''язок'!$D$4:$D$1012,"")))</f>
        <v>14:40</v>
      </c>
      <c r="E150" s="27" t="str" cm="1">
        <f t="array" ref="E150">IF($O150="","",_xlfn.TEXTJOIN(", ",TRUE,IF(EXACT('Дані_зв''язок'!$J$4:$J$1012,$O150)*('Дані_зв''язок'!$C$4:$C$1012=E$4),'Дані_зв''язок'!$D$4:$D$1012,"")))</f>
        <v>12:55</v>
      </c>
      <c r="F150" s="27" t="str" cm="1">
        <f t="array" ref="F150">IF($O150="","",_xlfn.TEXTJOIN(", ",TRUE,IF(EXACT('Дані_зв''язок'!$J$4:$J$1012,$O150)*('Дані_зв''язок'!$C$4:$C$1012=F$4),'Дані_зв''язок'!$D$4:$D$1012,"")))</f>
        <v>14:10</v>
      </c>
      <c r="G150" s="27" t="str" cm="1">
        <f t="array" ref="G150">IF($O150="","",_xlfn.TEXTJOIN(", ",TRUE,IF(EXACT('Дані_зв''язок'!$J$4:$J$1012,$O150)*('Дані_зв''язок'!$C$4:$C$1012=G$4),'Дані_зв''язок'!$D$4:$D$1012,"")))</f>
        <v>12:55</v>
      </c>
      <c r="H150" s="27" t="str" cm="1">
        <f t="array" ref="H150">IF($O150="","",_xlfn.TEXTJOIN(", ",TRUE,IF(EXACT('Дані_зв''язок'!$J$4:$J$1012,$O150)*('Дані_зв''язок'!$C$4:$C$1012=H$4),'Дані_зв''язок'!$D$4:$D$1012,"")))</f>
        <v>15:00</v>
      </c>
      <c r="I150" s="27" t="str" cm="1">
        <f t="array" ref="I150">IF($O150="","",_xlfn.TEXTJOIN(", ",TRUE,IF(EXACT('Дані_зв''язок'!$J$4:$J$1012,$O150)*('Дані_зв''язок'!$C$4:$C$1012=I$4),'Дані_зв''язок'!$D$4:$D$1012,"")))</f>
        <v>14:10</v>
      </c>
      <c r="J150" s="27" cm="1">
        <f t="array" ref="J150">IF($O150="","",COUNTIF(C150:I150,"?*")+SUMPRODUCT(LEN(C150:I150)-LEN(SUBSTITUTE(C150:I150,",",""))))</f>
        <v>7</v>
      </c>
      <c r="K150" s="28" t="str" cm="1">
        <f t="array" ref="K150">IF($O150="","",_xlfn.TEXTJOIN(", ",TRUE,IF(EXACT('Дані_зв''язок'!$J$4:$J$1012,$O150),'Дані_зв''язок'!$L$4:$L$1012,"")))</f>
        <v>№3</v>
      </c>
      <c r="L150" s="28" t="str" cm="1">
        <f t="array" ref="L150">IF($O150="","",_xlfn.TEXTJOIN(", ",TRUE,IF(EXACT('Дані_зв''язок'!$J$4:$J$1012,$O150),'Дані_зв''язок'!$M$4:$M$1012,"")))</f>
        <v>МАЗ-4371, ГАЗ 3309</v>
      </c>
      <c r="M150" s="27" cm="1">
        <f t="array" ref="M150">IF($O150="","",IF(SUMPRODUCT(MAX(EXACT('Дані_зв''язок'!$J$4:$J$1012,$O150)*IFERROR('Дані_зв''язок'!$H$4:$H$1012,0)))=0,"",SUMPRODUCT(MAX(EXACT('Дані_зв''язок'!$J$4:$J$1012,$O150)*IFERROR('Дані_зв''язок'!$H$4:$H$1012,0)))))</f>
        <v>3</v>
      </c>
      <c r="O150" s="30" t="s">
        <v>1248</v>
      </c>
      <c r="P150" s="24" t="str" cm="1">
        <f t="array" ref="P150">IF($O150="","",IF($B150="","",IFERROR(IF(MIN(IFERROR(VALUE(TRIM(MID(SUBSTITUTE(SUBSTITUTE($B150,","," ")," ",REPT(" ",30)),{1;31;61;91;121;151;181},30))),""))=0,"",MIN(IFERROR(VALUE(TRIM(MID(SUBSTITUTE(SUBSTITUTE($B150,","," ")," ",REPT(" ",30)),{1;31;61;91;121;151;181},30))),""))),"")))</f>
        <v/>
      </c>
      <c r="Q150" s="23" t="str">
        <f t="shared" si="8"/>
        <v>Прилуки, Чернігівська обл., вул. Галаганівська</v>
      </c>
      <c r="R150" s="35">
        <f>IF($O150="","",IFERROR(INDEX('Координати майданчиків'!$H$4:$H$64,MATCH($T150,'Координати майданчиків'!$B$4:$B$64,0)),IFERROR(IF(ABS(INDEX(Геокодування!$C$2:$C$361,MATCH($Q150,Геокодування!$B$2:$B$361,0))-50.5884)+ABS(INDEX(Геокодування!$D$2:$D$361,MATCH($Q150,Геокодування!$B$2:$B$361,0))-32.3876)&gt;0.15,"",INDEX(Геокодування!$C$2:$C$361,MATCH($Q150,Геокодування!$B$2:$B$361,0))),IFERROR(IF(ABS(INDEX(Геокодування!$C$2:$C$361,MATCH("Прилуки, Чернігівська обл., "&amp;$A150,Геокодування!$B$2:$B$361,0))-50.5884)+ABS(INDEX(Геокодування!$D$2:$D$361,MATCH("Прилуки, Чернігівська обл., "&amp;$A150,Геокодування!$B$2:$B$361,0))-32.3876)&gt;0.15,"",INDEX(Геокодування!$C$2:$C$361,MATCH("Прилуки, Чернігівська обл., "&amp;$A150,Геокодування!$B$2:$B$361,0))),""))))</f>
        <v>50.596290000000003</v>
      </c>
      <c r="S150" s="43">
        <f>IF($O150="","",IFERROR(INDEX('Координати майданчиків'!$I$4:$I$64,MATCH($T150,'Координати майданчиків'!$B$4:$B$64,0)),IFERROR(IF(ABS(INDEX(Геокодування!$C$2:$C$361,MATCH($Q150,Геокодування!$B$2:$B$361,0))-50.5884)+ABS(INDEX(Геокодування!$D$2:$D$361,MATCH($Q150,Геокодування!$B$2:$B$361,0))-32.3876)&gt;0.15,"",INDEX(Геокодування!$D$2:$D$361,MATCH($Q150,Геокодування!$B$2:$B$361,0))),IFERROR(IF(ABS(INDEX(Геокодування!$C$2:$C$361,MATCH("Прилуки, Чернігівська обл., "&amp;$A150,Геокодування!$B$2:$B$361,0))-50.5884)+ABS(INDEX(Геокодування!$D$2:$D$361,MATCH("Прилуки, Чернігівська обл., "&amp;$A150,Геокодування!$B$2:$B$361,0))-32.3876)&gt;0.15,"",INDEX(Геокодування!$D$2:$D$361,MATCH("Прилуки, Чернігівська обл., "&amp;$A150,Геокодування!$B$2:$B$361,0))),""))))</f>
        <v>32.388179999999998</v>
      </c>
      <c r="T150" s="44" t="str">
        <f>IF($O150="","",IFERROR(INDEX('Координати майданчиків'!$B$4:$B$64,MATCH($A150&amp;IF($P150="","",", "&amp;$P150),'Координати майданчиків'!$B$4:$B$64,0)),IFERROR(INDEX('Координати майданчиків'!$B$4:$B$64,MATCH($A150,'Координати майданчиків'!$B$4:$B$64,0)),"")))</f>
        <v>вул. Галаганівська</v>
      </c>
    </row>
    <row r="151" spans="1:20" x14ac:dyDescent="0.35">
      <c r="A151" s="26" t="str">
        <f t="shared" si="6"/>
        <v>вул. Гвардійська</v>
      </c>
      <c r="B151" s="26" t="str">
        <f t="shared" si="7"/>
        <v/>
      </c>
      <c r="C151" s="27" t="str" cm="1">
        <f t="array" ref="C151">IF($O151="","",_xlfn.TEXTJOIN(", ",TRUE,IF(EXACT('Дані_зв''язок'!$J$4:$J$1012,$O151)*('Дані_зв''язок'!$C$4:$C$1012=C$4),'Дані_зв''язок'!$D$4:$D$1012,"")))</f>
        <v>7:00</v>
      </c>
      <c r="D151" s="27" t="str" cm="1">
        <f t="array" ref="D151">IF($O151="","",_xlfn.TEXTJOIN(", ",TRUE,IF(EXACT('Дані_зв''язок'!$J$4:$J$1012,$O151)*('Дані_зв''язок'!$C$4:$C$1012=D$4),'Дані_зв''язок'!$D$4:$D$1012,"")))</f>
        <v/>
      </c>
      <c r="E151" s="27" t="str" cm="1">
        <f t="array" ref="E151">IF($O151="","",_xlfn.TEXTJOIN(", ",TRUE,IF(EXACT('Дані_зв''язок'!$J$4:$J$1012,$O151)*('Дані_зв''язок'!$C$4:$C$1012=E$4),'Дані_зв''язок'!$D$4:$D$1012,"")))</f>
        <v/>
      </c>
      <c r="F151" s="27" t="str" cm="1">
        <f t="array" ref="F151">IF($O151="","",_xlfn.TEXTJOIN(", ",TRUE,IF(EXACT('Дані_зв''язок'!$J$4:$J$1012,$O151)*('Дані_зв''язок'!$C$4:$C$1012=F$4),'Дані_зв''язок'!$D$4:$D$1012,"")))</f>
        <v>7:00, 14:25</v>
      </c>
      <c r="G151" s="27" t="str" cm="1">
        <f t="array" ref="G151">IF($O151="","",_xlfn.TEXTJOIN(", ",TRUE,IF(EXACT('Дані_зв''язок'!$J$4:$J$1012,$O151)*('Дані_зв''язок'!$C$4:$C$1012=G$4),'Дані_зв''язок'!$D$4:$D$1012,"")))</f>
        <v/>
      </c>
      <c r="H151" s="27" t="str" cm="1">
        <f t="array" ref="H151">IF($O151="","",_xlfn.TEXTJOIN(", ",TRUE,IF(EXACT('Дані_зв''язок'!$J$4:$J$1012,$O151)*('Дані_зв''язок'!$C$4:$C$1012=H$4),'Дані_зв''язок'!$D$4:$D$1012,"")))</f>
        <v/>
      </c>
      <c r="I151" s="27" t="str" cm="1">
        <f t="array" ref="I151">IF($O151="","",_xlfn.TEXTJOIN(", ",TRUE,IF(EXACT('Дані_зв''язок'!$J$4:$J$1012,$O151)*('Дані_зв''язок'!$C$4:$C$1012=I$4),'Дані_зв''язок'!$D$4:$D$1012,"")))</f>
        <v/>
      </c>
      <c r="J151" s="27" cm="1">
        <f t="array" ref="J151">IF($O151="","",COUNTIF(C151:I151,"?*")+SUMPRODUCT(LEN(C151:I151)-LEN(SUBSTITUTE(C151:I151,",",""))))</f>
        <v>3</v>
      </c>
      <c r="K151" s="28" t="str" cm="1">
        <f t="array" ref="K151">IF($O151="","",_xlfn.TEXTJOIN(", ",TRUE,IF(EXACT('Дані_зв''язок'!$J$4:$J$1012,$O151),'Дані_зв''язок'!$L$4:$L$1012,"")))</f>
        <v>№5, №6</v>
      </c>
      <c r="L151" s="28" t="str" cm="1">
        <f t="array" ref="L151">IF($O151="","",_xlfn.TEXTJOIN(", ",TRUE,IF(EXACT('Дані_зв''язок'!$J$4:$J$1012,$O151),'Дані_зв''язок'!$M$4:$M$1012,"")))</f>
        <v>МАЗ 4381, АТ 4021</v>
      </c>
      <c r="M151" s="27" t="str" cm="1">
        <f t="array" ref="M151">IF($O151="","",IF(SUMPRODUCT(MAX(EXACT('Дані_зв''язок'!$J$4:$J$1012,$O151)*IFERROR('Дані_зв''язок'!$H$4:$H$1012,0)))=0,"",SUMPRODUCT(MAX(EXACT('Дані_зв''язок'!$J$4:$J$1012,$O151)*IFERROR('Дані_зв''язок'!$H$4:$H$1012,0)))))</f>
        <v/>
      </c>
      <c r="O151" s="30" t="s">
        <v>1249</v>
      </c>
      <c r="P151" s="24" t="str" cm="1">
        <f t="array" ref="P151">IF($O151="","",IF($B151="","",IFERROR(IF(MIN(IFERROR(VALUE(TRIM(MID(SUBSTITUTE(SUBSTITUTE($B151,","," ")," ",REPT(" ",30)),{1;31;61;91;121;151;181},30))),""))=0,"",MIN(IFERROR(VALUE(TRIM(MID(SUBSTITUTE(SUBSTITUTE($B151,","," ")," ",REPT(" ",30)),{1;31;61;91;121;151;181},30))),""))),"")))</f>
        <v/>
      </c>
      <c r="Q151" s="23" t="str">
        <f t="shared" si="8"/>
        <v>Прилуки, Чернігівська обл., вул. Гвардійська</v>
      </c>
      <c r="R151" s="35">
        <f>IF($O151="","",IFERROR(INDEX('Координати майданчиків'!$H$4:$H$64,MATCH($T151,'Координати майданчиків'!$B$4:$B$64,0)),IFERROR(IF(ABS(INDEX(Геокодування!$C$2:$C$361,MATCH($Q151,Геокодування!$B$2:$B$361,0))-50.5884)+ABS(INDEX(Геокодування!$D$2:$D$361,MATCH($Q151,Геокодування!$B$2:$B$361,0))-32.3876)&gt;0.15,"",INDEX(Геокодування!$C$2:$C$361,MATCH($Q151,Геокодування!$B$2:$B$361,0))),IFERROR(IF(ABS(INDEX(Геокодування!$C$2:$C$361,MATCH("Прилуки, Чернігівська обл., "&amp;$A151,Геокодування!$B$2:$B$361,0))-50.5884)+ABS(INDEX(Геокодування!$D$2:$D$361,MATCH("Прилуки, Чернігівська обл., "&amp;$A151,Геокодування!$B$2:$B$361,0))-32.3876)&gt;0.15,"",INDEX(Геокодування!$C$2:$C$361,MATCH("Прилуки, Чернігівська обл., "&amp;$A151,Геокодування!$B$2:$B$361,0))),""))))</f>
        <v>50.576813000000001</v>
      </c>
      <c r="S151" s="43">
        <f>IF($O151="","",IFERROR(INDEX('Координати майданчиків'!$I$4:$I$64,MATCH($T151,'Координати майданчиків'!$B$4:$B$64,0)),IFERROR(IF(ABS(INDEX(Геокодування!$C$2:$C$361,MATCH($Q151,Геокодування!$B$2:$B$361,0))-50.5884)+ABS(INDEX(Геокодування!$D$2:$D$361,MATCH($Q151,Геокодування!$B$2:$B$361,0))-32.3876)&gt;0.15,"",INDEX(Геокодування!$D$2:$D$361,MATCH($Q151,Геокодування!$B$2:$B$361,0))),IFERROR(IF(ABS(INDEX(Геокодування!$C$2:$C$361,MATCH("Прилуки, Чернігівська обл., "&amp;$A151,Геокодування!$B$2:$B$361,0))-50.5884)+ABS(INDEX(Геокодування!$D$2:$D$361,MATCH("Прилуки, Чернігівська обл., "&amp;$A151,Геокодування!$B$2:$B$361,0))-32.3876)&gt;0.15,"",INDEX(Геокодування!$D$2:$D$361,MATCH("Прилуки, Чернігівська обл., "&amp;$A151,Геокодування!$B$2:$B$361,0))),""))))</f>
        <v>32.410488000000001</v>
      </c>
      <c r="T151" s="44" t="str">
        <f>IF($O151="","",IFERROR(INDEX('Координати майданчиків'!$B$4:$B$64,MATCH($A151&amp;IF($P151="","",", "&amp;$P151),'Координати майданчиків'!$B$4:$B$64,0)),IFERROR(INDEX('Координати майданчиків'!$B$4:$B$64,MATCH($A151,'Координати майданчиків'!$B$4:$B$64,0)),"")))</f>
        <v/>
      </c>
    </row>
    <row r="152" spans="1:20" x14ac:dyDescent="0.35">
      <c r="A152" s="26" t="str">
        <f t="shared" si="6"/>
        <v>вул. Гвардійська</v>
      </c>
      <c r="B152" s="26" t="str">
        <f t="shared" si="7"/>
        <v>92</v>
      </c>
      <c r="C152" s="27" t="str" cm="1">
        <f t="array" ref="C152">IF($O152="","",_xlfn.TEXTJOIN(", ",TRUE,IF(EXACT('Дані_зв''язок'!$J$4:$J$1012,$O152)*('Дані_зв''язок'!$C$4:$C$1012=C$4),'Дані_зв''язок'!$D$4:$D$1012,"")))</f>
        <v/>
      </c>
      <c r="D152" s="27" t="str" cm="1">
        <f t="array" ref="D152">IF($O152="","",_xlfn.TEXTJOIN(", ",TRUE,IF(EXACT('Дані_зв''язок'!$J$4:$J$1012,$O152)*('Дані_зв''язок'!$C$4:$C$1012=D$4),'Дані_зв''язок'!$D$4:$D$1012,"")))</f>
        <v/>
      </c>
      <c r="E152" s="27" t="str" cm="1">
        <f t="array" ref="E152">IF($O152="","",_xlfn.TEXTJOIN(", ",TRUE,IF(EXACT('Дані_зв''язок'!$J$4:$J$1012,$O152)*('Дані_зв''язок'!$C$4:$C$1012=E$4),'Дані_зв''язок'!$D$4:$D$1012,"")))</f>
        <v>15:35</v>
      </c>
      <c r="F152" s="27" t="str" cm="1">
        <f t="array" ref="F152">IF($O152="","",_xlfn.TEXTJOIN(", ",TRUE,IF(EXACT('Дані_зв''язок'!$J$4:$J$1012,$O152)*('Дані_зв''язок'!$C$4:$C$1012=F$4),'Дані_зв''язок'!$D$4:$D$1012,"")))</f>
        <v>×</v>
      </c>
      <c r="G152" s="27" t="str" cm="1">
        <f t="array" ref="G152">IF($O152="","",_xlfn.TEXTJOIN(", ",TRUE,IF(EXACT('Дані_зв''язок'!$J$4:$J$1012,$O152)*('Дані_зв''язок'!$C$4:$C$1012=G$4),'Дані_зв''язок'!$D$4:$D$1012,"")))</f>
        <v/>
      </c>
      <c r="H152" s="27" t="str" cm="1">
        <f t="array" ref="H152">IF($O152="","",_xlfn.TEXTJOIN(", ",TRUE,IF(EXACT('Дані_зв''язок'!$J$4:$J$1012,$O152)*('Дані_зв''язок'!$C$4:$C$1012=H$4),'Дані_зв''язок'!$D$4:$D$1012,"")))</f>
        <v>15:35</v>
      </c>
      <c r="I152" s="27" t="str" cm="1">
        <f t="array" ref="I152">IF($O152="","",_xlfn.TEXTJOIN(", ",TRUE,IF(EXACT('Дані_зв''язок'!$J$4:$J$1012,$O152)*('Дані_зв''язок'!$C$4:$C$1012=I$4),'Дані_зв''язок'!$D$4:$D$1012,"")))</f>
        <v/>
      </c>
      <c r="J152" s="27" cm="1">
        <f t="array" ref="J152">IF($O152="","",COUNTIF(C152:I152,"?*")+SUMPRODUCT(LEN(C152:I152)-LEN(SUBSTITUTE(C152:I152,",",""))))</f>
        <v>3</v>
      </c>
      <c r="K152" s="28" t="str" cm="1">
        <f t="array" ref="K152">IF($O152="","",_xlfn.TEXTJOIN(", ",TRUE,IF(EXACT('Дані_зв''язок'!$J$4:$J$1012,$O152),'Дані_зв''язок'!$L$4:$L$1012,"")))</f>
        <v>№4, №2 (ВГВ)</v>
      </c>
      <c r="L152" s="28" t="str" cm="1">
        <f t="array" ref="L152">IF($O152="","",_xlfn.TEXTJOIN(", ",TRUE,IF(EXACT('Дані_зв''язок'!$J$4:$J$1012,$O152),'Дані_зв''язок'!$M$4:$M$1012,"")))</f>
        <v>ГАЗ 3309, Рено Лендер</v>
      </c>
      <c r="M152" s="27" cm="1">
        <f t="array" ref="M152">IF($O152="","",IF(SUMPRODUCT(MAX(EXACT('Дані_зв''язок'!$J$4:$J$1012,$O152)*IFERROR('Дані_зв''язок'!$H$4:$H$1012,0)))=0,"",SUMPRODUCT(MAX(EXACT('Дані_зв''язок'!$J$4:$J$1012,$O152)*IFERROR('Дані_зв''язок'!$H$4:$H$1012,0)))))</f>
        <v>3</v>
      </c>
      <c r="O152" s="30" t="s">
        <v>1250</v>
      </c>
      <c r="P152" s="24" cm="1">
        <f t="array" ref="P152">IF($O152="","",IF($B152="","",IFERROR(IF(MIN(IFERROR(VALUE(TRIM(MID(SUBSTITUTE(SUBSTITUTE($B152,","," ")," ",REPT(" ",30)),{1;31;61;91;121;151;181},30))),""))=0,"",MIN(IFERROR(VALUE(TRIM(MID(SUBSTITUTE(SUBSTITUTE($B152,","," ")," ",REPT(" ",30)),{1;31;61;91;121;151;181},30))),""))),"")))</f>
        <v>92</v>
      </c>
      <c r="Q152" s="23" t="str">
        <f t="shared" si="8"/>
        <v>Прилуки, Чернігівська обл., вул. Гвардійська, 92</v>
      </c>
      <c r="R152" s="35">
        <f>IF($O152="","",IFERROR(INDEX('Координати майданчиків'!$H$4:$H$64,MATCH($T152,'Координати майданчиків'!$B$4:$B$64,0)),IFERROR(IF(ABS(INDEX(Геокодування!$C$2:$C$361,MATCH($Q152,Геокодування!$B$2:$B$361,0))-50.5884)+ABS(INDEX(Геокодування!$D$2:$D$361,MATCH($Q152,Геокодування!$B$2:$B$361,0))-32.3876)&gt;0.15,"",INDEX(Геокодування!$C$2:$C$361,MATCH($Q152,Геокодування!$B$2:$B$361,0))),IFERROR(IF(ABS(INDEX(Геокодування!$C$2:$C$361,MATCH("Прилуки, Чернігівська обл., "&amp;$A152,Геокодування!$B$2:$B$361,0))-50.5884)+ABS(INDEX(Геокодування!$D$2:$D$361,MATCH("Прилуки, Чернігівська обл., "&amp;$A152,Геокодування!$B$2:$B$361,0))-32.3876)&gt;0.15,"",INDEX(Геокодування!$C$2:$C$361,MATCH("Прилуки, Чернігівська обл., "&amp;$A152,Геокодування!$B$2:$B$361,0))),""))))</f>
        <v>50.574590000000001</v>
      </c>
      <c r="S152" s="43">
        <f>IF($O152="","",IFERROR(INDEX('Координати майданчиків'!$I$4:$I$64,MATCH($T152,'Координати майданчиків'!$B$4:$B$64,0)),IFERROR(IF(ABS(INDEX(Геокодування!$C$2:$C$361,MATCH($Q152,Геокодування!$B$2:$B$361,0))-50.5884)+ABS(INDEX(Геокодування!$D$2:$D$361,MATCH($Q152,Геокодування!$B$2:$B$361,0))-32.3876)&gt;0.15,"",INDEX(Геокодування!$D$2:$D$361,MATCH($Q152,Геокодування!$B$2:$B$361,0))),IFERROR(IF(ABS(INDEX(Геокодування!$C$2:$C$361,MATCH("Прилуки, Чернігівська обл., "&amp;$A152,Геокодування!$B$2:$B$361,0))-50.5884)+ABS(INDEX(Геокодування!$D$2:$D$361,MATCH("Прилуки, Чернігівська обл., "&amp;$A152,Геокодування!$B$2:$B$361,0))-32.3876)&gt;0.15,"",INDEX(Геокодування!$D$2:$D$361,MATCH("Прилуки, Чернігівська обл., "&amp;$A152,Геокодування!$B$2:$B$361,0))),""))))</f>
        <v>32.410670000000003</v>
      </c>
      <c r="T152" s="44" t="str">
        <f>IF($O152="","",IFERROR(INDEX('Координати майданчиків'!$B$4:$B$64,MATCH($A152&amp;IF($P152="","",", "&amp;$P152),'Координати майданчиків'!$B$4:$B$64,0)),IFERROR(INDEX('Координати майданчиків'!$B$4:$B$64,MATCH($A152,'Координати майданчиків'!$B$4:$B$64,0)),"")))</f>
        <v>вул. Гвардійська, 92</v>
      </c>
    </row>
    <row r="153" spans="1:20" x14ac:dyDescent="0.35">
      <c r="A153" s="26" t="str">
        <f t="shared" si="6"/>
        <v>вул. Гвардійська</v>
      </c>
      <c r="B153" s="26" t="str">
        <f t="shared" si="7"/>
        <v>базар</v>
      </c>
      <c r="C153" s="27" t="str" cm="1">
        <f t="array" ref="C153">IF($O153="","",_xlfn.TEXTJOIN(", ",TRUE,IF(EXACT('Дані_зв''язок'!$J$4:$J$1012,$O153)*('Дані_зв''язок'!$C$4:$C$1012=C$4),'Дані_зв''язок'!$D$4:$D$1012,"")))</f>
        <v/>
      </c>
      <c r="D153" s="27" t="str" cm="1">
        <f t="array" ref="D153">IF($O153="","",_xlfn.TEXTJOIN(", ",TRUE,IF(EXACT('Дані_зв''язок'!$J$4:$J$1012,$O153)*('Дані_зв''язок'!$C$4:$C$1012=D$4),'Дані_зв''язок'!$D$4:$D$1012,"")))</f>
        <v>10:05</v>
      </c>
      <c r="E153" s="27" t="str" cm="1">
        <f t="array" ref="E153">IF($O153="","",_xlfn.TEXTJOIN(", ",TRUE,IF(EXACT('Дані_зв''язок'!$J$4:$J$1012,$O153)*('Дані_зв''язок'!$C$4:$C$1012=E$4),'Дані_зв''язок'!$D$4:$D$1012,"")))</f>
        <v/>
      </c>
      <c r="F153" s="27" t="str" cm="1">
        <f t="array" ref="F153">IF($O153="","",_xlfn.TEXTJOIN(", ",TRUE,IF(EXACT('Дані_зв''язок'!$J$4:$J$1012,$O153)*('Дані_зв''язок'!$C$4:$C$1012=F$4),'Дані_зв''язок'!$D$4:$D$1012,"")))</f>
        <v/>
      </c>
      <c r="G153" s="27" t="str" cm="1">
        <f t="array" ref="G153">IF($O153="","",_xlfn.TEXTJOIN(", ",TRUE,IF(EXACT('Дані_зв''язок'!$J$4:$J$1012,$O153)*('Дані_зв''язок'!$C$4:$C$1012=G$4),'Дані_зв''язок'!$D$4:$D$1012,"")))</f>
        <v/>
      </c>
      <c r="H153" s="27" t="str" cm="1">
        <f t="array" ref="H153">IF($O153="","",_xlfn.TEXTJOIN(", ",TRUE,IF(EXACT('Дані_зв''язок'!$J$4:$J$1012,$O153)*('Дані_зв''язок'!$C$4:$C$1012=H$4),'Дані_зв''язок'!$D$4:$D$1012,"")))</f>
        <v/>
      </c>
      <c r="I153" s="27" t="str" cm="1">
        <f t="array" ref="I153">IF($O153="","",_xlfn.TEXTJOIN(", ",TRUE,IF(EXACT('Дані_зв''язок'!$J$4:$J$1012,$O153)*('Дані_зв''язок'!$C$4:$C$1012=I$4),'Дані_зв''язок'!$D$4:$D$1012,"")))</f>
        <v/>
      </c>
      <c r="J153" s="27" cm="1">
        <f t="array" ref="J153">IF($O153="","",COUNTIF(C153:I153,"?*")+SUMPRODUCT(LEN(C153:I153)-LEN(SUBSTITUTE(C153:I153,",",""))))</f>
        <v>1</v>
      </c>
      <c r="K153" s="28" t="str" cm="1">
        <f t="array" ref="K153">IF($O153="","",_xlfn.TEXTJOIN(", ",TRUE,IF(EXACT('Дані_зв''язок'!$J$4:$J$1012,$O153),'Дані_зв''язок'!$L$4:$L$1012,"")))</f>
        <v>№5</v>
      </c>
      <c r="L153" s="28" t="str" cm="1">
        <f t="array" ref="L153">IF($O153="","",_xlfn.TEXTJOIN(", ",TRUE,IF(EXACT('Дані_зв''язок'!$J$4:$J$1012,$O153),'Дані_зв''язок'!$M$4:$M$1012,"")))</f>
        <v>МАЗ 4381</v>
      </c>
      <c r="M153" s="27" t="str" cm="1">
        <f t="array" ref="M153">IF($O153="","",IF(SUMPRODUCT(MAX(EXACT('Дані_зв''язок'!$J$4:$J$1012,$O153)*IFERROR('Дані_зв''язок'!$H$4:$H$1012,0)))=0,"",SUMPRODUCT(MAX(EXACT('Дані_зв''язок'!$J$4:$J$1012,$O153)*IFERROR('Дані_зв''язок'!$H$4:$H$1012,0)))))</f>
        <v/>
      </c>
      <c r="O153" s="30" t="s">
        <v>1251</v>
      </c>
      <c r="P153" s="24" t="str" cm="1">
        <f t="array" ref="P153">IF($O153="","",IF($B153="","",IFERROR(IF(MIN(IFERROR(VALUE(TRIM(MID(SUBSTITUTE(SUBSTITUTE($B153,","," ")," ",REPT(" ",30)),{1;31;61;91;121;151;181},30))),""))=0,"",MIN(IFERROR(VALUE(TRIM(MID(SUBSTITUTE(SUBSTITUTE($B153,","," ")," ",REPT(" ",30)),{1;31;61;91;121;151;181},30))),""))),"")))</f>
        <v/>
      </c>
      <c r="Q153" s="23" t="str">
        <f t="shared" si="8"/>
        <v>Прилуки, Чернігівська обл., вул. Гвардійська</v>
      </c>
      <c r="R153" s="35">
        <f>IF($O153="","",IFERROR(INDEX('Координати майданчиків'!$H$4:$H$64,MATCH($T153,'Координати майданчиків'!$B$4:$B$64,0)),IFERROR(IF(ABS(INDEX(Геокодування!$C$2:$C$361,MATCH($Q153,Геокодування!$B$2:$B$361,0))-50.5884)+ABS(INDEX(Геокодування!$D$2:$D$361,MATCH($Q153,Геокодування!$B$2:$B$361,0))-32.3876)&gt;0.15,"",INDEX(Геокодування!$C$2:$C$361,MATCH($Q153,Геокодування!$B$2:$B$361,0))),IFERROR(IF(ABS(INDEX(Геокодування!$C$2:$C$361,MATCH("Прилуки, Чернігівська обл., "&amp;$A153,Геокодування!$B$2:$B$361,0))-50.5884)+ABS(INDEX(Геокодування!$D$2:$D$361,MATCH("Прилуки, Чернігівська обл., "&amp;$A153,Геокодування!$B$2:$B$361,0))-32.3876)&gt;0.15,"",INDEX(Геокодування!$C$2:$C$361,MATCH("Прилуки, Чернігівська обл., "&amp;$A153,Геокодування!$B$2:$B$361,0))),""))))</f>
        <v>50.576813000000001</v>
      </c>
      <c r="S153" s="43">
        <f>IF($O153="","",IFERROR(INDEX('Координати майданчиків'!$I$4:$I$64,MATCH($T153,'Координати майданчиків'!$B$4:$B$64,0)),IFERROR(IF(ABS(INDEX(Геокодування!$C$2:$C$361,MATCH($Q153,Геокодування!$B$2:$B$361,0))-50.5884)+ABS(INDEX(Геокодування!$D$2:$D$361,MATCH($Q153,Геокодування!$B$2:$B$361,0))-32.3876)&gt;0.15,"",INDEX(Геокодування!$D$2:$D$361,MATCH($Q153,Геокодування!$B$2:$B$361,0))),IFERROR(IF(ABS(INDEX(Геокодування!$C$2:$C$361,MATCH("Прилуки, Чернігівська обл., "&amp;$A153,Геокодування!$B$2:$B$361,0))-50.5884)+ABS(INDEX(Геокодування!$D$2:$D$361,MATCH("Прилуки, Чернігівська обл., "&amp;$A153,Геокодування!$B$2:$B$361,0))-32.3876)&gt;0.15,"",INDEX(Геокодування!$D$2:$D$361,MATCH("Прилуки, Чернігівська обл., "&amp;$A153,Геокодування!$B$2:$B$361,0))),""))))</f>
        <v>32.410488000000001</v>
      </c>
      <c r="T153" s="44" t="str">
        <f>IF($O153="","",IFERROR(INDEX('Координати майданчиків'!$B$4:$B$64,MATCH($A153&amp;IF($P153="","",", "&amp;$P153),'Координати майданчиків'!$B$4:$B$64,0)),IFERROR(INDEX('Координати майданчиків'!$B$4:$B$64,MATCH($A153,'Координати майданчиків'!$B$4:$B$64,0)),"")))</f>
        <v/>
      </c>
    </row>
    <row r="154" spans="1:20" x14ac:dyDescent="0.35">
      <c r="A154" s="26" t="str">
        <f t="shared" si="6"/>
        <v>вул. Героїв Крут</v>
      </c>
      <c r="B154" s="26" t="str">
        <f t="shared" si="7"/>
        <v/>
      </c>
      <c r="C154" s="27" t="str" cm="1">
        <f t="array" ref="C154">IF($O154="","",_xlfn.TEXTJOIN(", ",TRUE,IF(EXACT('Дані_зв''язок'!$J$4:$J$1012,$O154)*('Дані_зв''язок'!$C$4:$C$1012=C$4),'Дані_зв''язок'!$D$4:$D$1012,"")))</f>
        <v/>
      </c>
      <c r="D154" s="27" t="str" cm="1">
        <f t="array" ref="D154">IF($O154="","",_xlfn.TEXTJOIN(", ",TRUE,IF(EXACT('Дані_зв''язок'!$J$4:$J$1012,$O154)*('Дані_зв''язок'!$C$4:$C$1012=D$4),'Дані_зв''язок'!$D$4:$D$1012,"")))</f>
        <v/>
      </c>
      <c r="E154" s="27" t="str" cm="1">
        <f t="array" ref="E154">IF($O154="","",_xlfn.TEXTJOIN(", ",TRUE,IF(EXACT('Дані_зв''язок'!$J$4:$J$1012,$O154)*('Дані_зв''язок'!$C$4:$C$1012=E$4),'Дані_зв''язок'!$D$4:$D$1012,"")))</f>
        <v>7:35</v>
      </c>
      <c r="F154" s="27" t="str" cm="1">
        <f t="array" ref="F154">IF($O154="","",_xlfn.TEXTJOIN(", ",TRUE,IF(EXACT('Дані_зв''язок'!$J$4:$J$1012,$O154)*('Дані_зв''язок'!$C$4:$C$1012=F$4),'Дані_зв''язок'!$D$4:$D$1012,"")))</f>
        <v/>
      </c>
      <c r="G154" s="27" t="str" cm="1">
        <f t="array" ref="G154">IF($O154="","",_xlfn.TEXTJOIN(", ",TRUE,IF(EXACT('Дані_зв''язок'!$J$4:$J$1012,$O154)*('Дані_зв''язок'!$C$4:$C$1012=G$4),'Дані_зв''язок'!$D$4:$D$1012,"")))</f>
        <v/>
      </c>
      <c r="H154" s="27" t="str" cm="1">
        <f t="array" ref="H154">IF($O154="","",_xlfn.TEXTJOIN(", ",TRUE,IF(EXACT('Дані_зв''язок'!$J$4:$J$1012,$O154)*('Дані_зв''язок'!$C$4:$C$1012=H$4),'Дані_зв''язок'!$D$4:$D$1012,"")))</f>
        <v/>
      </c>
      <c r="I154" s="27" t="str" cm="1">
        <f t="array" ref="I154">IF($O154="","",_xlfn.TEXTJOIN(", ",TRUE,IF(EXACT('Дані_зв''язок'!$J$4:$J$1012,$O154)*('Дані_зв''язок'!$C$4:$C$1012=I$4),'Дані_зв''язок'!$D$4:$D$1012,"")))</f>
        <v/>
      </c>
      <c r="J154" s="27" cm="1">
        <f t="array" ref="J154">IF($O154="","",COUNTIF(C154:I154,"?*")+SUMPRODUCT(LEN(C154:I154)-LEN(SUBSTITUTE(C154:I154,",",""))))</f>
        <v>1</v>
      </c>
      <c r="K154" s="28" t="str" cm="1">
        <f t="array" ref="K154">IF($O154="","",_xlfn.TEXTJOIN(", ",TRUE,IF(EXACT('Дані_зв''язок'!$J$4:$J$1012,$O154),'Дані_зв''язок'!$L$4:$L$1012,"")))</f>
        <v>№5</v>
      </c>
      <c r="L154" s="28" t="str" cm="1">
        <f t="array" ref="L154">IF($O154="","",_xlfn.TEXTJOIN(", ",TRUE,IF(EXACT('Дані_зв''язок'!$J$4:$J$1012,$O154),'Дані_зв''язок'!$M$4:$M$1012,"")))</f>
        <v>МАЗ 4381</v>
      </c>
      <c r="M154" s="27" t="str" cm="1">
        <f t="array" ref="M154">IF($O154="","",IF(SUMPRODUCT(MAX(EXACT('Дані_зв''язок'!$J$4:$J$1012,$O154)*IFERROR('Дані_зв''язок'!$H$4:$H$1012,0)))=0,"",SUMPRODUCT(MAX(EXACT('Дані_зв''язок'!$J$4:$J$1012,$O154)*IFERROR('Дані_зв''язок'!$H$4:$H$1012,0)))))</f>
        <v/>
      </c>
      <c r="O154" s="30" t="s">
        <v>1252</v>
      </c>
      <c r="P154" s="24" t="str" cm="1">
        <f t="array" ref="P154">IF($O154="","",IF($B154="","",IFERROR(IF(MIN(IFERROR(VALUE(TRIM(MID(SUBSTITUTE(SUBSTITUTE($B154,","," ")," ",REPT(" ",30)),{1;31;61;91;121;151;181},30))),""))=0,"",MIN(IFERROR(VALUE(TRIM(MID(SUBSTITUTE(SUBSTITUTE($B154,","," ")," ",REPT(" ",30)),{1;31;61;91;121;151;181},30))),""))),"")))</f>
        <v/>
      </c>
      <c r="Q154" s="23" t="str">
        <f t="shared" si="8"/>
        <v>Прилуки, Чернігівська обл., вул. Героїв Крут</v>
      </c>
      <c r="R154" s="35">
        <f>IF($O154="","",IFERROR(INDEX('Координати майданчиків'!$H$4:$H$64,MATCH($T154,'Координати майданчиків'!$B$4:$B$64,0)),IFERROR(IF(ABS(INDEX(Геокодування!$C$2:$C$361,MATCH($Q154,Геокодування!$B$2:$B$361,0))-50.5884)+ABS(INDEX(Геокодування!$D$2:$D$361,MATCH($Q154,Геокодування!$B$2:$B$361,0))-32.3876)&gt;0.15,"",INDEX(Геокодування!$C$2:$C$361,MATCH($Q154,Геокодування!$B$2:$B$361,0))),IFERROR(IF(ABS(INDEX(Геокодування!$C$2:$C$361,MATCH("Прилуки, Чернігівська обл., "&amp;$A154,Геокодування!$B$2:$B$361,0))-50.5884)+ABS(INDEX(Геокодування!$D$2:$D$361,MATCH("Прилуки, Чернігівська обл., "&amp;$A154,Геокодування!$B$2:$B$361,0))-32.3876)&gt;0.15,"",INDEX(Геокодування!$C$2:$C$361,MATCH("Прилуки, Чернігівська обл., "&amp;$A154,Геокодування!$B$2:$B$361,0))),""))))</f>
        <v>50.579155</v>
      </c>
      <c r="S154" s="43">
        <f>IF($O154="","",IFERROR(INDEX('Координати майданчиків'!$I$4:$I$64,MATCH($T154,'Координати майданчиків'!$B$4:$B$64,0)),IFERROR(IF(ABS(INDEX(Геокодування!$C$2:$C$361,MATCH($Q154,Геокодування!$B$2:$B$361,0))-50.5884)+ABS(INDEX(Геокодування!$D$2:$D$361,MATCH($Q154,Геокодування!$B$2:$B$361,0))-32.3876)&gt;0.15,"",INDEX(Геокодування!$D$2:$D$361,MATCH($Q154,Геокодування!$B$2:$B$361,0))),IFERROR(IF(ABS(INDEX(Геокодування!$C$2:$C$361,MATCH("Прилуки, Чернігівська обл., "&amp;$A154,Геокодування!$B$2:$B$361,0))-50.5884)+ABS(INDEX(Геокодування!$D$2:$D$361,MATCH("Прилуки, Чернігівська обл., "&amp;$A154,Геокодування!$B$2:$B$361,0))-32.3876)&gt;0.15,"",INDEX(Геокодування!$D$2:$D$361,MATCH("Прилуки, Чернігівська обл., "&amp;$A154,Геокодування!$B$2:$B$361,0))),""))))</f>
        <v>32.370852999999997</v>
      </c>
      <c r="T154" s="44" t="str">
        <f>IF($O154="","",IFERROR(INDEX('Координати майданчиків'!$B$4:$B$64,MATCH($A154&amp;IF($P154="","",", "&amp;$P154),'Координати майданчиків'!$B$4:$B$64,0)),IFERROR(INDEX('Координати майданчиків'!$B$4:$B$64,MATCH($A154,'Координати майданчиків'!$B$4:$B$64,0)),"")))</f>
        <v/>
      </c>
    </row>
    <row r="155" spans="1:20" x14ac:dyDescent="0.35">
      <c r="A155" s="26" t="str">
        <f t="shared" si="6"/>
        <v>вул. Героїв Прилук</v>
      </c>
      <c r="B155" s="26" t="str">
        <f t="shared" si="7"/>
        <v>1,10  15</v>
      </c>
      <c r="C155" s="27" t="str" cm="1">
        <f t="array" ref="C155">IF($O155="","",_xlfn.TEXTJOIN(", ",TRUE,IF(EXACT('Дані_зв''язок'!$J$4:$J$1012,$O155)*('Дані_зв''язок'!$C$4:$C$1012=C$4),'Дані_зв''язок'!$D$4:$D$1012,"")))</f>
        <v/>
      </c>
      <c r="D155" s="27" t="str" cm="1">
        <f t="array" ref="D155">IF($O155="","",_xlfn.TEXTJOIN(", ",TRUE,IF(EXACT('Дані_зв''язок'!$J$4:$J$1012,$O155)*('Дані_зв''язок'!$C$4:$C$1012=D$4),'Дані_зв''язок'!$D$4:$D$1012,"")))</f>
        <v>8:20</v>
      </c>
      <c r="E155" s="27" t="str" cm="1">
        <f t="array" ref="E155">IF($O155="","",_xlfn.TEXTJOIN(", ",TRUE,IF(EXACT('Дані_зв''язок'!$J$4:$J$1012,$O155)*('Дані_зв''язок'!$C$4:$C$1012=E$4),'Дані_зв''язок'!$D$4:$D$1012,"")))</f>
        <v/>
      </c>
      <c r="F155" s="27" t="str" cm="1">
        <f t="array" ref="F155">IF($O155="","",_xlfn.TEXTJOIN(", ",TRUE,IF(EXACT('Дані_зв''язок'!$J$4:$J$1012,$O155)*('Дані_зв''язок'!$C$4:$C$1012=F$4),'Дані_зв''язок'!$D$4:$D$1012,"")))</f>
        <v/>
      </c>
      <c r="G155" s="27" t="str" cm="1">
        <f t="array" ref="G155">IF($O155="","",_xlfn.TEXTJOIN(", ",TRUE,IF(EXACT('Дані_зв''язок'!$J$4:$J$1012,$O155)*('Дані_зв''язок'!$C$4:$C$1012=G$4),'Дані_зв''язок'!$D$4:$D$1012,"")))</f>
        <v/>
      </c>
      <c r="H155" s="27" t="str" cm="1">
        <f t="array" ref="H155">IF($O155="","",_xlfn.TEXTJOIN(", ",TRUE,IF(EXACT('Дані_зв''язок'!$J$4:$J$1012,$O155)*('Дані_зв''язок'!$C$4:$C$1012=H$4),'Дані_зв''язок'!$D$4:$D$1012,"")))</f>
        <v/>
      </c>
      <c r="I155" s="27" t="str" cm="1">
        <f t="array" ref="I155">IF($O155="","",_xlfn.TEXTJOIN(", ",TRUE,IF(EXACT('Дані_зв''язок'!$J$4:$J$1012,$O155)*('Дані_зв''язок'!$C$4:$C$1012=I$4),'Дані_зв''язок'!$D$4:$D$1012,"")))</f>
        <v/>
      </c>
      <c r="J155" s="27" cm="1">
        <f t="array" ref="J155">IF($O155="","",COUNTIF(C155:I155,"?*")+SUMPRODUCT(LEN(C155:I155)-LEN(SUBSTITUTE(C155:I155,",",""))))</f>
        <v>1</v>
      </c>
      <c r="K155" s="28" t="str" cm="1">
        <f t="array" ref="K155">IF($O155="","",_xlfn.TEXTJOIN(", ",TRUE,IF(EXACT('Дані_зв''язок'!$J$4:$J$1012,$O155),'Дані_зв''язок'!$L$4:$L$1012,"")))</f>
        <v>№6</v>
      </c>
      <c r="L155" s="28" t="str" cm="1">
        <f t="array" ref="L155">IF($O155="","",_xlfn.TEXTJOIN(", ",TRUE,IF(EXACT('Дані_зв''язок'!$J$4:$J$1012,$O155),'Дані_зв''язок'!$M$4:$M$1012,"")))</f>
        <v>АТ 4021</v>
      </c>
      <c r="M155" s="27" t="str" cm="1">
        <f t="array" ref="M155">IF($O155="","",IF(SUMPRODUCT(MAX(EXACT('Дані_зв''язок'!$J$4:$J$1012,$O155)*IFERROR('Дані_зв''язок'!$H$4:$H$1012,0)))=0,"",SUMPRODUCT(MAX(EXACT('Дані_зв''язок'!$J$4:$J$1012,$O155)*IFERROR('Дані_зв''язок'!$H$4:$H$1012,0)))))</f>
        <v/>
      </c>
      <c r="O155" s="30" t="s">
        <v>1253</v>
      </c>
      <c r="P155" s="24" cm="1">
        <f t="array" ref="P155">IF($O155="","",IF($B155="","",IFERROR(IF(MIN(IFERROR(VALUE(TRIM(MID(SUBSTITUTE(SUBSTITUTE($B155,","," ")," ",REPT(" ",30)),{1;31;61;91;121;151;181},30))),""))=0,"",MIN(IFERROR(VALUE(TRIM(MID(SUBSTITUTE(SUBSTITUTE($B155,","," ")," ",REPT(" ",30)),{1;31;61;91;121;151;181},30))),""))),"")))</f>
        <v>1</v>
      </c>
      <c r="Q155" s="23" t="str">
        <f t="shared" si="8"/>
        <v>Прилуки, Чернігівська обл., вул. Героїв Прилук, 1</v>
      </c>
      <c r="R155" s="35">
        <f>IF($O155="","",IFERROR(INDEX('Координати майданчиків'!$H$4:$H$64,MATCH($T155,'Координати майданчиків'!$B$4:$B$64,0)),IFERROR(IF(ABS(INDEX(Геокодування!$C$2:$C$361,MATCH($Q155,Геокодування!$B$2:$B$361,0))-50.5884)+ABS(INDEX(Геокодування!$D$2:$D$361,MATCH($Q155,Геокодування!$B$2:$B$361,0))-32.3876)&gt;0.15,"",INDEX(Геокодування!$C$2:$C$361,MATCH($Q155,Геокодування!$B$2:$B$361,0))),IFERROR(IF(ABS(INDEX(Геокодування!$C$2:$C$361,MATCH("Прилуки, Чернігівська обл., "&amp;$A155,Геокодування!$B$2:$B$361,0))-50.5884)+ABS(INDEX(Геокодування!$D$2:$D$361,MATCH("Прилуки, Чернігівська обл., "&amp;$A155,Геокодування!$B$2:$B$361,0))-32.3876)&gt;0.15,"",INDEX(Геокодування!$C$2:$C$361,MATCH("Прилуки, Чернігівська обл., "&amp;$A155,Геокодування!$B$2:$B$361,0))),""))))</f>
        <v>50.612116999999998</v>
      </c>
      <c r="S155" s="43">
        <f>IF($O155="","",IFERROR(INDEX('Координати майданчиків'!$I$4:$I$64,MATCH($T155,'Координати майданчиків'!$B$4:$B$64,0)),IFERROR(IF(ABS(INDEX(Геокодування!$C$2:$C$361,MATCH($Q155,Геокодування!$B$2:$B$361,0))-50.5884)+ABS(INDEX(Геокодування!$D$2:$D$361,MATCH($Q155,Геокодування!$B$2:$B$361,0))-32.3876)&gt;0.15,"",INDEX(Геокодування!$D$2:$D$361,MATCH($Q155,Геокодування!$B$2:$B$361,0))),IFERROR(IF(ABS(INDEX(Геокодування!$C$2:$C$361,MATCH("Прилуки, Чернігівська обл., "&amp;$A155,Геокодування!$B$2:$B$361,0))-50.5884)+ABS(INDEX(Геокодування!$D$2:$D$361,MATCH("Прилуки, Чернігівська обл., "&amp;$A155,Геокодування!$B$2:$B$361,0))-32.3876)&gt;0.15,"",INDEX(Геокодування!$D$2:$D$361,MATCH("Прилуки, Чернігівська обл., "&amp;$A155,Геокодування!$B$2:$B$361,0))),""))))</f>
        <v>32.387304999999998</v>
      </c>
      <c r="T155" s="44" t="str">
        <f>IF($O155="","",IFERROR(INDEX('Координати майданчиків'!$B$4:$B$64,MATCH($A155&amp;IF($P155="","",", "&amp;$P155),'Координати майданчиків'!$B$4:$B$64,0)),IFERROR(INDEX('Координати майданчиків'!$B$4:$B$64,MATCH($A155,'Координати майданчиків'!$B$4:$B$64,0)),"")))</f>
        <v/>
      </c>
    </row>
    <row r="156" spans="1:20" x14ac:dyDescent="0.35">
      <c r="A156" s="26" t="str">
        <f t="shared" si="6"/>
        <v>вул. Героїв Прилук</v>
      </c>
      <c r="B156" s="26" t="str">
        <f t="shared" si="7"/>
        <v>75,62</v>
      </c>
      <c r="C156" s="27" t="str" cm="1">
        <f t="array" ref="C156">IF($O156="","",_xlfn.TEXTJOIN(", ",TRUE,IF(EXACT('Дані_зв''язок'!$J$4:$J$1012,$O156)*('Дані_зв''язок'!$C$4:$C$1012=C$4),'Дані_зв''язок'!$D$4:$D$1012,"")))</f>
        <v/>
      </c>
      <c r="D156" s="27" t="str" cm="1">
        <f t="array" ref="D156">IF($O156="","",_xlfn.TEXTJOIN(", ",TRUE,IF(EXACT('Дані_зв''язок'!$J$4:$J$1012,$O156)*('Дані_зв''язок'!$C$4:$C$1012=D$4),'Дані_зв''язок'!$D$4:$D$1012,"")))</f>
        <v/>
      </c>
      <c r="E156" s="27" t="str" cm="1">
        <f t="array" ref="E156">IF($O156="","",_xlfn.TEXTJOIN(", ",TRUE,IF(EXACT('Дані_зв''язок'!$J$4:$J$1012,$O156)*('Дані_зв''язок'!$C$4:$C$1012=E$4),'Дані_зв''язок'!$D$4:$D$1012,"")))</f>
        <v>7:15</v>
      </c>
      <c r="F156" s="27" t="str" cm="1">
        <f t="array" ref="F156">IF($O156="","",_xlfn.TEXTJOIN(", ",TRUE,IF(EXACT('Дані_зв''язок'!$J$4:$J$1012,$O156)*('Дані_зв''язок'!$C$4:$C$1012=F$4),'Дані_зв''язок'!$D$4:$D$1012,"")))</f>
        <v/>
      </c>
      <c r="G156" s="27" t="str" cm="1">
        <f t="array" ref="G156">IF($O156="","",_xlfn.TEXTJOIN(", ",TRUE,IF(EXACT('Дані_зв''язок'!$J$4:$J$1012,$O156)*('Дані_зв''язок'!$C$4:$C$1012=G$4),'Дані_зв''язок'!$D$4:$D$1012,"")))</f>
        <v/>
      </c>
      <c r="H156" s="27" t="str" cm="1">
        <f t="array" ref="H156">IF($O156="","",_xlfn.TEXTJOIN(", ",TRUE,IF(EXACT('Дані_зв''язок'!$J$4:$J$1012,$O156)*('Дані_зв''язок'!$C$4:$C$1012=H$4),'Дані_зв''язок'!$D$4:$D$1012,"")))</f>
        <v/>
      </c>
      <c r="I156" s="27" t="str" cm="1">
        <f t="array" ref="I156">IF($O156="","",_xlfn.TEXTJOIN(", ",TRUE,IF(EXACT('Дані_зв''язок'!$J$4:$J$1012,$O156)*('Дані_зв''язок'!$C$4:$C$1012=I$4),'Дані_зв''язок'!$D$4:$D$1012,"")))</f>
        <v/>
      </c>
      <c r="J156" s="27" cm="1">
        <f t="array" ref="J156">IF($O156="","",COUNTIF(C156:I156,"?*")+SUMPRODUCT(LEN(C156:I156)-LEN(SUBSTITUTE(C156:I156,",",""))))</f>
        <v>1</v>
      </c>
      <c r="K156" s="28" t="str" cm="1">
        <f t="array" ref="K156">IF($O156="","",_xlfn.TEXTJOIN(", ",TRUE,IF(EXACT('Дані_зв''язок'!$J$4:$J$1012,$O156),'Дані_зв''язок'!$L$4:$L$1012,"")))</f>
        <v>№6</v>
      </c>
      <c r="L156" s="28" t="str" cm="1">
        <f t="array" ref="L156">IF($O156="","",_xlfn.TEXTJOIN(", ",TRUE,IF(EXACT('Дані_зв''язок'!$J$4:$J$1012,$O156),'Дані_зв''язок'!$M$4:$M$1012,"")))</f>
        <v>АТ 4021</v>
      </c>
      <c r="M156" s="27" t="str" cm="1">
        <f t="array" ref="M156">IF($O156="","",IF(SUMPRODUCT(MAX(EXACT('Дані_зв''язок'!$J$4:$J$1012,$O156)*IFERROR('Дані_зв''язок'!$H$4:$H$1012,0)))=0,"",SUMPRODUCT(MAX(EXACT('Дані_зв''язок'!$J$4:$J$1012,$O156)*IFERROR('Дані_зв''язок'!$H$4:$H$1012,0)))))</f>
        <v/>
      </c>
      <c r="O156" s="30" t="s">
        <v>1254</v>
      </c>
      <c r="P156" s="24" cm="1">
        <f t="array" ref="P156">IF($O156="","",IF($B156="","",IFERROR(IF(MIN(IFERROR(VALUE(TRIM(MID(SUBSTITUTE(SUBSTITUTE($B156,","," ")," ",REPT(" ",30)),{1;31;61;91;121;151;181},30))),""))=0,"",MIN(IFERROR(VALUE(TRIM(MID(SUBSTITUTE(SUBSTITUTE($B156,","," ")," ",REPT(" ",30)),{1;31;61;91;121;151;181},30))),""))),"")))</f>
        <v>62</v>
      </c>
      <c r="Q156" s="23" t="str">
        <f t="shared" si="8"/>
        <v>Прилуки, Чернігівська обл., вул. Героїв Прилук, 62</v>
      </c>
      <c r="R156" s="35">
        <f>IF($O156="","",IFERROR(INDEX('Координати майданчиків'!$H$4:$H$64,MATCH($T156,'Координати майданчиків'!$B$4:$B$64,0)),IFERROR(IF(ABS(INDEX(Геокодування!$C$2:$C$361,MATCH($Q156,Геокодування!$B$2:$B$361,0))-50.5884)+ABS(INDEX(Геокодування!$D$2:$D$361,MATCH($Q156,Геокодування!$B$2:$B$361,0))-32.3876)&gt;0.15,"",INDEX(Геокодування!$C$2:$C$361,MATCH($Q156,Геокодування!$B$2:$B$361,0))),IFERROR(IF(ABS(INDEX(Геокодування!$C$2:$C$361,MATCH("Прилуки, Чернігівська обл., "&amp;$A156,Геокодування!$B$2:$B$361,0))-50.5884)+ABS(INDEX(Геокодування!$D$2:$D$361,MATCH("Прилуки, Чернігівська обл., "&amp;$A156,Геокодування!$B$2:$B$361,0))-32.3876)&gt;0.15,"",INDEX(Геокодування!$C$2:$C$361,MATCH("Прилуки, Чернігівська обл., "&amp;$A156,Геокодування!$B$2:$B$361,0))),""))))</f>
        <v>50.612116999999998</v>
      </c>
      <c r="S156" s="43">
        <f>IF($O156="","",IFERROR(INDEX('Координати майданчиків'!$I$4:$I$64,MATCH($T156,'Координати майданчиків'!$B$4:$B$64,0)),IFERROR(IF(ABS(INDEX(Геокодування!$C$2:$C$361,MATCH($Q156,Геокодування!$B$2:$B$361,0))-50.5884)+ABS(INDEX(Геокодування!$D$2:$D$361,MATCH($Q156,Геокодування!$B$2:$B$361,0))-32.3876)&gt;0.15,"",INDEX(Геокодування!$D$2:$D$361,MATCH($Q156,Геокодування!$B$2:$B$361,0))),IFERROR(IF(ABS(INDEX(Геокодування!$C$2:$C$361,MATCH("Прилуки, Чернігівська обл., "&amp;$A156,Геокодування!$B$2:$B$361,0))-50.5884)+ABS(INDEX(Геокодування!$D$2:$D$361,MATCH("Прилуки, Чернігівська обл., "&amp;$A156,Геокодування!$B$2:$B$361,0))-32.3876)&gt;0.15,"",INDEX(Геокодування!$D$2:$D$361,MATCH("Прилуки, Чернігівська обл., "&amp;$A156,Геокодування!$B$2:$B$361,0))),""))))</f>
        <v>32.387304999999998</v>
      </c>
      <c r="T156" s="44" t="str">
        <f>IF($O156="","",IFERROR(INDEX('Координати майданчиків'!$B$4:$B$64,MATCH($A156&amp;IF($P156="","",", "&amp;$P156),'Координати майданчиків'!$B$4:$B$64,0)),IFERROR(INDEX('Координати майданчиків'!$B$4:$B$64,MATCH($A156,'Координати майданчиків'!$B$4:$B$64,0)),"")))</f>
        <v/>
      </c>
    </row>
    <row r="157" spans="1:20" x14ac:dyDescent="0.35">
      <c r="A157" s="26" t="str">
        <f t="shared" si="6"/>
        <v>вул. Героїв Прилук</v>
      </c>
      <c r="B157" s="26" t="str">
        <f t="shared" si="7"/>
        <v>76</v>
      </c>
      <c r="C157" s="27" t="str" cm="1">
        <f t="array" ref="C157">IF($O157="","",_xlfn.TEXTJOIN(", ",TRUE,IF(EXACT('Дані_зв''язок'!$J$4:$J$1012,$O157)*('Дані_зв''язок'!$C$4:$C$1012=C$4),'Дані_зв''язок'!$D$4:$D$1012,"")))</f>
        <v>8:00, 8:00</v>
      </c>
      <c r="D157" s="27" t="str" cm="1">
        <f t="array" ref="D157">IF($O157="","",_xlfn.TEXTJOIN(", ",TRUE,IF(EXACT('Дані_зв''язок'!$J$4:$J$1012,$O157)*('Дані_зв''язок'!$C$4:$C$1012=D$4),'Дані_зв''язок'!$D$4:$D$1012,"")))</f>
        <v/>
      </c>
      <c r="E157" s="27" t="str" cm="1">
        <f t="array" ref="E157">IF($O157="","",_xlfn.TEXTJOIN(", ",TRUE,IF(EXACT('Дані_зв''язок'!$J$4:$J$1012,$O157)*('Дані_зв''язок'!$C$4:$C$1012=E$4),'Дані_зв''язок'!$D$4:$D$1012,"")))</f>
        <v/>
      </c>
      <c r="F157" s="27" t="str" cm="1">
        <f t="array" ref="F157">IF($O157="","",_xlfn.TEXTJOIN(", ",TRUE,IF(EXACT('Дані_зв''язок'!$J$4:$J$1012,$O157)*('Дані_зв''язок'!$C$4:$C$1012=F$4),'Дані_зв''язок'!$D$4:$D$1012,"")))</f>
        <v/>
      </c>
      <c r="G157" s="27" t="str" cm="1">
        <f t="array" ref="G157">IF($O157="","",_xlfn.TEXTJOIN(", ",TRUE,IF(EXACT('Дані_зв''язок'!$J$4:$J$1012,$O157)*('Дані_зв''язок'!$C$4:$C$1012=G$4),'Дані_зв''язок'!$D$4:$D$1012,"")))</f>
        <v>7:15</v>
      </c>
      <c r="H157" s="27" t="str" cm="1">
        <f t="array" ref="H157">IF($O157="","",_xlfn.TEXTJOIN(", ",TRUE,IF(EXACT('Дані_зв''язок'!$J$4:$J$1012,$O157)*('Дані_зв''язок'!$C$4:$C$1012=H$4),'Дані_зв''язок'!$D$4:$D$1012,"")))</f>
        <v/>
      </c>
      <c r="I157" s="27" t="str" cm="1">
        <f t="array" ref="I157">IF($O157="","",_xlfn.TEXTJOIN(", ",TRUE,IF(EXACT('Дані_зв''язок'!$J$4:$J$1012,$O157)*('Дані_зв''язок'!$C$4:$C$1012=I$4),'Дані_зв''язок'!$D$4:$D$1012,"")))</f>
        <v/>
      </c>
      <c r="J157" s="27" cm="1">
        <f t="array" ref="J157">IF($O157="","",COUNTIF(C157:I157,"?*")+SUMPRODUCT(LEN(C157:I157)-LEN(SUBSTITUTE(C157:I157,",",""))))</f>
        <v>3</v>
      </c>
      <c r="K157" s="28" t="str" cm="1">
        <f t="array" ref="K157">IF($O157="","",_xlfn.TEXTJOIN(", ",TRUE,IF(EXACT('Дані_зв''язок'!$J$4:$J$1012,$O157),'Дані_зв''язок'!$L$4:$L$1012,"")))</f>
        <v>№6</v>
      </c>
      <c r="L157" s="28" t="str" cm="1">
        <f t="array" ref="L157">IF($O157="","",_xlfn.TEXTJOIN(", ",TRUE,IF(EXACT('Дані_зв''язок'!$J$4:$J$1012,$O157),'Дані_зв''язок'!$M$4:$M$1012,"")))</f>
        <v>АТ 4021</v>
      </c>
      <c r="M157" s="27" t="str" cm="1">
        <f t="array" ref="M157">IF($O157="","",IF(SUMPRODUCT(MAX(EXACT('Дані_зв''язок'!$J$4:$J$1012,$O157)*IFERROR('Дані_зв''язок'!$H$4:$H$1012,0)))=0,"",SUMPRODUCT(MAX(EXACT('Дані_зв''язок'!$J$4:$J$1012,$O157)*IFERROR('Дані_зв''язок'!$H$4:$H$1012,0)))))</f>
        <v/>
      </c>
      <c r="O157" s="30" t="s">
        <v>1255</v>
      </c>
      <c r="P157" s="24" cm="1">
        <f t="array" ref="P157">IF($O157="","",IF($B157="","",IFERROR(IF(MIN(IFERROR(VALUE(TRIM(MID(SUBSTITUTE(SUBSTITUTE($B157,","," ")," ",REPT(" ",30)),{1;31;61;91;121;151;181},30))),""))=0,"",MIN(IFERROR(VALUE(TRIM(MID(SUBSTITUTE(SUBSTITUTE($B157,","," ")," ",REPT(" ",30)),{1;31;61;91;121;151;181},30))),""))),"")))</f>
        <v>76</v>
      </c>
      <c r="Q157" s="23" t="str">
        <f t="shared" si="8"/>
        <v>Прилуки, Чернігівська обл., вул. Героїв Прилук, 76</v>
      </c>
      <c r="R157" s="35">
        <f>IF($O157="","",IFERROR(INDEX('Координати майданчиків'!$H$4:$H$64,MATCH($T157,'Координати майданчиків'!$B$4:$B$64,0)),IFERROR(IF(ABS(INDEX(Геокодування!$C$2:$C$361,MATCH($Q157,Геокодування!$B$2:$B$361,0))-50.5884)+ABS(INDEX(Геокодування!$D$2:$D$361,MATCH($Q157,Геокодування!$B$2:$B$361,0))-32.3876)&gt;0.15,"",INDEX(Геокодування!$C$2:$C$361,MATCH($Q157,Геокодування!$B$2:$B$361,0))),IFERROR(IF(ABS(INDEX(Геокодування!$C$2:$C$361,MATCH("Прилуки, Чернігівська обл., "&amp;$A157,Геокодування!$B$2:$B$361,0))-50.5884)+ABS(INDEX(Геокодування!$D$2:$D$361,MATCH("Прилуки, Чернігівська обл., "&amp;$A157,Геокодування!$B$2:$B$361,0))-32.3876)&gt;0.15,"",INDEX(Геокодування!$C$2:$C$361,MATCH("Прилуки, Чернігівська обл., "&amp;$A157,Геокодування!$B$2:$B$361,0))),""))))</f>
        <v>50.612116999999998</v>
      </c>
      <c r="S157" s="43">
        <f>IF($O157="","",IFERROR(INDEX('Координати майданчиків'!$I$4:$I$64,MATCH($T157,'Координати майданчиків'!$B$4:$B$64,0)),IFERROR(IF(ABS(INDEX(Геокодування!$C$2:$C$361,MATCH($Q157,Геокодування!$B$2:$B$361,0))-50.5884)+ABS(INDEX(Геокодування!$D$2:$D$361,MATCH($Q157,Геокодування!$B$2:$B$361,0))-32.3876)&gt;0.15,"",INDEX(Геокодування!$D$2:$D$361,MATCH($Q157,Геокодування!$B$2:$B$361,0))),IFERROR(IF(ABS(INDEX(Геокодування!$C$2:$C$361,MATCH("Прилуки, Чернігівська обл., "&amp;$A157,Геокодування!$B$2:$B$361,0))-50.5884)+ABS(INDEX(Геокодування!$D$2:$D$361,MATCH("Прилуки, Чернігівська обл., "&amp;$A157,Геокодування!$B$2:$B$361,0))-32.3876)&gt;0.15,"",INDEX(Геокодування!$D$2:$D$361,MATCH("Прилуки, Чернігівська обл., "&amp;$A157,Геокодування!$B$2:$B$361,0))),""))))</f>
        <v>32.387304999999998</v>
      </c>
      <c r="T157" s="44" t="str">
        <f>IF($O157="","",IFERROR(INDEX('Координати майданчиків'!$B$4:$B$64,MATCH($A157&amp;IF($P157="","",", "&amp;$P157),'Координати майданчиків'!$B$4:$B$64,0)),IFERROR(INDEX('Координати майданчиків'!$B$4:$B$64,MATCH($A157,'Координати майданчиків'!$B$4:$B$64,0)),"")))</f>
        <v/>
      </c>
    </row>
    <row r="158" spans="1:20" x14ac:dyDescent="0.35">
      <c r="A158" s="26" t="str">
        <f t="shared" si="6"/>
        <v>вул. Героїв Прилук</v>
      </c>
      <c r="B158" s="26" t="str">
        <f t="shared" si="7"/>
        <v>85,82  76,96</v>
      </c>
      <c r="C158" s="27" t="str" cm="1">
        <f t="array" ref="C158">IF($O158="","",_xlfn.TEXTJOIN(", ",TRUE,IF(EXACT('Дані_зв''язок'!$J$4:$J$1012,$O158)*('Дані_зв''язок'!$C$4:$C$1012=C$4),'Дані_зв''язок'!$D$4:$D$1012,"")))</f>
        <v/>
      </c>
      <c r="D158" s="27" t="str" cm="1">
        <f t="array" ref="D158">IF($O158="","",_xlfn.TEXTJOIN(", ",TRUE,IF(EXACT('Дані_зв''язок'!$J$4:$J$1012,$O158)*('Дані_зв''язок'!$C$4:$C$1012=D$4),'Дані_зв''язок'!$D$4:$D$1012,"")))</f>
        <v/>
      </c>
      <c r="E158" s="27" t="str" cm="1">
        <f t="array" ref="E158">IF($O158="","",_xlfn.TEXTJOIN(", ",TRUE,IF(EXACT('Дані_зв''язок'!$J$4:$J$1012,$O158)*('Дані_зв''язок'!$C$4:$C$1012=E$4),'Дані_зв''язок'!$D$4:$D$1012,"")))</f>
        <v/>
      </c>
      <c r="F158" s="27" t="str" cm="1">
        <f t="array" ref="F158">IF($O158="","",_xlfn.TEXTJOIN(", ",TRUE,IF(EXACT('Дані_зв''язок'!$J$4:$J$1012,$O158)*('Дані_зв''язок'!$C$4:$C$1012=F$4),'Дані_зв''язок'!$D$4:$D$1012,"")))</f>
        <v>7:45</v>
      </c>
      <c r="G158" s="27" t="str" cm="1">
        <f t="array" ref="G158">IF($O158="","",_xlfn.TEXTJOIN(", ",TRUE,IF(EXACT('Дані_зв''язок'!$J$4:$J$1012,$O158)*('Дані_зв''язок'!$C$4:$C$1012=G$4),'Дані_зв''язок'!$D$4:$D$1012,"")))</f>
        <v/>
      </c>
      <c r="H158" s="27" t="str" cm="1">
        <f t="array" ref="H158">IF($O158="","",_xlfn.TEXTJOIN(", ",TRUE,IF(EXACT('Дані_зв''язок'!$J$4:$J$1012,$O158)*('Дані_зв''язок'!$C$4:$C$1012=H$4),'Дані_зв''язок'!$D$4:$D$1012,"")))</f>
        <v/>
      </c>
      <c r="I158" s="27" t="str" cm="1">
        <f t="array" ref="I158">IF($O158="","",_xlfn.TEXTJOIN(", ",TRUE,IF(EXACT('Дані_зв''язок'!$J$4:$J$1012,$O158)*('Дані_зв''язок'!$C$4:$C$1012=I$4),'Дані_зв''язок'!$D$4:$D$1012,"")))</f>
        <v/>
      </c>
      <c r="J158" s="27" cm="1">
        <f t="array" ref="J158">IF($O158="","",COUNTIF(C158:I158,"?*")+SUMPRODUCT(LEN(C158:I158)-LEN(SUBSTITUTE(C158:I158,",",""))))</f>
        <v>1</v>
      </c>
      <c r="K158" s="28" t="str" cm="1">
        <f t="array" ref="K158">IF($O158="","",_xlfn.TEXTJOIN(", ",TRUE,IF(EXACT('Дані_зв''язок'!$J$4:$J$1012,$O158),'Дані_зв''язок'!$L$4:$L$1012,"")))</f>
        <v>№6</v>
      </c>
      <c r="L158" s="28" t="str" cm="1">
        <f t="array" ref="L158">IF($O158="","",_xlfn.TEXTJOIN(", ",TRUE,IF(EXACT('Дані_зв''язок'!$J$4:$J$1012,$O158),'Дані_зв''язок'!$M$4:$M$1012,"")))</f>
        <v>АТ 4021</v>
      </c>
      <c r="M158" s="27" t="str" cm="1">
        <f t="array" ref="M158">IF($O158="","",IF(SUMPRODUCT(MAX(EXACT('Дані_зв''язок'!$J$4:$J$1012,$O158)*IFERROR('Дані_зв''язок'!$H$4:$H$1012,0)))=0,"",SUMPRODUCT(MAX(EXACT('Дані_зв''язок'!$J$4:$J$1012,$O158)*IFERROR('Дані_зв''язок'!$H$4:$H$1012,0)))))</f>
        <v/>
      </c>
      <c r="O158" s="30" t="s">
        <v>1256</v>
      </c>
      <c r="P158" s="24" cm="1">
        <f t="array" ref="P158">IF($O158="","",IF($B158="","",IFERROR(IF(MIN(IFERROR(VALUE(TRIM(MID(SUBSTITUTE(SUBSTITUTE($B158,","," ")," ",REPT(" ",30)),{1;31;61;91;121;151;181},30))),""))=0,"",MIN(IFERROR(VALUE(TRIM(MID(SUBSTITUTE(SUBSTITUTE($B158,","," ")," ",REPT(" ",30)),{1;31;61;91;121;151;181},30))),""))),"")))</f>
        <v>76</v>
      </c>
      <c r="Q158" s="23" t="str">
        <f t="shared" si="8"/>
        <v>Прилуки, Чернігівська обл., вул. Героїв Прилук, 76</v>
      </c>
      <c r="R158" s="35">
        <f>IF($O158="","",IFERROR(INDEX('Координати майданчиків'!$H$4:$H$64,MATCH($T158,'Координати майданчиків'!$B$4:$B$64,0)),IFERROR(IF(ABS(INDEX(Геокодування!$C$2:$C$361,MATCH($Q158,Геокодування!$B$2:$B$361,0))-50.5884)+ABS(INDEX(Геокодування!$D$2:$D$361,MATCH($Q158,Геокодування!$B$2:$B$361,0))-32.3876)&gt;0.15,"",INDEX(Геокодування!$C$2:$C$361,MATCH($Q158,Геокодування!$B$2:$B$361,0))),IFERROR(IF(ABS(INDEX(Геокодування!$C$2:$C$361,MATCH("Прилуки, Чернігівська обл., "&amp;$A158,Геокодування!$B$2:$B$361,0))-50.5884)+ABS(INDEX(Геокодування!$D$2:$D$361,MATCH("Прилуки, Чернігівська обл., "&amp;$A158,Геокодування!$B$2:$B$361,0))-32.3876)&gt;0.15,"",INDEX(Геокодування!$C$2:$C$361,MATCH("Прилуки, Чернігівська обл., "&amp;$A158,Геокодування!$B$2:$B$361,0))),""))))</f>
        <v>50.612116999999998</v>
      </c>
      <c r="S158" s="43">
        <f>IF($O158="","",IFERROR(INDEX('Координати майданчиків'!$I$4:$I$64,MATCH($T158,'Координати майданчиків'!$B$4:$B$64,0)),IFERROR(IF(ABS(INDEX(Геокодування!$C$2:$C$361,MATCH($Q158,Геокодування!$B$2:$B$361,0))-50.5884)+ABS(INDEX(Геокодування!$D$2:$D$361,MATCH($Q158,Геокодування!$B$2:$B$361,0))-32.3876)&gt;0.15,"",INDEX(Геокодування!$D$2:$D$361,MATCH($Q158,Геокодування!$B$2:$B$361,0))),IFERROR(IF(ABS(INDEX(Геокодування!$C$2:$C$361,MATCH("Прилуки, Чернігівська обл., "&amp;$A158,Геокодування!$B$2:$B$361,0))-50.5884)+ABS(INDEX(Геокодування!$D$2:$D$361,MATCH("Прилуки, Чернігівська обл., "&amp;$A158,Геокодування!$B$2:$B$361,0))-32.3876)&gt;0.15,"",INDEX(Геокодування!$D$2:$D$361,MATCH("Прилуки, Чернігівська обл., "&amp;$A158,Геокодування!$B$2:$B$361,0))),""))))</f>
        <v>32.387304999999998</v>
      </c>
      <c r="T158" s="44" t="str">
        <f>IF($O158="","",IFERROR(INDEX('Координати майданчиків'!$B$4:$B$64,MATCH($A158&amp;IF($P158="","",", "&amp;$P158),'Координати майданчиків'!$B$4:$B$64,0)),IFERROR(INDEX('Координати майданчиків'!$B$4:$B$64,MATCH($A158,'Координати майданчиків'!$B$4:$B$64,0)),"")))</f>
        <v/>
      </c>
    </row>
    <row r="159" spans="1:20" x14ac:dyDescent="0.35">
      <c r="A159" s="26" t="str">
        <f t="shared" si="6"/>
        <v>вул. Героїв Прилук</v>
      </c>
      <c r="B159" s="26" t="str">
        <f t="shared" si="7"/>
        <v>м-н "Еко"</v>
      </c>
      <c r="C159" s="27" t="str" cm="1">
        <f t="array" ref="C159">IF($O159="","",_xlfn.TEXTJOIN(", ",TRUE,IF(EXACT('Дані_зв''язок'!$J$4:$J$1012,$O159)*('Дані_зв''язок'!$C$4:$C$1012=C$4),'Дані_зв''язок'!$D$4:$D$1012,"")))</f>
        <v/>
      </c>
      <c r="D159" s="27" t="str" cm="1">
        <f t="array" ref="D159">IF($O159="","",_xlfn.TEXTJOIN(", ",TRUE,IF(EXACT('Дані_зв''язок'!$J$4:$J$1012,$O159)*('Дані_зв''язок'!$C$4:$C$1012=D$4),'Дані_зв''язок'!$D$4:$D$1012,"")))</f>
        <v/>
      </c>
      <c r="E159" s="27" t="str" cm="1">
        <f t="array" ref="E159">IF($O159="","",_xlfn.TEXTJOIN(", ",TRUE,IF(EXACT('Дані_зв''язок'!$J$4:$J$1012,$O159)*('Дані_зв''язок'!$C$4:$C$1012=E$4),'Дані_зв''язок'!$D$4:$D$1012,"")))</f>
        <v/>
      </c>
      <c r="F159" s="27" t="str" cm="1">
        <f t="array" ref="F159">IF($O159="","",_xlfn.TEXTJOIN(", ",TRUE,IF(EXACT('Дані_зв''язок'!$J$4:$J$1012,$O159)*('Дані_зв''язок'!$C$4:$C$1012=F$4),'Дані_зв''язок'!$D$4:$D$1012,"")))</f>
        <v>10:30</v>
      </c>
      <c r="G159" s="27" t="str" cm="1">
        <f t="array" ref="G159">IF($O159="","",_xlfn.TEXTJOIN(", ",TRUE,IF(EXACT('Дані_зв''язок'!$J$4:$J$1012,$O159)*('Дані_зв''язок'!$C$4:$C$1012=G$4),'Дані_зв''язок'!$D$4:$D$1012,"")))</f>
        <v/>
      </c>
      <c r="H159" s="27" t="str" cm="1">
        <f t="array" ref="H159">IF($O159="","",_xlfn.TEXTJOIN(", ",TRUE,IF(EXACT('Дані_зв''язок'!$J$4:$J$1012,$O159)*('Дані_зв''язок'!$C$4:$C$1012=H$4),'Дані_зв''язок'!$D$4:$D$1012,"")))</f>
        <v/>
      </c>
      <c r="I159" s="27" t="str" cm="1">
        <f t="array" ref="I159">IF($O159="","",_xlfn.TEXTJOIN(", ",TRUE,IF(EXACT('Дані_зв''язок'!$J$4:$J$1012,$O159)*('Дані_зв''язок'!$C$4:$C$1012=I$4),'Дані_зв''язок'!$D$4:$D$1012,"")))</f>
        <v/>
      </c>
      <c r="J159" s="27" cm="1">
        <f t="array" ref="J159">IF($O159="","",COUNTIF(C159:I159,"?*")+SUMPRODUCT(LEN(C159:I159)-LEN(SUBSTITUTE(C159:I159,",",""))))</f>
        <v>1</v>
      </c>
      <c r="K159" s="28" t="str" cm="1">
        <f t="array" ref="K159">IF($O159="","",_xlfn.TEXTJOIN(", ",TRUE,IF(EXACT('Дані_зв''язок'!$J$4:$J$1012,$O159),'Дані_зв''язок'!$L$4:$L$1012,"")))</f>
        <v>№6</v>
      </c>
      <c r="L159" s="28" t="str" cm="1">
        <f t="array" ref="L159">IF($O159="","",_xlfn.TEXTJOIN(", ",TRUE,IF(EXACT('Дані_зв''язок'!$J$4:$J$1012,$O159),'Дані_зв''язок'!$M$4:$M$1012,"")))</f>
        <v>АТ 4021</v>
      </c>
      <c r="M159" s="27" t="str" cm="1">
        <f t="array" ref="M159">IF($O159="","",IF(SUMPRODUCT(MAX(EXACT('Дані_зв''язок'!$J$4:$J$1012,$O159)*IFERROR('Дані_зв''язок'!$H$4:$H$1012,0)))=0,"",SUMPRODUCT(MAX(EXACT('Дані_зв''язок'!$J$4:$J$1012,$O159)*IFERROR('Дані_зв''язок'!$H$4:$H$1012,0)))))</f>
        <v/>
      </c>
      <c r="O159" s="30" t="s">
        <v>1257</v>
      </c>
      <c r="P159" s="24" t="str" cm="1">
        <f t="array" ref="P159">IF($O159="","",IF($B159="","",IFERROR(IF(MIN(IFERROR(VALUE(TRIM(MID(SUBSTITUTE(SUBSTITUTE($B159,","," ")," ",REPT(" ",30)),{1;31;61;91;121;151;181},30))),""))=0,"",MIN(IFERROR(VALUE(TRIM(MID(SUBSTITUTE(SUBSTITUTE($B159,","," ")," ",REPT(" ",30)),{1;31;61;91;121;151;181},30))),""))),"")))</f>
        <v/>
      </c>
      <c r="Q159" s="23" t="str">
        <f t="shared" si="8"/>
        <v>Прилуки, Чернігівська обл., вул. Героїв Прилук</v>
      </c>
      <c r="R159" s="35">
        <f>IF($O159="","",IFERROR(INDEX('Координати майданчиків'!$H$4:$H$64,MATCH($T159,'Координати майданчиків'!$B$4:$B$64,0)),IFERROR(IF(ABS(INDEX(Геокодування!$C$2:$C$361,MATCH($Q159,Геокодування!$B$2:$B$361,0))-50.5884)+ABS(INDEX(Геокодування!$D$2:$D$361,MATCH($Q159,Геокодування!$B$2:$B$361,0))-32.3876)&gt;0.15,"",INDEX(Геокодування!$C$2:$C$361,MATCH($Q159,Геокодування!$B$2:$B$361,0))),IFERROR(IF(ABS(INDEX(Геокодування!$C$2:$C$361,MATCH("Прилуки, Чернігівська обл., "&amp;$A159,Геокодування!$B$2:$B$361,0))-50.5884)+ABS(INDEX(Геокодування!$D$2:$D$361,MATCH("Прилуки, Чернігівська обл., "&amp;$A159,Геокодування!$B$2:$B$361,0))-32.3876)&gt;0.15,"",INDEX(Геокодування!$C$2:$C$361,MATCH("Прилуки, Чернігівська обл., "&amp;$A159,Геокодування!$B$2:$B$361,0))),""))))</f>
        <v>50.612596000000003</v>
      </c>
      <c r="S159" s="43">
        <f>IF($O159="","",IFERROR(INDEX('Координати майданчиків'!$I$4:$I$64,MATCH($T159,'Координати майданчиків'!$B$4:$B$64,0)),IFERROR(IF(ABS(INDEX(Геокодування!$C$2:$C$361,MATCH($Q159,Геокодування!$B$2:$B$361,0))-50.5884)+ABS(INDEX(Геокодування!$D$2:$D$361,MATCH($Q159,Геокодування!$B$2:$B$361,0))-32.3876)&gt;0.15,"",INDEX(Геокодування!$D$2:$D$361,MATCH($Q159,Геокодування!$B$2:$B$361,0))),IFERROR(IF(ABS(INDEX(Геокодування!$C$2:$C$361,MATCH("Прилуки, Чернігівська обл., "&amp;$A159,Геокодування!$B$2:$B$361,0))-50.5884)+ABS(INDEX(Геокодування!$D$2:$D$361,MATCH("Прилуки, Чернігівська обл., "&amp;$A159,Геокодування!$B$2:$B$361,0))-32.3876)&gt;0.15,"",INDEX(Геокодування!$D$2:$D$361,MATCH("Прилуки, Чернігівська обл., "&amp;$A159,Геокодування!$B$2:$B$361,0))),""))))</f>
        <v>32.379328999999998</v>
      </c>
      <c r="T159" s="44" t="str">
        <f>IF($O159="","",IFERROR(INDEX('Координати майданчиків'!$B$4:$B$64,MATCH($A159&amp;IF($P159="","",", "&amp;$P159),'Координати майданчиків'!$B$4:$B$64,0)),IFERROR(INDEX('Координати майданчиків'!$B$4:$B$64,MATCH($A159,'Координати майданчиків'!$B$4:$B$64,0)),"")))</f>
        <v/>
      </c>
    </row>
    <row r="160" spans="1:20" x14ac:dyDescent="0.35">
      <c r="A160" s="26" t="str">
        <f t="shared" si="6"/>
        <v>вул. Героїв Чорнобиля</v>
      </c>
      <c r="B160" s="26" t="str">
        <f t="shared" si="7"/>
        <v>49,33  13,2</v>
      </c>
      <c r="C160" s="27" t="str" cm="1">
        <f t="array" ref="C160">IF($O160="","",_xlfn.TEXTJOIN(", ",TRUE,IF(EXACT('Дані_зв''язок'!$J$4:$J$1012,$O160)*('Дані_зв''язок'!$C$4:$C$1012=C$4),'Дані_зв''язок'!$D$4:$D$1012,"")))</f>
        <v/>
      </c>
      <c r="D160" s="27" t="str" cm="1">
        <f t="array" ref="D160">IF($O160="","",_xlfn.TEXTJOIN(", ",TRUE,IF(EXACT('Дані_зв''язок'!$J$4:$J$1012,$O160)*('Дані_зв''язок'!$C$4:$C$1012=D$4),'Дані_зв''язок'!$D$4:$D$1012,"")))</f>
        <v/>
      </c>
      <c r="E160" s="27" t="str" cm="1">
        <f t="array" ref="E160">IF($O160="","",_xlfn.TEXTJOIN(", ",TRUE,IF(EXACT('Дані_зв''язок'!$J$4:$J$1012,$O160)*('Дані_зв''язок'!$C$4:$C$1012=E$4),'Дані_зв''язок'!$D$4:$D$1012,"")))</f>
        <v/>
      </c>
      <c r="F160" s="27" t="str" cm="1">
        <f t="array" ref="F160">IF($O160="","",_xlfn.TEXTJOIN(", ",TRUE,IF(EXACT('Дані_зв''язок'!$J$4:$J$1012,$O160)*('Дані_зв''язок'!$C$4:$C$1012=F$4),'Дані_зв''язок'!$D$4:$D$1012,"")))</f>
        <v/>
      </c>
      <c r="G160" s="27" t="str" cm="1">
        <f t="array" ref="G160">IF($O160="","",_xlfn.TEXTJOIN(", ",TRUE,IF(EXACT('Дані_зв''язок'!$J$4:$J$1012,$O160)*('Дані_зв''язок'!$C$4:$C$1012=G$4),'Дані_зв''язок'!$D$4:$D$1012,"")))</f>
        <v>10:30</v>
      </c>
      <c r="H160" s="27" t="str" cm="1">
        <f t="array" ref="H160">IF($O160="","",_xlfn.TEXTJOIN(", ",TRUE,IF(EXACT('Дані_зв''язок'!$J$4:$J$1012,$O160)*('Дані_зв''язок'!$C$4:$C$1012=H$4),'Дані_зв''язок'!$D$4:$D$1012,"")))</f>
        <v/>
      </c>
      <c r="I160" s="27" t="str" cm="1">
        <f t="array" ref="I160">IF($O160="","",_xlfn.TEXTJOIN(", ",TRUE,IF(EXACT('Дані_зв''язок'!$J$4:$J$1012,$O160)*('Дані_зв''язок'!$C$4:$C$1012=I$4),'Дані_зв''язок'!$D$4:$D$1012,"")))</f>
        <v/>
      </c>
      <c r="J160" s="27" cm="1">
        <f t="array" ref="J160">IF($O160="","",COUNTIF(C160:I160,"?*")+SUMPRODUCT(LEN(C160:I160)-LEN(SUBSTITUTE(C160:I160,",",""))))</f>
        <v>1</v>
      </c>
      <c r="K160" s="28" t="str" cm="1">
        <f t="array" ref="K160">IF($O160="","",_xlfn.TEXTJOIN(", ",TRUE,IF(EXACT('Дані_зв''язок'!$J$4:$J$1012,$O160),'Дані_зв''язок'!$L$4:$L$1012,"")))</f>
        <v>№6</v>
      </c>
      <c r="L160" s="28" t="str" cm="1">
        <f t="array" ref="L160">IF($O160="","",_xlfn.TEXTJOIN(", ",TRUE,IF(EXACT('Дані_зв''язок'!$J$4:$J$1012,$O160),'Дані_зв''язок'!$M$4:$M$1012,"")))</f>
        <v>АТ 4021</v>
      </c>
      <c r="M160" s="27" t="str" cm="1">
        <f t="array" ref="M160">IF($O160="","",IF(SUMPRODUCT(MAX(EXACT('Дані_зв''язок'!$J$4:$J$1012,$O160)*IFERROR('Дані_зв''язок'!$H$4:$H$1012,0)))=0,"",SUMPRODUCT(MAX(EXACT('Дані_зв''язок'!$J$4:$J$1012,$O160)*IFERROR('Дані_зв''язок'!$H$4:$H$1012,0)))))</f>
        <v/>
      </c>
      <c r="O160" s="30" t="s">
        <v>1258</v>
      </c>
      <c r="P160" s="24" cm="1">
        <f t="array" ref="P160">IF($O160="","",IF($B160="","",IFERROR(IF(MIN(IFERROR(VALUE(TRIM(MID(SUBSTITUTE(SUBSTITUTE($B160,","," ")," ",REPT(" ",30)),{1;31;61;91;121;151;181},30))),""))=0,"",MIN(IFERROR(VALUE(TRIM(MID(SUBSTITUTE(SUBSTITUTE($B160,","," ")," ",REPT(" ",30)),{1;31;61;91;121;151;181},30))),""))),"")))</f>
        <v>2</v>
      </c>
      <c r="Q160" s="23" t="str">
        <f t="shared" si="8"/>
        <v>Прилуки, Чернігівська обл., вул. Героїв Чорнобиля, 2</v>
      </c>
      <c r="R160" s="35">
        <f>IF($O160="","",IFERROR(INDEX('Координати майданчиків'!$H$4:$H$64,MATCH($T160,'Координати майданчиків'!$B$4:$B$64,0)),IFERROR(IF(ABS(INDEX(Геокодування!$C$2:$C$361,MATCH($Q160,Геокодування!$B$2:$B$361,0))-50.5884)+ABS(INDEX(Геокодування!$D$2:$D$361,MATCH($Q160,Геокодування!$B$2:$B$361,0))-32.3876)&gt;0.15,"",INDEX(Геокодування!$C$2:$C$361,MATCH($Q160,Геокодування!$B$2:$B$361,0))),IFERROR(IF(ABS(INDEX(Геокодування!$C$2:$C$361,MATCH("Прилуки, Чернігівська обл., "&amp;$A160,Геокодування!$B$2:$B$361,0))-50.5884)+ABS(INDEX(Геокодування!$D$2:$D$361,MATCH("Прилуки, Чернігівська обл., "&amp;$A160,Геокодування!$B$2:$B$361,0))-32.3876)&gt;0.15,"",INDEX(Геокодування!$C$2:$C$361,MATCH("Прилуки, Чернігівська обл., "&amp;$A160,Геокодування!$B$2:$B$361,0))),""))))</f>
        <v>50.593290000000003</v>
      </c>
      <c r="S160" s="43">
        <f>IF($O160="","",IFERROR(INDEX('Координати майданчиків'!$I$4:$I$64,MATCH($T160,'Координати майданчиків'!$B$4:$B$64,0)),IFERROR(IF(ABS(INDEX(Геокодування!$C$2:$C$361,MATCH($Q160,Геокодування!$B$2:$B$361,0))-50.5884)+ABS(INDEX(Геокодування!$D$2:$D$361,MATCH($Q160,Геокодування!$B$2:$B$361,0))-32.3876)&gt;0.15,"",INDEX(Геокодування!$D$2:$D$361,MATCH($Q160,Геокодування!$B$2:$B$361,0))),IFERROR(IF(ABS(INDEX(Геокодування!$C$2:$C$361,MATCH("Прилуки, Чернігівська обл., "&amp;$A160,Геокодування!$B$2:$B$361,0))-50.5884)+ABS(INDEX(Геокодування!$D$2:$D$361,MATCH("Прилуки, Чернігівська обл., "&amp;$A160,Геокодування!$B$2:$B$361,0))-32.3876)&gt;0.15,"",INDEX(Геокодування!$D$2:$D$361,MATCH("Прилуки, Чернігівська обл., "&amp;$A160,Геокодування!$B$2:$B$361,0))),""))))</f>
        <v>32.412570000000002</v>
      </c>
      <c r="T160" s="44" t="str">
        <f>IF($O160="","",IFERROR(INDEX('Координати майданчиків'!$B$4:$B$64,MATCH($A160&amp;IF($P160="","",", "&amp;$P160),'Координати майданчиків'!$B$4:$B$64,0)),IFERROR(INDEX('Координати майданчиків'!$B$4:$B$64,MATCH($A160,'Координати майданчиків'!$B$4:$B$64,0)),"")))</f>
        <v/>
      </c>
    </row>
    <row r="161" spans="1:20" x14ac:dyDescent="0.35">
      <c r="A161" s="26" t="str">
        <f t="shared" si="6"/>
        <v>вул. Героїв Чорнобиля</v>
      </c>
      <c r="B161" s="26" t="str">
        <f t="shared" si="7"/>
        <v>69,71</v>
      </c>
      <c r="C161" s="27" t="str" cm="1">
        <f t="array" ref="C161">IF($O161="","",_xlfn.TEXTJOIN(", ",TRUE,IF(EXACT('Дані_зв''язок'!$J$4:$J$1012,$O161)*('Дані_зв''язок'!$C$4:$C$1012=C$4),'Дані_зв''язок'!$D$4:$D$1012,"")))</f>
        <v/>
      </c>
      <c r="D161" s="27" t="str" cm="1">
        <f t="array" ref="D161">IF($O161="","",_xlfn.TEXTJOIN(", ",TRUE,IF(EXACT('Дані_зв''язок'!$J$4:$J$1012,$O161)*('Дані_зв''язок'!$C$4:$C$1012=D$4),'Дані_зв''язок'!$D$4:$D$1012,"")))</f>
        <v/>
      </c>
      <c r="E161" s="27" t="str" cm="1">
        <f t="array" ref="E161">IF($O161="","",_xlfn.TEXTJOIN(", ",TRUE,IF(EXACT('Дані_зв''язок'!$J$4:$J$1012,$O161)*('Дані_зв''язок'!$C$4:$C$1012=E$4),'Дані_зв''язок'!$D$4:$D$1012,"")))</f>
        <v>11:55</v>
      </c>
      <c r="F161" s="27" t="str" cm="1">
        <f t="array" ref="F161">IF($O161="","",_xlfn.TEXTJOIN(", ",TRUE,IF(EXACT('Дані_зв''язок'!$J$4:$J$1012,$O161)*('Дані_зв''язок'!$C$4:$C$1012=F$4),'Дані_зв''язок'!$D$4:$D$1012,"")))</f>
        <v/>
      </c>
      <c r="G161" s="27" t="str" cm="1">
        <f t="array" ref="G161">IF($O161="","",_xlfn.TEXTJOIN(", ",TRUE,IF(EXACT('Дані_зв''язок'!$J$4:$J$1012,$O161)*('Дані_зв''язок'!$C$4:$C$1012=G$4),'Дані_зв''язок'!$D$4:$D$1012,"")))</f>
        <v/>
      </c>
      <c r="H161" s="27" t="str" cm="1">
        <f t="array" ref="H161">IF($O161="","",_xlfn.TEXTJOIN(", ",TRUE,IF(EXACT('Дані_зв''язок'!$J$4:$J$1012,$O161)*('Дані_зв''язок'!$C$4:$C$1012=H$4),'Дані_зв''язок'!$D$4:$D$1012,"")))</f>
        <v/>
      </c>
      <c r="I161" s="27" t="str" cm="1">
        <f t="array" ref="I161">IF($O161="","",_xlfn.TEXTJOIN(", ",TRUE,IF(EXACT('Дані_зв''язок'!$J$4:$J$1012,$O161)*('Дані_зв''язок'!$C$4:$C$1012=I$4),'Дані_зв''язок'!$D$4:$D$1012,"")))</f>
        <v/>
      </c>
      <c r="J161" s="27" cm="1">
        <f t="array" ref="J161">IF($O161="","",COUNTIF(C161:I161,"?*")+SUMPRODUCT(LEN(C161:I161)-LEN(SUBSTITUTE(C161:I161,",",""))))</f>
        <v>1</v>
      </c>
      <c r="K161" s="28" t="str" cm="1">
        <f t="array" ref="K161">IF($O161="","",_xlfn.TEXTJOIN(", ",TRUE,IF(EXACT('Дані_зв''язок'!$J$4:$J$1012,$O161),'Дані_зв''язок'!$L$4:$L$1012,"")))</f>
        <v>№6</v>
      </c>
      <c r="L161" s="28" t="str" cm="1">
        <f t="array" ref="L161">IF($O161="","",_xlfn.TEXTJOIN(", ",TRUE,IF(EXACT('Дані_зв''язок'!$J$4:$J$1012,$O161),'Дані_зв''язок'!$M$4:$M$1012,"")))</f>
        <v>АТ 4021</v>
      </c>
      <c r="M161" s="27" t="str" cm="1">
        <f t="array" ref="M161">IF($O161="","",IF(SUMPRODUCT(MAX(EXACT('Дані_зв''язок'!$J$4:$J$1012,$O161)*IFERROR('Дані_зв''язок'!$H$4:$H$1012,0)))=0,"",SUMPRODUCT(MAX(EXACT('Дані_зв''язок'!$J$4:$J$1012,$O161)*IFERROR('Дані_зв''язок'!$H$4:$H$1012,0)))))</f>
        <v/>
      </c>
      <c r="O161" s="30" t="s">
        <v>1259</v>
      </c>
      <c r="P161" s="24" cm="1">
        <f t="array" ref="P161">IF($O161="","",IF($B161="","",IFERROR(IF(MIN(IFERROR(VALUE(TRIM(MID(SUBSTITUTE(SUBSTITUTE($B161,","," ")," ",REPT(" ",30)),{1;31;61;91;121;151;181},30))),""))=0,"",MIN(IFERROR(VALUE(TRIM(MID(SUBSTITUTE(SUBSTITUTE($B161,","," ")," ",REPT(" ",30)),{1;31;61;91;121;151;181},30))),""))),"")))</f>
        <v>69</v>
      </c>
      <c r="Q161" s="23" t="str">
        <f t="shared" si="8"/>
        <v>Прилуки, Чернігівська обл., вул. Героїв Чорнобиля, 69</v>
      </c>
      <c r="R161" s="35">
        <f>IF($O161="","",IFERROR(INDEX('Координати майданчиків'!$H$4:$H$64,MATCH($T161,'Координати майданчиків'!$B$4:$B$64,0)),IFERROR(IF(ABS(INDEX(Геокодування!$C$2:$C$361,MATCH($Q161,Геокодування!$B$2:$B$361,0))-50.5884)+ABS(INDEX(Геокодування!$D$2:$D$361,MATCH($Q161,Геокодування!$B$2:$B$361,0))-32.3876)&gt;0.15,"",INDEX(Геокодування!$C$2:$C$361,MATCH($Q161,Геокодування!$B$2:$B$361,0))),IFERROR(IF(ABS(INDEX(Геокодування!$C$2:$C$361,MATCH("Прилуки, Чернігівська обл., "&amp;$A161,Геокодування!$B$2:$B$361,0))-50.5884)+ABS(INDEX(Геокодування!$D$2:$D$361,MATCH("Прилуки, Чернігівська обл., "&amp;$A161,Геокодування!$B$2:$B$361,0))-32.3876)&gt;0.15,"",INDEX(Геокодування!$C$2:$C$361,MATCH("Прилуки, Чернігівська обл., "&amp;$A161,Геокодування!$B$2:$B$361,0))),""))))</f>
        <v>50.593290000000003</v>
      </c>
      <c r="S161" s="43">
        <f>IF($O161="","",IFERROR(INDEX('Координати майданчиків'!$I$4:$I$64,MATCH($T161,'Координати майданчиків'!$B$4:$B$64,0)),IFERROR(IF(ABS(INDEX(Геокодування!$C$2:$C$361,MATCH($Q161,Геокодування!$B$2:$B$361,0))-50.5884)+ABS(INDEX(Геокодування!$D$2:$D$361,MATCH($Q161,Геокодування!$B$2:$B$361,0))-32.3876)&gt;0.15,"",INDEX(Геокодування!$D$2:$D$361,MATCH($Q161,Геокодування!$B$2:$B$361,0))),IFERROR(IF(ABS(INDEX(Геокодування!$C$2:$C$361,MATCH("Прилуки, Чернігівська обл., "&amp;$A161,Геокодування!$B$2:$B$361,0))-50.5884)+ABS(INDEX(Геокодування!$D$2:$D$361,MATCH("Прилуки, Чернігівська обл., "&amp;$A161,Геокодування!$B$2:$B$361,0))-32.3876)&gt;0.15,"",INDEX(Геокодування!$D$2:$D$361,MATCH("Прилуки, Чернігівська обл., "&amp;$A161,Геокодування!$B$2:$B$361,0))),""))))</f>
        <v>32.412570000000002</v>
      </c>
      <c r="T161" s="44" t="str">
        <f>IF($O161="","",IFERROR(INDEX('Координати майданчиків'!$B$4:$B$64,MATCH($A161&amp;IF($P161="","",", "&amp;$P161),'Координати майданчиків'!$B$4:$B$64,0)),IFERROR(INDEX('Координати майданчиків'!$B$4:$B$64,MATCH($A161,'Координати майданчиків'!$B$4:$B$64,0)),"")))</f>
        <v/>
      </c>
    </row>
    <row r="162" spans="1:20" x14ac:dyDescent="0.35">
      <c r="A162" s="26" t="str">
        <f t="shared" si="6"/>
        <v>вул. Героїв Чорнобиля</v>
      </c>
      <c r="B162" s="26" t="str">
        <f t="shared" si="7"/>
        <v>80</v>
      </c>
      <c r="C162" s="27" t="str" cm="1">
        <f t="array" ref="C162">IF($O162="","",_xlfn.TEXTJOIN(", ",TRUE,IF(EXACT('Дані_зв''язок'!$J$4:$J$1012,$O162)*('Дані_зв''язок'!$C$4:$C$1012=C$4),'Дані_зв''язок'!$D$4:$D$1012,"")))</f>
        <v>9:30</v>
      </c>
      <c r="D162" s="27" t="str" cm="1">
        <f t="array" ref="D162">IF($O162="","",_xlfn.TEXTJOIN(", ",TRUE,IF(EXACT('Дані_зв''язок'!$J$4:$J$1012,$O162)*('Дані_зв''язок'!$C$4:$C$1012=D$4),'Дані_зв''язок'!$D$4:$D$1012,"")))</f>
        <v>10:10</v>
      </c>
      <c r="E162" s="27" t="str" cm="1">
        <f t="array" ref="E162">IF($O162="","",_xlfn.TEXTJOIN(", ",TRUE,IF(EXACT('Дані_зв''язок'!$J$4:$J$1012,$O162)*('Дані_зв''язок'!$C$4:$C$1012=E$4),'Дані_зв''язок'!$D$4:$D$1012,"")))</f>
        <v>10:35</v>
      </c>
      <c r="F162" s="27" t="str" cm="1">
        <f t="array" ref="F162">IF($O162="","",_xlfn.TEXTJOIN(", ",TRUE,IF(EXACT('Дані_зв''язок'!$J$4:$J$1012,$O162)*('Дані_зв''язок'!$C$4:$C$1012=F$4),'Дані_зв''язок'!$D$4:$D$1012,"")))</f>
        <v>9:45</v>
      </c>
      <c r="G162" s="27" t="str" cm="1">
        <f t="array" ref="G162">IF($O162="","",_xlfn.TEXTJOIN(", ",TRUE,IF(EXACT('Дані_зв''язок'!$J$4:$J$1012,$O162)*('Дані_зв''язок'!$C$4:$C$1012=G$4),'Дані_зв''язок'!$D$4:$D$1012,"")))</f>
        <v>9:30</v>
      </c>
      <c r="H162" s="27" t="str" cm="1">
        <f t="array" ref="H162">IF($O162="","",_xlfn.TEXTJOIN(", ",TRUE,IF(EXACT('Дані_зв''язок'!$J$4:$J$1012,$O162)*('Дані_зв''язок'!$C$4:$C$1012=H$4),'Дані_зв''язок'!$D$4:$D$1012,"")))</f>
        <v>10:10</v>
      </c>
      <c r="I162" s="27" t="str" cm="1">
        <f t="array" ref="I162">IF($O162="","",_xlfn.TEXTJOIN(", ",TRUE,IF(EXACT('Дані_зв''язок'!$J$4:$J$1012,$O162)*('Дані_зв''язок'!$C$4:$C$1012=I$4),'Дані_зв''язок'!$D$4:$D$1012,"")))</f>
        <v>9:45</v>
      </c>
      <c r="J162" s="27" cm="1">
        <f t="array" ref="J162">IF($O162="","",COUNTIF(C162:I162,"?*")+SUMPRODUCT(LEN(C162:I162)-LEN(SUBSTITUTE(C162:I162,",",""))))</f>
        <v>7</v>
      </c>
      <c r="K162" s="28" t="str" cm="1">
        <f t="array" ref="K162">IF($O162="","",_xlfn.TEXTJOIN(", ",TRUE,IF(EXACT('Дані_зв''язок'!$J$4:$J$1012,$O162),'Дані_зв''язок'!$L$4:$L$1012,"")))</f>
        <v>№3</v>
      </c>
      <c r="L162" s="28" t="str" cm="1">
        <f t="array" ref="L162">IF($O162="","",_xlfn.TEXTJOIN(", ",TRUE,IF(EXACT('Дані_зв''язок'!$J$4:$J$1012,$O162),'Дані_зв''язок'!$M$4:$M$1012,"")))</f>
        <v>МАЗ-4371, ГАЗ 3309</v>
      </c>
      <c r="M162" s="27" cm="1">
        <f t="array" ref="M162">IF($O162="","",IF(SUMPRODUCT(MAX(EXACT('Дані_зв''язок'!$J$4:$J$1012,$O162)*IFERROR('Дані_зв''язок'!$H$4:$H$1012,0)))=0,"",SUMPRODUCT(MAX(EXACT('Дані_зв''язок'!$J$4:$J$1012,$O162)*IFERROR('Дані_зв''язок'!$H$4:$H$1012,0)))))</f>
        <v>4</v>
      </c>
      <c r="O162" s="30" t="s">
        <v>1260</v>
      </c>
      <c r="P162" s="24" cm="1">
        <f t="array" ref="P162">IF($O162="","",IF($B162="","",IFERROR(IF(MIN(IFERROR(VALUE(TRIM(MID(SUBSTITUTE(SUBSTITUTE($B162,","," ")," ",REPT(" ",30)),{1;31;61;91;121;151;181},30))),""))=0,"",MIN(IFERROR(VALUE(TRIM(MID(SUBSTITUTE(SUBSTITUTE($B162,","," ")," ",REPT(" ",30)),{1;31;61;91;121;151;181},30))),""))),"")))</f>
        <v>80</v>
      </c>
      <c r="Q162" s="23" t="str">
        <f t="shared" si="8"/>
        <v>Прилуки, Чернігівська обл., вул. Героїв Чорнобиля, 80</v>
      </c>
      <c r="R162" s="35">
        <f>IF($O162="","",IFERROR(INDEX('Координати майданчиків'!$H$4:$H$64,MATCH($T162,'Координати майданчиків'!$B$4:$B$64,0)),IFERROR(IF(ABS(INDEX(Геокодування!$C$2:$C$361,MATCH($Q162,Геокодування!$B$2:$B$361,0))-50.5884)+ABS(INDEX(Геокодування!$D$2:$D$361,MATCH($Q162,Геокодування!$B$2:$B$361,0))-32.3876)&gt;0.15,"",INDEX(Геокодування!$C$2:$C$361,MATCH($Q162,Геокодування!$B$2:$B$361,0))),IFERROR(IF(ABS(INDEX(Геокодування!$C$2:$C$361,MATCH("Прилуки, Чернігівська обл., "&amp;$A162,Геокодування!$B$2:$B$361,0))-50.5884)+ABS(INDEX(Геокодування!$D$2:$D$361,MATCH("Прилуки, Чернігівська обл., "&amp;$A162,Геокодування!$B$2:$B$361,0))-32.3876)&gt;0.15,"",INDEX(Геокодування!$C$2:$C$361,MATCH("Прилуки, Чернігівська обл., "&amp;$A162,Геокодування!$B$2:$B$361,0))),""))))</f>
        <v>50.588410000000003</v>
      </c>
      <c r="S162" s="43">
        <f>IF($O162="","",IFERROR(INDEX('Координати майданчиків'!$I$4:$I$64,MATCH($T162,'Координати майданчиків'!$B$4:$B$64,0)),IFERROR(IF(ABS(INDEX(Геокодування!$C$2:$C$361,MATCH($Q162,Геокодування!$B$2:$B$361,0))-50.5884)+ABS(INDEX(Геокодування!$D$2:$D$361,MATCH($Q162,Геокодування!$B$2:$B$361,0))-32.3876)&gt;0.15,"",INDEX(Геокодування!$D$2:$D$361,MATCH($Q162,Геокодування!$B$2:$B$361,0))),IFERROR(IF(ABS(INDEX(Геокодування!$C$2:$C$361,MATCH("Прилуки, Чернігівська обл., "&amp;$A162,Геокодування!$B$2:$B$361,0))-50.5884)+ABS(INDEX(Геокодування!$D$2:$D$361,MATCH("Прилуки, Чернігівська обл., "&amp;$A162,Геокодування!$B$2:$B$361,0))-32.3876)&gt;0.15,"",INDEX(Геокодування!$D$2:$D$361,MATCH("Прилуки, Чернігівська обл., "&amp;$A162,Геокодування!$B$2:$B$361,0))),""))))</f>
        <v>32.409680000000002</v>
      </c>
      <c r="T162" s="44" t="str">
        <f>IF($O162="","",IFERROR(INDEX('Координати майданчиків'!$B$4:$B$64,MATCH($A162&amp;IF($P162="","",", "&amp;$P162),'Координати майданчиків'!$B$4:$B$64,0)),IFERROR(INDEX('Координати майданчиків'!$B$4:$B$64,MATCH($A162,'Координати майданчиків'!$B$4:$B$64,0)),"")))</f>
        <v>вул. Героїв Чорнобиля, 80</v>
      </c>
    </row>
    <row r="163" spans="1:20" x14ac:dyDescent="0.35">
      <c r="A163" s="26" t="str">
        <f t="shared" si="6"/>
        <v>вул. Герцена</v>
      </c>
      <c r="B163" s="26" t="str">
        <f t="shared" si="7"/>
        <v/>
      </c>
      <c r="C163" s="27" t="str" cm="1">
        <f t="array" ref="C163">IF($O163="","",_xlfn.TEXTJOIN(", ",TRUE,IF(EXACT('Дані_зв''язок'!$J$4:$J$1012,$O163)*('Дані_зв''язок'!$C$4:$C$1012=C$4),'Дані_зв''язок'!$D$4:$D$1012,"")))</f>
        <v/>
      </c>
      <c r="D163" s="27" t="str" cm="1">
        <f t="array" ref="D163">IF($O163="","",_xlfn.TEXTJOIN(", ",TRUE,IF(EXACT('Дані_зв''язок'!$J$4:$J$1012,$O163)*('Дані_зв''язок'!$C$4:$C$1012=D$4),'Дані_зв''язок'!$D$4:$D$1012,"")))</f>
        <v/>
      </c>
      <c r="E163" s="27" t="str" cm="1">
        <f t="array" ref="E163">IF($O163="","",_xlfn.TEXTJOIN(", ",TRUE,IF(EXACT('Дані_зв''язок'!$J$4:$J$1012,$O163)*('Дані_зв''язок'!$C$4:$C$1012=E$4),'Дані_зв''язок'!$D$4:$D$1012,"")))</f>
        <v/>
      </c>
      <c r="F163" s="27" t="str" cm="1">
        <f t="array" ref="F163">IF($O163="","",_xlfn.TEXTJOIN(", ",TRUE,IF(EXACT('Дані_зв''язок'!$J$4:$J$1012,$O163)*('Дані_зв''язок'!$C$4:$C$1012=F$4),'Дані_зв''язок'!$D$4:$D$1012,"")))</f>
        <v/>
      </c>
      <c r="G163" s="27" t="str" cm="1">
        <f t="array" ref="G163">IF($O163="","",_xlfn.TEXTJOIN(", ",TRUE,IF(EXACT('Дані_зв''язок'!$J$4:$J$1012,$O163)*('Дані_зв''язок'!$C$4:$C$1012=G$4),'Дані_зв''язок'!$D$4:$D$1012,"")))</f>
        <v>13:20</v>
      </c>
      <c r="H163" s="27" t="str" cm="1">
        <f t="array" ref="H163">IF($O163="","",_xlfn.TEXTJOIN(", ",TRUE,IF(EXACT('Дані_зв''язок'!$J$4:$J$1012,$O163)*('Дані_зв''язок'!$C$4:$C$1012=H$4),'Дані_зв''язок'!$D$4:$D$1012,"")))</f>
        <v/>
      </c>
      <c r="I163" s="27" t="str" cm="1">
        <f t="array" ref="I163">IF($O163="","",_xlfn.TEXTJOIN(", ",TRUE,IF(EXACT('Дані_зв''язок'!$J$4:$J$1012,$O163)*('Дані_зв''язок'!$C$4:$C$1012=I$4),'Дані_зв''язок'!$D$4:$D$1012,"")))</f>
        <v/>
      </c>
      <c r="J163" s="27" cm="1">
        <f t="array" ref="J163">IF($O163="","",COUNTIF(C163:I163,"?*")+SUMPRODUCT(LEN(C163:I163)-LEN(SUBSTITUTE(C163:I163,",",""))))</f>
        <v>1</v>
      </c>
      <c r="K163" s="28" t="str" cm="1">
        <f t="array" ref="K163">IF($O163="","",_xlfn.TEXTJOIN(", ",TRUE,IF(EXACT('Дані_зв''язок'!$J$4:$J$1012,$O163),'Дані_зв''язок'!$L$4:$L$1012,"")))</f>
        <v>№6</v>
      </c>
      <c r="L163" s="28" t="str" cm="1">
        <f t="array" ref="L163">IF($O163="","",_xlfn.TEXTJOIN(", ",TRUE,IF(EXACT('Дані_зв''язок'!$J$4:$J$1012,$O163),'Дані_зв''язок'!$M$4:$M$1012,"")))</f>
        <v>АТ 4021</v>
      </c>
      <c r="M163" s="27" t="str" cm="1">
        <f t="array" ref="M163">IF($O163="","",IF(SUMPRODUCT(MAX(EXACT('Дані_зв''язок'!$J$4:$J$1012,$O163)*IFERROR('Дані_зв''язок'!$H$4:$H$1012,0)))=0,"",SUMPRODUCT(MAX(EXACT('Дані_зв''язок'!$J$4:$J$1012,$O163)*IFERROR('Дані_зв''язок'!$H$4:$H$1012,0)))))</f>
        <v/>
      </c>
      <c r="O163" s="30" t="s">
        <v>1261</v>
      </c>
      <c r="P163" s="24" t="str" cm="1">
        <f t="array" ref="P163">IF($O163="","",IF($B163="","",IFERROR(IF(MIN(IFERROR(VALUE(TRIM(MID(SUBSTITUTE(SUBSTITUTE($B163,","," ")," ",REPT(" ",30)),{1;31;61;91;121;151;181},30))),""))=0,"",MIN(IFERROR(VALUE(TRIM(MID(SUBSTITUTE(SUBSTITUTE($B163,","," ")," ",REPT(" ",30)),{1;31;61;91;121;151;181},30))),""))),"")))</f>
        <v/>
      </c>
      <c r="Q163" s="23" t="str">
        <f t="shared" si="8"/>
        <v>Прилуки, Чернігівська обл., вул. Герцена</v>
      </c>
      <c r="R163" s="35">
        <f>IF($O163="","",IFERROR(INDEX('Координати майданчиків'!$H$4:$H$64,MATCH($T163,'Координати майданчиків'!$B$4:$B$64,0)),IFERROR(IF(ABS(INDEX(Геокодування!$C$2:$C$361,MATCH($Q163,Геокодування!$B$2:$B$361,0))-50.5884)+ABS(INDEX(Геокодування!$D$2:$D$361,MATCH($Q163,Геокодування!$B$2:$B$361,0))-32.3876)&gt;0.15,"",INDEX(Геокодування!$C$2:$C$361,MATCH($Q163,Геокодування!$B$2:$B$361,0))),IFERROR(IF(ABS(INDEX(Геокодування!$C$2:$C$361,MATCH("Прилуки, Чернігівська обл., "&amp;$A163,Геокодування!$B$2:$B$361,0))-50.5884)+ABS(INDEX(Геокодування!$D$2:$D$361,MATCH("Прилуки, Чернігівська обл., "&amp;$A163,Геокодування!$B$2:$B$361,0))-32.3876)&gt;0.15,"",INDEX(Геокодування!$C$2:$C$361,MATCH("Прилуки, Чернігівська обл., "&amp;$A163,Геокодування!$B$2:$B$361,0))),""))))</f>
        <v>50.581904999999999</v>
      </c>
      <c r="S163" s="43">
        <f>IF($O163="","",IFERROR(INDEX('Координати майданчиків'!$I$4:$I$64,MATCH($T163,'Координати майданчиків'!$B$4:$B$64,0)),IFERROR(IF(ABS(INDEX(Геокодування!$C$2:$C$361,MATCH($Q163,Геокодування!$B$2:$B$361,0))-50.5884)+ABS(INDEX(Геокодування!$D$2:$D$361,MATCH($Q163,Геокодування!$B$2:$B$361,0))-32.3876)&gt;0.15,"",INDEX(Геокодування!$D$2:$D$361,MATCH($Q163,Геокодування!$B$2:$B$361,0))),IFERROR(IF(ABS(INDEX(Геокодування!$C$2:$C$361,MATCH("Прилуки, Чернігівська обл., "&amp;$A163,Геокодування!$B$2:$B$361,0))-50.5884)+ABS(INDEX(Геокодування!$D$2:$D$361,MATCH("Прилуки, Чернігівська обл., "&amp;$A163,Геокодування!$B$2:$B$361,0))-32.3876)&gt;0.15,"",INDEX(Геокодування!$D$2:$D$361,MATCH("Прилуки, Чернігівська обл., "&amp;$A163,Геокодування!$B$2:$B$361,0))),""))))</f>
        <v>32.383752999999999</v>
      </c>
      <c r="T163" s="44" t="str">
        <f>IF($O163="","",IFERROR(INDEX('Координати майданчиків'!$B$4:$B$64,MATCH($A163&amp;IF($P163="","",", "&amp;$P163),'Координати майданчиків'!$B$4:$B$64,0)),IFERROR(INDEX('Координати майданчиків'!$B$4:$B$64,MATCH($A163,'Координати майданчиків'!$B$4:$B$64,0)),"")))</f>
        <v/>
      </c>
    </row>
    <row r="164" spans="1:20" x14ac:dyDescent="0.35">
      <c r="A164" s="26" t="str">
        <f t="shared" si="6"/>
        <v>вул. Гоголя</v>
      </c>
      <c r="B164" s="26" t="str">
        <f t="shared" si="7"/>
        <v>100  108</v>
      </c>
      <c r="C164" s="27" t="str" cm="1">
        <f t="array" ref="C164">IF($O164="","",_xlfn.TEXTJOIN(", ",TRUE,IF(EXACT('Дані_зв''язок'!$J$4:$J$1012,$O164)*('Дані_зв''язок'!$C$4:$C$1012=C$4),'Дані_зв''язок'!$D$4:$D$1012,"")))</f>
        <v/>
      </c>
      <c r="D164" s="27" t="str" cm="1">
        <f t="array" ref="D164">IF($O164="","",_xlfn.TEXTJOIN(", ",TRUE,IF(EXACT('Дані_зв''язок'!$J$4:$J$1012,$O164)*('Дані_зв''язок'!$C$4:$C$1012=D$4),'Дані_зв''язок'!$D$4:$D$1012,"")))</f>
        <v>15:50</v>
      </c>
      <c r="E164" s="27" t="str" cm="1">
        <f t="array" ref="E164">IF($O164="","",_xlfn.TEXTJOIN(", ",TRUE,IF(EXACT('Дані_зв''язок'!$J$4:$J$1012,$O164)*('Дані_зв''язок'!$C$4:$C$1012=E$4),'Дані_зв''язок'!$D$4:$D$1012,"")))</f>
        <v/>
      </c>
      <c r="F164" s="27" t="str" cm="1">
        <f t="array" ref="F164">IF($O164="","",_xlfn.TEXTJOIN(", ",TRUE,IF(EXACT('Дані_зв''язок'!$J$4:$J$1012,$O164)*('Дані_зв''язок'!$C$4:$C$1012=F$4),'Дані_зв''язок'!$D$4:$D$1012,"")))</f>
        <v/>
      </c>
      <c r="G164" s="27" t="str" cm="1">
        <f t="array" ref="G164">IF($O164="","",_xlfn.TEXTJOIN(", ",TRUE,IF(EXACT('Дані_зв''язок'!$J$4:$J$1012,$O164)*('Дані_зв''язок'!$C$4:$C$1012=G$4),'Дані_зв''язок'!$D$4:$D$1012,"")))</f>
        <v/>
      </c>
      <c r="H164" s="27" t="str" cm="1">
        <f t="array" ref="H164">IF($O164="","",_xlfn.TEXTJOIN(", ",TRUE,IF(EXACT('Дані_зв''язок'!$J$4:$J$1012,$O164)*('Дані_зв''язок'!$C$4:$C$1012=H$4),'Дані_зв''язок'!$D$4:$D$1012,"")))</f>
        <v/>
      </c>
      <c r="I164" s="27" t="str" cm="1">
        <f t="array" ref="I164">IF($O164="","",_xlfn.TEXTJOIN(", ",TRUE,IF(EXACT('Дані_зв''язок'!$J$4:$J$1012,$O164)*('Дані_зв''язок'!$C$4:$C$1012=I$4),'Дані_зв''язок'!$D$4:$D$1012,"")))</f>
        <v/>
      </c>
      <c r="J164" s="27" cm="1">
        <f t="array" ref="J164">IF($O164="","",COUNTIF(C164:I164,"?*")+SUMPRODUCT(LEN(C164:I164)-LEN(SUBSTITUTE(C164:I164,",",""))))</f>
        <v>1</v>
      </c>
      <c r="K164" s="28" t="str" cm="1">
        <f t="array" ref="K164">IF($O164="","",_xlfn.TEXTJOIN(", ",TRUE,IF(EXACT('Дані_зв''язок'!$J$4:$J$1012,$O164),'Дані_зв''язок'!$L$4:$L$1012,"")))</f>
        <v>№6</v>
      </c>
      <c r="L164" s="28" t="str" cm="1">
        <f t="array" ref="L164">IF($O164="","",_xlfn.TEXTJOIN(", ",TRUE,IF(EXACT('Дані_зв''язок'!$J$4:$J$1012,$O164),'Дані_зв''язок'!$M$4:$M$1012,"")))</f>
        <v>АТ 4021</v>
      </c>
      <c r="M164" s="27" t="str" cm="1">
        <f t="array" ref="M164">IF($O164="","",IF(SUMPRODUCT(MAX(EXACT('Дані_зв''язок'!$J$4:$J$1012,$O164)*IFERROR('Дані_зв''язок'!$H$4:$H$1012,0)))=0,"",SUMPRODUCT(MAX(EXACT('Дані_зв''язок'!$J$4:$J$1012,$O164)*IFERROR('Дані_зв''язок'!$H$4:$H$1012,0)))))</f>
        <v/>
      </c>
      <c r="O164" s="30" t="s">
        <v>1266</v>
      </c>
      <c r="P164" s="24" cm="1">
        <f t="array" ref="P164">IF($O164="","",IF($B164="","",IFERROR(IF(MIN(IFERROR(VALUE(TRIM(MID(SUBSTITUTE(SUBSTITUTE($B164,","," ")," ",REPT(" ",30)),{1;31;61;91;121;151;181},30))),""))=0,"",MIN(IFERROR(VALUE(TRIM(MID(SUBSTITUTE(SUBSTITUTE($B164,","," ")," ",REPT(" ",30)),{1;31;61;91;121;151;181},30))),""))),"")))</f>
        <v>100</v>
      </c>
      <c r="Q164" s="23" t="str">
        <f t="shared" si="8"/>
        <v>Прилуки, Чернігівська обл., вул. Гоголя, 100</v>
      </c>
      <c r="R164" s="35">
        <f>IF($O164="","",IFERROR(INDEX('Координати майданчиків'!$H$4:$H$64,MATCH($T164,'Координати майданчиків'!$B$4:$B$64,0)),IFERROR(IF(ABS(INDEX(Геокодування!$C$2:$C$361,MATCH($Q164,Геокодування!$B$2:$B$361,0))-50.5884)+ABS(INDEX(Геокодування!$D$2:$D$361,MATCH($Q164,Геокодування!$B$2:$B$361,0))-32.3876)&gt;0.15,"",INDEX(Геокодування!$C$2:$C$361,MATCH($Q164,Геокодування!$B$2:$B$361,0))),IFERROR(IF(ABS(INDEX(Геокодування!$C$2:$C$361,MATCH("Прилуки, Чернігівська обл., "&amp;$A164,Геокодування!$B$2:$B$361,0))-50.5884)+ABS(INDEX(Геокодування!$D$2:$D$361,MATCH("Прилуки, Чернігівська обл., "&amp;$A164,Геокодування!$B$2:$B$361,0))-32.3876)&gt;0.15,"",INDEX(Геокодування!$C$2:$C$361,MATCH("Прилуки, Чернігівська обл., "&amp;$A164,Геокодування!$B$2:$B$361,0))),""))))</f>
        <v>50.595326</v>
      </c>
      <c r="S164" s="43">
        <f>IF($O164="","",IFERROR(INDEX('Координати майданчиків'!$I$4:$I$64,MATCH($T164,'Координати майданчиків'!$B$4:$B$64,0)),IFERROR(IF(ABS(INDEX(Геокодування!$C$2:$C$361,MATCH($Q164,Геокодування!$B$2:$B$361,0))-50.5884)+ABS(INDEX(Геокодування!$D$2:$D$361,MATCH($Q164,Геокодування!$B$2:$B$361,0))-32.3876)&gt;0.15,"",INDEX(Геокодування!$D$2:$D$361,MATCH($Q164,Геокодування!$B$2:$B$361,0))),IFERROR(IF(ABS(INDEX(Геокодування!$C$2:$C$361,MATCH("Прилуки, Чернігівська обл., "&amp;$A164,Геокодування!$B$2:$B$361,0))-50.5884)+ABS(INDEX(Геокодування!$D$2:$D$361,MATCH("Прилуки, Чернігівська обл., "&amp;$A164,Геокодування!$B$2:$B$361,0))-32.3876)&gt;0.15,"",INDEX(Геокодування!$D$2:$D$361,MATCH("Прилуки, Чернігівська обл., "&amp;$A164,Геокодування!$B$2:$B$361,0))),""))))</f>
        <v>32.420414999999998</v>
      </c>
      <c r="T164" s="44" t="str">
        <f>IF($O164="","",IFERROR(INDEX('Координати майданчиків'!$B$4:$B$64,MATCH($A164&amp;IF($P164="","",", "&amp;$P164),'Координати майданчиків'!$B$4:$B$64,0)),IFERROR(INDEX('Координати майданчиків'!$B$4:$B$64,MATCH($A164,'Координати майданчиків'!$B$4:$B$64,0)),"")))</f>
        <v/>
      </c>
    </row>
    <row r="165" spans="1:20" x14ac:dyDescent="0.35">
      <c r="A165" s="26" t="str">
        <f t="shared" si="6"/>
        <v>вул. Гоголя</v>
      </c>
      <c r="B165" s="26" t="str">
        <f t="shared" si="7"/>
        <v>145,150  152</v>
      </c>
      <c r="C165" s="27" t="str" cm="1">
        <f t="array" ref="C165">IF($O165="","",_xlfn.TEXTJOIN(", ",TRUE,IF(EXACT('Дані_зв''язок'!$J$4:$J$1012,$O165)*('Дані_зв''язок'!$C$4:$C$1012=C$4),'Дані_зв''язок'!$D$4:$D$1012,"")))</f>
        <v/>
      </c>
      <c r="D165" s="27" t="str" cm="1">
        <f t="array" ref="D165">IF($O165="","",_xlfn.TEXTJOIN(", ",TRUE,IF(EXACT('Дані_зв''язок'!$J$4:$J$1012,$O165)*('Дані_зв''язок'!$C$4:$C$1012=D$4),'Дані_зв''язок'!$D$4:$D$1012,"")))</f>
        <v/>
      </c>
      <c r="E165" s="27" t="str" cm="1">
        <f t="array" ref="E165">IF($O165="","",_xlfn.TEXTJOIN(", ",TRUE,IF(EXACT('Дані_зв''язок'!$J$4:$J$1012,$O165)*('Дані_зв''язок'!$C$4:$C$1012=E$4),'Дані_зв''язок'!$D$4:$D$1012,"")))</f>
        <v/>
      </c>
      <c r="F165" s="27" t="str" cm="1">
        <f t="array" ref="F165">IF($O165="","",_xlfn.TEXTJOIN(", ",TRUE,IF(EXACT('Дані_зв''язок'!$J$4:$J$1012,$O165)*('Дані_зв''язок'!$C$4:$C$1012=F$4),'Дані_зв''язок'!$D$4:$D$1012,"")))</f>
        <v/>
      </c>
      <c r="G165" s="27" t="str" cm="1">
        <f t="array" ref="G165">IF($O165="","",_xlfn.TEXTJOIN(", ",TRUE,IF(EXACT('Дані_зв''язок'!$J$4:$J$1012,$O165)*('Дані_зв''язок'!$C$4:$C$1012=G$4),'Дані_зв''язок'!$D$4:$D$1012,"")))</f>
        <v>11:40, 12:15</v>
      </c>
      <c r="H165" s="27" t="str" cm="1">
        <f t="array" ref="H165">IF($O165="","",_xlfn.TEXTJOIN(", ",TRUE,IF(EXACT('Дані_зв''язок'!$J$4:$J$1012,$O165)*('Дані_зв''язок'!$C$4:$C$1012=H$4),'Дані_зв''язок'!$D$4:$D$1012,"")))</f>
        <v/>
      </c>
      <c r="I165" s="27" t="str" cm="1">
        <f t="array" ref="I165">IF($O165="","",_xlfn.TEXTJOIN(", ",TRUE,IF(EXACT('Дані_зв''язок'!$J$4:$J$1012,$O165)*('Дані_зв''язок'!$C$4:$C$1012=I$4),'Дані_зв''язок'!$D$4:$D$1012,"")))</f>
        <v/>
      </c>
      <c r="J165" s="27" cm="1">
        <f t="array" ref="J165">IF($O165="","",COUNTIF(C165:I165,"?*")+SUMPRODUCT(LEN(C165:I165)-LEN(SUBSTITUTE(C165:I165,",",""))))</f>
        <v>2</v>
      </c>
      <c r="K165" s="28" t="str" cm="1">
        <f t="array" ref="K165">IF($O165="","",_xlfn.TEXTJOIN(", ",TRUE,IF(EXACT('Дані_зв''язок'!$J$4:$J$1012,$O165),'Дані_зв''язок'!$L$4:$L$1012,"")))</f>
        <v>№6</v>
      </c>
      <c r="L165" s="28" t="str" cm="1">
        <f t="array" ref="L165">IF($O165="","",_xlfn.TEXTJOIN(", ",TRUE,IF(EXACT('Дані_зв''язок'!$J$4:$J$1012,$O165),'Дані_зв''язок'!$M$4:$M$1012,"")))</f>
        <v>АТ 4021</v>
      </c>
      <c r="M165" s="27" t="str" cm="1">
        <f t="array" ref="M165">IF($O165="","",IF(SUMPRODUCT(MAX(EXACT('Дані_зв''язок'!$J$4:$J$1012,$O165)*IFERROR('Дані_зв''язок'!$H$4:$H$1012,0)))=0,"",SUMPRODUCT(MAX(EXACT('Дані_зв''язок'!$J$4:$J$1012,$O165)*IFERROR('Дані_зв''язок'!$H$4:$H$1012,0)))))</f>
        <v/>
      </c>
      <c r="O165" s="30" t="s">
        <v>1267</v>
      </c>
      <c r="P165" s="24" cm="1">
        <f t="array" ref="P165">IF($O165="","",IF($B165="","",IFERROR(IF(MIN(IFERROR(VALUE(TRIM(MID(SUBSTITUTE(SUBSTITUTE($B165,","," ")," ",REPT(" ",30)),{1;31;61;91;121;151;181},30))),""))=0,"",MIN(IFERROR(VALUE(TRIM(MID(SUBSTITUTE(SUBSTITUTE($B165,","," ")," ",REPT(" ",30)),{1;31;61;91;121;151;181},30))),""))),"")))</f>
        <v>145</v>
      </c>
      <c r="Q165" s="23" t="str">
        <f t="shared" si="8"/>
        <v>Прилуки, Чернігівська обл., вул. Гоголя, 145</v>
      </c>
      <c r="R165" s="35">
        <f>IF($O165="","",IFERROR(INDEX('Координати майданчиків'!$H$4:$H$64,MATCH($T165,'Координати майданчиків'!$B$4:$B$64,0)),IFERROR(IF(ABS(INDEX(Геокодування!$C$2:$C$361,MATCH($Q165,Геокодування!$B$2:$B$361,0))-50.5884)+ABS(INDEX(Геокодування!$D$2:$D$361,MATCH($Q165,Геокодування!$B$2:$B$361,0))-32.3876)&gt;0.15,"",INDEX(Геокодування!$C$2:$C$361,MATCH($Q165,Геокодування!$B$2:$B$361,0))),IFERROR(IF(ABS(INDEX(Геокодування!$C$2:$C$361,MATCH("Прилуки, Чернігівська обл., "&amp;$A165,Геокодування!$B$2:$B$361,0))-50.5884)+ABS(INDEX(Геокодування!$D$2:$D$361,MATCH("Прилуки, Чернігівська обл., "&amp;$A165,Геокодування!$B$2:$B$361,0))-32.3876)&gt;0.15,"",INDEX(Геокодування!$C$2:$C$361,MATCH("Прилуки, Чернігівська обл., "&amp;$A165,Геокодування!$B$2:$B$361,0))),""))))</f>
        <v>50.595326</v>
      </c>
      <c r="S165" s="43">
        <f>IF($O165="","",IFERROR(INDEX('Координати майданчиків'!$I$4:$I$64,MATCH($T165,'Координати майданчиків'!$B$4:$B$64,0)),IFERROR(IF(ABS(INDEX(Геокодування!$C$2:$C$361,MATCH($Q165,Геокодування!$B$2:$B$361,0))-50.5884)+ABS(INDEX(Геокодування!$D$2:$D$361,MATCH($Q165,Геокодування!$B$2:$B$361,0))-32.3876)&gt;0.15,"",INDEX(Геокодування!$D$2:$D$361,MATCH($Q165,Геокодування!$B$2:$B$361,0))),IFERROR(IF(ABS(INDEX(Геокодування!$C$2:$C$361,MATCH("Прилуки, Чернігівська обл., "&amp;$A165,Геокодування!$B$2:$B$361,0))-50.5884)+ABS(INDEX(Геокодування!$D$2:$D$361,MATCH("Прилуки, Чернігівська обл., "&amp;$A165,Геокодування!$B$2:$B$361,0))-32.3876)&gt;0.15,"",INDEX(Геокодування!$D$2:$D$361,MATCH("Прилуки, Чернігівська обл., "&amp;$A165,Геокодування!$B$2:$B$361,0))),""))))</f>
        <v>32.420414999999998</v>
      </c>
      <c r="T165" s="44" t="str">
        <f>IF($O165="","",IFERROR(INDEX('Координати майданчиків'!$B$4:$B$64,MATCH($A165&amp;IF($P165="","",", "&amp;$P165),'Координати майданчиків'!$B$4:$B$64,0)),IFERROR(INDEX('Координати майданчиків'!$B$4:$B$64,MATCH($A165,'Координати майданчиків'!$B$4:$B$64,0)),"")))</f>
        <v/>
      </c>
    </row>
    <row r="166" spans="1:20" x14ac:dyDescent="0.35">
      <c r="A166" s="26" t="str">
        <f t="shared" si="6"/>
        <v>вул. Гоголя</v>
      </c>
      <c r="B166" s="26" t="str">
        <f t="shared" si="7"/>
        <v>7,18  23,29</v>
      </c>
      <c r="C166" s="27" t="str" cm="1">
        <f t="array" ref="C166">IF($O166="","",_xlfn.TEXTJOIN(", ",TRUE,IF(EXACT('Дані_зв''язок'!$J$4:$J$1012,$O166)*('Дані_зв''язок'!$C$4:$C$1012=C$4),'Дані_зв''язок'!$D$4:$D$1012,"")))</f>
        <v/>
      </c>
      <c r="D166" s="27" t="str" cm="1">
        <f t="array" ref="D166">IF($O166="","",_xlfn.TEXTJOIN(", ",TRUE,IF(EXACT('Дані_зв''язок'!$J$4:$J$1012,$O166)*('Дані_зв''язок'!$C$4:$C$1012=D$4),'Дані_зв''язок'!$D$4:$D$1012,"")))</f>
        <v/>
      </c>
      <c r="E166" s="27" t="str" cm="1">
        <f t="array" ref="E166">IF($O166="","",_xlfn.TEXTJOIN(", ",TRUE,IF(EXACT('Дані_зв''язок'!$J$4:$J$1012,$O166)*('Дані_зв''язок'!$C$4:$C$1012=E$4),'Дані_зв''язок'!$D$4:$D$1012,"")))</f>
        <v/>
      </c>
      <c r="F166" s="27" t="str" cm="1">
        <f t="array" ref="F166">IF($O166="","",_xlfn.TEXTJOIN(", ",TRUE,IF(EXACT('Дані_зв''язок'!$J$4:$J$1012,$O166)*('Дані_зв''язок'!$C$4:$C$1012=F$4),'Дані_зв''язок'!$D$4:$D$1012,"")))</f>
        <v>12:55</v>
      </c>
      <c r="G166" s="27" t="str" cm="1">
        <f t="array" ref="G166">IF($O166="","",_xlfn.TEXTJOIN(", ",TRUE,IF(EXACT('Дані_зв''язок'!$J$4:$J$1012,$O166)*('Дані_зв''язок'!$C$4:$C$1012=G$4),'Дані_зв''язок'!$D$4:$D$1012,"")))</f>
        <v/>
      </c>
      <c r="H166" s="27" t="str" cm="1">
        <f t="array" ref="H166">IF($O166="","",_xlfn.TEXTJOIN(", ",TRUE,IF(EXACT('Дані_зв''язок'!$J$4:$J$1012,$O166)*('Дані_зв''язок'!$C$4:$C$1012=H$4),'Дані_зв''язок'!$D$4:$D$1012,"")))</f>
        <v/>
      </c>
      <c r="I166" s="27" t="str" cm="1">
        <f t="array" ref="I166">IF($O166="","",_xlfn.TEXTJOIN(", ",TRUE,IF(EXACT('Дані_зв''язок'!$J$4:$J$1012,$O166)*('Дані_зв''язок'!$C$4:$C$1012=I$4),'Дані_зв''язок'!$D$4:$D$1012,"")))</f>
        <v/>
      </c>
      <c r="J166" s="27" cm="1">
        <f t="array" ref="J166">IF($O166="","",COUNTIF(C166:I166,"?*")+SUMPRODUCT(LEN(C166:I166)-LEN(SUBSTITUTE(C166:I166,",",""))))</f>
        <v>1</v>
      </c>
      <c r="K166" s="28" t="str" cm="1">
        <f t="array" ref="K166">IF($O166="","",_xlfn.TEXTJOIN(", ",TRUE,IF(EXACT('Дані_зв''язок'!$J$4:$J$1012,$O166),'Дані_зв''язок'!$L$4:$L$1012,"")))</f>
        <v>№6</v>
      </c>
      <c r="L166" s="28" t="str" cm="1">
        <f t="array" ref="L166">IF($O166="","",_xlfn.TEXTJOIN(", ",TRUE,IF(EXACT('Дані_зв''язок'!$J$4:$J$1012,$O166),'Дані_зв''язок'!$M$4:$M$1012,"")))</f>
        <v>АТ 4021</v>
      </c>
      <c r="M166" s="27" t="str" cm="1">
        <f t="array" ref="M166">IF($O166="","",IF(SUMPRODUCT(MAX(EXACT('Дані_зв''язок'!$J$4:$J$1012,$O166)*IFERROR('Дані_зв''язок'!$H$4:$H$1012,0)))=0,"",SUMPRODUCT(MAX(EXACT('Дані_зв''язок'!$J$4:$J$1012,$O166)*IFERROR('Дані_зв''язок'!$H$4:$H$1012,0)))))</f>
        <v/>
      </c>
      <c r="O166" s="30" t="s">
        <v>1268</v>
      </c>
      <c r="P166" s="24" cm="1">
        <f t="array" ref="P166">IF($O166="","",IF($B166="","",IFERROR(IF(MIN(IFERROR(VALUE(TRIM(MID(SUBSTITUTE(SUBSTITUTE($B166,","," ")," ",REPT(" ",30)),{1;31;61;91;121;151;181},30))),""))=0,"",MIN(IFERROR(VALUE(TRIM(MID(SUBSTITUTE(SUBSTITUTE($B166,","," ")," ",REPT(" ",30)),{1;31;61;91;121;151;181},30))),""))),"")))</f>
        <v>7</v>
      </c>
      <c r="Q166" s="23" t="str">
        <f t="shared" si="8"/>
        <v>Прилуки, Чернігівська обл., вул. Гоголя, 7</v>
      </c>
      <c r="R166" s="35">
        <f>IF($O166="","",IFERROR(INDEX('Координати майданчиків'!$H$4:$H$64,MATCH($T166,'Координати майданчиків'!$B$4:$B$64,0)),IFERROR(IF(ABS(INDEX(Геокодування!$C$2:$C$361,MATCH($Q166,Геокодування!$B$2:$B$361,0))-50.5884)+ABS(INDEX(Геокодування!$D$2:$D$361,MATCH($Q166,Геокодування!$B$2:$B$361,0))-32.3876)&gt;0.15,"",INDEX(Геокодування!$C$2:$C$361,MATCH($Q166,Геокодування!$B$2:$B$361,0))),IFERROR(IF(ABS(INDEX(Геокодування!$C$2:$C$361,MATCH("Прилуки, Чернігівська обл., "&amp;$A166,Геокодування!$B$2:$B$361,0))-50.5884)+ABS(INDEX(Геокодування!$D$2:$D$361,MATCH("Прилуки, Чернігівська обл., "&amp;$A166,Геокодування!$B$2:$B$361,0))-32.3876)&gt;0.15,"",INDEX(Геокодування!$C$2:$C$361,MATCH("Прилуки, Чернігівська обл., "&amp;$A166,Геокодування!$B$2:$B$361,0))),""))))</f>
        <v>50.595326</v>
      </c>
      <c r="S166" s="43">
        <f>IF($O166="","",IFERROR(INDEX('Координати майданчиків'!$I$4:$I$64,MATCH($T166,'Координати майданчиків'!$B$4:$B$64,0)),IFERROR(IF(ABS(INDEX(Геокодування!$C$2:$C$361,MATCH($Q166,Геокодування!$B$2:$B$361,0))-50.5884)+ABS(INDEX(Геокодування!$D$2:$D$361,MATCH($Q166,Геокодування!$B$2:$B$361,0))-32.3876)&gt;0.15,"",INDEX(Геокодування!$D$2:$D$361,MATCH($Q166,Геокодування!$B$2:$B$361,0))),IFERROR(IF(ABS(INDEX(Геокодування!$C$2:$C$361,MATCH("Прилуки, Чернігівська обл., "&amp;$A166,Геокодування!$B$2:$B$361,0))-50.5884)+ABS(INDEX(Геокодування!$D$2:$D$361,MATCH("Прилуки, Чернігівська обл., "&amp;$A166,Геокодування!$B$2:$B$361,0))-32.3876)&gt;0.15,"",INDEX(Геокодування!$D$2:$D$361,MATCH("Прилуки, Чернігівська обл., "&amp;$A166,Геокодування!$B$2:$B$361,0))),""))))</f>
        <v>32.420414999999998</v>
      </c>
      <c r="T166" s="44" t="str">
        <f>IF($O166="","",IFERROR(INDEX('Координати майданчиків'!$B$4:$B$64,MATCH($A166&amp;IF($P166="","",", "&amp;$P166),'Координати майданчиків'!$B$4:$B$64,0)),IFERROR(INDEX('Координати майданчиків'!$B$4:$B$64,MATCH($A166,'Координати майданчиків'!$B$4:$B$64,0)),"")))</f>
        <v/>
      </c>
    </row>
    <row r="167" spans="1:20" x14ac:dyDescent="0.35">
      <c r="A167" s="26" t="str">
        <f t="shared" si="6"/>
        <v>вул. Голубівська</v>
      </c>
      <c r="B167" s="26" t="str">
        <f t="shared" si="7"/>
        <v>4,16</v>
      </c>
      <c r="C167" s="27" t="str" cm="1">
        <f t="array" ref="C167">IF($O167="","",_xlfn.TEXTJOIN(", ",TRUE,IF(EXACT('Дані_зв''язок'!$J$4:$J$1012,$O167)*('Дані_зв''язок'!$C$4:$C$1012=C$4),'Дані_зв''язок'!$D$4:$D$1012,"")))</f>
        <v/>
      </c>
      <c r="D167" s="27" t="str" cm="1">
        <f t="array" ref="D167">IF($O167="","",_xlfn.TEXTJOIN(", ",TRUE,IF(EXACT('Дані_зв''язок'!$J$4:$J$1012,$O167)*('Дані_зв''язок'!$C$4:$C$1012=D$4),'Дані_зв''язок'!$D$4:$D$1012,"")))</f>
        <v/>
      </c>
      <c r="E167" s="27" t="str" cm="1">
        <f t="array" ref="E167">IF($O167="","",_xlfn.TEXTJOIN(", ",TRUE,IF(EXACT('Дані_зв''язок'!$J$4:$J$1012,$O167)*('Дані_зв''язок'!$C$4:$C$1012=E$4),'Дані_зв''язок'!$D$4:$D$1012,"")))</f>
        <v/>
      </c>
      <c r="F167" s="27" t="str" cm="1">
        <f t="array" ref="F167">IF($O167="","",_xlfn.TEXTJOIN(", ",TRUE,IF(EXACT('Дані_зв''язок'!$J$4:$J$1012,$O167)*('Дані_зв''язок'!$C$4:$C$1012=F$4),'Дані_зв''язок'!$D$4:$D$1012,"")))</f>
        <v>15:35</v>
      </c>
      <c r="G167" s="27" t="str" cm="1">
        <f t="array" ref="G167">IF($O167="","",_xlfn.TEXTJOIN(", ",TRUE,IF(EXACT('Дані_зв''язок'!$J$4:$J$1012,$O167)*('Дані_зв''язок'!$C$4:$C$1012=G$4),'Дані_зв''язок'!$D$4:$D$1012,"")))</f>
        <v/>
      </c>
      <c r="H167" s="27" t="str" cm="1">
        <f t="array" ref="H167">IF($O167="","",_xlfn.TEXTJOIN(", ",TRUE,IF(EXACT('Дані_зв''язок'!$J$4:$J$1012,$O167)*('Дані_зв''язок'!$C$4:$C$1012=H$4),'Дані_зв''язок'!$D$4:$D$1012,"")))</f>
        <v/>
      </c>
      <c r="I167" s="27" t="str" cm="1">
        <f t="array" ref="I167">IF($O167="","",_xlfn.TEXTJOIN(", ",TRUE,IF(EXACT('Дані_зв''язок'!$J$4:$J$1012,$O167)*('Дані_зв''язок'!$C$4:$C$1012=I$4),'Дані_зв''язок'!$D$4:$D$1012,"")))</f>
        <v/>
      </c>
      <c r="J167" s="27" cm="1">
        <f t="array" ref="J167">IF($O167="","",COUNTIF(C167:I167,"?*")+SUMPRODUCT(LEN(C167:I167)-LEN(SUBSTITUTE(C167:I167,",",""))))</f>
        <v>1</v>
      </c>
      <c r="K167" s="28" t="str" cm="1">
        <f t="array" ref="K167">IF($O167="","",_xlfn.TEXTJOIN(", ",TRUE,IF(EXACT('Дані_зв''язок'!$J$4:$J$1012,$O167),'Дані_зв''язок'!$L$4:$L$1012,"")))</f>
        <v>№6</v>
      </c>
      <c r="L167" s="28" t="str" cm="1">
        <f t="array" ref="L167">IF($O167="","",_xlfn.TEXTJOIN(", ",TRUE,IF(EXACT('Дані_зв''язок'!$J$4:$J$1012,$O167),'Дані_зв''язок'!$M$4:$M$1012,"")))</f>
        <v>АТ 4021</v>
      </c>
      <c r="M167" s="27" t="str" cm="1">
        <f t="array" ref="M167">IF($O167="","",IF(SUMPRODUCT(MAX(EXACT('Дані_зв''язок'!$J$4:$J$1012,$O167)*IFERROR('Дані_зв''язок'!$H$4:$H$1012,0)))=0,"",SUMPRODUCT(MAX(EXACT('Дані_зв''язок'!$J$4:$J$1012,$O167)*IFERROR('Дані_зв''язок'!$H$4:$H$1012,0)))))</f>
        <v/>
      </c>
      <c r="O167" s="30" t="s">
        <v>1269</v>
      </c>
      <c r="P167" s="24" cm="1">
        <f t="array" ref="P167">IF($O167="","",IF($B167="","",IFERROR(IF(MIN(IFERROR(VALUE(TRIM(MID(SUBSTITUTE(SUBSTITUTE($B167,","," ")," ",REPT(" ",30)),{1;31;61;91;121;151;181},30))),""))=0,"",MIN(IFERROR(VALUE(TRIM(MID(SUBSTITUTE(SUBSTITUTE($B167,","," ")," ",REPT(" ",30)),{1;31;61;91;121;151;181},30))),""))),"")))</f>
        <v>4</v>
      </c>
      <c r="Q167" s="23" t="str">
        <f t="shared" si="8"/>
        <v>Прилуки, Чернігівська обл., вул. Голубівська, 4</v>
      </c>
      <c r="R167" s="35">
        <f>IF($O167="","",IFERROR(INDEX('Координати майданчиків'!$H$4:$H$64,MATCH($T167,'Координати майданчиків'!$B$4:$B$64,0)),IFERROR(IF(ABS(INDEX(Геокодування!$C$2:$C$361,MATCH($Q167,Геокодування!$B$2:$B$361,0))-50.5884)+ABS(INDEX(Геокодування!$D$2:$D$361,MATCH($Q167,Геокодування!$B$2:$B$361,0))-32.3876)&gt;0.15,"",INDEX(Геокодування!$C$2:$C$361,MATCH($Q167,Геокодування!$B$2:$B$361,0))),IFERROR(IF(ABS(INDEX(Геокодування!$C$2:$C$361,MATCH("Прилуки, Чернігівська обл., "&amp;$A167,Геокодування!$B$2:$B$361,0))-50.5884)+ABS(INDEX(Геокодування!$D$2:$D$361,MATCH("Прилуки, Чернігівська обл., "&amp;$A167,Геокодування!$B$2:$B$361,0))-32.3876)&gt;0.15,"",INDEX(Геокодування!$C$2:$C$361,MATCH("Прилуки, Чернігівська обл., "&amp;$A167,Геокодування!$B$2:$B$361,0))),""))))</f>
        <v>50.572482000000001</v>
      </c>
      <c r="S167" s="43">
        <f>IF($O167="","",IFERROR(INDEX('Координати майданчиків'!$I$4:$I$64,MATCH($T167,'Координати майданчиків'!$B$4:$B$64,0)),IFERROR(IF(ABS(INDEX(Геокодування!$C$2:$C$361,MATCH($Q167,Геокодування!$B$2:$B$361,0))-50.5884)+ABS(INDEX(Геокодування!$D$2:$D$361,MATCH($Q167,Геокодування!$B$2:$B$361,0))-32.3876)&gt;0.15,"",INDEX(Геокодування!$D$2:$D$361,MATCH($Q167,Геокодування!$B$2:$B$361,0))),IFERROR(IF(ABS(INDEX(Геокодування!$C$2:$C$361,MATCH("Прилуки, Чернігівська обл., "&amp;$A167,Геокодування!$B$2:$B$361,0))-50.5884)+ABS(INDEX(Геокодування!$D$2:$D$361,MATCH("Прилуки, Чернігівська обл., "&amp;$A167,Геокодування!$B$2:$B$361,0))-32.3876)&gt;0.15,"",INDEX(Геокодування!$D$2:$D$361,MATCH("Прилуки, Чернігівська обл., "&amp;$A167,Геокодування!$B$2:$B$361,0))),""))))</f>
        <v>32.422477999999998</v>
      </c>
      <c r="T167" s="44" t="str">
        <f>IF($O167="","",IFERROR(INDEX('Координати майданчиків'!$B$4:$B$64,MATCH($A167&amp;IF($P167="","",", "&amp;$P167),'Координати майданчиків'!$B$4:$B$64,0)),IFERROR(INDEX('Координати майданчиків'!$B$4:$B$64,MATCH($A167,'Координати майданчиків'!$B$4:$B$64,0)),"")))</f>
        <v/>
      </c>
    </row>
    <row r="168" spans="1:20" x14ac:dyDescent="0.35">
      <c r="A168" s="26" t="str">
        <f t="shared" si="6"/>
        <v>вул. Гостинна</v>
      </c>
      <c r="B168" s="26" t="str">
        <f t="shared" si="7"/>
        <v>2,6  12</v>
      </c>
      <c r="C168" s="27" t="str" cm="1">
        <f t="array" ref="C168">IF($O168="","",_xlfn.TEXTJOIN(", ",TRUE,IF(EXACT('Дані_зв''язок'!$J$4:$J$1012,$O168)*('Дані_зв''язок'!$C$4:$C$1012=C$4),'Дані_зв''язок'!$D$4:$D$1012,"")))</f>
        <v/>
      </c>
      <c r="D168" s="27" t="str" cm="1">
        <f t="array" ref="D168">IF($O168="","",_xlfn.TEXTJOIN(", ",TRUE,IF(EXACT('Дані_зв''язок'!$J$4:$J$1012,$O168)*('Дані_зв''язок'!$C$4:$C$1012=D$4),'Дані_зв''язок'!$D$4:$D$1012,"")))</f>
        <v/>
      </c>
      <c r="E168" s="27" t="str" cm="1">
        <f t="array" ref="E168">IF($O168="","",_xlfn.TEXTJOIN(", ",TRUE,IF(EXACT('Дані_зв''язок'!$J$4:$J$1012,$O168)*('Дані_зв''язок'!$C$4:$C$1012=E$4),'Дані_зв''язок'!$D$4:$D$1012,"")))</f>
        <v/>
      </c>
      <c r="F168" s="27" t="str" cm="1">
        <f t="array" ref="F168">IF($O168="","",_xlfn.TEXTJOIN(", ",TRUE,IF(EXACT('Дані_зв''язок'!$J$4:$J$1012,$O168)*('Дані_зв''язок'!$C$4:$C$1012=F$4),'Дані_зв''язок'!$D$4:$D$1012,"")))</f>
        <v>14:15</v>
      </c>
      <c r="G168" s="27" t="str" cm="1">
        <f t="array" ref="G168">IF($O168="","",_xlfn.TEXTJOIN(", ",TRUE,IF(EXACT('Дані_зв''язок'!$J$4:$J$1012,$O168)*('Дані_зв''язок'!$C$4:$C$1012=G$4),'Дані_зв''язок'!$D$4:$D$1012,"")))</f>
        <v/>
      </c>
      <c r="H168" s="27" t="str" cm="1">
        <f t="array" ref="H168">IF($O168="","",_xlfn.TEXTJOIN(", ",TRUE,IF(EXACT('Дані_зв''язок'!$J$4:$J$1012,$O168)*('Дані_зв''язок'!$C$4:$C$1012=H$4),'Дані_зв''язок'!$D$4:$D$1012,"")))</f>
        <v/>
      </c>
      <c r="I168" s="27" t="str" cm="1">
        <f t="array" ref="I168">IF($O168="","",_xlfn.TEXTJOIN(", ",TRUE,IF(EXACT('Дані_зв''язок'!$J$4:$J$1012,$O168)*('Дані_зв''язок'!$C$4:$C$1012=I$4),'Дані_зв''язок'!$D$4:$D$1012,"")))</f>
        <v/>
      </c>
      <c r="J168" s="27" cm="1">
        <f t="array" ref="J168">IF($O168="","",COUNTIF(C168:I168,"?*")+SUMPRODUCT(LEN(C168:I168)-LEN(SUBSTITUTE(C168:I168,",",""))))</f>
        <v>1</v>
      </c>
      <c r="K168" s="28" t="str" cm="1">
        <f t="array" ref="K168">IF($O168="","",_xlfn.TEXTJOIN(", ",TRUE,IF(EXACT('Дані_зв''язок'!$J$4:$J$1012,$O168),'Дані_зв''язок'!$L$4:$L$1012,"")))</f>
        <v>№6</v>
      </c>
      <c r="L168" s="28" t="str" cm="1">
        <f t="array" ref="L168">IF($O168="","",_xlfn.TEXTJOIN(", ",TRUE,IF(EXACT('Дані_зв''язок'!$J$4:$J$1012,$O168),'Дані_зв''язок'!$M$4:$M$1012,"")))</f>
        <v>АТ 4021</v>
      </c>
      <c r="M168" s="27" t="str" cm="1">
        <f t="array" ref="M168">IF($O168="","",IF(SUMPRODUCT(MAX(EXACT('Дані_зв''язок'!$J$4:$J$1012,$O168)*IFERROR('Дані_зв''язок'!$H$4:$H$1012,0)))=0,"",SUMPRODUCT(MAX(EXACT('Дані_зв''язок'!$J$4:$J$1012,$O168)*IFERROR('Дані_зв''язок'!$H$4:$H$1012,0)))))</f>
        <v/>
      </c>
      <c r="O168" s="30" t="s">
        <v>1270</v>
      </c>
      <c r="P168" s="24" cm="1">
        <f t="array" ref="P168">IF($O168="","",IF($B168="","",IFERROR(IF(MIN(IFERROR(VALUE(TRIM(MID(SUBSTITUTE(SUBSTITUTE($B168,","," ")," ",REPT(" ",30)),{1;31;61;91;121;151;181},30))),""))=0,"",MIN(IFERROR(VALUE(TRIM(MID(SUBSTITUTE(SUBSTITUTE($B168,","," ")," ",REPT(" ",30)),{1;31;61;91;121;151;181},30))),""))),"")))</f>
        <v>2</v>
      </c>
      <c r="Q168" s="23" t="str">
        <f t="shared" si="8"/>
        <v>Прилуки, Чернігівська обл., вул. Гостинна, 2</v>
      </c>
      <c r="R168" s="35">
        <f>IF($O168="","",IFERROR(INDEX('Координати майданчиків'!$H$4:$H$64,MATCH($T168,'Координати майданчиків'!$B$4:$B$64,0)),IFERROR(IF(ABS(INDEX(Геокодування!$C$2:$C$361,MATCH($Q168,Геокодування!$B$2:$B$361,0))-50.5884)+ABS(INDEX(Геокодування!$D$2:$D$361,MATCH($Q168,Геокодування!$B$2:$B$361,0))-32.3876)&gt;0.15,"",INDEX(Геокодування!$C$2:$C$361,MATCH($Q168,Геокодування!$B$2:$B$361,0))),IFERROR(IF(ABS(INDEX(Геокодування!$C$2:$C$361,MATCH("Прилуки, Чернігівська обл., "&amp;$A168,Геокодування!$B$2:$B$361,0))-50.5884)+ABS(INDEX(Геокодування!$D$2:$D$361,MATCH("Прилуки, Чернігівська обл., "&amp;$A168,Геокодування!$B$2:$B$361,0))-32.3876)&gt;0.15,"",INDEX(Геокодування!$C$2:$C$361,MATCH("Прилуки, Чернігівська обл., "&amp;$A168,Геокодування!$B$2:$B$361,0))),""))))</f>
        <v>50.574877999999998</v>
      </c>
      <c r="S168" s="43">
        <f>IF($O168="","",IFERROR(INDEX('Координати майданчиків'!$I$4:$I$64,MATCH($T168,'Координати майданчиків'!$B$4:$B$64,0)),IFERROR(IF(ABS(INDEX(Геокодування!$C$2:$C$361,MATCH($Q168,Геокодування!$B$2:$B$361,0))-50.5884)+ABS(INDEX(Геокодування!$D$2:$D$361,MATCH($Q168,Геокодування!$B$2:$B$361,0))-32.3876)&gt;0.15,"",INDEX(Геокодування!$D$2:$D$361,MATCH($Q168,Геокодування!$B$2:$B$361,0))),IFERROR(IF(ABS(INDEX(Геокодування!$C$2:$C$361,MATCH("Прилуки, Чернігівська обл., "&amp;$A168,Геокодування!$B$2:$B$361,0))-50.5884)+ABS(INDEX(Геокодування!$D$2:$D$361,MATCH("Прилуки, Чернігівська обл., "&amp;$A168,Геокодування!$B$2:$B$361,0))-32.3876)&gt;0.15,"",INDEX(Геокодування!$D$2:$D$361,MATCH("Прилуки, Чернігівська обл., "&amp;$A168,Геокодування!$B$2:$B$361,0))),""))))</f>
        <v>32.418967000000002</v>
      </c>
      <c r="T168" s="44" t="str">
        <f>IF($O168="","",IFERROR(INDEX('Координати майданчиків'!$B$4:$B$64,MATCH($A168&amp;IF($P168="","",", "&amp;$P168),'Координати майданчиків'!$B$4:$B$64,0)),IFERROR(INDEX('Координати майданчиків'!$B$4:$B$64,MATCH($A168,'Координати майданчиків'!$B$4:$B$64,0)),"")))</f>
        <v/>
      </c>
    </row>
    <row r="169" spans="1:20" x14ac:dyDescent="0.35">
      <c r="A169" s="26" t="str">
        <f t="shared" si="6"/>
        <v>вул. Грушевського</v>
      </c>
      <c r="B169" s="26" t="str">
        <f t="shared" si="7"/>
        <v/>
      </c>
      <c r="C169" s="27" t="str" cm="1">
        <f t="array" ref="C169">IF($O169="","",_xlfn.TEXTJOIN(", ",TRUE,IF(EXACT('Дані_зв''язок'!$J$4:$J$1012,$O169)*('Дані_зв''язок'!$C$4:$C$1012=C$4),'Дані_зв''язок'!$D$4:$D$1012,"")))</f>
        <v/>
      </c>
      <c r="D169" s="27" t="str" cm="1">
        <f t="array" ref="D169">IF($O169="","",_xlfn.TEXTJOIN(", ",TRUE,IF(EXACT('Дані_зв''язок'!$J$4:$J$1012,$O169)*('Дані_зв''язок'!$C$4:$C$1012=D$4),'Дані_зв''язок'!$D$4:$D$1012,"")))</f>
        <v/>
      </c>
      <c r="E169" s="27" t="str" cm="1">
        <f t="array" ref="E169">IF($O169="","",_xlfn.TEXTJOIN(", ",TRUE,IF(EXACT('Дані_зв''язок'!$J$4:$J$1012,$O169)*('Дані_зв''язок'!$C$4:$C$1012=E$4),'Дані_зв''язок'!$D$4:$D$1012,"")))</f>
        <v/>
      </c>
      <c r="F169" s="27" t="str" cm="1">
        <f t="array" ref="F169">IF($O169="","",_xlfn.TEXTJOIN(", ",TRUE,IF(EXACT('Дані_зв''язок'!$J$4:$J$1012,$O169)*('Дані_зв''язок'!$C$4:$C$1012=F$4),'Дані_зв''язок'!$D$4:$D$1012,"")))</f>
        <v/>
      </c>
      <c r="G169" s="27" t="str" cm="1">
        <f t="array" ref="G169">IF($O169="","",_xlfn.TEXTJOIN(", ",TRUE,IF(EXACT('Дані_зв''язок'!$J$4:$J$1012,$O169)*('Дані_зв''язок'!$C$4:$C$1012=G$4),'Дані_зв''язок'!$D$4:$D$1012,"")))</f>
        <v>15:00</v>
      </c>
      <c r="H169" s="27" t="str" cm="1">
        <f t="array" ref="H169">IF($O169="","",_xlfn.TEXTJOIN(", ",TRUE,IF(EXACT('Дані_зв''язок'!$J$4:$J$1012,$O169)*('Дані_зв''язок'!$C$4:$C$1012=H$4),'Дані_зв''язок'!$D$4:$D$1012,"")))</f>
        <v/>
      </c>
      <c r="I169" s="27" t="str" cm="1">
        <f t="array" ref="I169">IF($O169="","",_xlfn.TEXTJOIN(", ",TRUE,IF(EXACT('Дані_зв''язок'!$J$4:$J$1012,$O169)*('Дані_зв''язок'!$C$4:$C$1012=I$4),'Дані_зв''язок'!$D$4:$D$1012,"")))</f>
        <v/>
      </c>
      <c r="J169" s="27" cm="1">
        <f t="array" ref="J169">IF($O169="","",COUNTIF(C169:I169,"?*")+SUMPRODUCT(LEN(C169:I169)-LEN(SUBSTITUTE(C169:I169,",",""))))</f>
        <v>1</v>
      </c>
      <c r="K169" s="28" t="str" cm="1">
        <f t="array" ref="K169">IF($O169="","",_xlfn.TEXTJOIN(", ",TRUE,IF(EXACT('Дані_зв''язок'!$J$4:$J$1012,$O169),'Дані_зв''язок'!$L$4:$L$1012,"")))</f>
        <v>№5</v>
      </c>
      <c r="L169" s="28" t="str" cm="1">
        <f t="array" ref="L169">IF($O169="","",_xlfn.TEXTJOIN(", ",TRUE,IF(EXACT('Дані_зв''язок'!$J$4:$J$1012,$O169),'Дані_зв''язок'!$M$4:$M$1012,"")))</f>
        <v>МАЗ 4381</v>
      </c>
      <c r="M169" s="27" t="str" cm="1">
        <f t="array" ref="M169">IF($O169="","",IF(SUMPRODUCT(MAX(EXACT('Дані_зв''язок'!$J$4:$J$1012,$O169)*IFERROR('Дані_зв''язок'!$H$4:$H$1012,0)))=0,"",SUMPRODUCT(MAX(EXACT('Дані_зв''язок'!$J$4:$J$1012,$O169)*IFERROR('Дані_зв''язок'!$H$4:$H$1012,0)))))</f>
        <v/>
      </c>
      <c r="O169" s="30" t="s">
        <v>1271</v>
      </c>
      <c r="P169" s="24" t="str" cm="1">
        <f t="array" ref="P169">IF($O169="","",IF($B169="","",IFERROR(IF(MIN(IFERROR(VALUE(TRIM(MID(SUBSTITUTE(SUBSTITUTE($B169,","," ")," ",REPT(" ",30)),{1;31;61;91;121;151;181},30))),""))=0,"",MIN(IFERROR(VALUE(TRIM(MID(SUBSTITUTE(SUBSTITUTE($B169,","," ")," ",REPT(" ",30)),{1;31;61;91;121;151;181},30))),""))),"")))</f>
        <v/>
      </c>
      <c r="Q169" s="23" t="str">
        <f t="shared" si="8"/>
        <v>Прилуки, Чернігівська обл., вул. Грушевського</v>
      </c>
      <c r="R169" s="35">
        <f>IF($O169="","",IFERROR(INDEX('Координати майданчиків'!$H$4:$H$64,MATCH($T169,'Координати майданчиків'!$B$4:$B$64,0)),IFERROR(IF(ABS(INDEX(Геокодування!$C$2:$C$361,MATCH($Q169,Геокодування!$B$2:$B$361,0))-50.5884)+ABS(INDEX(Геокодування!$D$2:$D$361,MATCH($Q169,Геокодування!$B$2:$B$361,0))-32.3876)&gt;0.15,"",INDEX(Геокодування!$C$2:$C$361,MATCH($Q169,Геокодування!$B$2:$B$361,0))),IFERROR(IF(ABS(INDEX(Геокодування!$C$2:$C$361,MATCH("Прилуки, Чернігівська обл., "&amp;$A169,Геокодування!$B$2:$B$361,0))-50.5884)+ABS(INDEX(Геокодування!$D$2:$D$361,MATCH("Прилуки, Чернігівська обл., "&amp;$A169,Геокодування!$B$2:$B$361,0))-32.3876)&gt;0.15,"",INDEX(Геокодування!$C$2:$C$361,MATCH("Прилуки, Чернігівська обл., "&amp;$A169,Геокодування!$B$2:$B$361,0))),""))))</f>
        <v>50.571151</v>
      </c>
      <c r="S169" s="43">
        <f>IF($O169="","",IFERROR(INDEX('Координати майданчиків'!$I$4:$I$64,MATCH($T169,'Координати майданчиків'!$B$4:$B$64,0)),IFERROR(IF(ABS(INDEX(Геокодування!$C$2:$C$361,MATCH($Q169,Геокодування!$B$2:$B$361,0))-50.5884)+ABS(INDEX(Геокодування!$D$2:$D$361,MATCH($Q169,Геокодування!$B$2:$B$361,0))-32.3876)&gt;0.15,"",INDEX(Геокодування!$D$2:$D$361,MATCH($Q169,Геокодування!$B$2:$B$361,0))),IFERROR(IF(ABS(INDEX(Геокодування!$C$2:$C$361,MATCH("Прилуки, Чернігівська обл., "&amp;$A169,Геокодування!$B$2:$B$361,0))-50.5884)+ABS(INDEX(Геокодування!$D$2:$D$361,MATCH("Прилуки, Чернігівська обл., "&amp;$A169,Геокодування!$B$2:$B$361,0))-32.3876)&gt;0.15,"",INDEX(Геокодування!$D$2:$D$361,MATCH("Прилуки, Чернігівська обл., "&amp;$A169,Геокодування!$B$2:$B$361,0))),""))))</f>
        <v>32.413218999999998</v>
      </c>
      <c r="T169" s="44" t="str">
        <f>IF($O169="","",IFERROR(INDEX('Координати майданчиків'!$B$4:$B$64,MATCH($A169&amp;IF($P169="","",", "&amp;$P169),'Координати майданчиків'!$B$4:$B$64,0)),IFERROR(INDEX('Координати майданчиків'!$B$4:$B$64,MATCH($A169,'Координати майданчиків'!$B$4:$B$64,0)),"")))</f>
        <v/>
      </c>
    </row>
    <row r="170" spans="1:20" x14ac:dyDescent="0.35">
      <c r="A170" s="26" t="str">
        <f t="shared" si="6"/>
        <v>вул. Густинська</v>
      </c>
      <c r="B170" s="26" t="str">
        <f t="shared" si="7"/>
        <v>14,21  50,121</v>
      </c>
      <c r="C170" s="27" t="str" cm="1">
        <f t="array" ref="C170">IF($O170="","",_xlfn.TEXTJOIN(", ",TRUE,IF(EXACT('Дані_зв''язок'!$J$4:$J$1012,$O170)*('Дані_зв''язок'!$C$4:$C$1012=C$4),'Дані_зв''язок'!$D$4:$D$1012,"")))</f>
        <v/>
      </c>
      <c r="D170" s="27" t="str" cm="1">
        <f t="array" ref="D170">IF($O170="","",_xlfn.TEXTJOIN(", ",TRUE,IF(EXACT('Дані_зв''язок'!$J$4:$J$1012,$O170)*('Дані_зв''язок'!$C$4:$C$1012=D$4),'Дані_зв''язок'!$D$4:$D$1012,"")))</f>
        <v>7:55</v>
      </c>
      <c r="E170" s="27" t="str" cm="1">
        <f t="array" ref="E170">IF($O170="","",_xlfn.TEXTJOIN(", ",TRUE,IF(EXACT('Дані_зв''язок'!$J$4:$J$1012,$O170)*('Дані_зв''язок'!$C$4:$C$1012=E$4),'Дані_зв''язок'!$D$4:$D$1012,"")))</f>
        <v/>
      </c>
      <c r="F170" s="27" t="str" cm="1">
        <f t="array" ref="F170">IF($O170="","",_xlfn.TEXTJOIN(", ",TRUE,IF(EXACT('Дані_зв''язок'!$J$4:$J$1012,$O170)*('Дані_зв''язок'!$C$4:$C$1012=F$4),'Дані_зв''язок'!$D$4:$D$1012,"")))</f>
        <v/>
      </c>
      <c r="G170" s="27" t="str" cm="1">
        <f t="array" ref="G170">IF($O170="","",_xlfn.TEXTJOIN(", ",TRUE,IF(EXACT('Дані_зв''язок'!$J$4:$J$1012,$O170)*('Дані_зв''язок'!$C$4:$C$1012=G$4),'Дані_зв''язок'!$D$4:$D$1012,"")))</f>
        <v/>
      </c>
      <c r="H170" s="27" t="str" cm="1">
        <f t="array" ref="H170">IF($O170="","",_xlfn.TEXTJOIN(", ",TRUE,IF(EXACT('Дані_зв''язок'!$J$4:$J$1012,$O170)*('Дані_зв''язок'!$C$4:$C$1012=H$4),'Дані_зв''язок'!$D$4:$D$1012,"")))</f>
        <v/>
      </c>
      <c r="I170" s="27" t="str" cm="1">
        <f t="array" ref="I170">IF($O170="","",_xlfn.TEXTJOIN(", ",TRUE,IF(EXACT('Дані_зв''язок'!$J$4:$J$1012,$O170)*('Дані_зв''язок'!$C$4:$C$1012=I$4),'Дані_зв''язок'!$D$4:$D$1012,"")))</f>
        <v/>
      </c>
      <c r="J170" s="27" cm="1">
        <f t="array" ref="J170">IF($O170="","",COUNTIF(C170:I170,"?*")+SUMPRODUCT(LEN(C170:I170)-LEN(SUBSTITUTE(C170:I170,",",""))))</f>
        <v>1</v>
      </c>
      <c r="K170" s="28" t="str" cm="1">
        <f t="array" ref="K170">IF($O170="","",_xlfn.TEXTJOIN(", ",TRUE,IF(EXACT('Дані_зв''язок'!$J$4:$J$1012,$O170),'Дані_зв''язок'!$L$4:$L$1012,"")))</f>
        <v>№6</v>
      </c>
      <c r="L170" s="28" t="str" cm="1">
        <f t="array" ref="L170">IF($O170="","",_xlfn.TEXTJOIN(", ",TRUE,IF(EXACT('Дані_зв''язок'!$J$4:$J$1012,$O170),'Дані_зв''язок'!$M$4:$M$1012,"")))</f>
        <v>АТ 4021</v>
      </c>
      <c r="M170" s="27" t="str" cm="1">
        <f t="array" ref="M170">IF($O170="","",IF(SUMPRODUCT(MAX(EXACT('Дані_зв''язок'!$J$4:$J$1012,$O170)*IFERROR('Дані_зв''язок'!$H$4:$H$1012,0)))=0,"",SUMPRODUCT(MAX(EXACT('Дані_зв''язок'!$J$4:$J$1012,$O170)*IFERROR('Дані_зв''язок'!$H$4:$H$1012,0)))))</f>
        <v/>
      </c>
      <c r="O170" s="30" t="s">
        <v>1272</v>
      </c>
      <c r="P170" s="24" cm="1">
        <f t="array" ref="P170">IF($O170="","",IF($B170="","",IFERROR(IF(MIN(IFERROR(VALUE(TRIM(MID(SUBSTITUTE(SUBSTITUTE($B170,","," ")," ",REPT(" ",30)),{1;31;61;91;121;151;181},30))),""))=0,"",MIN(IFERROR(VALUE(TRIM(MID(SUBSTITUTE(SUBSTITUTE($B170,","," ")," ",REPT(" ",30)),{1;31;61;91;121;151;181},30))),""))),"")))</f>
        <v>14</v>
      </c>
      <c r="Q170" s="23" t="str">
        <f t="shared" si="8"/>
        <v>Прилуки, Чернігівська обл., вул. Густинська, 14</v>
      </c>
      <c r="R170" s="35">
        <f>IF($O170="","",IFERROR(INDEX('Координати майданчиків'!$H$4:$H$64,MATCH($T170,'Координати майданчиків'!$B$4:$B$64,0)),IFERROR(IF(ABS(INDEX(Геокодування!$C$2:$C$361,MATCH($Q170,Геокодування!$B$2:$B$361,0))-50.5884)+ABS(INDEX(Геокодування!$D$2:$D$361,MATCH($Q170,Геокодування!$B$2:$B$361,0))-32.3876)&gt;0.15,"",INDEX(Геокодування!$C$2:$C$361,MATCH($Q170,Геокодування!$B$2:$B$361,0))),IFERROR(IF(ABS(INDEX(Геокодування!$C$2:$C$361,MATCH("Прилуки, Чернігівська обл., "&amp;$A170,Геокодування!$B$2:$B$361,0))-50.5884)+ABS(INDEX(Геокодування!$D$2:$D$361,MATCH("Прилуки, Чернігівська обл., "&amp;$A170,Геокодування!$B$2:$B$361,0))-32.3876)&gt;0.15,"",INDEX(Геокодування!$C$2:$C$361,MATCH("Прилуки, Чернігівська обл., "&amp;$A170,Геокодування!$B$2:$B$361,0))),""))))</f>
        <v>50.606718999999998</v>
      </c>
      <c r="S170" s="43">
        <f>IF($O170="","",IFERROR(INDEX('Координати майданчиків'!$I$4:$I$64,MATCH($T170,'Координати майданчиків'!$B$4:$B$64,0)),IFERROR(IF(ABS(INDEX(Геокодування!$C$2:$C$361,MATCH($Q170,Геокодування!$B$2:$B$361,0))-50.5884)+ABS(INDEX(Геокодування!$D$2:$D$361,MATCH($Q170,Геокодування!$B$2:$B$361,0))-32.3876)&gt;0.15,"",INDEX(Геокодування!$D$2:$D$361,MATCH($Q170,Геокодування!$B$2:$B$361,0))),IFERROR(IF(ABS(INDEX(Геокодування!$C$2:$C$361,MATCH("Прилуки, Чернігівська обл., "&amp;$A170,Геокодування!$B$2:$B$361,0))-50.5884)+ABS(INDEX(Геокодування!$D$2:$D$361,MATCH("Прилуки, Чернігівська обл., "&amp;$A170,Геокодування!$B$2:$B$361,0))-32.3876)&gt;0.15,"",INDEX(Геокодування!$D$2:$D$361,MATCH("Прилуки, Чернігівська обл., "&amp;$A170,Геокодування!$B$2:$B$361,0))),""))))</f>
        <v>32.389301000000003</v>
      </c>
      <c r="T170" s="44" t="str">
        <f>IF($O170="","",IFERROR(INDEX('Координати майданчиків'!$B$4:$B$64,MATCH($A170&amp;IF($P170="","",", "&amp;$P170),'Координати майданчиків'!$B$4:$B$64,0)),IFERROR(INDEX('Координати майданчиків'!$B$4:$B$64,MATCH($A170,'Координати майданчиків'!$B$4:$B$64,0)),"")))</f>
        <v/>
      </c>
    </row>
    <row r="171" spans="1:20" x14ac:dyDescent="0.35">
      <c r="A171" s="26" t="str">
        <f t="shared" si="6"/>
        <v>вул. Густинська</v>
      </c>
      <c r="B171" s="26" t="str">
        <f t="shared" si="7"/>
        <v>140</v>
      </c>
      <c r="C171" s="27" t="str" cm="1">
        <f t="array" ref="C171">IF($O171="","",_xlfn.TEXTJOIN(", ",TRUE,IF(EXACT('Дані_зв''язок'!$J$4:$J$1012,$O171)*('Дані_зв''язок'!$C$4:$C$1012=C$4),'Дані_зв''язок'!$D$4:$D$1012,"")))</f>
        <v/>
      </c>
      <c r="D171" s="27" t="str" cm="1">
        <f t="array" ref="D171">IF($O171="","",_xlfn.TEXTJOIN(", ",TRUE,IF(EXACT('Дані_зв''язок'!$J$4:$J$1012,$O171)*('Дані_зв''язок'!$C$4:$C$1012=D$4),'Дані_зв''язок'!$D$4:$D$1012,"")))</f>
        <v/>
      </c>
      <c r="E171" s="27" t="str" cm="1">
        <f t="array" ref="E171">IF($O171="","",_xlfn.TEXTJOIN(", ",TRUE,IF(EXACT('Дані_зв''язок'!$J$4:$J$1012,$O171)*('Дані_зв''язок'!$C$4:$C$1012=E$4),'Дані_зв''язок'!$D$4:$D$1012,"")))</f>
        <v/>
      </c>
      <c r="F171" s="27" t="str" cm="1">
        <f t="array" ref="F171">IF($O171="","",_xlfn.TEXTJOIN(", ",TRUE,IF(EXACT('Дані_зв''язок'!$J$4:$J$1012,$O171)*('Дані_зв''язок'!$C$4:$C$1012=F$4),'Дані_зв''язок'!$D$4:$D$1012,"")))</f>
        <v>9:25</v>
      </c>
      <c r="G171" s="27" t="str" cm="1">
        <f t="array" ref="G171">IF($O171="","",_xlfn.TEXTJOIN(", ",TRUE,IF(EXACT('Дані_зв''язок'!$J$4:$J$1012,$O171)*('Дані_зв''язок'!$C$4:$C$1012=G$4),'Дані_зв''язок'!$D$4:$D$1012,"")))</f>
        <v/>
      </c>
      <c r="H171" s="27" t="str" cm="1">
        <f t="array" ref="H171">IF($O171="","",_xlfn.TEXTJOIN(", ",TRUE,IF(EXACT('Дані_зв''язок'!$J$4:$J$1012,$O171)*('Дані_зв''язок'!$C$4:$C$1012=H$4),'Дані_зв''язок'!$D$4:$D$1012,"")))</f>
        <v/>
      </c>
      <c r="I171" s="27" t="str" cm="1">
        <f t="array" ref="I171">IF($O171="","",_xlfn.TEXTJOIN(", ",TRUE,IF(EXACT('Дані_зв''язок'!$J$4:$J$1012,$O171)*('Дані_зв''язок'!$C$4:$C$1012=I$4),'Дані_зв''язок'!$D$4:$D$1012,"")))</f>
        <v/>
      </c>
      <c r="J171" s="27" cm="1">
        <f t="array" ref="J171">IF($O171="","",COUNTIF(C171:I171,"?*")+SUMPRODUCT(LEN(C171:I171)-LEN(SUBSTITUTE(C171:I171,",",""))))</f>
        <v>1</v>
      </c>
      <c r="K171" s="28" t="str" cm="1">
        <f t="array" ref="K171">IF($O171="","",_xlfn.TEXTJOIN(", ",TRUE,IF(EXACT('Дані_зв''язок'!$J$4:$J$1012,$O171),'Дані_зв''язок'!$L$4:$L$1012,"")))</f>
        <v>№6</v>
      </c>
      <c r="L171" s="28" t="str" cm="1">
        <f t="array" ref="L171">IF($O171="","",_xlfn.TEXTJOIN(", ",TRUE,IF(EXACT('Дані_зв''язок'!$J$4:$J$1012,$O171),'Дані_зв''язок'!$M$4:$M$1012,"")))</f>
        <v>АТ 4021</v>
      </c>
      <c r="M171" s="27" t="str" cm="1">
        <f t="array" ref="M171">IF($O171="","",IF(SUMPRODUCT(MAX(EXACT('Дані_зв''язок'!$J$4:$J$1012,$O171)*IFERROR('Дані_зв''язок'!$H$4:$H$1012,0)))=0,"",SUMPRODUCT(MAX(EXACT('Дані_зв''язок'!$J$4:$J$1012,$O171)*IFERROR('Дані_зв''язок'!$H$4:$H$1012,0)))))</f>
        <v/>
      </c>
      <c r="O171" s="30" t="s">
        <v>1273</v>
      </c>
      <c r="P171" s="24" cm="1">
        <f t="array" ref="P171">IF($O171="","",IF($B171="","",IFERROR(IF(MIN(IFERROR(VALUE(TRIM(MID(SUBSTITUTE(SUBSTITUTE($B171,","," ")," ",REPT(" ",30)),{1;31;61;91;121;151;181},30))),""))=0,"",MIN(IFERROR(VALUE(TRIM(MID(SUBSTITUTE(SUBSTITUTE($B171,","," ")," ",REPT(" ",30)),{1;31;61;91;121;151;181},30))),""))),"")))</f>
        <v>140</v>
      </c>
      <c r="Q171" s="23" t="str">
        <f t="shared" si="8"/>
        <v>Прилуки, Чернігівська обл., вул. Густинська, 140</v>
      </c>
      <c r="R171" s="35">
        <f>IF($O171="","",IFERROR(INDEX('Координати майданчиків'!$H$4:$H$64,MATCH($T171,'Координати майданчиків'!$B$4:$B$64,0)),IFERROR(IF(ABS(INDEX(Геокодування!$C$2:$C$361,MATCH($Q171,Геокодування!$B$2:$B$361,0))-50.5884)+ABS(INDEX(Геокодування!$D$2:$D$361,MATCH($Q171,Геокодування!$B$2:$B$361,0))-32.3876)&gt;0.15,"",INDEX(Геокодування!$C$2:$C$361,MATCH($Q171,Геокодування!$B$2:$B$361,0))),IFERROR(IF(ABS(INDEX(Геокодування!$C$2:$C$361,MATCH("Прилуки, Чернігівська обл., "&amp;$A171,Геокодування!$B$2:$B$361,0))-50.5884)+ABS(INDEX(Геокодування!$D$2:$D$361,MATCH("Прилуки, Чернігівська обл., "&amp;$A171,Геокодування!$B$2:$B$361,0))-32.3876)&gt;0.15,"",INDEX(Геокодування!$C$2:$C$361,MATCH("Прилуки, Чернігівська обл., "&amp;$A171,Геокодування!$B$2:$B$361,0))),""))))</f>
        <v>50.606718999999998</v>
      </c>
      <c r="S171" s="43">
        <f>IF($O171="","",IFERROR(INDEX('Координати майданчиків'!$I$4:$I$64,MATCH($T171,'Координати майданчиків'!$B$4:$B$64,0)),IFERROR(IF(ABS(INDEX(Геокодування!$C$2:$C$361,MATCH($Q171,Геокодування!$B$2:$B$361,0))-50.5884)+ABS(INDEX(Геокодування!$D$2:$D$361,MATCH($Q171,Геокодування!$B$2:$B$361,0))-32.3876)&gt;0.15,"",INDEX(Геокодування!$D$2:$D$361,MATCH($Q171,Геокодування!$B$2:$B$361,0))),IFERROR(IF(ABS(INDEX(Геокодування!$C$2:$C$361,MATCH("Прилуки, Чернігівська обл., "&amp;$A171,Геокодування!$B$2:$B$361,0))-50.5884)+ABS(INDEX(Геокодування!$D$2:$D$361,MATCH("Прилуки, Чернігівська обл., "&amp;$A171,Геокодування!$B$2:$B$361,0))-32.3876)&gt;0.15,"",INDEX(Геокодування!$D$2:$D$361,MATCH("Прилуки, Чернігівська обл., "&amp;$A171,Геокодування!$B$2:$B$361,0))),""))))</f>
        <v>32.389301000000003</v>
      </c>
      <c r="T171" s="44" t="str">
        <f>IF($O171="","",IFERROR(INDEX('Координати майданчиків'!$B$4:$B$64,MATCH($A171&amp;IF($P171="","",", "&amp;$P171),'Координати майданчиків'!$B$4:$B$64,0)),IFERROR(INDEX('Координати майданчиків'!$B$4:$B$64,MATCH($A171,'Координати майданчиків'!$B$4:$B$64,0)),"")))</f>
        <v/>
      </c>
    </row>
    <row r="172" spans="1:20" x14ac:dyDescent="0.35">
      <c r="A172" s="26" t="str">
        <f t="shared" si="6"/>
        <v>вул. Густинська</v>
      </c>
      <c r="B172" s="26" t="str">
        <f t="shared" si="7"/>
        <v>22</v>
      </c>
      <c r="C172" s="27" t="str" cm="1">
        <f t="array" ref="C172">IF($O172="","",_xlfn.TEXTJOIN(", ",TRUE,IF(EXACT('Дані_зв''язок'!$J$4:$J$1012,$O172)*('Дані_зв''язок'!$C$4:$C$1012=C$4),'Дані_зв''язок'!$D$4:$D$1012,"")))</f>
        <v>14:15</v>
      </c>
      <c r="D172" s="27" t="str" cm="1">
        <f t="array" ref="D172">IF($O172="","",_xlfn.TEXTJOIN(", ",TRUE,IF(EXACT('Дані_зв''язок'!$J$4:$J$1012,$O172)*('Дані_зв''язок'!$C$4:$C$1012=D$4),'Дані_зв''язок'!$D$4:$D$1012,"")))</f>
        <v/>
      </c>
      <c r="E172" s="27" t="str" cm="1">
        <f t="array" ref="E172">IF($O172="","",_xlfn.TEXTJOIN(", ",TRUE,IF(EXACT('Дані_зв''язок'!$J$4:$J$1012,$O172)*('Дані_зв''язок'!$C$4:$C$1012=E$4),'Дані_зв''язок'!$D$4:$D$1012,"")))</f>
        <v>14:00</v>
      </c>
      <c r="F172" s="27" t="str" cm="1">
        <f t="array" ref="F172">IF($O172="","",_xlfn.TEXTJOIN(", ",TRUE,IF(EXACT('Дані_зв''язок'!$J$4:$J$1012,$O172)*('Дані_зв''язок'!$C$4:$C$1012=F$4),'Дані_зв''язок'!$D$4:$D$1012,"")))</f>
        <v/>
      </c>
      <c r="G172" s="27" t="str" cm="1">
        <f t="array" ref="G172">IF($O172="","",_xlfn.TEXTJOIN(", ",TRUE,IF(EXACT('Дані_зв''язок'!$J$4:$J$1012,$O172)*('Дані_зв''язок'!$C$4:$C$1012=G$4),'Дані_зв''язок'!$D$4:$D$1012,"")))</f>
        <v/>
      </c>
      <c r="H172" s="27" t="str" cm="1">
        <f t="array" ref="H172">IF($O172="","",_xlfn.TEXTJOIN(", ",TRUE,IF(EXACT('Дані_зв''язок'!$J$4:$J$1012,$O172)*('Дані_зв''язок'!$C$4:$C$1012=H$4),'Дані_зв''язок'!$D$4:$D$1012,"")))</f>
        <v>10:55</v>
      </c>
      <c r="I172" s="27" t="str" cm="1">
        <f t="array" ref="I172">IF($O172="","",_xlfn.TEXTJOIN(", ",TRUE,IF(EXACT('Дані_зв''язок'!$J$4:$J$1012,$O172)*('Дані_зв''язок'!$C$4:$C$1012=I$4),'Дані_зв''язок'!$D$4:$D$1012,"")))</f>
        <v/>
      </c>
      <c r="J172" s="27" cm="1">
        <f t="array" ref="J172">IF($O172="","",COUNTIF(C172:I172,"?*")+SUMPRODUCT(LEN(C172:I172)-LEN(SUBSTITUTE(C172:I172,",",""))))</f>
        <v>3</v>
      </c>
      <c r="K172" s="28" t="str" cm="1">
        <f t="array" ref="K172">IF($O172="","",_xlfn.TEXTJOIN(", ",TRUE,IF(EXACT('Дані_зв''язок'!$J$4:$J$1012,$O172),'Дані_зв''язок'!$L$4:$L$1012,"")))</f>
        <v>№3</v>
      </c>
      <c r="L172" s="28" t="str" cm="1">
        <f t="array" ref="L172">IF($O172="","",_xlfn.TEXTJOIN(", ",TRUE,IF(EXACT('Дані_зв''язок'!$J$4:$J$1012,$O172),'Дані_зв''язок'!$M$4:$M$1012,"")))</f>
        <v>МАЗ-4371</v>
      </c>
      <c r="M172" s="27" cm="1">
        <f t="array" ref="M172">IF($O172="","",IF(SUMPRODUCT(MAX(EXACT('Дані_зв''язок'!$J$4:$J$1012,$O172)*IFERROR('Дані_зв''язок'!$H$4:$H$1012,0)))=0,"",SUMPRODUCT(MAX(EXACT('Дані_зв''язок'!$J$4:$J$1012,$O172)*IFERROR('Дані_зв''язок'!$H$4:$H$1012,0)))))</f>
        <v>3</v>
      </c>
      <c r="O172" s="30" t="s">
        <v>1274</v>
      </c>
      <c r="P172" s="24" cm="1">
        <f t="array" ref="P172">IF($O172="","",IF($B172="","",IFERROR(IF(MIN(IFERROR(VALUE(TRIM(MID(SUBSTITUTE(SUBSTITUTE($B172,","," ")," ",REPT(" ",30)),{1;31;61;91;121;151;181},30))),""))=0,"",MIN(IFERROR(VALUE(TRIM(MID(SUBSTITUTE(SUBSTITUTE($B172,","," ")," ",REPT(" ",30)),{1;31;61;91;121;151;181},30))),""))),"")))</f>
        <v>22</v>
      </c>
      <c r="Q172" s="23" t="str">
        <f t="shared" si="8"/>
        <v>Прилуки, Чернігівська обл., вул. Густинська, 22</v>
      </c>
      <c r="R172" s="35">
        <f>IF($O172="","",IFERROR(INDEX('Координати майданчиків'!$H$4:$H$64,MATCH($T172,'Координати майданчиків'!$B$4:$B$64,0)),IFERROR(IF(ABS(INDEX(Геокодування!$C$2:$C$361,MATCH($Q172,Геокодування!$B$2:$B$361,0))-50.5884)+ABS(INDEX(Геокодування!$D$2:$D$361,MATCH($Q172,Геокодування!$B$2:$B$361,0))-32.3876)&gt;0.15,"",INDEX(Геокодування!$C$2:$C$361,MATCH($Q172,Геокодування!$B$2:$B$361,0))),IFERROR(IF(ABS(INDEX(Геокодування!$C$2:$C$361,MATCH("Прилуки, Чернігівська обл., "&amp;$A172,Геокодування!$B$2:$B$361,0))-50.5884)+ABS(INDEX(Геокодування!$D$2:$D$361,MATCH("Прилуки, Чернігівська обл., "&amp;$A172,Геокодування!$B$2:$B$361,0))-32.3876)&gt;0.15,"",INDEX(Геокодування!$C$2:$C$361,MATCH("Прилуки, Чернігівська обл., "&amp;$A172,Геокодування!$B$2:$B$361,0))),""))))</f>
        <v>50.606718999999998</v>
      </c>
      <c r="S172" s="43">
        <f>IF($O172="","",IFERROR(INDEX('Координати майданчиків'!$I$4:$I$64,MATCH($T172,'Координати майданчиків'!$B$4:$B$64,0)),IFERROR(IF(ABS(INDEX(Геокодування!$C$2:$C$361,MATCH($Q172,Геокодування!$B$2:$B$361,0))-50.5884)+ABS(INDEX(Геокодування!$D$2:$D$361,MATCH($Q172,Геокодування!$B$2:$B$361,0))-32.3876)&gt;0.15,"",INDEX(Геокодування!$D$2:$D$361,MATCH($Q172,Геокодування!$B$2:$B$361,0))),IFERROR(IF(ABS(INDEX(Геокодування!$C$2:$C$361,MATCH("Прилуки, Чернігівська обл., "&amp;$A172,Геокодування!$B$2:$B$361,0))-50.5884)+ABS(INDEX(Геокодування!$D$2:$D$361,MATCH("Прилуки, Чернігівська обл., "&amp;$A172,Геокодування!$B$2:$B$361,0))-32.3876)&gt;0.15,"",INDEX(Геокодування!$D$2:$D$361,MATCH("Прилуки, Чернігівська обл., "&amp;$A172,Геокодування!$B$2:$B$361,0))),""))))</f>
        <v>32.389301000000003</v>
      </c>
      <c r="T172" s="44" t="str">
        <f>IF($O172="","",IFERROR(INDEX('Координати майданчиків'!$B$4:$B$64,MATCH($A172&amp;IF($P172="","",", "&amp;$P172),'Координати майданчиків'!$B$4:$B$64,0)),IFERROR(INDEX('Координати майданчиків'!$B$4:$B$64,MATCH($A172,'Координати майданчиків'!$B$4:$B$64,0)),"")))</f>
        <v/>
      </c>
    </row>
    <row r="173" spans="1:20" x14ac:dyDescent="0.35">
      <c r="A173" s="26" t="str">
        <f t="shared" si="6"/>
        <v>вул. Густинська</v>
      </c>
      <c r="B173" s="26" t="str">
        <f t="shared" si="7"/>
        <v>пластик-сервіс</v>
      </c>
      <c r="C173" s="27" t="str" cm="1">
        <f t="array" ref="C173">IF($O173="","",_xlfn.TEXTJOIN(", ",TRUE,IF(EXACT('Дані_зв''язок'!$J$4:$J$1012,$O173)*('Дані_зв''язок'!$C$4:$C$1012=C$4),'Дані_зв''язок'!$D$4:$D$1012,"")))</f>
        <v>7:45</v>
      </c>
      <c r="D173" s="27" t="str" cm="1">
        <f t="array" ref="D173">IF($O173="","",_xlfn.TEXTJOIN(", ",TRUE,IF(EXACT('Дані_зв''язок'!$J$4:$J$1012,$O173)*('Дані_зв''язок'!$C$4:$C$1012=D$4),'Дані_зв''язок'!$D$4:$D$1012,"")))</f>
        <v/>
      </c>
      <c r="E173" s="27" t="str" cm="1">
        <f t="array" ref="E173">IF($O173="","",_xlfn.TEXTJOIN(", ",TRUE,IF(EXACT('Дані_зв''язок'!$J$4:$J$1012,$O173)*('Дані_зв''язок'!$C$4:$C$1012=E$4),'Дані_зв''язок'!$D$4:$D$1012,"")))</f>
        <v/>
      </c>
      <c r="F173" s="27" t="str" cm="1">
        <f t="array" ref="F173">IF($O173="","",_xlfn.TEXTJOIN(", ",TRUE,IF(EXACT('Дані_зв''язок'!$J$4:$J$1012,$O173)*('Дані_зв''язок'!$C$4:$C$1012=F$4),'Дані_зв''язок'!$D$4:$D$1012,"")))</f>
        <v/>
      </c>
      <c r="G173" s="27" t="str" cm="1">
        <f t="array" ref="G173">IF($O173="","",_xlfn.TEXTJOIN(", ",TRUE,IF(EXACT('Дані_зв''язок'!$J$4:$J$1012,$O173)*('Дані_зв''язок'!$C$4:$C$1012=G$4),'Дані_зв''язок'!$D$4:$D$1012,"")))</f>
        <v/>
      </c>
      <c r="H173" s="27" t="str" cm="1">
        <f t="array" ref="H173">IF($O173="","",_xlfn.TEXTJOIN(", ",TRUE,IF(EXACT('Дані_зв''язок'!$J$4:$J$1012,$O173)*('Дані_зв''язок'!$C$4:$C$1012=H$4),'Дані_зв''язок'!$D$4:$D$1012,"")))</f>
        <v/>
      </c>
      <c r="I173" s="27" t="str" cm="1">
        <f t="array" ref="I173">IF($O173="","",_xlfn.TEXTJOIN(", ",TRUE,IF(EXACT('Дані_зв''язок'!$J$4:$J$1012,$O173)*('Дані_зв''язок'!$C$4:$C$1012=I$4),'Дані_зв''язок'!$D$4:$D$1012,"")))</f>
        <v/>
      </c>
      <c r="J173" s="27" cm="1">
        <f t="array" ref="J173">IF($O173="","",COUNTIF(C173:I173,"?*")+SUMPRODUCT(LEN(C173:I173)-LEN(SUBSTITUTE(C173:I173,",",""))))</f>
        <v>1</v>
      </c>
      <c r="K173" s="28" t="str" cm="1">
        <f t="array" ref="K173">IF($O173="","",_xlfn.TEXTJOIN(", ",TRUE,IF(EXACT('Дані_зв''язок'!$J$4:$J$1012,$O173),'Дані_зв''язок'!$L$4:$L$1012,"")))</f>
        <v>№3</v>
      </c>
      <c r="L173" s="28" t="str" cm="1">
        <f t="array" ref="L173">IF($O173="","",_xlfn.TEXTJOIN(", ",TRUE,IF(EXACT('Дані_зв''язок'!$J$4:$J$1012,$O173),'Дані_зв''язок'!$M$4:$M$1012,"")))</f>
        <v>ГАЗ 3309</v>
      </c>
      <c r="M173" s="27" cm="1">
        <f t="array" ref="M173">IF($O173="","",IF(SUMPRODUCT(MAX(EXACT('Дані_зв''язок'!$J$4:$J$1012,$O173)*IFERROR('Дані_зв''язок'!$H$4:$H$1012,0)))=0,"",SUMPRODUCT(MAX(EXACT('Дані_зв''язок'!$J$4:$J$1012,$O173)*IFERROR('Дані_зв''язок'!$H$4:$H$1012,0)))))</f>
        <v>1</v>
      </c>
      <c r="O173" s="30" t="s">
        <v>1275</v>
      </c>
      <c r="P173" s="24" t="str" cm="1">
        <f t="array" ref="P173">IF($O173="","",IF($B173="","",IFERROR(IF(MIN(IFERROR(VALUE(TRIM(MID(SUBSTITUTE(SUBSTITUTE($B173,","," ")," ",REPT(" ",30)),{1;31;61;91;121;151;181},30))),""))=0,"",MIN(IFERROR(VALUE(TRIM(MID(SUBSTITUTE(SUBSTITUTE($B173,","," ")," ",REPT(" ",30)),{1;31;61;91;121;151;181},30))),""))),"")))</f>
        <v/>
      </c>
      <c r="Q173" s="23" t="str">
        <f t="shared" si="8"/>
        <v>Прилуки, Чернігівська обл., вул. Густинська</v>
      </c>
      <c r="R173" s="35">
        <f>IF($O173="","",IFERROR(INDEX('Координати майданчиків'!$H$4:$H$64,MATCH($T173,'Координати майданчиків'!$B$4:$B$64,0)),IFERROR(IF(ABS(INDEX(Геокодування!$C$2:$C$361,MATCH($Q173,Геокодування!$B$2:$B$361,0))-50.5884)+ABS(INDEX(Геокодування!$D$2:$D$361,MATCH($Q173,Геокодування!$B$2:$B$361,0))-32.3876)&gt;0.15,"",INDEX(Геокодування!$C$2:$C$361,MATCH($Q173,Геокодування!$B$2:$B$361,0))),IFERROR(IF(ABS(INDEX(Геокодування!$C$2:$C$361,MATCH("Прилуки, Чернігівська обл., "&amp;$A173,Геокодування!$B$2:$B$361,0))-50.5884)+ABS(INDEX(Геокодування!$D$2:$D$361,MATCH("Прилуки, Чернігівська обл., "&amp;$A173,Геокодування!$B$2:$B$361,0))-32.3876)&gt;0.15,"",INDEX(Геокодування!$C$2:$C$361,MATCH("Прилуки, Чернігівська обл., "&amp;$A173,Геокодування!$B$2:$B$361,0))),""))))</f>
        <v>50.612817</v>
      </c>
      <c r="S173" s="43">
        <f>IF($O173="","",IFERROR(INDEX('Координати майданчиків'!$I$4:$I$64,MATCH($T173,'Координати майданчиків'!$B$4:$B$64,0)),IFERROR(IF(ABS(INDEX(Геокодування!$C$2:$C$361,MATCH($Q173,Геокодування!$B$2:$B$361,0))-50.5884)+ABS(INDEX(Геокодування!$D$2:$D$361,MATCH($Q173,Геокодування!$B$2:$B$361,0))-32.3876)&gt;0.15,"",INDEX(Геокодування!$D$2:$D$361,MATCH($Q173,Геокодування!$B$2:$B$361,0))),IFERROR(IF(ABS(INDEX(Геокодування!$C$2:$C$361,MATCH("Прилуки, Чернігівська обл., "&amp;$A173,Геокодування!$B$2:$B$361,0))-50.5884)+ABS(INDEX(Геокодування!$D$2:$D$361,MATCH("Прилуки, Чернігівська обл., "&amp;$A173,Геокодування!$B$2:$B$361,0))-32.3876)&gt;0.15,"",INDEX(Геокодування!$D$2:$D$361,MATCH("Прилуки, Чернігівська обл., "&amp;$A173,Геокодування!$B$2:$B$361,0))),""))))</f>
        <v>32.393659999999997</v>
      </c>
      <c r="T173" s="44" t="str">
        <f>IF($O173="","",IFERROR(INDEX('Координати майданчиків'!$B$4:$B$64,MATCH($A173&amp;IF($P173="","",", "&amp;$P173),'Координати майданчиків'!$B$4:$B$64,0)),IFERROR(INDEX('Координати майданчиків'!$B$4:$B$64,MATCH($A173,'Координати майданчиків'!$B$4:$B$64,0)),"")))</f>
        <v/>
      </c>
    </row>
    <row r="174" spans="1:20" x14ac:dyDescent="0.35">
      <c r="A174" s="26" t="str">
        <f t="shared" si="6"/>
        <v>вул. Гімназична</v>
      </c>
      <c r="B174" s="26" t="str">
        <f t="shared" si="7"/>
        <v>(центр. Цвинтар)</v>
      </c>
      <c r="C174" s="27" t="str" cm="1">
        <f t="array" ref="C174">IF($O174="","",_xlfn.TEXTJOIN(", ",TRUE,IF(EXACT('Дані_зв''язок'!$J$4:$J$1012,$O174)*('Дані_зв''язок'!$C$4:$C$1012=C$4),'Дані_зв''язок'!$D$4:$D$1012,"")))</f>
        <v>13:15</v>
      </c>
      <c r="D174" s="27" t="str" cm="1">
        <f t="array" ref="D174">IF($O174="","",_xlfn.TEXTJOIN(", ",TRUE,IF(EXACT('Дані_зв''язок'!$J$4:$J$1012,$O174)*('Дані_зв''язок'!$C$4:$C$1012=D$4),'Дані_зв''язок'!$D$4:$D$1012,"")))</f>
        <v>13:15</v>
      </c>
      <c r="E174" s="27" t="str" cm="1">
        <f t="array" ref="E174">IF($O174="","",_xlfn.TEXTJOIN(", ",TRUE,IF(EXACT('Дані_зв''язок'!$J$4:$J$1012,$O174)*('Дані_зв''язок'!$C$4:$C$1012=E$4),'Дані_зв''язок'!$D$4:$D$1012,"")))</f>
        <v>13:00</v>
      </c>
      <c r="F174" s="27" t="str" cm="1">
        <f t="array" ref="F174">IF($O174="","",_xlfn.TEXTJOIN(", ",TRUE,IF(EXACT('Дані_зв''язок'!$J$4:$J$1012,$O174)*('Дані_зв''язок'!$C$4:$C$1012=F$4),'Дані_зв''язок'!$D$4:$D$1012,"")))</f>
        <v>13:15</v>
      </c>
      <c r="G174" s="27" t="str" cm="1">
        <f t="array" ref="G174">IF($O174="","",_xlfn.TEXTJOIN(", ",TRUE,IF(EXACT('Дані_зв''язок'!$J$4:$J$1012,$O174)*('Дані_зв''язок'!$C$4:$C$1012=G$4),'Дані_зв''язок'!$D$4:$D$1012,"")))</f>
        <v>13:15</v>
      </c>
      <c r="H174" s="27" t="str" cm="1">
        <f t="array" ref="H174">IF($O174="","",_xlfn.TEXTJOIN(", ",TRUE,IF(EXACT('Дані_зв''язок'!$J$4:$J$1012,$O174)*('Дані_зв''язок'!$C$4:$C$1012=H$4),'Дані_зв''язок'!$D$4:$D$1012,"")))</f>
        <v>13:00</v>
      </c>
      <c r="I174" s="27" t="str" cm="1">
        <f t="array" ref="I174">IF($O174="","",_xlfn.TEXTJOIN(", ",TRUE,IF(EXACT('Дані_зв''язок'!$J$4:$J$1012,$O174)*('Дані_зв''язок'!$C$4:$C$1012=I$4),'Дані_зв''язок'!$D$4:$D$1012,"")))</f>
        <v>13:15</v>
      </c>
      <c r="J174" s="27" cm="1">
        <f t="array" ref="J174">IF($O174="","",COUNTIF(C174:I174,"?*")+SUMPRODUCT(LEN(C174:I174)-LEN(SUBSTITUTE(C174:I174,",",""))))</f>
        <v>7</v>
      </c>
      <c r="K174" s="28" t="str" cm="1">
        <f t="array" ref="K174">IF($O174="","",_xlfn.TEXTJOIN(", ",TRUE,IF(EXACT('Дані_зв''язок'!$J$4:$J$1012,$O174),'Дані_зв''язок'!$L$4:$L$1012,"")))</f>
        <v>№2</v>
      </c>
      <c r="L174" s="28" t="str" cm="1">
        <f t="array" ref="L174">IF($O174="","",_xlfn.TEXTJOIN(", ",TRUE,IF(EXACT('Дані_зв''язок'!$J$4:$J$1012,$O174),'Дані_зв''язок'!$M$4:$M$1012,"")))</f>
        <v>АТ 4021/1120, АТ-4021/1120</v>
      </c>
      <c r="M174" s="27" cm="1">
        <f t="array" ref="M174">IF($O174="","",IF(SUMPRODUCT(MAX(EXACT('Дані_зв''язок'!$J$4:$J$1012,$O174)*IFERROR('Дані_зв''язок'!$H$4:$H$1012,0)))=0,"",SUMPRODUCT(MAX(EXACT('Дані_зв''язок'!$J$4:$J$1012,$O174)*IFERROR('Дані_зв''язок'!$H$4:$H$1012,0)))))</f>
        <v>5</v>
      </c>
      <c r="O174" s="30" t="s">
        <v>1262</v>
      </c>
      <c r="P174" s="24" t="str" cm="1">
        <f t="array" ref="P174">IF($O174="","",IF($B174="","",IFERROR(IF(MIN(IFERROR(VALUE(TRIM(MID(SUBSTITUTE(SUBSTITUTE($B174,","," ")," ",REPT(" ",30)),{1;31;61;91;121;151;181},30))),""))=0,"",MIN(IFERROR(VALUE(TRIM(MID(SUBSTITUTE(SUBSTITUTE($B174,","," ")," ",REPT(" ",30)),{1;31;61;91;121;151;181},30))),""))),"")))</f>
        <v/>
      </c>
      <c r="Q174" s="23" t="str">
        <f t="shared" si="8"/>
        <v>Прилуки, Чернігівська обл., вул. Гімназична</v>
      </c>
      <c r="R174" s="35">
        <f>IF($O174="","",IFERROR(INDEX('Координати майданчиків'!$H$4:$H$64,MATCH($T174,'Координати майданчиків'!$B$4:$B$64,0)),IFERROR(IF(ABS(INDEX(Геокодування!$C$2:$C$361,MATCH($Q174,Геокодування!$B$2:$B$361,0))-50.5884)+ABS(INDEX(Геокодування!$D$2:$D$361,MATCH($Q174,Геокодування!$B$2:$B$361,0))-32.3876)&gt;0.15,"",INDEX(Геокодування!$C$2:$C$361,MATCH($Q174,Геокодування!$B$2:$B$361,0))),IFERROR(IF(ABS(INDEX(Геокодування!$C$2:$C$361,MATCH("Прилуки, Чернігівська обл., "&amp;$A174,Геокодування!$B$2:$B$361,0))-50.5884)+ABS(INDEX(Геокодування!$D$2:$D$361,MATCH("Прилуки, Чернігівська обл., "&amp;$A174,Геокодування!$B$2:$B$361,0))-32.3876)&gt;0.15,"",INDEX(Геокодування!$C$2:$C$361,MATCH("Прилуки, Чернігівська обл., "&amp;$A174,Геокодування!$B$2:$B$361,0))),""))))</f>
        <v>50.593271999999999</v>
      </c>
      <c r="S174" s="43">
        <f>IF($O174="","",IFERROR(INDEX('Координати майданчиків'!$I$4:$I$64,MATCH($T174,'Координати майданчиків'!$B$4:$B$64,0)),IFERROR(IF(ABS(INDEX(Геокодування!$C$2:$C$361,MATCH($Q174,Геокодування!$B$2:$B$361,0))-50.5884)+ABS(INDEX(Геокодування!$D$2:$D$361,MATCH($Q174,Геокодування!$B$2:$B$361,0))-32.3876)&gt;0.15,"",INDEX(Геокодування!$D$2:$D$361,MATCH($Q174,Геокодування!$B$2:$B$361,0))),IFERROR(IF(ABS(INDEX(Геокодування!$C$2:$C$361,MATCH("Прилуки, Чернігівська обл., "&amp;$A174,Геокодування!$B$2:$B$361,0))-50.5884)+ABS(INDEX(Геокодування!$D$2:$D$361,MATCH("Прилуки, Чернігівська обл., "&amp;$A174,Геокодування!$B$2:$B$361,0))-32.3876)&gt;0.15,"",INDEX(Геокодування!$D$2:$D$361,MATCH("Прилуки, Чернігівська обл., "&amp;$A174,Геокодування!$B$2:$B$361,0))),""))))</f>
        <v>32.393039999999999</v>
      </c>
      <c r="T174" s="44" t="str">
        <f>IF($O174="","",IFERROR(INDEX('Координати майданчиків'!$B$4:$B$64,MATCH($A174&amp;IF($P174="","",", "&amp;$P174),'Координати майданчиків'!$B$4:$B$64,0)),IFERROR(INDEX('Координати майданчиків'!$B$4:$B$64,MATCH($A174,'Координати майданчиків'!$B$4:$B$64,0)),"")))</f>
        <v/>
      </c>
    </row>
    <row r="175" spans="1:20" x14ac:dyDescent="0.35">
      <c r="A175" s="26" t="str">
        <f t="shared" si="6"/>
        <v>вул. Гімназична</v>
      </c>
      <c r="B175" s="26" t="str">
        <f t="shared" si="7"/>
        <v>5,22  32,50</v>
      </c>
      <c r="C175" s="27" t="str" cm="1">
        <f t="array" ref="C175">IF($O175="","",_xlfn.TEXTJOIN(", ",TRUE,IF(EXACT('Дані_зв''язок'!$J$4:$J$1012,$O175)*('Дані_зв''язок'!$C$4:$C$1012=C$4),'Дані_зв''язок'!$D$4:$D$1012,"")))</f>
        <v/>
      </c>
      <c r="D175" s="27" t="str" cm="1">
        <f t="array" ref="D175">IF($O175="","",_xlfn.TEXTJOIN(", ",TRUE,IF(EXACT('Дані_зв''язок'!$J$4:$J$1012,$O175)*('Дані_зв''язок'!$C$4:$C$1012=D$4),'Дані_зв''язок'!$D$4:$D$1012,"")))</f>
        <v/>
      </c>
      <c r="E175" s="27" t="str" cm="1">
        <f t="array" ref="E175">IF($O175="","",_xlfn.TEXTJOIN(", ",TRUE,IF(EXACT('Дані_зв''язок'!$J$4:$J$1012,$O175)*('Дані_зв''язок'!$C$4:$C$1012=E$4),'Дані_зв''язок'!$D$4:$D$1012,"")))</f>
        <v>11:20</v>
      </c>
      <c r="F175" s="27" t="str" cm="1">
        <f t="array" ref="F175">IF($O175="","",_xlfn.TEXTJOIN(", ",TRUE,IF(EXACT('Дані_зв''язок'!$J$4:$J$1012,$O175)*('Дані_зв''язок'!$C$4:$C$1012=F$4),'Дані_зв''язок'!$D$4:$D$1012,"")))</f>
        <v/>
      </c>
      <c r="G175" s="27" t="str" cm="1">
        <f t="array" ref="G175">IF($O175="","",_xlfn.TEXTJOIN(", ",TRUE,IF(EXACT('Дані_зв''язок'!$J$4:$J$1012,$O175)*('Дані_зв''язок'!$C$4:$C$1012=G$4),'Дані_зв''язок'!$D$4:$D$1012,"")))</f>
        <v/>
      </c>
      <c r="H175" s="27" t="str" cm="1">
        <f t="array" ref="H175">IF($O175="","",_xlfn.TEXTJOIN(", ",TRUE,IF(EXACT('Дані_зв''язок'!$J$4:$J$1012,$O175)*('Дані_зв''язок'!$C$4:$C$1012=H$4),'Дані_зв''язок'!$D$4:$D$1012,"")))</f>
        <v/>
      </c>
      <c r="I175" s="27" t="str" cm="1">
        <f t="array" ref="I175">IF($O175="","",_xlfn.TEXTJOIN(", ",TRUE,IF(EXACT('Дані_зв''язок'!$J$4:$J$1012,$O175)*('Дані_зв''язок'!$C$4:$C$1012=I$4),'Дані_зв''язок'!$D$4:$D$1012,"")))</f>
        <v/>
      </c>
      <c r="J175" s="27" cm="1">
        <f t="array" ref="J175">IF($O175="","",COUNTIF(C175:I175,"?*")+SUMPRODUCT(LEN(C175:I175)-LEN(SUBSTITUTE(C175:I175,",",""))))</f>
        <v>1</v>
      </c>
      <c r="K175" s="28" t="str" cm="1">
        <f t="array" ref="K175">IF($O175="","",_xlfn.TEXTJOIN(", ",TRUE,IF(EXACT('Дані_зв''язок'!$J$4:$J$1012,$O175),'Дані_зв''язок'!$L$4:$L$1012,"")))</f>
        <v>№6</v>
      </c>
      <c r="L175" s="28" t="str" cm="1">
        <f t="array" ref="L175">IF($O175="","",_xlfn.TEXTJOIN(", ",TRUE,IF(EXACT('Дані_зв''язок'!$J$4:$J$1012,$O175),'Дані_зв''язок'!$M$4:$M$1012,"")))</f>
        <v>АТ 4021</v>
      </c>
      <c r="M175" s="27" t="str" cm="1">
        <f t="array" ref="M175">IF($O175="","",IF(SUMPRODUCT(MAX(EXACT('Дані_зв''язок'!$J$4:$J$1012,$O175)*IFERROR('Дані_зв''язок'!$H$4:$H$1012,0)))=0,"",SUMPRODUCT(MAX(EXACT('Дані_зв''язок'!$J$4:$J$1012,$O175)*IFERROR('Дані_зв''язок'!$H$4:$H$1012,0)))))</f>
        <v/>
      </c>
      <c r="O175" s="30" t="s">
        <v>1263</v>
      </c>
      <c r="P175" s="24" cm="1">
        <f t="array" ref="P175">IF($O175="","",IF($B175="","",IFERROR(IF(MIN(IFERROR(VALUE(TRIM(MID(SUBSTITUTE(SUBSTITUTE($B175,","," ")," ",REPT(" ",30)),{1;31;61;91;121;151;181},30))),""))=0,"",MIN(IFERROR(VALUE(TRIM(MID(SUBSTITUTE(SUBSTITUTE($B175,","," ")," ",REPT(" ",30)),{1;31;61;91;121;151;181},30))),""))),"")))</f>
        <v>5</v>
      </c>
      <c r="Q175" s="23" t="str">
        <f t="shared" si="8"/>
        <v>Прилуки, Чернігівська обл., вул. Гімназична, 5</v>
      </c>
      <c r="R175" s="35">
        <f>IF($O175="","",IFERROR(INDEX('Координати майданчиків'!$H$4:$H$64,MATCH($T175,'Координати майданчиків'!$B$4:$B$64,0)),IFERROR(IF(ABS(INDEX(Геокодування!$C$2:$C$361,MATCH($Q175,Геокодування!$B$2:$B$361,0))-50.5884)+ABS(INDEX(Геокодування!$D$2:$D$361,MATCH($Q175,Геокодування!$B$2:$B$361,0))-32.3876)&gt;0.15,"",INDEX(Геокодування!$C$2:$C$361,MATCH($Q175,Геокодування!$B$2:$B$361,0))),IFERROR(IF(ABS(INDEX(Геокодування!$C$2:$C$361,MATCH("Прилуки, Чернігівська обл., "&amp;$A175,Геокодування!$B$2:$B$361,0))-50.5884)+ABS(INDEX(Геокодування!$D$2:$D$361,MATCH("Прилуки, Чернігівська обл., "&amp;$A175,Геокодування!$B$2:$B$361,0))-32.3876)&gt;0.15,"",INDEX(Геокодування!$C$2:$C$361,MATCH("Прилуки, Чернігівська обл., "&amp;$A175,Геокодування!$B$2:$B$361,0))),""))))</f>
        <v>50.593271999999999</v>
      </c>
      <c r="S175" s="43">
        <f>IF($O175="","",IFERROR(INDEX('Координати майданчиків'!$I$4:$I$64,MATCH($T175,'Координати майданчиків'!$B$4:$B$64,0)),IFERROR(IF(ABS(INDEX(Геокодування!$C$2:$C$361,MATCH($Q175,Геокодування!$B$2:$B$361,0))-50.5884)+ABS(INDEX(Геокодування!$D$2:$D$361,MATCH($Q175,Геокодування!$B$2:$B$361,0))-32.3876)&gt;0.15,"",INDEX(Геокодування!$D$2:$D$361,MATCH($Q175,Геокодування!$B$2:$B$361,0))),IFERROR(IF(ABS(INDEX(Геокодування!$C$2:$C$361,MATCH("Прилуки, Чернігівська обл., "&amp;$A175,Геокодування!$B$2:$B$361,0))-50.5884)+ABS(INDEX(Геокодування!$D$2:$D$361,MATCH("Прилуки, Чернігівська обл., "&amp;$A175,Геокодування!$B$2:$B$361,0))-32.3876)&gt;0.15,"",INDEX(Геокодування!$D$2:$D$361,MATCH("Прилуки, Чернігівська обл., "&amp;$A175,Геокодування!$B$2:$B$361,0))),""))))</f>
        <v>32.393039999999999</v>
      </c>
      <c r="T175" s="44" t="str">
        <f>IF($O175="","",IFERROR(INDEX('Координати майданчиків'!$B$4:$B$64,MATCH($A175&amp;IF($P175="","",", "&amp;$P175),'Координати майданчиків'!$B$4:$B$64,0)),IFERROR(INDEX('Координати майданчиків'!$B$4:$B$64,MATCH($A175,'Координати майданчиків'!$B$4:$B$64,0)),"")))</f>
        <v/>
      </c>
    </row>
    <row r="176" spans="1:20" x14ac:dyDescent="0.35">
      <c r="A176" s="26" t="str">
        <f t="shared" si="6"/>
        <v>вул. Гімназична</v>
      </c>
      <c r="B176" s="26" t="str">
        <f t="shared" si="7"/>
        <v>карамелька</v>
      </c>
      <c r="C176" s="27" t="str" cm="1">
        <f t="array" ref="C176">IF($O176="","",_xlfn.TEXTJOIN(", ",TRUE,IF(EXACT('Дані_зв''язок'!$J$4:$J$1012,$O176)*('Дані_зв''язок'!$C$4:$C$1012=C$4),'Дані_зв''язок'!$D$4:$D$1012,"")))</f>
        <v>13:35</v>
      </c>
      <c r="D176" s="27" t="str" cm="1">
        <f t="array" ref="D176">IF($O176="","",_xlfn.TEXTJOIN(", ",TRUE,IF(EXACT('Дані_зв''язок'!$J$4:$J$1012,$O176)*('Дані_зв''язок'!$C$4:$C$1012=D$4),'Дані_зв''язок'!$D$4:$D$1012,"")))</f>
        <v>13:35</v>
      </c>
      <c r="E176" s="27" t="str" cm="1">
        <f t="array" ref="E176">IF($O176="","",_xlfn.TEXTJOIN(", ",TRUE,IF(EXACT('Дані_зв''язок'!$J$4:$J$1012,$O176)*('Дані_зв''язок'!$C$4:$C$1012=E$4),'Дані_зв''язок'!$D$4:$D$1012,"")))</f>
        <v>12:35</v>
      </c>
      <c r="F176" s="27" t="str" cm="1">
        <f t="array" ref="F176">IF($O176="","",_xlfn.TEXTJOIN(", ",TRUE,IF(EXACT('Дані_зв''язок'!$J$4:$J$1012,$O176)*('Дані_зв''язок'!$C$4:$C$1012=F$4),'Дані_зв''язок'!$D$4:$D$1012,"")))</f>
        <v>13:35</v>
      </c>
      <c r="G176" s="27" t="str" cm="1">
        <f t="array" ref="G176">IF($O176="","",_xlfn.TEXTJOIN(", ",TRUE,IF(EXACT('Дані_зв''язок'!$J$4:$J$1012,$O176)*('Дані_зв''язок'!$C$4:$C$1012=G$4),'Дані_зв''язок'!$D$4:$D$1012,"")))</f>
        <v>13:35</v>
      </c>
      <c r="H176" s="27" t="str" cm="1">
        <f t="array" ref="H176">IF($O176="","",_xlfn.TEXTJOIN(", ",TRUE,IF(EXACT('Дані_зв''язок'!$J$4:$J$1012,$O176)*('Дані_зв''язок'!$C$4:$C$1012=H$4),'Дані_зв''язок'!$D$4:$D$1012,"")))</f>
        <v>12:35</v>
      </c>
      <c r="I176" s="27" t="str" cm="1">
        <f t="array" ref="I176">IF($O176="","",_xlfn.TEXTJOIN(", ",TRUE,IF(EXACT('Дані_зв''язок'!$J$4:$J$1012,$O176)*('Дані_зв''язок'!$C$4:$C$1012=I$4),'Дані_зв''язок'!$D$4:$D$1012,"")))</f>
        <v>13:35</v>
      </c>
      <c r="J176" s="27" cm="1">
        <f t="array" ref="J176">IF($O176="","",COUNTIF(C176:I176,"?*")+SUMPRODUCT(LEN(C176:I176)-LEN(SUBSTITUTE(C176:I176,",",""))))</f>
        <v>7</v>
      </c>
      <c r="K176" s="28" t="str" cm="1">
        <f t="array" ref="K176">IF($O176="","",_xlfn.TEXTJOIN(", ",TRUE,IF(EXACT('Дані_зв''язок'!$J$4:$J$1012,$O176),'Дані_зв''язок'!$L$4:$L$1012,"")))</f>
        <v>№2</v>
      </c>
      <c r="L176" s="28" t="str" cm="1">
        <f t="array" ref="L176">IF($O176="","",_xlfn.TEXTJOIN(", ",TRUE,IF(EXACT('Дані_зв''язок'!$J$4:$J$1012,$O176),'Дані_зв''язок'!$M$4:$M$1012,"")))</f>
        <v>АТ 4021/1120, АТ-4021/1120</v>
      </c>
      <c r="M176" s="27" cm="1">
        <f t="array" ref="M176">IF($O176="","",IF(SUMPRODUCT(MAX(EXACT('Дані_зв''язок'!$J$4:$J$1012,$O176)*IFERROR('Дані_зв''язок'!$H$4:$H$1012,0)))=0,"",SUMPRODUCT(MAX(EXACT('Дані_зв''язок'!$J$4:$J$1012,$O176)*IFERROR('Дані_зв''язок'!$H$4:$H$1012,0)))))</f>
        <v>4</v>
      </c>
      <c r="O176" s="30" t="s">
        <v>1264</v>
      </c>
      <c r="P176" s="24" t="str" cm="1">
        <f t="array" ref="P176">IF($O176="","",IF($B176="","",IFERROR(IF(MIN(IFERROR(VALUE(TRIM(MID(SUBSTITUTE(SUBSTITUTE($B176,","," ")," ",REPT(" ",30)),{1;31;61;91;121;151;181},30))),""))=0,"",MIN(IFERROR(VALUE(TRIM(MID(SUBSTITUTE(SUBSTITUTE($B176,","," ")," ",REPT(" ",30)),{1;31;61;91;121;151;181},30))),""))),"")))</f>
        <v/>
      </c>
      <c r="Q176" s="23" t="str">
        <f t="shared" si="8"/>
        <v>Прилуки, Чернігівська обл., вул. Гімназична</v>
      </c>
      <c r="R176" s="35">
        <f>IF($O176="","",IFERROR(INDEX('Координати майданчиків'!$H$4:$H$64,MATCH($T176,'Координати майданчиків'!$B$4:$B$64,0)),IFERROR(IF(ABS(INDEX(Геокодування!$C$2:$C$361,MATCH($Q176,Геокодування!$B$2:$B$361,0))-50.5884)+ABS(INDEX(Геокодування!$D$2:$D$361,MATCH($Q176,Геокодування!$B$2:$B$361,0))-32.3876)&gt;0.15,"",INDEX(Геокодування!$C$2:$C$361,MATCH($Q176,Геокодування!$B$2:$B$361,0))),IFERROR(IF(ABS(INDEX(Геокодування!$C$2:$C$361,MATCH("Прилуки, Чернігівська обл., "&amp;$A176,Геокодування!$B$2:$B$361,0))-50.5884)+ABS(INDEX(Геокодування!$D$2:$D$361,MATCH("Прилуки, Чернігівська обл., "&amp;$A176,Геокодування!$B$2:$B$361,0))-32.3876)&gt;0.15,"",INDEX(Геокодування!$C$2:$C$361,MATCH("Прилуки, Чернігівська обл., "&amp;$A176,Геокодування!$B$2:$B$361,0))),""))))</f>
        <v>50.593271999999999</v>
      </c>
      <c r="S176" s="43">
        <f>IF($O176="","",IFERROR(INDEX('Координати майданчиків'!$I$4:$I$64,MATCH($T176,'Координати майданчиків'!$B$4:$B$64,0)),IFERROR(IF(ABS(INDEX(Геокодування!$C$2:$C$361,MATCH($Q176,Геокодування!$B$2:$B$361,0))-50.5884)+ABS(INDEX(Геокодування!$D$2:$D$361,MATCH($Q176,Геокодування!$B$2:$B$361,0))-32.3876)&gt;0.15,"",INDEX(Геокодування!$D$2:$D$361,MATCH($Q176,Геокодування!$B$2:$B$361,0))),IFERROR(IF(ABS(INDEX(Геокодування!$C$2:$C$361,MATCH("Прилуки, Чернігівська обл., "&amp;$A176,Геокодування!$B$2:$B$361,0))-50.5884)+ABS(INDEX(Геокодування!$D$2:$D$361,MATCH("Прилуки, Чернігівська обл., "&amp;$A176,Геокодування!$B$2:$B$361,0))-32.3876)&gt;0.15,"",INDEX(Геокодування!$D$2:$D$361,MATCH("Прилуки, Чернігівська обл., "&amp;$A176,Геокодування!$B$2:$B$361,0))),""))))</f>
        <v>32.393039999999999</v>
      </c>
      <c r="T176" s="44" t="str">
        <f>IF($O176="","",IFERROR(INDEX('Координати майданчиків'!$B$4:$B$64,MATCH($A176&amp;IF($P176="","",", "&amp;$P176),'Координати майданчиків'!$B$4:$B$64,0)),IFERROR(INDEX('Координати майданчиків'!$B$4:$B$64,MATCH($A176,'Координати майданчиків'!$B$4:$B$64,0)),"")))</f>
        <v/>
      </c>
    </row>
    <row r="177" spans="1:20" ht="25" x14ac:dyDescent="0.35">
      <c r="A177" s="26" t="str">
        <f t="shared" si="6"/>
        <v>вул. Гімназична</v>
      </c>
      <c r="B177" s="26" t="str">
        <f t="shared" si="7"/>
        <v>навпроти центр. Кладовища</v>
      </c>
      <c r="C177" s="27" t="str" cm="1">
        <f t="array" ref="C177">IF($O177="","",_xlfn.TEXTJOIN(", ",TRUE,IF(EXACT('Дані_зв''язок'!$J$4:$J$1012,$O177)*('Дані_зв''язок'!$C$4:$C$1012=C$4),'Дані_зв''язок'!$D$4:$D$1012,"")))</f>
        <v>15:00</v>
      </c>
      <c r="D177" s="27" t="str" cm="1">
        <f t="array" ref="D177">IF($O177="","",_xlfn.TEXTJOIN(", ",TRUE,IF(EXACT('Дані_зв''язок'!$J$4:$J$1012,$O177)*('Дані_зв''язок'!$C$4:$C$1012=D$4),'Дані_зв''язок'!$D$4:$D$1012,"")))</f>
        <v>15:30</v>
      </c>
      <c r="E177" s="27" t="str" cm="1">
        <f t="array" ref="E177">IF($O177="","",_xlfn.TEXTJOIN(", ",TRUE,IF(EXACT('Дані_зв''язок'!$J$4:$J$1012,$O177)*('Дані_зв''язок'!$C$4:$C$1012=E$4),'Дані_зв''язок'!$D$4:$D$1012,"")))</f>
        <v>8:20</v>
      </c>
      <c r="F177" s="27" t="str" cm="1">
        <f t="array" ref="F177">IF($O177="","",_xlfn.TEXTJOIN(", ",TRUE,IF(EXACT('Дані_зв''язок'!$J$4:$J$1012,$O177)*('Дані_зв''язок'!$C$4:$C$1012=F$4),'Дані_зв''язок'!$D$4:$D$1012,"")))</f>
        <v>15:00</v>
      </c>
      <c r="G177" s="27" t="str" cm="1">
        <f t="array" ref="G177">IF($O177="","",_xlfn.TEXTJOIN(", ",TRUE,IF(EXACT('Дані_зв''язок'!$J$4:$J$1012,$O177)*('Дані_зв''язок'!$C$4:$C$1012=G$4),'Дані_зв''язок'!$D$4:$D$1012,"")))</f>
        <v>15:20</v>
      </c>
      <c r="H177" s="27" t="str" cm="1">
        <f t="array" ref="H177">IF($O177="","",_xlfn.TEXTJOIN(", ",TRUE,IF(EXACT('Дані_зв''язок'!$J$4:$J$1012,$O177)*('Дані_зв''язок'!$C$4:$C$1012=H$4),'Дані_зв''язок'!$D$4:$D$1012,"")))</f>
        <v>8:20</v>
      </c>
      <c r="I177" s="27" t="str" cm="1">
        <f t="array" ref="I177">IF($O177="","",_xlfn.TEXTJOIN(", ",TRUE,IF(EXACT('Дані_зв''язок'!$J$4:$J$1012,$O177)*('Дані_зв''язок'!$C$4:$C$1012=I$4),'Дані_зв''язок'!$D$4:$D$1012,"")))</f>
        <v>15:00</v>
      </c>
      <c r="J177" s="27" cm="1">
        <f t="array" ref="J177">IF($O177="","",COUNTIF(C177:I177,"?*")+SUMPRODUCT(LEN(C177:I177)-LEN(SUBSTITUTE(C177:I177,",",""))))</f>
        <v>7</v>
      </c>
      <c r="K177" s="28" t="str" cm="1">
        <f t="array" ref="K177">IF($O177="","",_xlfn.TEXTJOIN(", ",TRUE,IF(EXACT('Дані_зв''язок'!$J$4:$J$1012,$O177),'Дані_зв''язок'!$L$4:$L$1012,"")))</f>
        <v>№4</v>
      </c>
      <c r="L177" s="28" t="str" cm="1">
        <f t="array" ref="L177">IF($O177="","",_xlfn.TEXTJOIN(", ",TRUE,IF(EXACT('Дані_зв''язок'!$J$4:$J$1012,$O177),'Дані_зв''язок'!$M$4:$M$1012,"")))</f>
        <v>АТ 40-42/ROD21003, ГАЗ 3309</v>
      </c>
      <c r="M177" s="27" cm="1">
        <f t="array" ref="M177">IF($O177="","",IF(SUMPRODUCT(MAX(EXACT('Дані_зв''язок'!$J$4:$J$1012,$O177)*IFERROR('Дані_зв''язок'!$H$4:$H$1012,0)))=0,"",SUMPRODUCT(MAX(EXACT('Дані_зв''язок'!$J$4:$J$1012,$O177)*IFERROR('Дані_зв''язок'!$H$4:$H$1012,0)))))</f>
        <v>1</v>
      </c>
      <c r="O177" s="30" t="s">
        <v>1265</v>
      </c>
      <c r="P177" s="24" t="str" cm="1">
        <f t="array" ref="P177">IF($O177="","",IF($B177="","",IFERROR(IF(MIN(IFERROR(VALUE(TRIM(MID(SUBSTITUTE(SUBSTITUTE($B177,","," ")," ",REPT(" ",30)),{1;31;61;91;121;151;181},30))),""))=0,"",MIN(IFERROR(VALUE(TRIM(MID(SUBSTITUTE(SUBSTITUTE($B177,","," ")," ",REPT(" ",30)),{1;31;61;91;121;151;181},30))),""))),"")))</f>
        <v/>
      </c>
      <c r="Q177" s="23" t="str">
        <f t="shared" si="8"/>
        <v>Прилуки, Чернігівська обл., вул. Гімназична</v>
      </c>
      <c r="R177" s="35">
        <f>IF($O177="","",IFERROR(INDEX('Координати майданчиків'!$H$4:$H$64,MATCH($T177,'Координати майданчиків'!$B$4:$B$64,0)),IFERROR(IF(ABS(INDEX(Геокодування!$C$2:$C$361,MATCH($Q177,Геокодування!$B$2:$B$361,0))-50.5884)+ABS(INDEX(Геокодування!$D$2:$D$361,MATCH($Q177,Геокодування!$B$2:$B$361,0))-32.3876)&gt;0.15,"",INDEX(Геокодування!$C$2:$C$361,MATCH($Q177,Геокодування!$B$2:$B$361,0))),IFERROR(IF(ABS(INDEX(Геокодування!$C$2:$C$361,MATCH("Прилуки, Чернігівська обл., "&amp;$A177,Геокодування!$B$2:$B$361,0))-50.5884)+ABS(INDEX(Геокодування!$D$2:$D$361,MATCH("Прилуки, Чернігівська обл., "&amp;$A177,Геокодування!$B$2:$B$361,0))-32.3876)&gt;0.15,"",INDEX(Геокодування!$C$2:$C$361,MATCH("Прилуки, Чернігівська обл., "&amp;$A177,Геокодування!$B$2:$B$361,0))),""))))</f>
        <v>50.593271999999999</v>
      </c>
      <c r="S177" s="43">
        <f>IF($O177="","",IFERROR(INDEX('Координати майданчиків'!$I$4:$I$64,MATCH($T177,'Координати майданчиків'!$B$4:$B$64,0)),IFERROR(IF(ABS(INDEX(Геокодування!$C$2:$C$361,MATCH($Q177,Геокодування!$B$2:$B$361,0))-50.5884)+ABS(INDEX(Геокодування!$D$2:$D$361,MATCH($Q177,Геокодування!$B$2:$B$361,0))-32.3876)&gt;0.15,"",INDEX(Геокодування!$D$2:$D$361,MATCH($Q177,Геокодування!$B$2:$B$361,0))),IFERROR(IF(ABS(INDEX(Геокодування!$C$2:$C$361,MATCH("Прилуки, Чернігівська обл., "&amp;$A177,Геокодування!$B$2:$B$361,0))-50.5884)+ABS(INDEX(Геокодування!$D$2:$D$361,MATCH("Прилуки, Чернігівська обл., "&amp;$A177,Геокодування!$B$2:$B$361,0))-32.3876)&gt;0.15,"",INDEX(Геокодування!$D$2:$D$361,MATCH("Прилуки, Чернігівська обл., "&amp;$A177,Геокодування!$B$2:$B$361,0))),""))))</f>
        <v>32.393039999999999</v>
      </c>
      <c r="T177" s="44" t="str">
        <f>IF($O177="","",IFERROR(INDEX('Координати майданчиків'!$B$4:$B$64,MATCH($A177&amp;IF($P177="","",", "&amp;$P177),'Координати майданчиків'!$B$4:$B$64,0)),IFERROR(INDEX('Координати майданчиків'!$B$4:$B$64,MATCH($A177,'Координати майданчиків'!$B$4:$B$64,0)),"")))</f>
        <v/>
      </c>
    </row>
    <row r="178" spans="1:20" x14ac:dyDescent="0.35">
      <c r="A178" s="26" t="str">
        <f t="shared" si="6"/>
        <v>вул. Д. Шкоропада</v>
      </c>
      <c r="B178" s="26" t="str">
        <f t="shared" si="7"/>
        <v/>
      </c>
      <c r="C178" s="27" t="str" cm="1">
        <f t="array" ref="C178">IF($O178="","",_xlfn.TEXTJOIN(", ",TRUE,IF(EXACT('Дані_зв''язок'!$J$4:$J$1012,$O178)*('Дані_зв''язок'!$C$4:$C$1012=C$4),'Дані_зв''язок'!$D$4:$D$1012,"")))</f>
        <v>13:10</v>
      </c>
      <c r="D178" s="27" t="str" cm="1">
        <f t="array" ref="D178">IF($O178="","",_xlfn.TEXTJOIN(", ",TRUE,IF(EXACT('Дані_зв''язок'!$J$4:$J$1012,$O178)*('Дані_зв''язок'!$C$4:$C$1012=D$4),'Дані_зв''язок'!$D$4:$D$1012,"")))</f>
        <v/>
      </c>
      <c r="E178" s="27" t="str" cm="1">
        <f t="array" ref="E178">IF($O178="","",_xlfn.TEXTJOIN(", ",TRUE,IF(EXACT('Дані_зв''язок'!$J$4:$J$1012,$O178)*('Дані_зв''язок'!$C$4:$C$1012=E$4),'Дані_зв''язок'!$D$4:$D$1012,"")))</f>
        <v/>
      </c>
      <c r="F178" s="27" t="str" cm="1">
        <f t="array" ref="F178">IF($O178="","",_xlfn.TEXTJOIN(", ",TRUE,IF(EXACT('Дані_зв''язок'!$J$4:$J$1012,$O178)*('Дані_зв''язок'!$C$4:$C$1012=F$4),'Дані_зв''язок'!$D$4:$D$1012,"")))</f>
        <v/>
      </c>
      <c r="G178" s="27" t="str" cm="1">
        <f t="array" ref="G178">IF($O178="","",_xlfn.TEXTJOIN(", ",TRUE,IF(EXACT('Дані_зв''язок'!$J$4:$J$1012,$O178)*('Дані_зв''язок'!$C$4:$C$1012=G$4),'Дані_зв''язок'!$D$4:$D$1012,"")))</f>
        <v>7:45</v>
      </c>
      <c r="H178" s="27" t="str" cm="1">
        <f t="array" ref="H178">IF($O178="","",_xlfn.TEXTJOIN(", ",TRUE,IF(EXACT('Дані_зв''язок'!$J$4:$J$1012,$O178)*('Дані_зв''язок'!$C$4:$C$1012=H$4),'Дані_зв''язок'!$D$4:$D$1012,"")))</f>
        <v/>
      </c>
      <c r="I178" s="27" t="str" cm="1">
        <f t="array" ref="I178">IF($O178="","",_xlfn.TEXTJOIN(", ",TRUE,IF(EXACT('Дані_зв''язок'!$J$4:$J$1012,$O178)*('Дані_зв''язок'!$C$4:$C$1012=I$4),'Дані_зв''язок'!$D$4:$D$1012,"")))</f>
        <v/>
      </c>
      <c r="J178" s="27" cm="1">
        <f t="array" ref="J178">IF($O178="","",COUNTIF(C178:I178,"?*")+SUMPRODUCT(LEN(C178:I178)-LEN(SUBSTITUTE(C178:I178,",",""))))</f>
        <v>2</v>
      </c>
      <c r="K178" s="28" t="str" cm="1">
        <f t="array" ref="K178">IF($O178="","",_xlfn.TEXTJOIN(", ",TRUE,IF(EXACT('Дані_зв''язок'!$J$4:$J$1012,$O178),'Дані_зв''язок'!$L$4:$L$1012,"")))</f>
        <v>№5</v>
      </c>
      <c r="L178" s="28" t="str" cm="1">
        <f t="array" ref="L178">IF($O178="","",_xlfn.TEXTJOIN(", ",TRUE,IF(EXACT('Дані_зв''язок'!$J$4:$J$1012,$O178),'Дані_зв''язок'!$M$4:$M$1012,"")))</f>
        <v>МАЗ 4381</v>
      </c>
      <c r="M178" s="27" t="str" cm="1">
        <f t="array" ref="M178">IF($O178="","",IF(SUMPRODUCT(MAX(EXACT('Дані_зв''язок'!$J$4:$J$1012,$O178)*IFERROR('Дані_зв''язок'!$H$4:$H$1012,0)))=0,"",SUMPRODUCT(MAX(EXACT('Дані_зв''язок'!$J$4:$J$1012,$O178)*IFERROR('Дані_зв''язок'!$H$4:$H$1012,0)))))</f>
        <v/>
      </c>
      <c r="O178" s="30" t="s">
        <v>1276</v>
      </c>
      <c r="P178" s="24" t="str" cm="1">
        <f t="array" ref="P178">IF($O178="","",IF($B178="","",IFERROR(IF(MIN(IFERROR(VALUE(TRIM(MID(SUBSTITUTE(SUBSTITUTE($B178,","," ")," ",REPT(" ",30)),{1;31;61;91;121;151;181},30))),""))=0,"",MIN(IFERROR(VALUE(TRIM(MID(SUBSTITUTE(SUBSTITUTE($B178,","," ")," ",REPT(" ",30)),{1;31;61;91;121;151;181},30))),""))),"")))</f>
        <v/>
      </c>
      <c r="Q178" s="23" t="str">
        <f t="shared" si="8"/>
        <v>Прилуки, Чернігівська обл., вул. Д. Шкоропада</v>
      </c>
      <c r="R178" s="35">
        <f>IF($O178="","",IFERROR(INDEX('Координати майданчиків'!$H$4:$H$64,MATCH($T178,'Координати майданчиків'!$B$4:$B$64,0)),IFERROR(IF(ABS(INDEX(Геокодування!$C$2:$C$361,MATCH($Q178,Геокодування!$B$2:$B$361,0))-50.5884)+ABS(INDEX(Геокодування!$D$2:$D$361,MATCH($Q178,Геокодування!$B$2:$B$361,0))-32.3876)&gt;0.15,"",INDEX(Геокодування!$C$2:$C$361,MATCH($Q178,Геокодування!$B$2:$B$361,0))),IFERROR(IF(ABS(INDEX(Геокодування!$C$2:$C$361,MATCH("Прилуки, Чернігівська обл., "&amp;$A178,Геокодування!$B$2:$B$361,0))-50.5884)+ABS(INDEX(Геокодування!$D$2:$D$361,MATCH("Прилуки, Чернігівська обл., "&amp;$A178,Геокодування!$B$2:$B$361,0))-32.3876)&gt;0.15,"",INDEX(Геокодування!$C$2:$C$361,MATCH("Прилуки, Чернігівська обл., "&amp;$A178,Геокодування!$B$2:$B$361,0))),""))))</f>
        <v>50.586787999999999</v>
      </c>
      <c r="S178" s="43">
        <f>IF($O178="","",IFERROR(INDEX('Координати майданчиків'!$I$4:$I$64,MATCH($T178,'Координати майданчиків'!$B$4:$B$64,0)),IFERROR(IF(ABS(INDEX(Геокодування!$C$2:$C$361,MATCH($Q178,Геокодування!$B$2:$B$361,0))-50.5884)+ABS(INDEX(Геокодування!$D$2:$D$361,MATCH($Q178,Геокодування!$B$2:$B$361,0))-32.3876)&gt;0.15,"",INDEX(Геокодування!$D$2:$D$361,MATCH($Q178,Геокодування!$B$2:$B$361,0))),IFERROR(IF(ABS(INDEX(Геокодування!$C$2:$C$361,MATCH("Прилуки, Чернігівська обл., "&amp;$A178,Геокодування!$B$2:$B$361,0))-50.5884)+ABS(INDEX(Геокодування!$D$2:$D$361,MATCH("Прилуки, Чернігівська обл., "&amp;$A178,Геокодування!$B$2:$B$361,0))-32.3876)&gt;0.15,"",INDEX(Геокодування!$D$2:$D$361,MATCH("Прилуки, Чернігівська обл., "&amp;$A178,Геокодування!$B$2:$B$361,0))),""))))</f>
        <v>32.372073999999998</v>
      </c>
      <c r="T178" s="44" t="str">
        <f>IF($O178="","",IFERROR(INDEX('Координати майданчиків'!$B$4:$B$64,MATCH($A178&amp;IF($P178="","",", "&amp;$P178),'Координати майданчиків'!$B$4:$B$64,0)),IFERROR(INDEX('Координати майданчиків'!$B$4:$B$64,MATCH($A178,'Координати майданчиків'!$B$4:$B$64,0)),"")))</f>
        <v/>
      </c>
    </row>
    <row r="179" spans="1:20" x14ac:dyDescent="0.35">
      <c r="A179" s="26" t="str">
        <f t="shared" si="6"/>
        <v>вул. Дачна</v>
      </c>
      <c r="B179" s="26" t="str">
        <f t="shared" si="7"/>
        <v/>
      </c>
      <c r="C179" s="27" t="str" cm="1">
        <f t="array" ref="C179">IF($O179="","",_xlfn.TEXTJOIN(", ",TRUE,IF(EXACT('Дані_зв''язок'!$J$4:$J$1012,$O179)*('Дані_зв''язок'!$C$4:$C$1012=C$4),'Дані_зв''язок'!$D$4:$D$1012,"")))</f>
        <v/>
      </c>
      <c r="D179" s="27" t="str" cm="1">
        <f t="array" ref="D179">IF($O179="","",_xlfn.TEXTJOIN(", ",TRUE,IF(EXACT('Дані_зв''язок'!$J$4:$J$1012,$O179)*('Дані_зв''язок'!$C$4:$C$1012=D$4),'Дані_зв''язок'!$D$4:$D$1012,"")))</f>
        <v/>
      </c>
      <c r="E179" s="27" t="str" cm="1">
        <f t="array" ref="E179">IF($O179="","",_xlfn.TEXTJOIN(", ",TRUE,IF(EXACT('Дані_зв''язок'!$J$4:$J$1012,$O179)*('Дані_зв''язок'!$C$4:$C$1012=E$4),'Дані_зв''язок'!$D$4:$D$1012,"")))</f>
        <v/>
      </c>
      <c r="F179" s="27" t="str" cm="1">
        <f t="array" ref="F179">IF($O179="","",_xlfn.TEXTJOIN(", ",TRUE,IF(EXACT('Дані_зв''язок'!$J$4:$J$1012,$O179)*('Дані_зв''язок'!$C$4:$C$1012=F$4),'Дані_зв''язок'!$D$4:$D$1012,"")))</f>
        <v>12:15</v>
      </c>
      <c r="G179" s="27" t="str" cm="1">
        <f t="array" ref="G179">IF($O179="","",_xlfn.TEXTJOIN(", ",TRUE,IF(EXACT('Дані_зв''язок'!$J$4:$J$1012,$O179)*('Дані_зв''язок'!$C$4:$C$1012=G$4),'Дані_зв''язок'!$D$4:$D$1012,"")))</f>
        <v/>
      </c>
      <c r="H179" s="27" t="str" cm="1">
        <f t="array" ref="H179">IF($O179="","",_xlfn.TEXTJOIN(", ",TRUE,IF(EXACT('Дані_зв''язок'!$J$4:$J$1012,$O179)*('Дані_зв''язок'!$C$4:$C$1012=H$4),'Дані_зв''язок'!$D$4:$D$1012,"")))</f>
        <v/>
      </c>
      <c r="I179" s="27" t="str" cm="1">
        <f t="array" ref="I179">IF($O179="","",_xlfn.TEXTJOIN(", ",TRUE,IF(EXACT('Дані_зв''язок'!$J$4:$J$1012,$O179)*('Дані_зв''язок'!$C$4:$C$1012=I$4),'Дані_зв''язок'!$D$4:$D$1012,"")))</f>
        <v/>
      </c>
      <c r="J179" s="27" cm="1">
        <f t="array" ref="J179">IF($O179="","",COUNTIF(C179:I179,"?*")+SUMPRODUCT(LEN(C179:I179)-LEN(SUBSTITUTE(C179:I179,",",""))))</f>
        <v>1</v>
      </c>
      <c r="K179" s="28" t="str" cm="1">
        <f t="array" ref="K179">IF($O179="","",_xlfn.TEXTJOIN(", ",TRUE,IF(EXACT('Дані_зв''язок'!$J$4:$J$1012,$O179),'Дані_зв''язок'!$L$4:$L$1012,"")))</f>
        <v>№5</v>
      </c>
      <c r="L179" s="28" t="str" cm="1">
        <f t="array" ref="L179">IF($O179="","",_xlfn.TEXTJOIN(", ",TRUE,IF(EXACT('Дані_зв''язок'!$J$4:$J$1012,$O179),'Дані_зв''язок'!$M$4:$M$1012,"")))</f>
        <v>МАЗ 4381</v>
      </c>
      <c r="M179" s="27" t="str" cm="1">
        <f t="array" ref="M179">IF($O179="","",IF(SUMPRODUCT(MAX(EXACT('Дані_зв''язок'!$J$4:$J$1012,$O179)*IFERROR('Дані_зв''язок'!$H$4:$H$1012,0)))=0,"",SUMPRODUCT(MAX(EXACT('Дані_зв''язок'!$J$4:$J$1012,$O179)*IFERROR('Дані_зв''язок'!$H$4:$H$1012,0)))))</f>
        <v/>
      </c>
      <c r="O179" s="30" t="s">
        <v>1277</v>
      </c>
      <c r="P179" s="24" t="str" cm="1">
        <f t="array" ref="P179">IF($O179="","",IF($B179="","",IFERROR(IF(MIN(IFERROR(VALUE(TRIM(MID(SUBSTITUTE(SUBSTITUTE($B179,","," ")," ",REPT(" ",30)),{1;31;61;91;121;151;181},30))),""))=0,"",MIN(IFERROR(VALUE(TRIM(MID(SUBSTITUTE(SUBSTITUTE($B179,","," ")," ",REPT(" ",30)),{1;31;61;91;121;151;181},30))),""))),"")))</f>
        <v/>
      </c>
      <c r="Q179" s="23" t="str">
        <f t="shared" si="8"/>
        <v>Прилуки, Чернігівська обл., вул. Дачна</v>
      </c>
      <c r="R179" s="35">
        <f>IF($O179="","",IFERROR(INDEX('Координати майданчиків'!$H$4:$H$64,MATCH($T179,'Координати майданчиків'!$B$4:$B$64,0)),IFERROR(IF(ABS(INDEX(Геокодування!$C$2:$C$361,MATCH($Q179,Геокодування!$B$2:$B$361,0))-50.5884)+ABS(INDEX(Геокодування!$D$2:$D$361,MATCH($Q179,Геокодування!$B$2:$B$361,0))-32.3876)&gt;0.15,"",INDEX(Геокодування!$C$2:$C$361,MATCH($Q179,Геокодування!$B$2:$B$361,0))),IFERROR(IF(ABS(INDEX(Геокодування!$C$2:$C$361,MATCH("Прилуки, Чернігівська обл., "&amp;$A179,Геокодування!$B$2:$B$361,0))-50.5884)+ABS(INDEX(Геокодування!$D$2:$D$361,MATCH("Прилуки, Чернігівська обл., "&amp;$A179,Геокодування!$B$2:$B$361,0))-32.3876)&gt;0.15,"",INDEX(Геокодування!$C$2:$C$361,MATCH("Прилуки, Чернігівська обл., "&amp;$A179,Геокодування!$B$2:$B$361,0))),""))))</f>
        <v>50.586300999999999</v>
      </c>
      <c r="S179" s="43">
        <f>IF($O179="","",IFERROR(INDEX('Координати майданчиків'!$I$4:$I$64,MATCH($T179,'Координати майданчиків'!$B$4:$B$64,0)),IFERROR(IF(ABS(INDEX(Геокодування!$C$2:$C$361,MATCH($Q179,Геокодування!$B$2:$B$361,0))-50.5884)+ABS(INDEX(Геокодування!$D$2:$D$361,MATCH($Q179,Геокодування!$B$2:$B$361,0))-32.3876)&gt;0.15,"",INDEX(Геокодування!$D$2:$D$361,MATCH($Q179,Геокодування!$B$2:$B$361,0))),IFERROR(IF(ABS(INDEX(Геокодування!$C$2:$C$361,MATCH("Прилуки, Чернігівська обл., "&amp;$A179,Геокодування!$B$2:$B$361,0))-50.5884)+ABS(INDEX(Геокодування!$D$2:$D$361,MATCH("Прилуки, Чернігівська обл., "&amp;$A179,Геокодування!$B$2:$B$361,0))-32.3876)&gt;0.15,"",INDEX(Геокодування!$D$2:$D$361,MATCH("Прилуки, Чернігівська обл., "&amp;$A179,Геокодування!$B$2:$B$361,0))),""))))</f>
        <v>32.427973000000001</v>
      </c>
      <c r="T179" s="44" t="str">
        <f>IF($O179="","",IFERROR(INDEX('Координати майданчиків'!$B$4:$B$64,MATCH($A179&amp;IF($P179="","",", "&amp;$P179),'Координати майданчиків'!$B$4:$B$64,0)),IFERROR(INDEX('Координати майданчиків'!$B$4:$B$64,MATCH($A179,'Координати майданчиків'!$B$4:$B$64,0)),"")))</f>
        <v/>
      </c>
    </row>
    <row r="180" spans="1:20" x14ac:dyDescent="0.35">
      <c r="A180" s="26" t="str">
        <f t="shared" si="6"/>
        <v>вул. Дачна</v>
      </c>
      <c r="B180" s="26" t="str">
        <f t="shared" si="7"/>
        <v>33</v>
      </c>
      <c r="C180" s="27" t="str" cm="1">
        <f t="array" ref="C180">IF($O180="","",_xlfn.TEXTJOIN(", ",TRUE,IF(EXACT('Дані_зв''язок'!$J$4:$J$1012,$O180)*('Дані_зв''язок'!$C$4:$C$1012=C$4),'Дані_зв''язок'!$D$4:$D$1012,"")))</f>
        <v/>
      </c>
      <c r="D180" s="27" t="str" cm="1">
        <f t="array" ref="D180">IF($O180="","",_xlfn.TEXTJOIN(", ",TRUE,IF(EXACT('Дані_зв''язок'!$J$4:$J$1012,$O180)*('Дані_зв''язок'!$C$4:$C$1012=D$4),'Дані_зв''язок'!$D$4:$D$1012,"")))</f>
        <v/>
      </c>
      <c r="E180" s="27" t="str" cm="1">
        <f t="array" ref="E180">IF($O180="","",_xlfn.TEXTJOIN(", ",TRUE,IF(EXACT('Дані_зв''язок'!$J$4:$J$1012,$O180)*('Дані_зв''язок'!$C$4:$C$1012=E$4),'Дані_зв''язок'!$D$4:$D$1012,"")))</f>
        <v/>
      </c>
      <c r="F180" s="27" t="str" cm="1">
        <f t="array" ref="F180">IF($O180="","",_xlfn.TEXTJOIN(", ",TRUE,IF(EXACT('Дані_зв''язок'!$J$4:$J$1012,$O180)*('Дані_зв''язок'!$C$4:$C$1012=F$4),'Дані_зв''язок'!$D$4:$D$1012,"")))</f>
        <v/>
      </c>
      <c r="G180" s="27" t="str" cm="1">
        <f t="array" ref="G180">IF($O180="","",_xlfn.TEXTJOIN(", ",TRUE,IF(EXACT('Дані_зв''язок'!$J$4:$J$1012,$O180)*('Дані_зв''язок'!$C$4:$C$1012=G$4),'Дані_зв''язок'!$D$4:$D$1012,"")))</f>
        <v>7:10</v>
      </c>
      <c r="H180" s="27" t="str" cm="1">
        <f t="array" ref="H180">IF($O180="","",_xlfn.TEXTJOIN(", ",TRUE,IF(EXACT('Дані_зв''язок'!$J$4:$J$1012,$O180)*('Дані_зв''язок'!$C$4:$C$1012=H$4),'Дані_зв''язок'!$D$4:$D$1012,"")))</f>
        <v/>
      </c>
      <c r="I180" s="27" t="str" cm="1">
        <f t="array" ref="I180">IF($O180="","",_xlfn.TEXTJOIN(", ",TRUE,IF(EXACT('Дані_зв''язок'!$J$4:$J$1012,$O180)*('Дані_зв''язок'!$C$4:$C$1012=I$4),'Дані_зв''язок'!$D$4:$D$1012,"")))</f>
        <v/>
      </c>
      <c r="J180" s="27" cm="1">
        <f t="array" ref="J180">IF($O180="","",COUNTIF(C180:I180,"?*")+SUMPRODUCT(LEN(C180:I180)-LEN(SUBSTITUTE(C180:I180,",",""))))</f>
        <v>1</v>
      </c>
      <c r="K180" s="28" t="str" cm="1">
        <f t="array" ref="K180">IF($O180="","",_xlfn.TEXTJOIN(", ",TRUE,IF(EXACT('Дані_зв''язок'!$J$4:$J$1012,$O180),'Дані_зв''язок'!$L$4:$L$1012,"")))</f>
        <v>№3</v>
      </c>
      <c r="L180" s="28" t="str" cm="1">
        <f t="array" ref="L180">IF($O180="","",_xlfn.TEXTJOIN(", ",TRUE,IF(EXACT('Дані_зв''язок'!$J$4:$J$1012,$O180),'Дані_зв''язок'!$M$4:$M$1012,"")))</f>
        <v>МАЗ-4371</v>
      </c>
      <c r="M180" s="27" cm="1">
        <f t="array" ref="M180">IF($O180="","",IF(SUMPRODUCT(MAX(EXACT('Дані_зв''язок'!$J$4:$J$1012,$O180)*IFERROR('Дані_зв''язок'!$H$4:$H$1012,0)))=0,"",SUMPRODUCT(MAX(EXACT('Дані_зв''язок'!$J$4:$J$1012,$O180)*IFERROR('Дані_зв''язок'!$H$4:$H$1012,0)))))</f>
        <v>1</v>
      </c>
      <c r="O180" s="30" t="s">
        <v>1278</v>
      </c>
      <c r="P180" s="24" cm="1">
        <f t="array" ref="P180">IF($O180="","",IF($B180="","",IFERROR(IF(MIN(IFERROR(VALUE(TRIM(MID(SUBSTITUTE(SUBSTITUTE($B180,","," ")," ",REPT(" ",30)),{1;31;61;91;121;151;181},30))),""))=0,"",MIN(IFERROR(VALUE(TRIM(MID(SUBSTITUTE(SUBSTITUTE($B180,","," ")," ",REPT(" ",30)),{1;31;61;91;121;151;181},30))),""))),"")))</f>
        <v>33</v>
      </c>
      <c r="Q180" s="23" t="str">
        <f t="shared" si="8"/>
        <v>Прилуки, Чернігівська обл., вул. Дачна, 33</v>
      </c>
      <c r="R180" s="35">
        <f>IF($O180="","",IFERROR(INDEX('Координати майданчиків'!$H$4:$H$64,MATCH($T180,'Координати майданчиків'!$B$4:$B$64,0)),IFERROR(IF(ABS(INDEX(Геокодування!$C$2:$C$361,MATCH($Q180,Геокодування!$B$2:$B$361,0))-50.5884)+ABS(INDEX(Геокодування!$D$2:$D$361,MATCH($Q180,Геокодування!$B$2:$B$361,0))-32.3876)&gt;0.15,"",INDEX(Геокодування!$C$2:$C$361,MATCH($Q180,Геокодування!$B$2:$B$361,0))),IFERROR(IF(ABS(INDEX(Геокодування!$C$2:$C$361,MATCH("Прилуки, Чернігівська обл., "&amp;$A180,Геокодування!$B$2:$B$361,0))-50.5884)+ABS(INDEX(Геокодування!$D$2:$D$361,MATCH("Прилуки, Чернігівська обл., "&amp;$A180,Геокодування!$B$2:$B$361,0))-32.3876)&gt;0.15,"",INDEX(Геокодування!$C$2:$C$361,MATCH("Прилуки, Чернігівська обл., "&amp;$A180,Геокодування!$B$2:$B$361,0))),""))))</f>
        <v>50.586300999999999</v>
      </c>
      <c r="S180" s="43">
        <f>IF($O180="","",IFERROR(INDEX('Координати майданчиків'!$I$4:$I$64,MATCH($T180,'Координати майданчиків'!$B$4:$B$64,0)),IFERROR(IF(ABS(INDEX(Геокодування!$C$2:$C$361,MATCH($Q180,Геокодування!$B$2:$B$361,0))-50.5884)+ABS(INDEX(Геокодування!$D$2:$D$361,MATCH($Q180,Геокодування!$B$2:$B$361,0))-32.3876)&gt;0.15,"",INDEX(Геокодування!$D$2:$D$361,MATCH($Q180,Геокодування!$B$2:$B$361,0))),IFERROR(IF(ABS(INDEX(Геокодування!$C$2:$C$361,MATCH("Прилуки, Чернігівська обл., "&amp;$A180,Геокодування!$B$2:$B$361,0))-50.5884)+ABS(INDEX(Геокодування!$D$2:$D$361,MATCH("Прилуки, Чернігівська обл., "&amp;$A180,Геокодування!$B$2:$B$361,0))-32.3876)&gt;0.15,"",INDEX(Геокодування!$D$2:$D$361,MATCH("Прилуки, Чернігівська обл., "&amp;$A180,Геокодування!$B$2:$B$361,0))),""))))</f>
        <v>32.427973000000001</v>
      </c>
      <c r="T180" s="44" t="str">
        <f>IF($O180="","",IFERROR(INDEX('Координати майданчиків'!$B$4:$B$64,MATCH($A180&amp;IF($P180="","",", "&amp;$P180),'Координати майданчиків'!$B$4:$B$64,0)),IFERROR(INDEX('Координати майданчиків'!$B$4:$B$64,MATCH($A180,'Координати майданчиків'!$B$4:$B$64,0)),"")))</f>
        <v/>
      </c>
    </row>
    <row r="181" spans="1:20" x14ac:dyDescent="0.35">
      <c r="A181" s="26" t="str">
        <f t="shared" si="6"/>
        <v>вул. Дубинського</v>
      </c>
      <c r="B181" s="26" t="str">
        <f t="shared" si="7"/>
        <v/>
      </c>
      <c r="C181" s="27" t="str" cm="1">
        <f t="array" ref="C181">IF($O181="","",_xlfn.TEXTJOIN(", ",TRUE,IF(EXACT('Дані_зв''язок'!$J$4:$J$1012,$O181)*('Дані_зв''язок'!$C$4:$C$1012=C$4),'Дані_зв''язок'!$D$4:$D$1012,"")))</f>
        <v/>
      </c>
      <c r="D181" s="27" t="str" cm="1">
        <f t="array" ref="D181">IF($O181="","",_xlfn.TEXTJOIN(", ",TRUE,IF(EXACT('Дані_зв''язок'!$J$4:$J$1012,$O181)*('Дані_зв''язок'!$C$4:$C$1012=D$4),'Дані_зв''язок'!$D$4:$D$1012,"")))</f>
        <v/>
      </c>
      <c r="E181" s="27" t="str" cm="1">
        <f t="array" ref="E181">IF($O181="","",_xlfn.TEXTJOIN(", ",TRUE,IF(EXACT('Дані_зв''язок'!$J$4:$J$1012,$O181)*('Дані_зв''язок'!$C$4:$C$1012=E$4),'Дані_зв''язок'!$D$4:$D$1012,"")))</f>
        <v/>
      </c>
      <c r="F181" s="27" t="str" cm="1">
        <f t="array" ref="F181">IF($O181="","",_xlfn.TEXTJOIN(", ",TRUE,IF(EXACT('Дані_зв''язок'!$J$4:$J$1012,$O181)*('Дані_зв''язок'!$C$4:$C$1012=F$4),'Дані_зв''язок'!$D$4:$D$1012,"")))</f>
        <v>14:45</v>
      </c>
      <c r="G181" s="27" t="str" cm="1">
        <f t="array" ref="G181">IF($O181="","",_xlfn.TEXTJOIN(", ",TRUE,IF(EXACT('Дані_зв''язок'!$J$4:$J$1012,$O181)*('Дані_зв''язок'!$C$4:$C$1012=G$4),'Дані_зв''язок'!$D$4:$D$1012,"")))</f>
        <v/>
      </c>
      <c r="H181" s="27" t="str" cm="1">
        <f t="array" ref="H181">IF($O181="","",_xlfn.TEXTJOIN(", ",TRUE,IF(EXACT('Дані_зв''язок'!$J$4:$J$1012,$O181)*('Дані_зв''язок'!$C$4:$C$1012=H$4),'Дані_зв''язок'!$D$4:$D$1012,"")))</f>
        <v/>
      </c>
      <c r="I181" s="27" t="str" cm="1">
        <f t="array" ref="I181">IF($O181="","",_xlfn.TEXTJOIN(", ",TRUE,IF(EXACT('Дані_зв''язок'!$J$4:$J$1012,$O181)*('Дані_зв''язок'!$C$4:$C$1012=I$4),'Дані_зв''язок'!$D$4:$D$1012,"")))</f>
        <v/>
      </c>
      <c r="J181" s="27" cm="1">
        <f t="array" ref="J181">IF($O181="","",COUNTIF(C181:I181,"?*")+SUMPRODUCT(LEN(C181:I181)-LEN(SUBSTITUTE(C181:I181,",",""))))</f>
        <v>1</v>
      </c>
      <c r="K181" s="28" t="str" cm="1">
        <f t="array" ref="K181">IF($O181="","",_xlfn.TEXTJOIN(", ",TRUE,IF(EXACT('Дані_зв''язок'!$J$4:$J$1012,$O181),'Дані_зв''язок'!$L$4:$L$1012,"")))</f>
        <v>№5</v>
      </c>
      <c r="L181" s="28" t="str" cm="1">
        <f t="array" ref="L181">IF($O181="","",_xlfn.TEXTJOIN(", ",TRUE,IF(EXACT('Дані_зв''язок'!$J$4:$J$1012,$O181),'Дані_зв''язок'!$M$4:$M$1012,"")))</f>
        <v>МАЗ 4381</v>
      </c>
      <c r="M181" s="27" t="str" cm="1">
        <f t="array" ref="M181">IF($O181="","",IF(SUMPRODUCT(MAX(EXACT('Дані_зв''язок'!$J$4:$J$1012,$O181)*IFERROR('Дані_зв''язок'!$H$4:$H$1012,0)))=0,"",SUMPRODUCT(MAX(EXACT('Дані_зв''язок'!$J$4:$J$1012,$O181)*IFERROR('Дані_зв''язок'!$H$4:$H$1012,0)))))</f>
        <v/>
      </c>
      <c r="O181" s="30" t="s">
        <v>1281</v>
      </c>
      <c r="P181" s="24" t="str" cm="1">
        <f t="array" ref="P181">IF($O181="","",IF($B181="","",IFERROR(IF(MIN(IFERROR(VALUE(TRIM(MID(SUBSTITUTE(SUBSTITUTE($B181,","," ")," ",REPT(" ",30)),{1;31;61;91;121;151;181},30))),""))=0,"",MIN(IFERROR(VALUE(TRIM(MID(SUBSTITUTE(SUBSTITUTE($B181,","," ")," ",REPT(" ",30)),{1;31;61;91;121;151;181},30))),""))),"")))</f>
        <v/>
      </c>
      <c r="Q181" s="23" t="str">
        <f t="shared" si="8"/>
        <v>Прилуки, Чернігівська обл., вул. Дубинського</v>
      </c>
      <c r="R181" s="35">
        <f>IF($O181="","",IFERROR(INDEX('Координати майданчиків'!$H$4:$H$64,MATCH($T181,'Координати майданчиків'!$B$4:$B$64,0)),IFERROR(IF(ABS(INDEX(Геокодування!$C$2:$C$361,MATCH($Q181,Геокодування!$B$2:$B$361,0))-50.5884)+ABS(INDEX(Геокодування!$D$2:$D$361,MATCH($Q181,Геокодування!$B$2:$B$361,0))-32.3876)&gt;0.15,"",INDEX(Геокодування!$C$2:$C$361,MATCH($Q181,Геокодування!$B$2:$B$361,0))),IFERROR(IF(ABS(INDEX(Геокодування!$C$2:$C$361,MATCH("Прилуки, Чернігівська обл., "&amp;$A181,Геокодування!$B$2:$B$361,0))-50.5884)+ABS(INDEX(Геокодування!$D$2:$D$361,MATCH("Прилуки, Чернігівська обл., "&amp;$A181,Геокодування!$B$2:$B$361,0))-32.3876)&gt;0.15,"",INDEX(Геокодування!$C$2:$C$361,MATCH("Прилуки, Чернігівська обл., "&amp;$A181,Геокодування!$B$2:$B$361,0))),""))))</f>
        <v>50.581904999999999</v>
      </c>
      <c r="S181" s="43">
        <f>IF($O181="","",IFERROR(INDEX('Координати майданчиків'!$I$4:$I$64,MATCH($T181,'Координати майданчиків'!$B$4:$B$64,0)),IFERROR(IF(ABS(INDEX(Геокодування!$C$2:$C$361,MATCH($Q181,Геокодування!$B$2:$B$361,0))-50.5884)+ABS(INDEX(Геокодування!$D$2:$D$361,MATCH($Q181,Геокодування!$B$2:$B$361,0))-32.3876)&gt;0.15,"",INDEX(Геокодування!$D$2:$D$361,MATCH($Q181,Геокодування!$B$2:$B$361,0))),IFERROR(IF(ABS(INDEX(Геокодування!$C$2:$C$361,MATCH("Прилуки, Чернігівська обл., "&amp;$A181,Геокодування!$B$2:$B$361,0))-50.5884)+ABS(INDEX(Геокодування!$D$2:$D$361,MATCH("Прилуки, Чернігівська обл., "&amp;$A181,Геокодування!$B$2:$B$361,0))-32.3876)&gt;0.15,"",INDEX(Геокодування!$D$2:$D$361,MATCH("Прилуки, Чернігівська обл., "&amp;$A181,Геокодування!$B$2:$B$361,0))),""))))</f>
        <v>32.383752999999999</v>
      </c>
      <c r="T181" s="44" t="str">
        <f>IF($O181="","",IFERROR(INDEX('Координати майданчиків'!$B$4:$B$64,MATCH($A181&amp;IF($P181="","",", "&amp;$P181),'Координати майданчиків'!$B$4:$B$64,0)),IFERROR(INDEX('Координати майданчиків'!$B$4:$B$64,MATCH($A181,'Координати майданчиків'!$B$4:$B$64,0)),"")))</f>
        <v/>
      </c>
    </row>
    <row r="182" spans="1:20" x14ac:dyDescent="0.35">
      <c r="A182" s="26" t="str">
        <f t="shared" si="6"/>
        <v>вул. Дідівська</v>
      </c>
      <c r="B182" s="26" t="str">
        <f t="shared" si="7"/>
        <v>2,4  16</v>
      </c>
      <c r="C182" s="27" t="str" cm="1">
        <f t="array" ref="C182">IF($O182="","",_xlfn.TEXTJOIN(", ",TRUE,IF(EXACT('Дані_зв''язок'!$J$4:$J$1012,$O182)*('Дані_зв''язок'!$C$4:$C$1012=C$4),'Дані_зв''язок'!$D$4:$D$1012,"")))</f>
        <v/>
      </c>
      <c r="D182" s="27" t="str" cm="1">
        <f t="array" ref="D182">IF($O182="","",_xlfn.TEXTJOIN(", ",TRUE,IF(EXACT('Дані_зв''язок'!$J$4:$J$1012,$O182)*('Дані_зв''язок'!$C$4:$C$1012=D$4),'Дані_зв''язок'!$D$4:$D$1012,"")))</f>
        <v/>
      </c>
      <c r="E182" s="27" t="str" cm="1">
        <f t="array" ref="E182">IF($O182="","",_xlfn.TEXTJOIN(", ",TRUE,IF(EXACT('Дані_зв''язок'!$J$4:$J$1012,$O182)*('Дані_зв''язок'!$C$4:$C$1012=E$4),'Дані_зв''язок'!$D$4:$D$1012,"")))</f>
        <v/>
      </c>
      <c r="F182" s="27" t="str" cm="1">
        <f t="array" ref="F182">IF($O182="","",_xlfn.TEXTJOIN(", ",TRUE,IF(EXACT('Дані_зв''язок'!$J$4:$J$1012,$O182)*('Дані_зв''язок'!$C$4:$C$1012=F$4),'Дані_зв''язок'!$D$4:$D$1012,"")))</f>
        <v>14:35</v>
      </c>
      <c r="G182" s="27" t="str" cm="1">
        <f t="array" ref="G182">IF($O182="","",_xlfn.TEXTJOIN(", ",TRUE,IF(EXACT('Дані_зв''язок'!$J$4:$J$1012,$O182)*('Дані_зв''язок'!$C$4:$C$1012=G$4),'Дані_зв''язок'!$D$4:$D$1012,"")))</f>
        <v/>
      </c>
      <c r="H182" s="27" t="str" cm="1">
        <f t="array" ref="H182">IF($O182="","",_xlfn.TEXTJOIN(", ",TRUE,IF(EXACT('Дані_зв''язок'!$J$4:$J$1012,$O182)*('Дані_зв''язок'!$C$4:$C$1012=H$4),'Дані_зв''язок'!$D$4:$D$1012,"")))</f>
        <v/>
      </c>
      <c r="I182" s="27" t="str" cm="1">
        <f t="array" ref="I182">IF($O182="","",_xlfn.TEXTJOIN(", ",TRUE,IF(EXACT('Дані_зв''язок'!$J$4:$J$1012,$O182)*('Дані_зв''язок'!$C$4:$C$1012=I$4),'Дані_зв''язок'!$D$4:$D$1012,"")))</f>
        <v/>
      </c>
      <c r="J182" s="27" cm="1">
        <f t="array" ref="J182">IF($O182="","",COUNTIF(C182:I182,"?*")+SUMPRODUCT(LEN(C182:I182)-LEN(SUBSTITUTE(C182:I182,",",""))))</f>
        <v>1</v>
      </c>
      <c r="K182" s="28" t="str" cm="1">
        <f t="array" ref="K182">IF($O182="","",_xlfn.TEXTJOIN(", ",TRUE,IF(EXACT('Дані_зв''язок'!$J$4:$J$1012,$O182),'Дані_зв''язок'!$L$4:$L$1012,"")))</f>
        <v>№6</v>
      </c>
      <c r="L182" s="28" t="str" cm="1">
        <f t="array" ref="L182">IF($O182="","",_xlfn.TEXTJOIN(", ",TRUE,IF(EXACT('Дані_зв''язок'!$J$4:$J$1012,$O182),'Дані_зв''язок'!$M$4:$M$1012,"")))</f>
        <v>АТ 4021</v>
      </c>
      <c r="M182" s="27" t="str" cm="1">
        <f t="array" ref="M182">IF($O182="","",IF(SUMPRODUCT(MAX(EXACT('Дані_зв''язок'!$J$4:$J$1012,$O182)*IFERROR('Дані_зв''язок'!$H$4:$H$1012,0)))=0,"",SUMPRODUCT(MAX(EXACT('Дані_зв''язок'!$J$4:$J$1012,$O182)*IFERROR('Дані_зв''язок'!$H$4:$H$1012,0)))))</f>
        <v/>
      </c>
      <c r="O182" s="30" t="s">
        <v>1279</v>
      </c>
      <c r="P182" s="24" cm="1">
        <f t="array" ref="P182">IF($O182="","",IF($B182="","",IFERROR(IF(MIN(IFERROR(VALUE(TRIM(MID(SUBSTITUTE(SUBSTITUTE($B182,","," ")," ",REPT(" ",30)),{1;31;61;91;121;151;181},30))),""))=0,"",MIN(IFERROR(VALUE(TRIM(MID(SUBSTITUTE(SUBSTITUTE($B182,","," ")," ",REPT(" ",30)),{1;31;61;91;121;151;181},30))),""))),"")))</f>
        <v>2</v>
      </c>
      <c r="Q182" s="23" t="str">
        <f t="shared" si="8"/>
        <v>Прилуки, Чернігівська обл., вул. Дідівська, 2</v>
      </c>
      <c r="R182" s="35">
        <f>IF($O182="","",IFERROR(INDEX('Координати майданчиків'!$H$4:$H$64,MATCH($T182,'Координати майданчиків'!$B$4:$B$64,0)),IFERROR(IF(ABS(INDEX(Геокодування!$C$2:$C$361,MATCH($Q182,Геокодування!$B$2:$B$361,0))-50.5884)+ABS(INDEX(Геокодування!$D$2:$D$361,MATCH($Q182,Геокодування!$B$2:$B$361,0))-32.3876)&gt;0.15,"",INDEX(Геокодування!$C$2:$C$361,MATCH($Q182,Геокодування!$B$2:$B$361,0))),IFERROR(IF(ABS(INDEX(Геокодування!$C$2:$C$361,MATCH("Прилуки, Чернігівська обл., "&amp;$A182,Геокодування!$B$2:$B$361,0))-50.5884)+ABS(INDEX(Геокодування!$D$2:$D$361,MATCH("Прилуки, Чернігівська обл., "&amp;$A182,Геокодування!$B$2:$B$361,0))-32.3876)&gt;0.15,"",INDEX(Геокодування!$C$2:$C$361,MATCH("Прилуки, Чернігівська обл., "&amp;$A182,Геокодування!$B$2:$B$361,0))),""))))</f>
        <v>50.574120000000001</v>
      </c>
      <c r="S182" s="43">
        <f>IF($O182="","",IFERROR(INDEX('Координати майданчиків'!$I$4:$I$64,MATCH($T182,'Координати майданчиків'!$B$4:$B$64,0)),IFERROR(IF(ABS(INDEX(Геокодування!$C$2:$C$361,MATCH($Q182,Геокодування!$B$2:$B$361,0))-50.5884)+ABS(INDEX(Геокодування!$D$2:$D$361,MATCH($Q182,Геокодування!$B$2:$B$361,0))-32.3876)&gt;0.15,"",INDEX(Геокодування!$D$2:$D$361,MATCH($Q182,Геокодування!$B$2:$B$361,0))),IFERROR(IF(ABS(INDEX(Геокодування!$C$2:$C$361,MATCH("Прилуки, Чернігівська обл., "&amp;$A182,Геокодування!$B$2:$B$361,0))-50.5884)+ABS(INDEX(Геокодування!$D$2:$D$361,MATCH("Прилуки, Чернігівська обл., "&amp;$A182,Геокодування!$B$2:$B$361,0))-32.3876)&gt;0.15,"",INDEX(Геокодування!$D$2:$D$361,MATCH("Прилуки, Чернігівська обл., "&amp;$A182,Геокодування!$B$2:$B$361,0))),""))))</f>
        <v>32.420014000000002</v>
      </c>
      <c r="T182" s="44" t="str">
        <f>IF($O182="","",IFERROR(INDEX('Координати майданчиків'!$B$4:$B$64,MATCH($A182&amp;IF($P182="","",", "&amp;$P182),'Координати майданчиків'!$B$4:$B$64,0)),IFERROR(INDEX('Координати майданчиків'!$B$4:$B$64,MATCH($A182,'Координати майданчиків'!$B$4:$B$64,0)),"")))</f>
        <v/>
      </c>
    </row>
    <row r="183" spans="1:20" x14ac:dyDescent="0.35">
      <c r="A183" s="26" t="str">
        <f t="shared" si="6"/>
        <v>вул. Дідівська</v>
      </c>
      <c r="B183" s="26" t="str">
        <f t="shared" si="7"/>
        <v>35,47  55,61</v>
      </c>
      <c r="C183" s="27" t="str" cm="1">
        <f t="array" ref="C183">IF($O183="","",_xlfn.TEXTJOIN(", ",TRUE,IF(EXACT('Дані_зв''язок'!$J$4:$J$1012,$O183)*('Дані_зв''язок'!$C$4:$C$1012=C$4),'Дані_зв''язок'!$D$4:$D$1012,"")))</f>
        <v/>
      </c>
      <c r="D183" s="27" t="str" cm="1">
        <f t="array" ref="D183">IF($O183="","",_xlfn.TEXTJOIN(", ",TRUE,IF(EXACT('Дані_зв''язок'!$J$4:$J$1012,$O183)*('Дані_зв''язок'!$C$4:$C$1012=D$4),'Дані_зв''язок'!$D$4:$D$1012,"")))</f>
        <v/>
      </c>
      <c r="E183" s="27" t="str" cm="1">
        <f t="array" ref="E183">IF($O183="","",_xlfn.TEXTJOIN(", ",TRUE,IF(EXACT('Дані_зв''язок'!$J$4:$J$1012,$O183)*('Дані_зв''язок'!$C$4:$C$1012=E$4),'Дані_зв''язок'!$D$4:$D$1012,"")))</f>
        <v>14:30</v>
      </c>
      <c r="F183" s="27" t="str" cm="1">
        <f t="array" ref="F183">IF($O183="","",_xlfn.TEXTJOIN(", ",TRUE,IF(EXACT('Дані_зв''язок'!$J$4:$J$1012,$O183)*('Дані_зв''язок'!$C$4:$C$1012=F$4),'Дані_зв''язок'!$D$4:$D$1012,"")))</f>
        <v/>
      </c>
      <c r="G183" s="27" t="str" cm="1">
        <f t="array" ref="G183">IF($O183="","",_xlfn.TEXTJOIN(", ",TRUE,IF(EXACT('Дані_зв''язок'!$J$4:$J$1012,$O183)*('Дані_зв''язок'!$C$4:$C$1012=G$4),'Дані_зв''язок'!$D$4:$D$1012,"")))</f>
        <v/>
      </c>
      <c r="H183" s="27" t="str" cm="1">
        <f t="array" ref="H183">IF($O183="","",_xlfn.TEXTJOIN(", ",TRUE,IF(EXACT('Дані_зв''язок'!$J$4:$J$1012,$O183)*('Дані_зв''язок'!$C$4:$C$1012=H$4),'Дані_зв''язок'!$D$4:$D$1012,"")))</f>
        <v/>
      </c>
      <c r="I183" s="27" t="str" cm="1">
        <f t="array" ref="I183">IF($O183="","",_xlfn.TEXTJOIN(", ",TRUE,IF(EXACT('Дані_зв''язок'!$J$4:$J$1012,$O183)*('Дані_зв''язок'!$C$4:$C$1012=I$4),'Дані_зв''язок'!$D$4:$D$1012,"")))</f>
        <v/>
      </c>
      <c r="J183" s="27" cm="1">
        <f t="array" ref="J183">IF($O183="","",COUNTIF(C183:I183,"?*")+SUMPRODUCT(LEN(C183:I183)-LEN(SUBSTITUTE(C183:I183,",",""))))</f>
        <v>1</v>
      </c>
      <c r="K183" s="28" t="str" cm="1">
        <f t="array" ref="K183">IF($O183="","",_xlfn.TEXTJOIN(", ",TRUE,IF(EXACT('Дані_зв''язок'!$J$4:$J$1012,$O183),'Дані_зв''язок'!$L$4:$L$1012,"")))</f>
        <v>№6</v>
      </c>
      <c r="L183" s="28" t="str" cm="1">
        <f t="array" ref="L183">IF($O183="","",_xlfn.TEXTJOIN(", ",TRUE,IF(EXACT('Дані_зв''язок'!$J$4:$J$1012,$O183),'Дані_зв''язок'!$M$4:$M$1012,"")))</f>
        <v>АТ 4021</v>
      </c>
      <c r="M183" s="27" t="str" cm="1">
        <f t="array" ref="M183">IF($O183="","",IF(SUMPRODUCT(MAX(EXACT('Дані_зв''язок'!$J$4:$J$1012,$O183)*IFERROR('Дані_зв''язок'!$H$4:$H$1012,0)))=0,"",SUMPRODUCT(MAX(EXACT('Дані_зв''язок'!$J$4:$J$1012,$O183)*IFERROR('Дані_зв''язок'!$H$4:$H$1012,0)))))</f>
        <v/>
      </c>
      <c r="O183" s="30" t="s">
        <v>1280</v>
      </c>
      <c r="P183" s="24" cm="1">
        <f t="array" ref="P183">IF($O183="","",IF($B183="","",IFERROR(IF(MIN(IFERROR(VALUE(TRIM(MID(SUBSTITUTE(SUBSTITUTE($B183,","," ")," ",REPT(" ",30)),{1;31;61;91;121;151;181},30))),""))=0,"",MIN(IFERROR(VALUE(TRIM(MID(SUBSTITUTE(SUBSTITUTE($B183,","," ")," ",REPT(" ",30)),{1;31;61;91;121;151;181},30))),""))),"")))</f>
        <v>35</v>
      </c>
      <c r="Q183" s="23" t="str">
        <f t="shared" si="8"/>
        <v>Прилуки, Чернігівська обл., вул. Дідівська, 35</v>
      </c>
      <c r="R183" s="35">
        <f>IF($O183="","",IFERROR(INDEX('Координати майданчиків'!$H$4:$H$64,MATCH($T183,'Координати майданчиків'!$B$4:$B$64,0)),IFERROR(IF(ABS(INDEX(Геокодування!$C$2:$C$361,MATCH($Q183,Геокодування!$B$2:$B$361,0))-50.5884)+ABS(INDEX(Геокодування!$D$2:$D$361,MATCH($Q183,Геокодування!$B$2:$B$361,0))-32.3876)&gt;0.15,"",INDEX(Геокодування!$C$2:$C$361,MATCH($Q183,Геокодування!$B$2:$B$361,0))),IFERROR(IF(ABS(INDEX(Геокодування!$C$2:$C$361,MATCH("Прилуки, Чернігівська обл., "&amp;$A183,Геокодування!$B$2:$B$361,0))-50.5884)+ABS(INDEX(Геокодування!$D$2:$D$361,MATCH("Прилуки, Чернігівська обл., "&amp;$A183,Геокодування!$B$2:$B$361,0))-32.3876)&gt;0.15,"",INDEX(Геокодування!$C$2:$C$361,MATCH("Прилуки, Чернігівська обл., "&amp;$A183,Геокодування!$B$2:$B$361,0))),""))))</f>
        <v>50.574120000000001</v>
      </c>
      <c r="S183" s="43">
        <f>IF($O183="","",IFERROR(INDEX('Координати майданчиків'!$I$4:$I$64,MATCH($T183,'Координати майданчиків'!$B$4:$B$64,0)),IFERROR(IF(ABS(INDEX(Геокодування!$C$2:$C$361,MATCH($Q183,Геокодування!$B$2:$B$361,0))-50.5884)+ABS(INDEX(Геокодування!$D$2:$D$361,MATCH($Q183,Геокодування!$B$2:$B$361,0))-32.3876)&gt;0.15,"",INDEX(Геокодування!$D$2:$D$361,MATCH($Q183,Геокодування!$B$2:$B$361,0))),IFERROR(IF(ABS(INDEX(Геокодування!$C$2:$C$361,MATCH("Прилуки, Чернігівська обл., "&amp;$A183,Геокодування!$B$2:$B$361,0))-50.5884)+ABS(INDEX(Геокодування!$D$2:$D$361,MATCH("Прилуки, Чернігівська обл., "&amp;$A183,Геокодування!$B$2:$B$361,0))-32.3876)&gt;0.15,"",INDEX(Геокодування!$D$2:$D$361,MATCH("Прилуки, Чернігівська обл., "&amp;$A183,Геокодування!$B$2:$B$361,0))),""))))</f>
        <v>32.420014000000002</v>
      </c>
      <c r="T183" s="44" t="str">
        <f>IF($O183="","",IFERROR(INDEX('Координати майданчиків'!$B$4:$B$64,MATCH($A183&amp;IF($P183="","",", "&amp;$P183),'Координати майданчиків'!$B$4:$B$64,0)),IFERROR(INDEX('Координати майданчиків'!$B$4:$B$64,MATCH($A183,'Координати майданчиків'!$B$4:$B$64,0)),"")))</f>
        <v/>
      </c>
    </row>
    <row r="184" spans="1:20" x14ac:dyDescent="0.35">
      <c r="A184" s="26" t="str">
        <f t="shared" si="6"/>
        <v>вул. Ждановича</v>
      </c>
      <c r="B184" s="26" t="str">
        <f t="shared" si="7"/>
        <v/>
      </c>
      <c r="C184" s="27" t="str" cm="1">
        <f t="array" ref="C184">IF($O184="","",_xlfn.TEXTJOIN(", ",TRUE,IF(EXACT('Дані_зв''язок'!$J$4:$J$1012,$O184)*('Дані_зв''язок'!$C$4:$C$1012=C$4),'Дані_зв''язок'!$D$4:$D$1012,"")))</f>
        <v/>
      </c>
      <c r="D184" s="27" t="str" cm="1">
        <f t="array" ref="D184">IF($O184="","",_xlfn.TEXTJOIN(", ",TRUE,IF(EXACT('Дані_зв''язок'!$J$4:$J$1012,$O184)*('Дані_зв''язок'!$C$4:$C$1012=D$4),'Дані_зв''язок'!$D$4:$D$1012,"")))</f>
        <v/>
      </c>
      <c r="E184" s="27" t="str" cm="1">
        <f t="array" ref="E184">IF($O184="","",_xlfn.TEXTJOIN(", ",TRUE,IF(EXACT('Дані_зв''язок'!$J$4:$J$1012,$O184)*('Дані_зв''язок'!$C$4:$C$1012=E$4),'Дані_зв''язок'!$D$4:$D$1012,"")))</f>
        <v/>
      </c>
      <c r="F184" s="27" t="str" cm="1">
        <f t="array" ref="F184">IF($O184="","",_xlfn.TEXTJOIN(", ",TRUE,IF(EXACT('Дані_зв''язок'!$J$4:$J$1012,$O184)*('Дані_зв''язок'!$C$4:$C$1012=F$4),'Дані_зв''язок'!$D$4:$D$1012,"")))</f>
        <v/>
      </c>
      <c r="G184" s="27" t="str" cm="1">
        <f t="array" ref="G184">IF($O184="","",_xlfn.TEXTJOIN(", ",TRUE,IF(EXACT('Дані_зв''язок'!$J$4:$J$1012,$O184)*('Дані_зв''язок'!$C$4:$C$1012=G$4),'Дані_зв''язок'!$D$4:$D$1012,"")))</f>
        <v>8:10, 9:30</v>
      </c>
      <c r="H184" s="27" t="str" cm="1">
        <f t="array" ref="H184">IF($O184="","",_xlfn.TEXTJOIN(", ",TRUE,IF(EXACT('Дані_зв''язок'!$J$4:$J$1012,$O184)*('Дані_зв''язок'!$C$4:$C$1012=H$4),'Дані_зв''язок'!$D$4:$D$1012,"")))</f>
        <v/>
      </c>
      <c r="I184" s="27" t="str" cm="1">
        <f t="array" ref="I184">IF($O184="","",_xlfn.TEXTJOIN(", ",TRUE,IF(EXACT('Дані_зв''язок'!$J$4:$J$1012,$O184)*('Дані_зв''язок'!$C$4:$C$1012=I$4),'Дані_зв''язок'!$D$4:$D$1012,"")))</f>
        <v/>
      </c>
      <c r="J184" s="27" cm="1">
        <f t="array" ref="J184">IF($O184="","",COUNTIF(C184:I184,"?*")+SUMPRODUCT(LEN(C184:I184)-LEN(SUBSTITUTE(C184:I184,",",""))))</f>
        <v>2</v>
      </c>
      <c r="K184" s="28" t="str" cm="1">
        <f t="array" ref="K184">IF($O184="","",_xlfn.TEXTJOIN(", ",TRUE,IF(EXACT('Дані_зв''язок'!$J$4:$J$1012,$O184),'Дані_зв''язок'!$L$4:$L$1012,"")))</f>
        <v>№5</v>
      </c>
      <c r="L184" s="28" t="str" cm="1">
        <f t="array" ref="L184">IF($O184="","",_xlfn.TEXTJOIN(", ",TRUE,IF(EXACT('Дані_зв''язок'!$J$4:$J$1012,$O184),'Дані_зв''язок'!$M$4:$M$1012,"")))</f>
        <v>МАЗ 4381</v>
      </c>
      <c r="M184" s="27" t="str" cm="1">
        <f t="array" ref="M184">IF($O184="","",IF(SUMPRODUCT(MAX(EXACT('Дані_зв''язок'!$J$4:$J$1012,$O184)*IFERROR('Дані_зв''язок'!$H$4:$H$1012,0)))=0,"",SUMPRODUCT(MAX(EXACT('Дані_зв''язок'!$J$4:$J$1012,$O184)*IFERROR('Дані_зв''язок'!$H$4:$H$1012,0)))))</f>
        <v/>
      </c>
      <c r="O184" s="30" t="s">
        <v>1289</v>
      </c>
      <c r="P184" s="24" t="str" cm="1">
        <f t="array" ref="P184">IF($O184="","",IF($B184="","",IFERROR(IF(MIN(IFERROR(VALUE(TRIM(MID(SUBSTITUTE(SUBSTITUTE($B184,","," ")," ",REPT(" ",30)),{1;31;61;91;121;151;181},30))),""))=0,"",MIN(IFERROR(VALUE(TRIM(MID(SUBSTITUTE(SUBSTITUTE($B184,","," ")," ",REPT(" ",30)),{1;31;61;91;121;151;181},30))),""))),"")))</f>
        <v/>
      </c>
      <c r="Q184" s="23" t="str">
        <f t="shared" si="8"/>
        <v>Прилуки, Чернігівська обл., вул. Ждановича</v>
      </c>
      <c r="R184" s="35">
        <f>IF($O184="","",IFERROR(INDEX('Координати майданчиків'!$H$4:$H$64,MATCH($T184,'Координати майданчиків'!$B$4:$B$64,0)),IFERROR(IF(ABS(INDEX(Геокодування!$C$2:$C$361,MATCH($Q184,Геокодування!$B$2:$B$361,0))-50.5884)+ABS(INDEX(Геокодування!$D$2:$D$361,MATCH($Q184,Геокодування!$B$2:$B$361,0))-32.3876)&gt;0.15,"",INDEX(Геокодування!$C$2:$C$361,MATCH($Q184,Геокодування!$B$2:$B$361,0))),IFERROR(IF(ABS(INDEX(Геокодування!$C$2:$C$361,MATCH("Прилуки, Чернігівська обл., "&amp;$A184,Геокодування!$B$2:$B$361,0))-50.5884)+ABS(INDEX(Геокодування!$D$2:$D$361,MATCH("Прилуки, Чернігівська обл., "&amp;$A184,Геокодування!$B$2:$B$361,0))-32.3876)&gt;0.15,"",INDEX(Геокодування!$C$2:$C$361,MATCH("Прилуки, Чернігівська обл., "&amp;$A184,Геокодування!$B$2:$B$361,0))),""))))</f>
        <v>50.596513999999999</v>
      </c>
      <c r="S184" s="43">
        <f>IF($O184="","",IFERROR(INDEX('Координати майданчиків'!$I$4:$I$64,MATCH($T184,'Координати майданчиків'!$B$4:$B$64,0)),IFERROR(IF(ABS(INDEX(Геокодування!$C$2:$C$361,MATCH($Q184,Геокодування!$B$2:$B$361,0))-50.5884)+ABS(INDEX(Геокодування!$D$2:$D$361,MATCH($Q184,Геокодування!$B$2:$B$361,0))-32.3876)&gt;0.15,"",INDEX(Геокодування!$D$2:$D$361,MATCH($Q184,Геокодування!$B$2:$B$361,0))),IFERROR(IF(ABS(INDEX(Геокодування!$C$2:$C$361,MATCH("Прилуки, Чернігівська обл., "&amp;$A184,Геокодування!$B$2:$B$361,0))-50.5884)+ABS(INDEX(Геокодування!$D$2:$D$361,MATCH("Прилуки, Чернігівська обл., "&amp;$A184,Геокодування!$B$2:$B$361,0))-32.3876)&gt;0.15,"",INDEX(Геокодування!$D$2:$D$361,MATCH("Прилуки, Чернігівська обл., "&amp;$A184,Геокодування!$B$2:$B$361,0))),""))))</f>
        <v>32.345258000000001</v>
      </c>
      <c r="T184" s="44" t="str">
        <f>IF($O184="","",IFERROR(INDEX('Координати майданчиків'!$B$4:$B$64,MATCH($A184&amp;IF($P184="","",", "&amp;$P184),'Координати майданчиків'!$B$4:$B$64,0)),IFERROR(INDEX('Координати майданчиків'!$B$4:$B$64,MATCH($A184,'Координати майданчиків'!$B$4:$B$64,0)),"")))</f>
        <v/>
      </c>
    </row>
    <row r="185" spans="1:20" x14ac:dyDescent="0.35">
      <c r="A185" s="26" t="str">
        <f t="shared" si="6"/>
        <v>вул. Житня</v>
      </c>
      <c r="B185" s="26" t="str">
        <f t="shared" si="7"/>
        <v/>
      </c>
      <c r="C185" s="27" t="str" cm="1">
        <f t="array" ref="C185">IF($O185="","",_xlfn.TEXTJOIN(", ",TRUE,IF(EXACT('Дані_зв''язок'!$J$4:$J$1012,$O185)*('Дані_зв''язок'!$C$4:$C$1012=C$4),'Дані_зв''язок'!$D$4:$D$1012,"")))</f>
        <v/>
      </c>
      <c r="D185" s="27" t="str" cm="1">
        <f t="array" ref="D185">IF($O185="","",_xlfn.TEXTJOIN(", ",TRUE,IF(EXACT('Дані_зв''язок'!$J$4:$J$1012,$O185)*('Дані_зв''язок'!$C$4:$C$1012=D$4),'Дані_зв''язок'!$D$4:$D$1012,"")))</f>
        <v/>
      </c>
      <c r="E185" s="27" t="str" cm="1">
        <f t="array" ref="E185">IF($O185="","",_xlfn.TEXTJOIN(", ",TRUE,IF(EXACT('Дані_зв''язок'!$J$4:$J$1012,$O185)*('Дані_зв''язок'!$C$4:$C$1012=E$4),'Дані_зв''язок'!$D$4:$D$1012,"")))</f>
        <v/>
      </c>
      <c r="F185" s="27" t="str" cm="1">
        <f t="array" ref="F185">IF($O185="","",_xlfn.TEXTJOIN(", ",TRUE,IF(EXACT('Дані_зв''язок'!$J$4:$J$1012,$O185)*('Дані_зв''язок'!$C$4:$C$1012=F$4),'Дані_зв''язок'!$D$4:$D$1012,"")))</f>
        <v>12:25</v>
      </c>
      <c r="G185" s="27" t="str" cm="1">
        <f t="array" ref="G185">IF($O185="","",_xlfn.TEXTJOIN(", ",TRUE,IF(EXACT('Дані_зв''язок'!$J$4:$J$1012,$O185)*('Дані_зв''язок'!$C$4:$C$1012=G$4),'Дані_зв''язок'!$D$4:$D$1012,"")))</f>
        <v/>
      </c>
      <c r="H185" s="27" t="str" cm="1">
        <f t="array" ref="H185">IF($O185="","",_xlfn.TEXTJOIN(", ",TRUE,IF(EXACT('Дані_зв''язок'!$J$4:$J$1012,$O185)*('Дані_зв''язок'!$C$4:$C$1012=H$4),'Дані_зв''язок'!$D$4:$D$1012,"")))</f>
        <v/>
      </c>
      <c r="I185" s="27" t="str" cm="1">
        <f t="array" ref="I185">IF($O185="","",_xlfn.TEXTJOIN(", ",TRUE,IF(EXACT('Дані_зв''язок'!$J$4:$J$1012,$O185)*('Дані_зв''язок'!$C$4:$C$1012=I$4),'Дані_зв''язок'!$D$4:$D$1012,"")))</f>
        <v/>
      </c>
      <c r="J185" s="27" cm="1">
        <f t="array" ref="J185">IF($O185="","",COUNTIF(C185:I185,"?*")+SUMPRODUCT(LEN(C185:I185)-LEN(SUBSTITUTE(C185:I185,",",""))))</f>
        <v>1</v>
      </c>
      <c r="K185" s="28" t="str" cm="1">
        <f t="array" ref="K185">IF($O185="","",_xlfn.TEXTJOIN(", ",TRUE,IF(EXACT('Дані_зв''язок'!$J$4:$J$1012,$O185),'Дані_зв''язок'!$L$4:$L$1012,"")))</f>
        <v>№5</v>
      </c>
      <c r="L185" s="28" t="str" cm="1">
        <f t="array" ref="L185">IF($O185="","",_xlfn.TEXTJOIN(", ",TRUE,IF(EXACT('Дані_зв''язок'!$J$4:$J$1012,$O185),'Дані_зв''язок'!$M$4:$M$1012,"")))</f>
        <v>МАЗ 4381</v>
      </c>
      <c r="M185" s="27" t="str" cm="1">
        <f t="array" ref="M185">IF($O185="","",IF(SUMPRODUCT(MAX(EXACT('Дані_зв''язок'!$J$4:$J$1012,$O185)*IFERROR('Дані_зв''язок'!$H$4:$H$1012,0)))=0,"",SUMPRODUCT(MAX(EXACT('Дані_зв''язок'!$J$4:$J$1012,$O185)*IFERROR('Дані_зв''язок'!$H$4:$H$1012,0)))))</f>
        <v/>
      </c>
      <c r="O185" s="30" t="s">
        <v>1290</v>
      </c>
      <c r="P185" s="24" t="str" cm="1">
        <f t="array" ref="P185">IF($O185="","",IF($B185="","",IFERROR(IF(MIN(IFERROR(VALUE(TRIM(MID(SUBSTITUTE(SUBSTITUTE($B185,","," ")," ",REPT(" ",30)),{1;31;61;91;121;151;181},30))),""))=0,"",MIN(IFERROR(VALUE(TRIM(MID(SUBSTITUTE(SUBSTITUTE($B185,","," ")," ",REPT(" ",30)),{1;31;61;91;121;151;181},30))),""))),"")))</f>
        <v/>
      </c>
      <c r="Q185" s="23" t="str">
        <f t="shared" si="8"/>
        <v>Прилуки, Чернігівська обл., вул. Житня</v>
      </c>
      <c r="R185" s="35">
        <f>IF($O185="","",IFERROR(INDEX('Координати майданчиків'!$H$4:$H$64,MATCH($T185,'Координати майданчиків'!$B$4:$B$64,0)),IFERROR(IF(ABS(INDEX(Геокодування!$C$2:$C$361,MATCH($Q185,Геокодування!$B$2:$B$361,0))-50.5884)+ABS(INDEX(Геокодування!$D$2:$D$361,MATCH($Q185,Геокодування!$B$2:$B$361,0))-32.3876)&gt;0.15,"",INDEX(Геокодування!$C$2:$C$361,MATCH($Q185,Геокодування!$B$2:$B$361,0))),IFERROR(IF(ABS(INDEX(Геокодування!$C$2:$C$361,MATCH("Прилуки, Чернігівська обл., "&amp;$A185,Геокодування!$B$2:$B$361,0))-50.5884)+ABS(INDEX(Геокодування!$D$2:$D$361,MATCH("Прилуки, Чернігівська обл., "&amp;$A185,Геокодування!$B$2:$B$361,0))-32.3876)&gt;0.15,"",INDEX(Геокодування!$C$2:$C$361,MATCH("Прилуки, Чернігівська обл., "&amp;$A185,Геокодування!$B$2:$B$361,0))),""))))</f>
        <v>50.597099</v>
      </c>
      <c r="S185" s="43">
        <f>IF($O185="","",IFERROR(INDEX('Координати майданчиків'!$I$4:$I$64,MATCH($T185,'Координати майданчиків'!$B$4:$B$64,0)),IFERROR(IF(ABS(INDEX(Геокодування!$C$2:$C$361,MATCH($Q185,Геокодування!$B$2:$B$361,0))-50.5884)+ABS(INDEX(Геокодування!$D$2:$D$361,MATCH($Q185,Геокодування!$B$2:$B$361,0))-32.3876)&gt;0.15,"",INDEX(Геокодування!$D$2:$D$361,MATCH($Q185,Геокодування!$B$2:$B$361,0))),IFERROR(IF(ABS(INDEX(Геокодування!$C$2:$C$361,MATCH("Прилуки, Чернігівська обл., "&amp;$A185,Геокодування!$B$2:$B$361,0))-50.5884)+ABS(INDEX(Геокодування!$D$2:$D$361,MATCH("Прилуки, Чернігівська обл., "&amp;$A185,Геокодування!$B$2:$B$361,0))-32.3876)&gt;0.15,"",INDEX(Геокодування!$D$2:$D$361,MATCH("Прилуки, Чернігівська обл., "&amp;$A185,Геокодування!$B$2:$B$361,0))),""))))</f>
        <v>32.419462000000003</v>
      </c>
      <c r="T185" s="44" t="str">
        <f>IF($O185="","",IFERROR(INDEX('Координати майданчиків'!$B$4:$B$64,MATCH($A185&amp;IF($P185="","",", "&amp;$P185),'Координати майданчиків'!$B$4:$B$64,0)),IFERROR(INDEX('Координати майданчиків'!$B$4:$B$64,MATCH($A185,'Координати майданчиків'!$B$4:$B$64,0)),"")))</f>
        <v/>
      </c>
    </row>
    <row r="186" spans="1:20" x14ac:dyDescent="0.35">
      <c r="A186" s="26" t="str">
        <f t="shared" si="6"/>
        <v>вул. Житня</v>
      </c>
      <c r="B186" s="26" t="str">
        <f t="shared" si="7"/>
        <v>11,55</v>
      </c>
      <c r="C186" s="27" t="str" cm="1">
        <f t="array" ref="C186">IF($O186="","",_xlfn.TEXTJOIN(", ",TRUE,IF(EXACT('Дані_зв''язок'!$J$4:$J$1012,$O186)*('Дані_зв''язок'!$C$4:$C$1012=C$4),'Дані_зв''язок'!$D$4:$D$1012,"")))</f>
        <v/>
      </c>
      <c r="D186" s="27" t="str" cm="1">
        <f t="array" ref="D186">IF($O186="","",_xlfn.TEXTJOIN(", ",TRUE,IF(EXACT('Дані_зв''язок'!$J$4:$J$1012,$O186)*('Дані_зв''язок'!$C$4:$C$1012=D$4),'Дані_зв''язок'!$D$4:$D$1012,"")))</f>
        <v/>
      </c>
      <c r="E186" s="27" t="str" cm="1">
        <f t="array" ref="E186">IF($O186="","",_xlfn.TEXTJOIN(", ",TRUE,IF(EXACT('Дані_зв''язок'!$J$4:$J$1012,$O186)*('Дані_зв''язок'!$C$4:$C$1012=E$4),'Дані_зв''язок'!$D$4:$D$1012,"")))</f>
        <v/>
      </c>
      <c r="F186" s="27" t="str" cm="1">
        <f t="array" ref="F186">IF($O186="","",_xlfn.TEXTJOIN(", ",TRUE,IF(EXACT('Дані_зв''язок'!$J$4:$J$1012,$O186)*('Дані_зв''язок'!$C$4:$C$1012=F$4),'Дані_зв''язок'!$D$4:$D$1012,"")))</f>
        <v/>
      </c>
      <c r="G186" s="27" t="str" cm="1">
        <f t="array" ref="G186">IF($O186="","",_xlfn.TEXTJOIN(", ",TRUE,IF(EXACT('Дані_зв''язок'!$J$4:$J$1012,$O186)*('Дані_зв''язок'!$C$4:$C$1012=G$4),'Дані_зв''язок'!$D$4:$D$1012,"")))</f>
        <v>11:00</v>
      </c>
      <c r="H186" s="27" t="str" cm="1">
        <f t="array" ref="H186">IF($O186="","",_xlfn.TEXTJOIN(", ",TRUE,IF(EXACT('Дані_зв''язок'!$J$4:$J$1012,$O186)*('Дані_зв''язок'!$C$4:$C$1012=H$4),'Дані_зв''язок'!$D$4:$D$1012,"")))</f>
        <v/>
      </c>
      <c r="I186" s="27" t="str" cm="1">
        <f t="array" ref="I186">IF($O186="","",_xlfn.TEXTJOIN(", ",TRUE,IF(EXACT('Дані_зв''язок'!$J$4:$J$1012,$O186)*('Дані_зв''язок'!$C$4:$C$1012=I$4),'Дані_зв''язок'!$D$4:$D$1012,"")))</f>
        <v/>
      </c>
      <c r="J186" s="27" cm="1">
        <f t="array" ref="J186">IF($O186="","",COUNTIF(C186:I186,"?*")+SUMPRODUCT(LEN(C186:I186)-LEN(SUBSTITUTE(C186:I186,",",""))))</f>
        <v>1</v>
      </c>
      <c r="K186" s="28" t="str" cm="1">
        <f t="array" ref="K186">IF($O186="","",_xlfn.TEXTJOIN(", ",TRUE,IF(EXACT('Дані_зв''язок'!$J$4:$J$1012,$O186),'Дані_зв''язок'!$L$4:$L$1012,"")))</f>
        <v>№6</v>
      </c>
      <c r="L186" s="28" t="str" cm="1">
        <f t="array" ref="L186">IF($O186="","",_xlfn.TEXTJOIN(", ",TRUE,IF(EXACT('Дані_зв''язок'!$J$4:$J$1012,$O186),'Дані_зв''язок'!$M$4:$M$1012,"")))</f>
        <v>АТ 4021</v>
      </c>
      <c r="M186" s="27" t="str" cm="1">
        <f t="array" ref="M186">IF($O186="","",IF(SUMPRODUCT(MAX(EXACT('Дані_зв''язок'!$J$4:$J$1012,$O186)*IFERROR('Дані_зв''язок'!$H$4:$H$1012,0)))=0,"",SUMPRODUCT(MAX(EXACT('Дані_зв''язок'!$J$4:$J$1012,$O186)*IFERROR('Дані_зв''язок'!$H$4:$H$1012,0)))))</f>
        <v/>
      </c>
      <c r="O186" s="30" t="s">
        <v>1291</v>
      </c>
      <c r="P186" s="24" cm="1">
        <f t="array" ref="P186">IF($O186="","",IF($B186="","",IFERROR(IF(MIN(IFERROR(VALUE(TRIM(MID(SUBSTITUTE(SUBSTITUTE($B186,","," ")," ",REPT(" ",30)),{1;31;61;91;121;151;181},30))),""))=0,"",MIN(IFERROR(VALUE(TRIM(MID(SUBSTITUTE(SUBSTITUTE($B186,","," ")," ",REPT(" ",30)),{1;31;61;91;121;151;181},30))),""))),"")))</f>
        <v>11</v>
      </c>
      <c r="Q186" s="23" t="str">
        <f t="shared" si="8"/>
        <v>Прилуки, Чернігівська обл., вул. Житня, 11</v>
      </c>
      <c r="R186" s="35">
        <f>IF($O186="","",IFERROR(INDEX('Координати майданчиків'!$H$4:$H$64,MATCH($T186,'Координати майданчиків'!$B$4:$B$64,0)),IFERROR(IF(ABS(INDEX(Геокодування!$C$2:$C$361,MATCH($Q186,Геокодування!$B$2:$B$361,0))-50.5884)+ABS(INDEX(Геокодування!$D$2:$D$361,MATCH($Q186,Геокодування!$B$2:$B$361,0))-32.3876)&gt;0.15,"",INDEX(Геокодування!$C$2:$C$361,MATCH($Q186,Геокодування!$B$2:$B$361,0))),IFERROR(IF(ABS(INDEX(Геокодування!$C$2:$C$361,MATCH("Прилуки, Чернігівська обл., "&amp;$A186,Геокодування!$B$2:$B$361,0))-50.5884)+ABS(INDEX(Геокодування!$D$2:$D$361,MATCH("Прилуки, Чернігівська обл., "&amp;$A186,Геокодування!$B$2:$B$361,0))-32.3876)&gt;0.15,"",INDEX(Геокодування!$C$2:$C$361,MATCH("Прилуки, Чернігівська обл., "&amp;$A186,Геокодування!$B$2:$B$361,0))),""))))</f>
        <v>50.597099</v>
      </c>
      <c r="S186" s="43">
        <f>IF($O186="","",IFERROR(INDEX('Координати майданчиків'!$I$4:$I$64,MATCH($T186,'Координати майданчиків'!$B$4:$B$64,0)),IFERROR(IF(ABS(INDEX(Геокодування!$C$2:$C$361,MATCH($Q186,Геокодування!$B$2:$B$361,0))-50.5884)+ABS(INDEX(Геокодування!$D$2:$D$361,MATCH($Q186,Геокодування!$B$2:$B$361,0))-32.3876)&gt;0.15,"",INDEX(Геокодування!$D$2:$D$361,MATCH($Q186,Геокодування!$B$2:$B$361,0))),IFERROR(IF(ABS(INDEX(Геокодування!$C$2:$C$361,MATCH("Прилуки, Чернігівська обл., "&amp;$A186,Геокодування!$B$2:$B$361,0))-50.5884)+ABS(INDEX(Геокодування!$D$2:$D$361,MATCH("Прилуки, Чернігівська обл., "&amp;$A186,Геокодування!$B$2:$B$361,0))-32.3876)&gt;0.15,"",INDEX(Геокодування!$D$2:$D$361,MATCH("Прилуки, Чернігівська обл., "&amp;$A186,Геокодування!$B$2:$B$361,0))),""))))</f>
        <v>32.419462000000003</v>
      </c>
      <c r="T186" s="44" t="str">
        <f>IF($O186="","",IFERROR(INDEX('Координати майданчиків'!$B$4:$B$64,MATCH($A186&amp;IF($P186="","",", "&amp;$P186),'Координати майданчиків'!$B$4:$B$64,0)),IFERROR(INDEX('Координати майданчиків'!$B$4:$B$64,MATCH($A186,'Координати майданчиків'!$B$4:$B$64,0)),"")))</f>
        <v/>
      </c>
    </row>
    <row r="187" spans="1:20" x14ac:dyDescent="0.35">
      <c r="A187" s="26" t="str">
        <f t="shared" si="6"/>
        <v>вул. Житня</v>
      </c>
      <c r="B187" s="26" t="str">
        <f t="shared" si="7"/>
        <v>163,153,135,91</v>
      </c>
      <c r="C187" s="27" t="str" cm="1">
        <f t="array" ref="C187">IF($O187="","",_xlfn.TEXTJOIN(", ",TRUE,IF(EXACT('Дані_зв''язок'!$J$4:$J$1012,$O187)*('Дані_зв''язок'!$C$4:$C$1012=C$4),'Дані_зв''язок'!$D$4:$D$1012,"")))</f>
        <v/>
      </c>
      <c r="D187" s="27" t="str" cm="1">
        <f t="array" ref="D187">IF($O187="","",_xlfn.TEXTJOIN(", ",TRUE,IF(EXACT('Дані_зв''язок'!$J$4:$J$1012,$O187)*('Дані_зв''язок'!$C$4:$C$1012=D$4),'Дані_зв''язок'!$D$4:$D$1012,"")))</f>
        <v/>
      </c>
      <c r="E187" s="27" t="str" cm="1">
        <f t="array" ref="E187">IF($O187="","",_xlfn.TEXTJOIN(", ",TRUE,IF(EXACT('Дані_зв''язок'!$J$4:$J$1012,$O187)*('Дані_зв''язок'!$C$4:$C$1012=E$4),'Дані_зв''язок'!$D$4:$D$1012,"")))</f>
        <v>10:30</v>
      </c>
      <c r="F187" s="27" t="str" cm="1">
        <f t="array" ref="F187">IF($O187="","",_xlfn.TEXTJOIN(", ",TRUE,IF(EXACT('Дані_зв''язок'!$J$4:$J$1012,$O187)*('Дані_зв''язок'!$C$4:$C$1012=F$4),'Дані_зв''язок'!$D$4:$D$1012,"")))</f>
        <v/>
      </c>
      <c r="G187" s="27" t="str" cm="1">
        <f t="array" ref="G187">IF($O187="","",_xlfn.TEXTJOIN(", ",TRUE,IF(EXACT('Дані_зв''язок'!$J$4:$J$1012,$O187)*('Дані_зв''язок'!$C$4:$C$1012=G$4),'Дані_зв''язок'!$D$4:$D$1012,"")))</f>
        <v/>
      </c>
      <c r="H187" s="27" t="str" cm="1">
        <f t="array" ref="H187">IF($O187="","",_xlfn.TEXTJOIN(", ",TRUE,IF(EXACT('Дані_зв''язок'!$J$4:$J$1012,$O187)*('Дані_зв''язок'!$C$4:$C$1012=H$4),'Дані_зв''язок'!$D$4:$D$1012,"")))</f>
        <v/>
      </c>
      <c r="I187" s="27" t="str" cm="1">
        <f t="array" ref="I187">IF($O187="","",_xlfn.TEXTJOIN(", ",TRUE,IF(EXACT('Дані_зв''язок'!$J$4:$J$1012,$O187)*('Дані_зв''язок'!$C$4:$C$1012=I$4),'Дані_зв''язок'!$D$4:$D$1012,"")))</f>
        <v/>
      </c>
      <c r="J187" s="27" cm="1">
        <f t="array" ref="J187">IF($O187="","",COUNTIF(C187:I187,"?*")+SUMPRODUCT(LEN(C187:I187)-LEN(SUBSTITUTE(C187:I187,",",""))))</f>
        <v>1</v>
      </c>
      <c r="K187" s="28" t="str" cm="1">
        <f t="array" ref="K187">IF($O187="","",_xlfn.TEXTJOIN(", ",TRUE,IF(EXACT('Дані_зв''язок'!$J$4:$J$1012,$O187),'Дані_зв''язок'!$L$4:$L$1012,"")))</f>
        <v>№6</v>
      </c>
      <c r="L187" s="28" t="str" cm="1">
        <f t="array" ref="L187">IF($O187="","",_xlfn.TEXTJOIN(", ",TRUE,IF(EXACT('Дані_зв''язок'!$J$4:$J$1012,$O187),'Дані_зв''язок'!$M$4:$M$1012,"")))</f>
        <v>АТ 4021</v>
      </c>
      <c r="M187" s="27" t="str" cm="1">
        <f t="array" ref="M187">IF($O187="","",IF(SUMPRODUCT(MAX(EXACT('Дані_зв''язок'!$J$4:$J$1012,$O187)*IFERROR('Дані_зв''язок'!$H$4:$H$1012,0)))=0,"",SUMPRODUCT(MAX(EXACT('Дані_зв''язок'!$J$4:$J$1012,$O187)*IFERROR('Дані_зв''язок'!$H$4:$H$1012,0)))))</f>
        <v/>
      </c>
      <c r="O187" s="30" t="s">
        <v>1292</v>
      </c>
      <c r="P187" s="24" cm="1">
        <f t="array" ref="P187">IF($O187="","",IF($B187="","",IFERROR(IF(MIN(IFERROR(VALUE(TRIM(MID(SUBSTITUTE(SUBSTITUTE($B187,","," ")," ",REPT(" ",30)),{1;31;61;91;121;151;181},30))),""))=0,"",MIN(IFERROR(VALUE(TRIM(MID(SUBSTITUTE(SUBSTITUTE($B187,","," ")," ",REPT(" ",30)),{1;31;61;91;121;151;181},30))),""))),"")))</f>
        <v>91</v>
      </c>
      <c r="Q187" s="23" t="str">
        <f t="shared" si="8"/>
        <v>Прилуки, Чернігівська обл., вул. Житня, 91</v>
      </c>
      <c r="R187" s="35">
        <f>IF($O187="","",IFERROR(INDEX('Координати майданчиків'!$H$4:$H$64,MATCH($T187,'Координати майданчиків'!$B$4:$B$64,0)),IFERROR(IF(ABS(INDEX(Геокодування!$C$2:$C$361,MATCH($Q187,Геокодування!$B$2:$B$361,0))-50.5884)+ABS(INDEX(Геокодування!$D$2:$D$361,MATCH($Q187,Геокодування!$B$2:$B$361,0))-32.3876)&gt;0.15,"",INDEX(Геокодування!$C$2:$C$361,MATCH($Q187,Геокодування!$B$2:$B$361,0))),IFERROR(IF(ABS(INDEX(Геокодування!$C$2:$C$361,MATCH("Прилуки, Чернігівська обл., "&amp;$A187,Геокодування!$B$2:$B$361,0))-50.5884)+ABS(INDEX(Геокодування!$D$2:$D$361,MATCH("Прилуки, Чернігівська обл., "&amp;$A187,Геокодування!$B$2:$B$361,0))-32.3876)&gt;0.15,"",INDEX(Геокодування!$C$2:$C$361,MATCH("Прилуки, Чернігівська обл., "&amp;$A187,Геокодування!$B$2:$B$361,0))),""))))</f>
        <v>50.597099</v>
      </c>
      <c r="S187" s="43">
        <f>IF($O187="","",IFERROR(INDEX('Координати майданчиків'!$I$4:$I$64,MATCH($T187,'Координати майданчиків'!$B$4:$B$64,0)),IFERROR(IF(ABS(INDEX(Геокодування!$C$2:$C$361,MATCH($Q187,Геокодування!$B$2:$B$361,0))-50.5884)+ABS(INDEX(Геокодування!$D$2:$D$361,MATCH($Q187,Геокодування!$B$2:$B$361,0))-32.3876)&gt;0.15,"",INDEX(Геокодування!$D$2:$D$361,MATCH($Q187,Геокодування!$B$2:$B$361,0))),IFERROR(IF(ABS(INDEX(Геокодування!$C$2:$C$361,MATCH("Прилуки, Чернігівська обл., "&amp;$A187,Геокодування!$B$2:$B$361,0))-50.5884)+ABS(INDEX(Геокодування!$D$2:$D$361,MATCH("Прилуки, Чернігівська обл., "&amp;$A187,Геокодування!$B$2:$B$361,0))-32.3876)&gt;0.15,"",INDEX(Геокодування!$D$2:$D$361,MATCH("Прилуки, Чернігівська обл., "&amp;$A187,Геокодування!$B$2:$B$361,0))),""))))</f>
        <v>32.419462000000003</v>
      </c>
      <c r="T187" s="44" t="str">
        <f>IF($O187="","",IFERROR(INDEX('Координати майданчиків'!$B$4:$B$64,MATCH($A187&amp;IF($P187="","",", "&amp;$P187),'Координати майданчиків'!$B$4:$B$64,0)),IFERROR(INDEX('Координати майданчиків'!$B$4:$B$64,MATCH($A187,'Координати майданчиків'!$B$4:$B$64,0)),"")))</f>
        <v/>
      </c>
    </row>
    <row r="188" spans="1:20" x14ac:dyDescent="0.35">
      <c r="A188" s="26" t="str">
        <f t="shared" si="6"/>
        <v>вул. Житня</v>
      </c>
      <c r="B188" s="26" t="str">
        <f t="shared" si="7"/>
        <v>2,5  3,36</v>
      </c>
      <c r="C188" s="27" t="str" cm="1">
        <f t="array" ref="C188">IF($O188="","",_xlfn.TEXTJOIN(", ",TRUE,IF(EXACT('Дані_зв''язок'!$J$4:$J$1012,$O188)*('Дані_зв''язок'!$C$4:$C$1012=C$4),'Дані_зв''язок'!$D$4:$D$1012,"")))</f>
        <v/>
      </c>
      <c r="D188" s="27" t="str" cm="1">
        <f t="array" ref="D188">IF($O188="","",_xlfn.TEXTJOIN(", ",TRUE,IF(EXACT('Дані_зв''язок'!$J$4:$J$1012,$O188)*('Дані_зв''язок'!$C$4:$C$1012=D$4),'Дані_зв''язок'!$D$4:$D$1012,"")))</f>
        <v>15:20</v>
      </c>
      <c r="E188" s="27" t="str" cm="1">
        <f t="array" ref="E188">IF($O188="","",_xlfn.TEXTJOIN(", ",TRUE,IF(EXACT('Дані_зв''язок'!$J$4:$J$1012,$O188)*('Дані_зв''язок'!$C$4:$C$1012=E$4),'Дані_зв''язок'!$D$4:$D$1012,"")))</f>
        <v/>
      </c>
      <c r="F188" s="27" t="str" cm="1">
        <f t="array" ref="F188">IF($O188="","",_xlfn.TEXTJOIN(", ",TRUE,IF(EXACT('Дані_зв''язок'!$J$4:$J$1012,$O188)*('Дані_зв''язок'!$C$4:$C$1012=F$4),'Дані_зв''язок'!$D$4:$D$1012,"")))</f>
        <v/>
      </c>
      <c r="G188" s="27" t="str" cm="1">
        <f t="array" ref="G188">IF($O188="","",_xlfn.TEXTJOIN(", ",TRUE,IF(EXACT('Дані_зв''язок'!$J$4:$J$1012,$O188)*('Дані_зв''язок'!$C$4:$C$1012=G$4),'Дані_зв''язок'!$D$4:$D$1012,"")))</f>
        <v/>
      </c>
      <c r="H188" s="27" t="str" cm="1">
        <f t="array" ref="H188">IF($O188="","",_xlfn.TEXTJOIN(", ",TRUE,IF(EXACT('Дані_зв''язок'!$J$4:$J$1012,$O188)*('Дані_зв''язок'!$C$4:$C$1012=H$4),'Дані_зв''язок'!$D$4:$D$1012,"")))</f>
        <v/>
      </c>
      <c r="I188" s="27" t="str" cm="1">
        <f t="array" ref="I188">IF($O188="","",_xlfn.TEXTJOIN(", ",TRUE,IF(EXACT('Дані_зв''язок'!$J$4:$J$1012,$O188)*('Дані_зв''язок'!$C$4:$C$1012=I$4),'Дані_зв''язок'!$D$4:$D$1012,"")))</f>
        <v/>
      </c>
      <c r="J188" s="27" cm="1">
        <f t="array" ref="J188">IF($O188="","",COUNTIF(C188:I188,"?*")+SUMPRODUCT(LEN(C188:I188)-LEN(SUBSTITUTE(C188:I188,",",""))))</f>
        <v>1</v>
      </c>
      <c r="K188" s="28" t="str" cm="1">
        <f t="array" ref="K188">IF($O188="","",_xlfn.TEXTJOIN(", ",TRUE,IF(EXACT('Дані_зв''язок'!$J$4:$J$1012,$O188),'Дані_зв''язок'!$L$4:$L$1012,"")))</f>
        <v>№6</v>
      </c>
      <c r="L188" s="28" t="str" cm="1">
        <f t="array" ref="L188">IF($O188="","",_xlfn.TEXTJOIN(", ",TRUE,IF(EXACT('Дані_зв''язок'!$J$4:$J$1012,$O188),'Дані_зв''язок'!$M$4:$M$1012,"")))</f>
        <v>АТ 4021</v>
      </c>
      <c r="M188" s="27" t="str" cm="1">
        <f t="array" ref="M188">IF($O188="","",IF(SUMPRODUCT(MAX(EXACT('Дані_зв''язок'!$J$4:$J$1012,$O188)*IFERROR('Дані_зв''язок'!$H$4:$H$1012,0)))=0,"",SUMPRODUCT(MAX(EXACT('Дані_зв''язок'!$J$4:$J$1012,$O188)*IFERROR('Дані_зв''язок'!$H$4:$H$1012,0)))))</f>
        <v/>
      </c>
      <c r="O188" s="30" t="s">
        <v>1293</v>
      </c>
      <c r="P188" s="24" cm="1">
        <f t="array" ref="P188">IF($O188="","",IF($B188="","",IFERROR(IF(MIN(IFERROR(VALUE(TRIM(MID(SUBSTITUTE(SUBSTITUTE($B188,","," ")," ",REPT(" ",30)),{1;31;61;91;121;151;181},30))),""))=0,"",MIN(IFERROR(VALUE(TRIM(MID(SUBSTITUTE(SUBSTITUTE($B188,","," ")," ",REPT(" ",30)),{1;31;61;91;121;151;181},30))),""))),"")))</f>
        <v>2</v>
      </c>
      <c r="Q188" s="23" t="str">
        <f t="shared" si="8"/>
        <v>Прилуки, Чернігівська обл., вул. Житня, 2</v>
      </c>
      <c r="R188" s="35">
        <f>IF($O188="","",IFERROR(INDEX('Координати майданчиків'!$H$4:$H$64,MATCH($T188,'Координати майданчиків'!$B$4:$B$64,0)),IFERROR(IF(ABS(INDEX(Геокодування!$C$2:$C$361,MATCH($Q188,Геокодування!$B$2:$B$361,0))-50.5884)+ABS(INDEX(Геокодування!$D$2:$D$361,MATCH($Q188,Геокодування!$B$2:$B$361,0))-32.3876)&gt;0.15,"",INDEX(Геокодування!$C$2:$C$361,MATCH($Q188,Геокодування!$B$2:$B$361,0))),IFERROR(IF(ABS(INDEX(Геокодування!$C$2:$C$361,MATCH("Прилуки, Чернігівська обл., "&amp;$A188,Геокодування!$B$2:$B$361,0))-50.5884)+ABS(INDEX(Геокодування!$D$2:$D$361,MATCH("Прилуки, Чернігівська обл., "&amp;$A188,Геокодування!$B$2:$B$361,0))-32.3876)&gt;0.15,"",INDEX(Геокодування!$C$2:$C$361,MATCH("Прилуки, Чернігівська обл., "&amp;$A188,Геокодування!$B$2:$B$361,0))),""))))</f>
        <v>50.597099</v>
      </c>
      <c r="S188" s="43">
        <f>IF($O188="","",IFERROR(INDEX('Координати майданчиків'!$I$4:$I$64,MATCH($T188,'Координати майданчиків'!$B$4:$B$64,0)),IFERROR(IF(ABS(INDEX(Геокодування!$C$2:$C$361,MATCH($Q188,Геокодування!$B$2:$B$361,0))-50.5884)+ABS(INDEX(Геокодування!$D$2:$D$361,MATCH($Q188,Геокодування!$B$2:$B$361,0))-32.3876)&gt;0.15,"",INDEX(Геокодування!$D$2:$D$361,MATCH($Q188,Геокодування!$B$2:$B$361,0))),IFERROR(IF(ABS(INDEX(Геокодування!$C$2:$C$361,MATCH("Прилуки, Чернігівська обл., "&amp;$A188,Геокодування!$B$2:$B$361,0))-50.5884)+ABS(INDEX(Геокодування!$D$2:$D$361,MATCH("Прилуки, Чернігівська обл., "&amp;$A188,Геокодування!$B$2:$B$361,0))-32.3876)&gt;0.15,"",INDEX(Геокодування!$D$2:$D$361,MATCH("Прилуки, Чернігівська обл., "&amp;$A188,Геокодування!$B$2:$B$361,0))),""))))</f>
        <v>32.419462000000003</v>
      </c>
      <c r="T188" s="44" t="str">
        <f>IF($O188="","",IFERROR(INDEX('Координати майданчиків'!$B$4:$B$64,MATCH($A188&amp;IF($P188="","",", "&amp;$P188),'Координати майданчиків'!$B$4:$B$64,0)),IFERROR(INDEX('Координати майданчиків'!$B$4:$B$64,MATCH($A188,'Координати майданчиків'!$B$4:$B$64,0)),"")))</f>
        <v/>
      </c>
    </row>
    <row r="189" spans="1:20" x14ac:dyDescent="0.35">
      <c r="A189" s="26" t="str">
        <f t="shared" si="6"/>
        <v>вул. Залізнична</v>
      </c>
      <c r="B189" s="26" t="str">
        <f t="shared" si="7"/>
        <v/>
      </c>
      <c r="C189" s="27" t="str" cm="1">
        <f t="array" ref="C189">IF($O189="","",_xlfn.TEXTJOIN(", ",TRUE,IF(EXACT('Дані_зв''язок'!$J$4:$J$1012,$O189)*('Дані_зв''язок'!$C$4:$C$1012=C$4),'Дані_зв''язок'!$D$4:$D$1012,"")))</f>
        <v/>
      </c>
      <c r="D189" s="27" t="str" cm="1">
        <f t="array" ref="D189">IF($O189="","",_xlfn.TEXTJOIN(", ",TRUE,IF(EXACT('Дані_зв''язок'!$J$4:$J$1012,$O189)*('Дані_зв''язок'!$C$4:$C$1012=D$4),'Дані_зв''язок'!$D$4:$D$1012,"")))</f>
        <v>8:50</v>
      </c>
      <c r="E189" s="27" t="str" cm="1">
        <f t="array" ref="E189">IF($O189="","",_xlfn.TEXTJOIN(", ",TRUE,IF(EXACT('Дані_зв''язок'!$J$4:$J$1012,$O189)*('Дані_зв''язок'!$C$4:$C$1012=E$4),'Дані_зв''язок'!$D$4:$D$1012,"")))</f>
        <v/>
      </c>
      <c r="F189" s="27" t="str" cm="1">
        <f t="array" ref="F189">IF($O189="","",_xlfn.TEXTJOIN(", ",TRUE,IF(EXACT('Дані_зв''язок'!$J$4:$J$1012,$O189)*('Дані_зв''язок'!$C$4:$C$1012=F$4),'Дані_зв''язок'!$D$4:$D$1012,"")))</f>
        <v/>
      </c>
      <c r="G189" s="27" t="str" cm="1">
        <f t="array" ref="G189">IF($O189="","",_xlfn.TEXTJOIN(", ",TRUE,IF(EXACT('Дані_зв''язок'!$J$4:$J$1012,$O189)*('Дані_зв''язок'!$C$4:$C$1012=G$4),'Дані_зв''язок'!$D$4:$D$1012,"")))</f>
        <v/>
      </c>
      <c r="H189" s="27" t="str" cm="1">
        <f t="array" ref="H189">IF($O189="","",_xlfn.TEXTJOIN(", ",TRUE,IF(EXACT('Дані_зв''язок'!$J$4:$J$1012,$O189)*('Дані_зв''язок'!$C$4:$C$1012=H$4),'Дані_зв''язок'!$D$4:$D$1012,"")))</f>
        <v/>
      </c>
      <c r="I189" s="27" t="str" cm="1">
        <f t="array" ref="I189">IF($O189="","",_xlfn.TEXTJOIN(", ",TRUE,IF(EXACT('Дані_зв''язок'!$J$4:$J$1012,$O189)*('Дані_зв''язок'!$C$4:$C$1012=I$4),'Дані_зв''язок'!$D$4:$D$1012,"")))</f>
        <v/>
      </c>
      <c r="J189" s="27" cm="1">
        <f t="array" ref="J189">IF($O189="","",COUNTIF(C189:I189,"?*")+SUMPRODUCT(LEN(C189:I189)-LEN(SUBSTITUTE(C189:I189,",",""))))</f>
        <v>1</v>
      </c>
      <c r="K189" s="28" t="str" cm="1">
        <f t="array" ref="K189">IF($O189="","",_xlfn.TEXTJOIN(", ",TRUE,IF(EXACT('Дані_зв''язок'!$J$4:$J$1012,$O189),'Дані_зв''язок'!$L$4:$L$1012,"")))</f>
        <v>№5</v>
      </c>
      <c r="L189" s="28" t="str" cm="1">
        <f t="array" ref="L189">IF($O189="","",_xlfn.TEXTJOIN(", ",TRUE,IF(EXACT('Дані_зв''язок'!$J$4:$J$1012,$O189),'Дані_зв''язок'!$M$4:$M$1012,"")))</f>
        <v>МАЗ 4381</v>
      </c>
      <c r="M189" s="27" t="str" cm="1">
        <f t="array" ref="M189">IF($O189="","",IF(SUMPRODUCT(MAX(EXACT('Дані_зв''язок'!$J$4:$J$1012,$O189)*IFERROR('Дані_зв''язок'!$H$4:$H$1012,0)))=0,"",SUMPRODUCT(MAX(EXACT('Дані_зв''язок'!$J$4:$J$1012,$O189)*IFERROR('Дані_зв''язок'!$H$4:$H$1012,0)))))</f>
        <v/>
      </c>
      <c r="O189" s="30" t="s">
        <v>1294</v>
      </c>
      <c r="P189" s="24" t="str" cm="1">
        <f t="array" ref="P189">IF($O189="","",IF($B189="","",IFERROR(IF(MIN(IFERROR(VALUE(TRIM(MID(SUBSTITUTE(SUBSTITUTE($B189,","," ")," ",REPT(" ",30)),{1;31;61;91;121;151;181},30))),""))=0,"",MIN(IFERROR(VALUE(TRIM(MID(SUBSTITUTE(SUBSTITUTE($B189,","," ")," ",REPT(" ",30)),{1;31;61;91;121;151;181},30))),""))),"")))</f>
        <v/>
      </c>
      <c r="Q189" s="23" t="str">
        <f t="shared" si="8"/>
        <v>Прилуки, Чернігівська обл., вул. Залізнична</v>
      </c>
      <c r="R189" s="35">
        <f>IF($O189="","",IFERROR(INDEX('Координати майданчиків'!$H$4:$H$64,MATCH($T189,'Координати майданчиків'!$B$4:$B$64,0)),IFERROR(IF(ABS(INDEX(Геокодування!$C$2:$C$361,MATCH($Q189,Геокодування!$B$2:$B$361,0))-50.5884)+ABS(INDEX(Геокодування!$D$2:$D$361,MATCH($Q189,Геокодування!$B$2:$B$361,0))-32.3876)&gt;0.15,"",INDEX(Геокодування!$C$2:$C$361,MATCH($Q189,Геокодування!$B$2:$B$361,0))),IFERROR(IF(ABS(INDEX(Геокодування!$C$2:$C$361,MATCH("Прилуки, Чернігівська обл., "&amp;$A189,Геокодування!$B$2:$B$361,0))-50.5884)+ABS(INDEX(Геокодування!$D$2:$D$361,MATCH("Прилуки, Чернігівська обл., "&amp;$A189,Геокодування!$B$2:$B$361,0))-32.3876)&gt;0.15,"",INDEX(Геокодування!$C$2:$C$361,MATCH("Прилуки, Чернігівська обл., "&amp;$A189,Геокодування!$B$2:$B$361,0))),""))))</f>
        <v>50.575682999999998</v>
      </c>
      <c r="S189" s="43">
        <f>IF($O189="","",IFERROR(INDEX('Координати майданчиків'!$I$4:$I$64,MATCH($T189,'Координати майданчиків'!$B$4:$B$64,0)),IFERROR(IF(ABS(INDEX(Геокодування!$C$2:$C$361,MATCH($Q189,Геокодування!$B$2:$B$361,0))-50.5884)+ABS(INDEX(Геокодування!$D$2:$D$361,MATCH($Q189,Геокодування!$B$2:$B$361,0))-32.3876)&gt;0.15,"",INDEX(Геокодування!$D$2:$D$361,MATCH($Q189,Геокодування!$B$2:$B$361,0))),IFERROR(IF(ABS(INDEX(Геокодування!$C$2:$C$361,MATCH("Прилуки, Чернігівська обл., "&amp;$A189,Геокодування!$B$2:$B$361,0))-50.5884)+ABS(INDEX(Геокодування!$D$2:$D$361,MATCH("Прилуки, Чернігівська обл., "&amp;$A189,Геокодування!$B$2:$B$361,0))-32.3876)&gt;0.15,"",INDEX(Геокодування!$D$2:$D$361,MATCH("Прилуки, Чернігівська обл., "&amp;$A189,Геокодування!$B$2:$B$361,0))),""))))</f>
        <v>32.402453999999999</v>
      </c>
      <c r="T189" s="44" t="str">
        <f>IF($O189="","",IFERROR(INDEX('Координати майданчиків'!$B$4:$B$64,MATCH($A189&amp;IF($P189="","",", "&amp;$P189),'Координати майданчиків'!$B$4:$B$64,0)),IFERROR(INDEX('Координати майданчиків'!$B$4:$B$64,MATCH($A189,'Координати майданчиків'!$B$4:$B$64,0)),"")))</f>
        <v/>
      </c>
    </row>
    <row r="190" spans="1:20" x14ac:dyDescent="0.35">
      <c r="A190" s="26" t="str">
        <f t="shared" si="6"/>
        <v>вул. Західна</v>
      </c>
      <c r="B190" s="26" t="str">
        <f t="shared" si="7"/>
        <v/>
      </c>
      <c r="C190" s="27" t="str" cm="1">
        <f t="array" ref="C190">IF($O190="","",_xlfn.TEXTJOIN(", ",TRUE,IF(EXACT('Дані_зв''язок'!$J$4:$J$1012,$O190)*('Дані_зв''язок'!$C$4:$C$1012=C$4),'Дані_зв''язок'!$D$4:$D$1012,"")))</f>
        <v/>
      </c>
      <c r="D190" s="27" t="str" cm="1">
        <f t="array" ref="D190">IF($O190="","",_xlfn.TEXTJOIN(", ",TRUE,IF(EXACT('Дані_зв''язок'!$J$4:$J$1012,$O190)*('Дані_зв''язок'!$C$4:$C$1012=D$4),'Дані_зв''язок'!$D$4:$D$1012,"")))</f>
        <v>10:25</v>
      </c>
      <c r="E190" s="27" t="str" cm="1">
        <f t="array" ref="E190">IF($O190="","",_xlfn.TEXTJOIN(", ",TRUE,IF(EXACT('Дані_зв''язок'!$J$4:$J$1012,$O190)*('Дані_зв''язок'!$C$4:$C$1012=E$4),'Дані_зв''язок'!$D$4:$D$1012,"")))</f>
        <v/>
      </c>
      <c r="F190" s="27" t="str" cm="1">
        <f t="array" ref="F190">IF($O190="","",_xlfn.TEXTJOIN(", ",TRUE,IF(EXACT('Дані_зв''язок'!$J$4:$J$1012,$O190)*('Дані_зв''язок'!$C$4:$C$1012=F$4),'Дані_зв''язок'!$D$4:$D$1012,"")))</f>
        <v/>
      </c>
      <c r="G190" s="27" t="str" cm="1">
        <f t="array" ref="G190">IF($O190="","",_xlfn.TEXTJOIN(", ",TRUE,IF(EXACT('Дані_зв''язок'!$J$4:$J$1012,$O190)*('Дані_зв''язок'!$C$4:$C$1012=G$4),'Дані_зв''язок'!$D$4:$D$1012,"")))</f>
        <v/>
      </c>
      <c r="H190" s="27" t="str" cm="1">
        <f t="array" ref="H190">IF($O190="","",_xlfn.TEXTJOIN(", ",TRUE,IF(EXACT('Дані_зв''язок'!$J$4:$J$1012,$O190)*('Дані_зв''язок'!$C$4:$C$1012=H$4),'Дані_зв''язок'!$D$4:$D$1012,"")))</f>
        <v/>
      </c>
      <c r="I190" s="27" t="str" cm="1">
        <f t="array" ref="I190">IF($O190="","",_xlfn.TEXTJOIN(", ",TRUE,IF(EXACT('Дані_зв''язок'!$J$4:$J$1012,$O190)*('Дані_зв''язок'!$C$4:$C$1012=I$4),'Дані_зв''язок'!$D$4:$D$1012,"")))</f>
        <v/>
      </c>
      <c r="J190" s="27" cm="1">
        <f t="array" ref="J190">IF($O190="","",COUNTIF(C190:I190,"?*")+SUMPRODUCT(LEN(C190:I190)-LEN(SUBSTITUTE(C190:I190,",",""))))</f>
        <v>1</v>
      </c>
      <c r="K190" s="28" t="str" cm="1">
        <f t="array" ref="K190">IF($O190="","",_xlfn.TEXTJOIN(", ",TRUE,IF(EXACT('Дані_зв''язок'!$J$4:$J$1012,$O190),'Дані_зв''язок'!$L$4:$L$1012,"")))</f>
        <v>№5</v>
      </c>
      <c r="L190" s="28" t="str" cm="1">
        <f t="array" ref="L190">IF($O190="","",_xlfn.TEXTJOIN(", ",TRUE,IF(EXACT('Дані_зв''язок'!$J$4:$J$1012,$O190),'Дані_зв''язок'!$M$4:$M$1012,"")))</f>
        <v>МАЗ 4381</v>
      </c>
      <c r="M190" s="27" t="str" cm="1">
        <f t="array" ref="M190">IF($O190="","",IF(SUMPRODUCT(MAX(EXACT('Дані_зв''язок'!$J$4:$J$1012,$O190)*IFERROR('Дані_зв''язок'!$H$4:$H$1012,0)))=0,"",SUMPRODUCT(MAX(EXACT('Дані_зв''язок'!$J$4:$J$1012,$O190)*IFERROR('Дані_зв''язок'!$H$4:$H$1012,0)))))</f>
        <v/>
      </c>
      <c r="O190" s="30" t="s">
        <v>1295</v>
      </c>
      <c r="P190" s="24" t="str" cm="1">
        <f t="array" ref="P190">IF($O190="","",IF($B190="","",IFERROR(IF(MIN(IFERROR(VALUE(TRIM(MID(SUBSTITUTE(SUBSTITUTE($B190,","," ")," ",REPT(" ",30)),{1;31;61;91;121;151;181},30))),""))=0,"",MIN(IFERROR(VALUE(TRIM(MID(SUBSTITUTE(SUBSTITUTE($B190,","," ")," ",REPT(" ",30)),{1;31;61;91;121;151;181},30))),""))),"")))</f>
        <v/>
      </c>
      <c r="Q190" s="23" t="str">
        <f t="shared" si="8"/>
        <v>Прилуки, Чернігівська обл., вул. Західна</v>
      </c>
      <c r="R190" s="35">
        <f>IF($O190="","",IFERROR(INDEX('Координати майданчиків'!$H$4:$H$64,MATCH($T190,'Координати майданчиків'!$B$4:$B$64,0)),IFERROR(IF(ABS(INDEX(Геокодування!$C$2:$C$361,MATCH($Q190,Геокодування!$B$2:$B$361,0))-50.5884)+ABS(INDEX(Геокодування!$D$2:$D$361,MATCH($Q190,Геокодування!$B$2:$B$361,0))-32.3876)&gt;0.15,"",INDEX(Геокодування!$C$2:$C$361,MATCH($Q190,Геокодування!$B$2:$B$361,0))),IFERROR(IF(ABS(INDEX(Геокодування!$C$2:$C$361,MATCH("Прилуки, Чернігівська обл., "&amp;$A190,Геокодування!$B$2:$B$361,0))-50.5884)+ABS(INDEX(Геокодування!$D$2:$D$361,MATCH("Прилуки, Чернігівська обл., "&amp;$A190,Геокодування!$B$2:$B$361,0))-32.3876)&gt;0.15,"",INDEX(Геокодування!$C$2:$C$361,MATCH("Прилуки, Чернігівська обл., "&amp;$A190,Геокодування!$B$2:$B$361,0))),""))))</f>
        <v>50.604374999999997</v>
      </c>
      <c r="S190" s="43">
        <f>IF($O190="","",IFERROR(INDEX('Координати майданчиків'!$I$4:$I$64,MATCH($T190,'Координати майданчиків'!$B$4:$B$64,0)),IFERROR(IF(ABS(INDEX(Геокодування!$C$2:$C$361,MATCH($Q190,Геокодування!$B$2:$B$361,0))-50.5884)+ABS(INDEX(Геокодування!$D$2:$D$361,MATCH($Q190,Геокодування!$B$2:$B$361,0))-32.3876)&gt;0.15,"",INDEX(Геокодування!$D$2:$D$361,MATCH($Q190,Геокодування!$B$2:$B$361,0))),IFERROR(IF(ABS(INDEX(Геокодування!$C$2:$C$361,MATCH("Прилуки, Чернігівська обл., "&amp;$A190,Геокодування!$B$2:$B$361,0))-50.5884)+ABS(INDEX(Геокодування!$D$2:$D$361,MATCH("Прилуки, Чернігівська обл., "&amp;$A190,Геокодування!$B$2:$B$361,0))-32.3876)&gt;0.15,"",INDEX(Геокодування!$D$2:$D$361,MATCH("Прилуки, Чернігівська обл., "&amp;$A190,Геокодування!$B$2:$B$361,0))),""))))</f>
        <v>32.330573000000001</v>
      </c>
      <c r="T190" s="44" t="str">
        <f>IF($O190="","",IFERROR(INDEX('Координати майданчиків'!$B$4:$B$64,MATCH($A190&amp;IF($P190="","",", "&amp;$P190),'Координати майданчиків'!$B$4:$B$64,0)),IFERROR(INDEX('Координати майданчиків'!$B$4:$B$64,MATCH($A190,'Координати майданчиків'!$B$4:$B$64,0)),"")))</f>
        <v/>
      </c>
    </row>
    <row r="191" spans="1:20" x14ac:dyDescent="0.35">
      <c r="A191" s="26" t="str">
        <f t="shared" si="6"/>
        <v>вул. Зелена</v>
      </c>
      <c r="B191" s="26" t="str">
        <f t="shared" si="7"/>
        <v/>
      </c>
      <c r="C191" s="27" t="str" cm="1">
        <f t="array" ref="C191">IF($O191="","",_xlfn.TEXTJOIN(", ",TRUE,IF(EXACT('Дані_зв''язок'!$J$4:$J$1012,$O191)*('Дані_зв''язок'!$C$4:$C$1012=C$4),'Дані_зв''язок'!$D$4:$D$1012,"")))</f>
        <v>11:25</v>
      </c>
      <c r="D191" s="27" t="str" cm="1">
        <f t="array" ref="D191">IF($O191="","",_xlfn.TEXTJOIN(", ",TRUE,IF(EXACT('Дані_зв''язок'!$J$4:$J$1012,$O191)*('Дані_зв''язок'!$C$4:$C$1012=D$4),'Дані_зв''язок'!$D$4:$D$1012,"")))</f>
        <v/>
      </c>
      <c r="E191" s="27" t="str" cm="1">
        <f t="array" ref="E191">IF($O191="","",_xlfn.TEXTJOIN(", ",TRUE,IF(EXACT('Дані_зв''язок'!$J$4:$J$1012,$O191)*('Дані_зв''язок'!$C$4:$C$1012=E$4),'Дані_зв''язок'!$D$4:$D$1012,"")))</f>
        <v/>
      </c>
      <c r="F191" s="27" t="str" cm="1">
        <f t="array" ref="F191">IF($O191="","",_xlfn.TEXTJOIN(", ",TRUE,IF(EXACT('Дані_зв''язок'!$J$4:$J$1012,$O191)*('Дані_зв''язок'!$C$4:$C$1012=F$4),'Дані_зв''язок'!$D$4:$D$1012,"")))</f>
        <v/>
      </c>
      <c r="G191" s="27" t="str" cm="1">
        <f t="array" ref="G191">IF($O191="","",_xlfn.TEXTJOIN(", ",TRUE,IF(EXACT('Дані_зв''язок'!$J$4:$J$1012,$O191)*('Дані_зв''язок'!$C$4:$C$1012=G$4),'Дані_зв''язок'!$D$4:$D$1012,"")))</f>
        <v/>
      </c>
      <c r="H191" s="27" t="str" cm="1">
        <f t="array" ref="H191">IF($O191="","",_xlfn.TEXTJOIN(", ",TRUE,IF(EXACT('Дані_зв''язок'!$J$4:$J$1012,$O191)*('Дані_зв''язок'!$C$4:$C$1012=H$4),'Дані_зв''язок'!$D$4:$D$1012,"")))</f>
        <v/>
      </c>
      <c r="I191" s="27" t="str" cm="1">
        <f t="array" ref="I191">IF($O191="","",_xlfn.TEXTJOIN(", ",TRUE,IF(EXACT('Дані_зв''язок'!$J$4:$J$1012,$O191)*('Дані_зв''язок'!$C$4:$C$1012=I$4),'Дані_зв''язок'!$D$4:$D$1012,"")))</f>
        <v/>
      </c>
      <c r="J191" s="27" cm="1">
        <f t="array" ref="J191">IF($O191="","",COUNTIF(C191:I191,"?*")+SUMPRODUCT(LEN(C191:I191)-LEN(SUBSTITUTE(C191:I191,",",""))))</f>
        <v>1</v>
      </c>
      <c r="K191" s="28" t="str" cm="1">
        <f t="array" ref="K191">IF($O191="","",_xlfn.TEXTJOIN(", ",TRUE,IF(EXACT('Дані_зв''язок'!$J$4:$J$1012,$O191),'Дані_зв''язок'!$L$4:$L$1012,"")))</f>
        <v>№5</v>
      </c>
      <c r="L191" s="28" t="str" cm="1">
        <f t="array" ref="L191">IF($O191="","",_xlfn.TEXTJOIN(", ",TRUE,IF(EXACT('Дані_зв''язок'!$J$4:$J$1012,$O191),'Дані_зв''язок'!$M$4:$M$1012,"")))</f>
        <v>МАЗ 4381</v>
      </c>
      <c r="M191" s="27" t="str" cm="1">
        <f t="array" ref="M191">IF($O191="","",IF(SUMPRODUCT(MAX(EXACT('Дані_зв''язок'!$J$4:$J$1012,$O191)*IFERROR('Дані_зв''язок'!$H$4:$H$1012,0)))=0,"",SUMPRODUCT(MAX(EXACT('Дані_зв''язок'!$J$4:$J$1012,$O191)*IFERROR('Дані_зв''язок'!$H$4:$H$1012,0)))))</f>
        <v/>
      </c>
      <c r="O191" s="30" t="s">
        <v>1296</v>
      </c>
      <c r="P191" s="24" t="str" cm="1">
        <f t="array" ref="P191">IF($O191="","",IF($B191="","",IFERROR(IF(MIN(IFERROR(VALUE(TRIM(MID(SUBSTITUTE(SUBSTITUTE($B191,","," ")," ",REPT(" ",30)),{1;31;61;91;121;151;181},30))),""))=0,"",MIN(IFERROR(VALUE(TRIM(MID(SUBSTITUTE(SUBSTITUTE($B191,","," ")," ",REPT(" ",30)),{1;31;61;91;121;151;181},30))),""))),"")))</f>
        <v/>
      </c>
      <c r="Q191" s="23" t="str">
        <f t="shared" si="8"/>
        <v>Прилуки, Чернігівська обл., вул. Зелена</v>
      </c>
      <c r="R191" s="35">
        <f>IF($O191="","",IFERROR(INDEX('Координати майданчиків'!$H$4:$H$64,MATCH($T191,'Координати майданчиків'!$B$4:$B$64,0)),IFERROR(IF(ABS(INDEX(Геокодування!$C$2:$C$361,MATCH($Q191,Геокодування!$B$2:$B$361,0))-50.5884)+ABS(INDEX(Геокодування!$D$2:$D$361,MATCH($Q191,Геокодування!$B$2:$B$361,0))-32.3876)&gt;0.15,"",INDEX(Геокодування!$C$2:$C$361,MATCH($Q191,Геокодування!$B$2:$B$361,0))),IFERROR(IF(ABS(INDEX(Геокодування!$C$2:$C$361,MATCH("Прилуки, Чернігівська обл., "&amp;$A191,Геокодування!$B$2:$B$361,0))-50.5884)+ABS(INDEX(Геокодування!$D$2:$D$361,MATCH("Прилуки, Чернігівська обл., "&amp;$A191,Геокодування!$B$2:$B$361,0))-32.3876)&gt;0.15,"",INDEX(Геокодування!$C$2:$C$361,MATCH("Прилуки, Чернігівська обл., "&amp;$A191,Геокодування!$B$2:$B$361,0))),""))))</f>
        <v>50.581904999999999</v>
      </c>
      <c r="S191" s="43">
        <f>IF($O191="","",IFERROR(INDEX('Координати майданчиків'!$I$4:$I$64,MATCH($T191,'Координати майданчиків'!$B$4:$B$64,0)),IFERROR(IF(ABS(INDEX(Геокодування!$C$2:$C$361,MATCH($Q191,Геокодування!$B$2:$B$361,0))-50.5884)+ABS(INDEX(Геокодування!$D$2:$D$361,MATCH($Q191,Геокодування!$B$2:$B$361,0))-32.3876)&gt;0.15,"",INDEX(Геокодування!$D$2:$D$361,MATCH($Q191,Геокодування!$B$2:$B$361,0))),IFERROR(IF(ABS(INDEX(Геокодування!$C$2:$C$361,MATCH("Прилуки, Чернігівська обл., "&amp;$A191,Геокодування!$B$2:$B$361,0))-50.5884)+ABS(INDEX(Геокодування!$D$2:$D$361,MATCH("Прилуки, Чернігівська обл., "&amp;$A191,Геокодування!$B$2:$B$361,0))-32.3876)&gt;0.15,"",INDEX(Геокодування!$D$2:$D$361,MATCH("Прилуки, Чернігівська обл., "&amp;$A191,Геокодування!$B$2:$B$361,0))),""))))</f>
        <v>32.383752999999999</v>
      </c>
      <c r="T191" s="44" t="str">
        <f>IF($O191="","",IFERROR(INDEX('Координати майданчиків'!$B$4:$B$64,MATCH($A191&amp;IF($P191="","",", "&amp;$P191),'Координати майданчиків'!$B$4:$B$64,0)),IFERROR(INDEX('Координати майданчиків'!$B$4:$B$64,MATCH($A191,'Координати майданчиків'!$B$4:$B$64,0)),"")))</f>
        <v/>
      </c>
    </row>
    <row r="192" spans="1:20" x14ac:dyDescent="0.35">
      <c r="A192" s="26" t="str">
        <f t="shared" si="6"/>
        <v>вул. Земська</v>
      </c>
      <c r="B192" s="26" t="str">
        <f t="shared" si="7"/>
        <v/>
      </c>
      <c r="C192" s="27" t="str" cm="1">
        <f t="array" ref="C192">IF($O192="","",_xlfn.TEXTJOIN(", ",TRUE,IF(EXACT('Дані_зв''язок'!$J$4:$J$1012,$O192)*('Дані_зв''язок'!$C$4:$C$1012=C$4),'Дані_зв''язок'!$D$4:$D$1012,"")))</f>
        <v/>
      </c>
      <c r="D192" s="27" t="str" cm="1">
        <f t="array" ref="D192">IF($O192="","",_xlfn.TEXTJOIN(", ",TRUE,IF(EXACT('Дані_зв''язок'!$J$4:$J$1012,$O192)*('Дані_зв''язок'!$C$4:$C$1012=D$4),'Дані_зв''язок'!$D$4:$D$1012,"")))</f>
        <v>14:25</v>
      </c>
      <c r="E192" s="27" t="str" cm="1">
        <f t="array" ref="E192">IF($O192="","",_xlfn.TEXTJOIN(", ",TRUE,IF(EXACT('Дані_зв''язок'!$J$4:$J$1012,$O192)*('Дані_зв''язок'!$C$4:$C$1012=E$4),'Дані_зв''язок'!$D$4:$D$1012,"")))</f>
        <v/>
      </c>
      <c r="F192" s="27" t="str" cm="1">
        <f t="array" ref="F192">IF($O192="","",_xlfn.TEXTJOIN(", ",TRUE,IF(EXACT('Дані_зв''язок'!$J$4:$J$1012,$O192)*('Дані_зв''язок'!$C$4:$C$1012=F$4),'Дані_зв''язок'!$D$4:$D$1012,"")))</f>
        <v/>
      </c>
      <c r="G192" s="27" t="str" cm="1">
        <f t="array" ref="G192">IF($O192="","",_xlfn.TEXTJOIN(", ",TRUE,IF(EXACT('Дані_зв''язок'!$J$4:$J$1012,$O192)*('Дані_зв''язок'!$C$4:$C$1012=G$4),'Дані_зв''язок'!$D$4:$D$1012,"")))</f>
        <v/>
      </c>
      <c r="H192" s="27" t="str" cm="1">
        <f t="array" ref="H192">IF($O192="","",_xlfn.TEXTJOIN(", ",TRUE,IF(EXACT('Дані_зв''язок'!$J$4:$J$1012,$O192)*('Дані_зв''язок'!$C$4:$C$1012=H$4),'Дані_зв''язок'!$D$4:$D$1012,"")))</f>
        <v/>
      </c>
      <c r="I192" s="27" t="str" cm="1">
        <f t="array" ref="I192">IF($O192="","",_xlfn.TEXTJOIN(", ",TRUE,IF(EXACT('Дані_зв''язок'!$J$4:$J$1012,$O192)*('Дані_зв''язок'!$C$4:$C$1012=I$4),'Дані_зв''язок'!$D$4:$D$1012,"")))</f>
        <v/>
      </c>
      <c r="J192" s="27" cm="1">
        <f t="array" ref="J192">IF($O192="","",COUNTIF(C192:I192,"?*")+SUMPRODUCT(LEN(C192:I192)-LEN(SUBSTITUTE(C192:I192,",",""))))</f>
        <v>1</v>
      </c>
      <c r="K192" s="28" t="str" cm="1">
        <f t="array" ref="K192">IF($O192="","",_xlfn.TEXTJOIN(", ",TRUE,IF(EXACT('Дані_зв''язок'!$J$4:$J$1012,$O192),'Дані_зв''язок'!$L$4:$L$1012,"")))</f>
        <v>№5</v>
      </c>
      <c r="L192" s="28" t="str" cm="1">
        <f t="array" ref="L192">IF($O192="","",_xlfn.TEXTJOIN(", ",TRUE,IF(EXACT('Дані_зв''язок'!$J$4:$J$1012,$O192),'Дані_зв''язок'!$M$4:$M$1012,"")))</f>
        <v>МАЗ 4381</v>
      </c>
      <c r="M192" s="27" t="str" cm="1">
        <f t="array" ref="M192">IF($O192="","",IF(SUMPRODUCT(MAX(EXACT('Дані_зв''язок'!$J$4:$J$1012,$O192)*IFERROR('Дані_зв''язок'!$H$4:$H$1012,0)))=0,"",SUMPRODUCT(MAX(EXACT('Дані_зв''язок'!$J$4:$J$1012,$O192)*IFERROR('Дані_зв''язок'!$H$4:$H$1012,0)))))</f>
        <v/>
      </c>
      <c r="O192" s="30" t="s">
        <v>1297</v>
      </c>
      <c r="P192" s="24" t="str" cm="1">
        <f t="array" ref="P192">IF($O192="","",IF($B192="","",IFERROR(IF(MIN(IFERROR(VALUE(TRIM(MID(SUBSTITUTE(SUBSTITUTE($B192,","," ")," ",REPT(" ",30)),{1;31;61;91;121;151;181},30))),""))=0,"",MIN(IFERROR(VALUE(TRIM(MID(SUBSTITUTE(SUBSTITUTE($B192,","," ")," ",REPT(" ",30)),{1;31;61;91;121;151;181},30))),""))),"")))</f>
        <v/>
      </c>
      <c r="Q192" s="23" t="str">
        <f t="shared" si="8"/>
        <v>Прилуки, Чернігівська обл., вул. Земська</v>
      </c>
      <c r="R192" s="35">
        <f>IF($O192="","",IFERROR(INDEX('Координати майданчиків'!$H$4:$H$64,MATCH($T192,'Координати майданчиків'!$B$4:$B$64,0)),IFERROR(IF(ABS(INDEX(Геокодування!$C$2:$C$361,MATCH($Q192,Геокодування!$B$2:$B$361,0))-50.5884)+ABS(INDEX(Геокодування!$D$2:$D$361,MATCH($Q192,Геокодування!$B$2:$B$361,0))-32.3876)&gt;0.15,"",INDEX(Геокодування!$C$2:$C$361,MATCH($Q192,Геокодування!$B$2:$B$361,0))),IFERROR(IF(ABS(INDEX(Геокодування!$C$2:$C$361,MATCH("Прилуки, Чернігівська обл., "&amp;$A192,Геокодування!$B$2:$B$361,0))-50.5884)+ABS(INDEX(Геокодування!$D$2:$D$361,MATCH("Прилуки, Чернігівська обл., "&amp;$A192,Геокодування!$B$2:$B$361,0))-32.3876)&gt;0.15,"",INDEX(Геокодування!$C$2:$C$361,MATCH("Прилуки, Чернігівська обл., "&amp;$A192,Геокодування!$B$2:$B$361,0))),""))))</f>
        <v>50.591270000000002</v>
      </c>
      <c r="S192" s="43">
        <f>IF($O192="","",IFERROR(INDEX('Координати майданчиків'!$I$4:$I$64,MATCH($T192,'Координати майданчиків'!$B$4:$B$64,0)),IFERROR(IF(ABS(INDEX(Геокодування!$C$2:$C$361,MATCH($Q192,Геокодування!$B$2:$B$361,0))-50.5884)+ABS(INDEX(Геокодування!$D$2:$D$361,MATCH($Q192,Геокодування!$B$2:$B$361,0))-32.3876)&gt;0.15,"",INDEX(Геокодування!$D$2:$D$361,MATCH($Q192,Геокодування!$B$2:$B$361,0))),IFERROR(IF(ABS(INDEX(Геокодування!$C$2:$C$361,MATCH("Прилуки, Чернігівська обл., "&amp;$A192,Геокодування!$B$2:$B$361,0))-50.5884)+ABS(INDEX(Геокодування!$D$2:$D$361,MATCH("Прилуки, Чернігівська обл., "&amp;$A192,Геокодування!$B$2:$B$361,0))-32.3876)&gt;0.15,"",INDEX(Геокодування!$D$2:$D$361,MATCH("Прилуки, Чернігівська обл., "&amp;$A192,Геокодування!$B$2:$B$361,0))),""))))</f>
        <v>32.379255999999998</v>
      </c>
      <c r="T192" s="44" t="str">
        <f>IF($O192="","",IFERROR(INDEX('Координати майданчиків'!$B$4:$B$64,MATCH($A192&amp;IF($P192="","",", "&amp;$P192),'Координати майданчиків'!$B$4:$B$64,0)),IFERROR(INDEX('Координати майданчиків'!$B$4:$B$64,MATCH($A192,'Координати майданчиків'!$B$4:$B$64,0)),"")))</f>
        <v/>
      </c>
    </row>
    <row r="193" spans="1:20" x14ac:dyDescent="0.35">
      <c r="A193" s="26" t="str">
        <f t="shared" si="6"/>
        <v>вул. Земська</v>
      </c>
      <c r="B193" s="26" t="str">
        <f t="shared" si="7"/>
        <v>"Ідеал"</v>
      </c>
      <c r="C193" s="27" t="str" cm="1">
        <f t="array" ref="C193">IF($O193="","",_xlfn.TEXTJOIN(", ",TRUE,IF(EXACT('Дані_зв''язок'!$J$4:$J$1012,$O193)*('Дані_зв''язок'!$C$4:$C$1012=C$4),'Дані_зв''язок'!$D$4:$D$1012,"")))</f>
        <v>7:15, 15:25</v>
      </c>
      <c r="D193" s="27" t="str" cm="1">
        <f t="array" ref="D193">IF($O193="","",_xlfn.TEXTJOIN(", ",TRUE,IF(EXACT('Дані_зв''язок'!$J$4:$J$1012,$O193)*('Дані_зв''язок'!$C$4:$C$1012=D$4),'Дані_зв''язок'!$D$4:$D$1012,"")))</f>
        <v>7:15</v>
      </c>
      <c r="E193" s="27" t="str" cm="1">
        <f t="array" ref="E193">IF($O193="","",_xlfn.TEXTJOIN(", ",TRUE,IF(EXACT('Дані_зв''язок'!$J$4:$J$1012,$O193)*('Дані_зв''язок'!$C$4:$C$1012=E$4),'Дані_зв''язок'!$D$4:$D$1012,"")))</f>
        <v>7:15, 15:25</v>
      </c>
      <c r="F193" s="27" t="str" cm="1">
        <f t="array" ref="F193">IF($O193="","",_xlfn.TEXTJOIN(", ",TRUE,IF(EXACT('Дані_зв''язок'!$J$4:$J$1012,$O193)*('Дані_зв''язок'!$C$4:$C$1012=F$4),'Дані_зв''язок'!$D$4:$D$1012,"")))</f>
        <v>7:30</v>
      </c>
      <c r="G193" s="27" t="str" cm="1">
        <f t="array" ref="G193">IF($O193="","",_xlfn.TEXTJOIN(", ",TRUE,IF(EXACT('Дані_зв''язок'!$J$4:$J$1012,$O193)*('Дані_зв''язок'!$C$4:$C$1012=G$4),'Дані_зв''язок'!$D$4:$D$1012,"")))</f>
        <v>7:35, 15:25</v>
      </c>
      <c r="H193" s="27" t="str" cm="1">
        <f t="array" ref="H193">IF($O193="","",_xlfn.TEXTJOIN(", ",TRUE,IF(EXACT('Дані_зв''язок'!$J$4:$J$1012,$O193)*('Дані_зв''язок'!$C$4:$C$1012=H$4),'Дані_зв''язок'!$D$4:$D$1012,"")))</f>
        <v>7:15</v>
      </c>
      <c r="I193" s="27" t="str" cm="1">
        <f t="array" ref="I193">IF($O193="","",_xlfn.TEXTJOIN(", ",TRUE,IF(EXACT('Дані_зв''язок'!$J$4:$J$1012,$O193)*('Дані_зв''язок'!$C$4:$C$1012=I$4),'Дані_зв''язок'!$D$4:$D$1012,"")))</f>
        <v>7:30</v>
      </c>
      <c r="J193" s="27" cm="1">
        <f t="array" ref="J193">IF($O193="","",COUNTIF(C193:I193,"?*")+SUMPRODUCT(LEN(C193:I193)-LEN(SUBSTITUTE(C193:I193,",",""))))</f>
        <v>10</v>
      </c>
      <c r="K193" s="28" t="str" cm="1">
        <f t="array" ref="K193">IF($O193="","",_xlfn.TEXTJOIN(", ",TRUE,IF(EXACT('Дані_зв''язок'!$J$4:$J$1012,$O193),'Дані_зв''язок'!$L$4:$L$1012,"")))</f>
        <v>№3</v>
      </c>
      <c r="L193" s="28" t="str" cm="1">
        <f t="array" ref="L193">IF($O193="","",_xlfn.TEXTJOIN(", ",TRUE,IF(EXACT('Дані_зв''язок'!$J$4:$J$1012,$O193),'Дані_зв''язок'!$M$4:$M$1012,"")))</f>
        <v>МАЗ-4371, ГАЗ 3309</v>
      </c>
      <c r="M193" s="27" cm="1">
        <f t="array" ref="M193">IF($O193="","",IF(SUMPRODUCT(MAX(EXACT('Дані_зв''язок'!$J$4:$J$1012,$O193)*IFERROR('Дані_зв''язок'!$H$4:$H$1012,0)))=0,"",SUMPRODUCT(MAX(EXACT('Дані_зв''язок'!$J$4:$J$1012,$O193)*IFERROR('Дані_зв''язок'!$H$4:$H$1012,0)))))</f>
        <v>3</v>
      </c>
      <c r="O193" s="30" t="s">
        <v>1298</v>
      </c>
      <c r="P193" s="24" t="str" cm="1">
        <f t="array" ref="P193">IF($O193="","",IF($B193="","",IFERROR(IF(MIN(IFERROR(VALUE(TRIM(MID(SUBSTITUTE(SUBSTITUTE($B193,","," ")," ",REPT(" ",30)),{1;31;61;91;121;151;181},30))),""))=0,"",MIN(IFERROR(VALUE(TRIM(MID(SUBSTITUTE(SUBSTITUTE($B193,","," ")," ",REPT(" ",30)),{1;31;61;91;121;151;181},30))),""))),"")))</f>
        <v/>
      </c>
      <c r="Q193" s="23" t="str">
        <f t="shared" si="8"/>
        <v>Прилуки, Чернігівська обл., вул. Земська</v>
      </c>
      <c r="R193" s="35">
        <f>IF($O193="","",IFERROR(INDEX('Координати майданчиків'!$H$4:$H$64,MATCH($T193,'Координати майданчиків'!$B$4:$B$64,0)),IFERROR(IF(ABS(INDEX(Геокодування!$C$2:$C$361,MATCH($Q193,Геокодування!$B$2:$B$361,0))-50.5884)+ABS(INDEX(Геокодування!$D$2:$D$361,MATCH($Q193,Геокодування!$B$2:$B$361,0))-32.3876)&gt;0.15,"",INDEX(Геокодування!$C$2:$C$361,MATCH($Q193,Геокодування!$B$2:$B$361,0))),IFERROR(IF(ABS(INDEX(Геокодування!$C$2:$C$361,MATCH("Прилуки, Чернігівська обл., "&amp;$A193,Геокодування!$B$2:$B$361,0))-50.5884)+ABS(INDEX(Геокодування!$D$2:$D$361,MATCH("Прилуки, Чернігівська обл., "&amp;$A193,Геокодування!$B$2:$B$361,0))-32.3876)&gt;0.15,"",INDEX(Геокодування!$C$2:$C$361,MATCH("Прилуки, Чернігівська обл., "&amp;$A193,Геокодування!$B$2:$B$361,0))),""))))</f>
        <v>50.591270000000002</v>
      </c>
      <c r="S193" s="43">
        <f>IF($O193="","",IFERROR(INDEX('Координати майданчиків'!$I$4:$I$64,MATCH($T193,'Координати майданчиків'!$B$4:$B$64,0)),IFERROR(IF(ABS(INDEX(Геокодування!$C$2:$C$361,MATCH($Q193,Геокодування!$B$2:$B$361,0))-50.5884)+ABS(INDEX(Геокодування!$D$2:$D$361,MATCH($Q193,Геокодування!$B$2:$B$361,0))-32.3876)&gt;0.15,"",INDEX(Геокодування!$D$2:$D$361,MATCH($Q193,Геокодування!$B$2:$B$361,0))),IFERROR(IF(ABS(INDEX(Геокодування!$C$2:$C$361,MATCH("Прилуки, Чернігівська обл., "&amp;$A193,Геокодування!$B$2:$B$361,0))-50.5884)+ABS(INDEX(Геокодування!$D$2:$D$361,MATCH("Прилуки, Чернігівська обл., "&amp;$A193,Геокодування!$B$2:$B$361,0))-32.3876)&gt;0.15,"",INDEX(Геокодування!$D$2:$D$361,MATCH("Прилуки, Чернігівська обл., "&amp;$A193,Геокодування!$B$2:$B$361,0))),""))))</f>
        <v>32.379255999999998</v>
      </c>
      <c r="T193" s="44" t="str">
        <f>IF($O193="","",IFERROR(INDEX('Координати майданчиків'!$B$4:$B$64,MATCH($A193&amp;IF($P193="","",", "&amp;$P193),'Координати майданчиків'!$B$4:$B$64,0)),IFERROR(INDEX('Координати майданчиків'!$B$4:$B$64,MATCH($A193,'Координати майданчиків'!$B$4:$B$64,0)),"")))</f>
        <v/>
      </c>
    </row>
    <row r="194" spans="1:20" x14ac:dyDescent="0.35">
      <c r="A194" s="26" t="str">
        <f t="shared" si="6"/>
        <v>вул. Земська</v>
      </c>
      <c r="B194" s="26" t="str">
        <f t="shared" si="7"/>
        <v>гуртожиток</v>
      </c>
      <c r="C194" s="27" t="str" cm="1">
        <f t="array" ref="C194">IF($O194="","",_xlfn.TEXTJOIN(", ",TRUE,IF(EXACT('Дані_зв''язок'!$J$4:$J$1012,$O194)*('Дані_зв''язок'!$C$4:$C$1012=C$4),'Дані_зв''язок'!$D$4:$D$1012,"")))</f>
        <v>10:30</v>
      </c>
      <c r="D194" s="27" t="str" cm="1">
        <f t="array" ref="D194">IF($O194="","",_xlfn.TEXTJOIN(", ",TRUE,IF(EXACT('Дані_зв''язок'!$J$4:$J$1012,$O194)*('Дані_зв''язок'!$C$4:$C$1012=D$4),'Дані_зв''язок'!$D$4:$D$1012,"")))</f>
        <v/>
      </c>
      <c r="E194" s="27" t="str" cm="1">
        <f t="array" ref="E194">IF($O194="","",_xlfn.TEXTJOIN(", ",TRUE,IF(EXACT('Дані_зв''язок'!$J$4:$J$1012,$O194)*('Дані_зв''язок'!$C$4:$C$1012=E$4),'Дані_зв''язок'!$D$4:$D$1012,"")))</f>
        <v/>
      </c>
      <c r="F194" s="27" t="str" cm="1">
        <f t="array" ref="F194">IF($O194="","",_xlfn.TEXTJOIN(", ",TRUE,IF(EXACT('Дані_зв''язок'!$J$4:$J$1012,$O194)*('Дані_зв''язок'!$C$4:$C$1012=F$4),'Дані_зв''язок'!$D$4:$D$1012,"")))</f>
        <v/>
      </c>
      <c r="G194" s="27" t="str" cm="1">
        <f t="array" ref="G194">IF($O194="","",_xlfn.TEXTJOIN(", ",TRUE,IF(EXACT('Дані_зв''язок'!$J$4:$J$1012,$O194)*('Дані_зв''язок'!$C$4:$C$1012=G$4),'Дані_зв''язок'!$D$4:$D$1012,"")))</f>
        <v/>
      </c>
      <c r="H194" s="27" t="str" cm="1">
        <f t="array" ref="H194">IF($O194="","",_xlfn.TEXTJOIN(", ",TRUE,IF(EXACT('Дані_зв''язок'!$J$4:$J$1012,$O194)*('Дані_зв''язок'!$C$4:$C$1012=H$4),'Дані_зв''язок'!$D$4:$D$1012,"")))</f>
        <v/>
      </c>
      <c r="I194" s="27" t="str" cm="1">
        <f t="array" ref="I194">IF($O194="","",_xlfn.TEXTJOIN(", ",TRUE,IF(EXACT('Дані_зв''язок'!$J$4:$J$1012,$O194)*('Дані_зв''язок'!$C$4:$C$1012=I$4),'Дані_зв''язок'!$D$4:$D$1012,"")))</f>
        <v/>
      </c>
      <c r="J194" s="27" cm="1">
        <f t="array" ref="J194">IF($O194="","",COUNTIF(C194:I194,"?*")+SUMPRODUCT(LEN(C194:I194)-LEN(SUBSTITUTE(C194:I194,",",""))))</f>
        <v>1</v>
      </c>
      <c r="K194" s="28" t="str" cm="1">
        <f t="array" ref="K194">IF($O194="","",_xlfn.TEXTJOIN(", ",TRUE,IF(EXACT('Дані_зв''язок'!$J$4:$J$1012,$O194),'Дані_зв''язок'!$L$4:$L$1012,"")))</f>
        <v>№3</v>
      </c>
      <c r="L194" s="28" t="str" cm="1">
        <f t="array" ref="L194">IF($O194="","",_xlfn.TEXTJOIN(", ",TRUE,IF(EXACT('Дані_зв''язок'!$J$4:$J$1012,$O194),'Дані_зв''язок'!$M$4:$M$1012,"")))</f>
        <v>ГАЗ 3309</v>
      </c>
      <c r="M194" s="27" cm="1">
        <f t="array" ref="M194">IF($O194="","",IF(SUMPRODUCT(MAX(EXACT('Дані_зв''язок'!$J$4:$J$1012,$O194)*IFERROR('Дані_зв''язок'!$H$4:$H$1012,0)))=0,"",SUMPRODUCT(MAX(EXACT('Дані_зв''язок'!$J$4:$J$1012,$O194)*IFERROR('Дані_зв''язок'!$H$4:$H$1012,0)))))</f>
        <v>1</v>
      </c>
      <c r="O194" s="30" t="s">
        <v>1299</v>
      </c>
      <c r="P194" s="24" t="str" cm="1">
        <f t="array" ref="P194">IF($O194="","",IF($B194="","",IFERROR(IF(MIN(IFERROR(VALUE(TRIM(MID(SUBSTITUTE(SUBSTITUTE($B194,","," ")," ",REPT(" ",30)),{1;31;61;91;121;151;181},30))),""))=0,"",MIN(IFERROR(VALUE(TRIM(MID(SUBSTITUTE(SUBSTITUTE($B194,","," ")," ",REPT(" ",30)),{1;31;61;91;121;151;181},30))),""))),"")))</f>
        <v/>
      </c>
      <c r="Q194" s="23" t="str">
        <f t="shared" si="8"/>
        <v>Прилуки, Чернігівська обл., вул. Земська</v>
      </c>
      <c r="R194" s="35">
        <f>IF($O194="","",IFERROR(INDEX('Координати майданчиків'!$H$4:$H$64,MATCH($T194,'Координати майданчиків'!$B$4:$B$64,0)),IFERROR(IF(ABS(INDEX(Геокодування!$C$2:$C$361,MATCH($Q194,Геокодування!$B$2:$B$361,0))-50.5884)+ABS(INDEX(Геокодування!$D$2:$D$361,MATCH($Q194,Геокодування!$B$2:$B$361,0))-32.3876)&gt;0.15,"",INDEX(Геокодування!$C$2:$C$361,MATCH($Q194,Геокодування!$B$2:$B$361,0))),IFERROR(IF(ABS(INDEX(Геокодування!$C$2:$C$361,MATCH("Прилуки, Чернігівська обл., "&amp;$A194,Геокодування!$B$2:$B$361,0))-50.5884)+ABS(INDEX(Геокодування!$D$2:$D$361,MATCH("Прилуки, Чернігівська обл., "&amp;$A194,Геокодування!$B$2:$B$361,0))-32.3876)&gt;0.15,"",INDEX(Геокодування!$C$2:$C$361,MATCH("Прилуки, Чернігівська обл., "&amp;$A194,Геокодування!$B$2:$B$361,0))),""))))</f>
        <v>50.591270000000002</v>
      </c>
      <c r="S194" s="43">
        <f>IF($O194="","",IFERROR(INDEX('Координати майданчиків'!$I$4:$I$64,MATCH($T194,'Координати майданчиків'!$B$4:$B$64,0)),IFERROR(IF(ABS(INDEX(Геокодування!$C$2:$C$361,MATCH($Q194,Геокодування!$B$2:$B$361,0))-50.5884)+ABS(INDEX(Геокодування!$D$2:$D$361,MATCH($Q194,Геокодування!$B$2:$B$361,0))-32.3876)&gt;0.15,"",INDEX(Геокодування!$D$2:$D$361,MATCH($Q194,Геокодування!$B$2:$B$361,0))),IFERROR(IF(ABS(INDEX(Геокодування!$C$2:$C$361,MATCH("Прилуки, Чернігівська обл., "&amp;$A194,Геокодування!$B$2:$B$361,0))-50.5884)+ABS(INDEX(Геокодування!$D$2:$D$361,MATCH("Прилуки, Чернігівська обл., "&amp;$A194,Геокодування!$B$2:$B$361,0))-32.3876)&gt;0.15,"",INDEX(Геокодування!$D$2:$D$361,MATCH("Прилуки, Чернігівська обл., "&amp;$A194,Геокодування!$B$2:$B$361,0))),""))))</f>
        <v>32.379255999999998</v>
      </c>
      <c r="T194" s="44" t="str">
        <f>IF($O194="","",IFERROR(INDEX('Координати майданчиків'!$B$4:$B$64,MATCH($A194&amp;IF($P194="","",", "&amp;$P194),'Координати майданчиків'!$B$4:$B$64,0)),IFERROR(INDEX('Координати майданчиків'!$B$4:$B$64,MATCH($A194,'Координати майданчиків'!$B$4:$B$64,0)),"")))</f>
        <v/>
      </c>
    </row>
    <row r="195" spans="1:20" x14ac:dyDescent="0.35">
      <c r="A195" s="26" t="str">
        <f t="shared" si="6"/>
        <v>вул. Земська</v>
      </c>
      <c r="B195" s="26" t="str">
        <f t="shared" si="7"/>
        <v>жіноча конс-ція</v>
      </c>
      <c r="C195" s="27" t="str" cm="1">
        <f t="array" ref="C195">IF($O195="","",_xlfn.TEXTJOIN(", ",TRUE,IF(EXACT('Дані_зв''язок'!$J$4:$J$1012,$O195)*('Дані_зв''язок'!$C$4:$C$1012=C$4),'Дані_зв''язок'!$D$4:$D$1012,"")))</f>
        <v>8:30, 15:20</v>
      </c>
      <c r="D195" s="27" t="str" cm="1">
        <f t="array" ref="D195">IF($O195="","",_xlfn.TEXTJOIN(", ",TRUE,IF(EXACT('Дані_зв''язок'!$J$4:$J$1012,$O195)*('Дані_зв''язок'!$C$4:$C$1012=D$4),'Дані_зв''язок'!$D$4:$D$1012,"")))</f>
        <v>8:30, 14:40</v>
      </c>
      <c r="E195" s="27" t="str" cm="1">
        <f t="array" ref="E195">IF($O195="","",_xlfn.TEXTJOIN(", ",TRUE,IF(EXACT('Дані_зв''язок'!$J$4:$J$1012,$O195)*('Дані_зв''язок'!$C$4:$C$1012=E$4),'Дані_зв''язок'!$D$4:$D$1012,"")))</f>
        <v>14:00</v>
      </c>
      <c r="F195" s="27" t="str" cm="1">
        <f t="array" ref="F195">IF($O195="","",_xlfn.TEXTJOIN(", ",TRUE,IF(EXACT('Дані_зв''язок'!$J$4:$J$1012,$O195)*('Дані_зв''язок'!$C$4:$C$1012=F$4),'Дані_зв''язок'!$D$4:$D$1012,"")))</f>
        <v>8:30, 15:35</v>
      </c>
      <c r="G195" s="27" t="str" cm="1">
        <f t="array" ref="G195">IF($O195="","",_xlfn.TEXTJOIN(", ",TRUE,IF(EXACT('Дані_зв''язок'!$J$4:$J$1012,$O195)*('Дані_зв''язок'!$C$4:$C$1012=G$4),'Дані_зв''язок'!$D$4:$D$1012,"")))</f>
        <v>8:30, 15:05</v>
      </c>
      <c r="H195" s="27" t="str" cm="1">
        <f t="array" ref="H195">IF($O195="","",_xlfn.TEXTJOIN(", ",TRUE,IF(EXACT('Дані_зв''язок'!$J$4:$J$1012,$O195)*('Дані_зв''язок'!$C$4:$C$1012=H$4),'Дані_зв''язок'!$D$4:$D$1012,"")))</f>
        <v>14:00</v>
      </c>
      <c r="I195" s="27" t="str" cm="1">
        <f t="array" ref="I195">IF($O195="","",_xlfn.TEXTJOIN(", ",TRUE,IF(EXACT('Дані_зв''язок'!$J$4:$J$1012,$O195)*('Дані_зв''язок'!$C$4:$C$1012=I$4),'Дані_зв''язок'!$D$4:$D$1012,"")))</f>
        <v>8:30, 14:35</v>
      </c>
      <c r="J195" s="27" cm="1">
        <f t="array" ref="J195">IF($O195="","",COUNTIF(C195:I195,"?*")+SUMPRODUCT(LEN(C195:I195)-LEN(SUBSTITUTE(C195:I195,",",""))))</f>
        <v>12</v>
      </c>
      <c r="K195" s="28" t="str" cm="1">
        <f t="array" ref="K195">IF($O195="","",_xlfn.TEXTJOIN(", ",TRUE,IF(EXACT('Дані_зв''язок'!$J$4:$J$1012,$O195),'Дані_зв''язок'!$L$4:$L$1012,"")))</f>
        <v>№2</v>
      </c>
      <c r="L195" s="28" t="str" cm="1">
        <f t="array" ref="L195">IF($O195="","",_xlfn.TEXTJOIN(", ",TRUE,IF(EXACT('Дані_зв''язок'!$J$4:$J$1012,$O195),'Дані_зв''язок'!$M$4:$M$1012,"")))</f>
        <v>АТ 4021/1120, АТ-4021/1120</v>
      </c>
      <c r="M195" s="27" cm="1">
        <f t="array" ref="M195">IF($O195="","",IF(SUMPRODUCT(MAX(EXACT('Дані_зв''язок'!$J$4:$J$1012,$O195)*IFERROR('Дані_зв''язок'!$H$4:$H$1012,0)))=0,"",SUMPRODUCT(MAX(EXACT('Дані_зв''язок'!$J$4:$J$1012,$O195)*IFERROR('Дані_зв''язок'!$H$4:$H$1012,0)))))</f>
        <v>1</v>
      </c>
      <c r="O195" s="30" t="s">
        <v>1300</v>
      </c>
      <c r="P195" s="24" t="str" cm="1">
        <f t="array" ref="P195">IF($O195="","",IF($B195="","",IFERROR(IF(MIN(IFERROR(VALUE(TRIM(MID(SUBSTITUTE(SUBSTITUTE($B195,","," ")," ",REPT(" ",30)),{1;31;61;91;121;151;181},30))),""))=0,"",MIN(IFERROR(VALUE(TRIM(MID(SUBSTITUTE(SUBSTITUTE($B195,","," ")," ",REPT(" ",30)),{1;31;61;91;121;151;181},30))),""))),"")))</f>
        <v/>
      </c>
      <c r="Q195" s="23" t="str">
        <f t="shared" si="8"/>
        <v>Прилуки, Чернігівська обл., вул. Земська</v>
      </c>
      <c r="R195" s="35">
        <f>IF($O195="","",IFERROR(INDEX('Координати майданчиків'!$H$4:$H$64,MATCH($T195,'Координати майданчиків'!$B$4:$B$64,0)),IFERROR(IF(ABS(INDEX(Геокодування!$C$2:$C$361,MATCH($Q195,Геокодування!$B$2:$B$361,0))-50.5884)+ABS(INDEX(Геокодування!$D$2:$D$361,MATCH($Q195,Геокодування!$B$2:$B$361,0))-32.3876)&gt;0.15,"",INDEX(Геокодування!$C$2:$C$361,MATCH($Q195,Геокодування!$B$2:$B$361,0))),IFERROR(IF(ABS(INDEX(Геокодування!$C$2:$C$361,MATCH("Прилуки, Чернігівська обл., "&amp;$A195,Геокодування!$B$2:$B$361,0))-50.5884)+ABS(INDEX(Геокодування!$D$2:$D$361,MATCH("Прилуки, Чернігівська обл., "&amp;$A195,Геокодування!$B$2:$B$361,0))-32.3876)&gt;0.15,"",INDEX(Геокодування!$C$2:$C$361,MATCH("Прилуки, Чернігівська обл., "&amp;$A195,Геокодування!$B$2:$B$361,0))),""))))</f>
        <v>50.591270000000002</v>
      </c>
      <c r="S195" s="43">
        <f>IF($O195="","",IFERROR(INDEX('Координати майданчиків'!$I$4:$I$64,MATCH($T195,'Координати майданчиків'!$B$4:$B$64,0)),IFERROR(IF(ABS(INDEX(Геокодування!$C$2:$C$361,MATCH($Q195,Геокодування!$B$2:$B$361,0))-50.5884)+ABS(INDEX(Геокодування!$D$2:$D$361,MATCH($Q195,Геокодування!$B$2:$B$361,0))-32.3876)&gt;0.15,"",INDEX(Геокодування!$D$2:$D$361,MATCH($Q195,Геокодування!$B$2:$B$361,0))),IFERROR(IF(ABS(INDEX(Геокодування!$C$2:$C$361,MATCH("Прилуки, Чернігівська обл., "&amp;$A195,Геокодування!$B$2:$B$361,0))-50.5884)+ABS(INDEX(Геокодування!$D$2:$D$361,MATCH("Прилуки, Чернігівська обл., "&amp;$A195,Геокодування!$B$2:$B$361,0))-32.3876)&gt;0.15,"",INDEX(Геокодування!$D$2:$D$361,MATCH("Прилуки, Чернігівська обл., "&amp;$A195,Геокодування!$B$2:$B$361,0))),""))))</f>
        <v>32.379255999999998</v>
      </c>
      <c r="T195" s="44" t="str">
        <f>IF($O195="","",IFERROR(INDEX('Координати майданчиків'!$B$4:$B$64,MATCH($A195&amp;IF($P195="","",", "&amp;$P195),'Координати майданчиків'!$B$4:$B$64,0)),IFERROR(INDEX('Координати майданчиків'!$B$4:$B$64,MATCH($A195,'Координати майданчиків'!$B$4:$B$64,0)),"")))</f>
        <v/>
      </c>
    </row>
    <row r="196" spans="1:20" x14ac:dyDescent="0.35">
      <c r="A196" s="26" t="str">
        <f t="shared" si="6"/>
        <v>вул. Земська</v>
      </c>
      <c r="B196" s="26" t="str">
        <f t="shared" si="7"/>
        <v>шк. 7</v>
      </c>
      <c r="C196" s="27" t="str" cm="1">
        <f t="array" ref="C196">IF($O196="","",_xlfn.TEXTJOIN(", ",TRUE,IF(EXACT('Дані_зв''язок'!$J$4:$J$1012,$O196)*('Дані_зв''язок'!$C$4:$C$1012=C$4),'Дані_зв''язок'!$D$4:$D$1012,"")))</f>
        <v>7:10, 14:50</v>
      </c>
      <c r="D196" s="27" t="str" cm="1">
        <f t="array" ref="D196">IF($O196="","",_xlfn.TEXTJOIN(", ",TRUE,IF(EXACT('Дані_зв''язок'!$J$4:$J$1012,$O196)*('Дані_зв''язок'!$C$4:$C$1012=D$4),'Дані_зв''язок'!$D$4:$D$1012,"")))</f>
        <v>7:10</v>
      </c>
      <c r="E196" s="27" t="str" cm="1">
        <f t="array" ref="E196">IF($O196="","",_xlfn.TEXTJOIN(", ",TRUE,IF(EXACT('Дані_зв''язок'!$J$4:$J$1012,$O196)*('Дані_зв''язок'!$C$4:$C$1012=E$4),'Дані_зв''язок'!$D$4:$D$1012,"")))</f>
        <v>7:10, 14:50</v>
      </c>
      <c r="F196" s="27" t="str" cm="1">
        <f t="array" ref="F196">IF($O196="","",_xlfn.TEXTJOIN(", ",TRUE,IF(EXACT('Дані_зв''язок'!$J$4:$J$1012,$O196)*('Дані_зв''язок'!$C$4:$C$1012=F$4),'Дані_зв''язок'!$D$4:$D$1012,"")))</f>
        <v>7:20, 15:10</v>
      </c>
      <c r="G196" s="27" t="str" cm="1">
        <f t="array" ref="G196">IF($O196="","",_xlfn.TEXTJOIN(", ",TRUE,IF(EXACT('Дані_зв''язок'!$J$4:$J$1012,$O196)*('Дані_зв''язок'!$C$4:$C$1012=G$4),'Дані_зв''язок'!$D$4:$D$1012,"")))</f>
        <v>7:25, 14:50</v>
      </c>
      <c r="H196" s="27" t="str" cm="1">
        <f t="array" ref="H196">IF($O196="","",_xlfn.TEXTJOIN(", ",TRUE,IF(EXACT('Дані_зв''язок'!$J$4:$J$1012,$O196)*('Дані_зв''язок'!$C$4:$C$1012=H$4),'Дані_зв''язок'!$D$4:$D$1012,"")))</f>
        <v>7:10</v>
      </c>
      <c r="I196" s="27" t="str" cm="1">
        <f t="array" ref="I196">IF($O196="","",_xlfn.TEXTJOIN(", ",TRUE,IF(EXACT('Дані_зв''язок'!$J$4:$J$1012,$O196)*('Дані_зв''язок'!$C$4:$C$1012=I$4),'Дані_зв''язок'!$D$4:$D$1012,"")))</f>
        <v>7:20, 15:10</v>
      </c>
      <c r="J196" s="27" cm="1">
        <f t="array" ref="J196">IF($O196="","",COUNTIF(C196:I196,"?*")+SUMPRODUCT(LEN(C196:I196)-LEN(SUBSTITUTE(C196:I196,",",""))))</f>
        <v>12</v>
      </c>
      <c r="K196" s="28" t="str" cm="1">
        <f t="array" ref="K196">IF($O196="","",_xlfn.TEXTJOIN(", ",TRUE,IF(EXACT('Дані_зв''язок'!$J$4:$J$1012,$O196),'Дані_зв''язок'!$L$4:$L$1012,"")))</f>
        <v>№3</v>
      </c>
      <c r="L196" s="28" t="str" cm="1">
        <f t="array" ref="L196">IF($O196="","",_xlfn.TEXTJOIN(", ",TRUE,IF(EXACT('Дані_зв''язок'!$J$4:$J$1012,$O196),'Дані_зв''язок'!$M$4:$M$1012,"")))</f>
        <v>МАЗ-4371, ГАЗ 3309</v>
      </c>
      <c r="M196" s="27" cm="1">
        <f t="array" ref="M196">IF($O196="","",IF(SUMPRODUCT(MAX(EXACT('Дані_зв''язок'!$J$4:$J$1012,$O196)*IFERROR('Дані_зв''язок'!$H$4:$H$1012,0)))=0,"",SUMPRODUCT(MAX(EXACT('Дані_зв''язок'!$J$4:$J$1012,$O196)*IFERROR('Дані_зв''язок'!$H$4:$H$1012,0)))))</f>
        <v>1</v>
      </c>
      <c r="O196" s="30" t="s">
        <v>1301</v>
      </c>
      <c r="P196" s="24" cm="1">
        <f t="array" ref="P196">IF($O196="","",IF($B196="","",IFERROR(IF(MIN(IFERROR(VALUE(TRIM(MID(SUBSTITUTE(SUBSTITUTE($B196,","," ")," ",REPT(" ",30)),{1;31;61;91;121;151;181},30))),""))=0,"",MIN(IFERROR(VALUE(TRIM(MID(SUBSTITUTE(SUBSTITUTE($B196,","," ")," ",REPT(" ",30)),{1;31;61;91;121;151;181},30))),""))),"")))</f>
        <v>7</v>
      </c>
      <c r="Q196" s="23" t="str">
        <f t="shared" si="8"/>
        <v>Прилуки, Чернігівська обл., вул. Земська, 7</v>
      </c>
      <c r="R196" s="35">
        <f>IF($O196="","",IFERROR(INDEX('Координати майданчиків'!$H$4:$H$64,MATCH($T196,'Координати майданчиків'!$B$4:$B$64,0)),IFERROR(IF(ABS(INDEX(Геокодування!$C$2:$C$361,MATCH($Q196,Геокодування!$B$2:$B$361,0))-50.5884)+ABS(INDEX(Геокодування!$D$2:$D$361,MATCH($Q196,Геокодування!$B$2:$B$361,0))-32.3876)&gt;0.15,"",INDEX(Геокодування!$C$2:$C$361,MATCH($Q196,Геокодування!$B$2:$B$361,0))),IFERROR(IF(ABS(INDEX(Геокодування!$C$2:$C$361,MATCH("Прилуки, Чернігівська обл., "&amp;$A196,Геокодування!$B$2:$B$361,0))-50.5884)+ABS(INDEX(Геокодування!$D$2:$D$361,MATCH("Прилуки, Чернігівська обл., "&amp;$A196,Геокодування!$B$2:$B$361,0))-32.3876)&gt;0.15,"",INDEX(Геокодування!$C$2:$C$361,MATCH("Прилуки, Чернігівська обл., "&amp;$A196,Геокодування!$B$2:$B$361,0))),""))))</f>
        <v>50.59487</v>
      </c>
      <c r="S196" s="43">
        <f>IF($O196="","",IFERROR(INDEX('Координати майданчиків'!$I$4:$I$64,MATCH($T196,'Координати майданчиків'!$B$4:$B$64,0)),IFERROR(IF(ABS(INDEX(Геокодування!$C$2:$C$361,MATCH($Q196,Геокодування!$B$2:$B$361,0))-50.5884)+ABS(INDEX(Геокодування!$D$2:$D$361,MATCH($Q196,Геокодування!$B$2:$B$361,0))-32.3876)&gt;0.15,"",INDEX(Геокодування!$D$2:$D$361,MATCH($Q196,Геокодування!$B$2:$B$361,0))),IFERROR(IF(ABS(INDEX(Геокодування!$C$2:$C$361,MATCH("Прилуки, Чернігівська обл., "&amp;$A196,Геокодування!$B$2:$B$361,0))-50.5884)+ABS(INDEX(Геокодування!$D$2:$D$361,MATCH("Прилуки, Чернігівська обл., "&amp;$A196,Геокодування!$B$2:$B$361,0))-32.3876)&gt;0.15,"",INDEX(Геокодування!$D$2:$D$361,MATCH("Прилуки, Чернігівська обл., "&amp;$A196,Геокодування!$B$2:$B$361,0))),""))))</f>
        <v>32.380740000000003</v>
      </c>
      <c r="T196" s="44" t="str">
        <f>IF($O196="","",IFERROR(INDEX('Координати майданчиків'!$B$4:$B$64,MATCH($A196&amp;IF($P196="","",", "&amp;$P196),'Координати майданчиків'!$B$4:$B$64,0)),IFERROR(INDEX('Координати майданчиків'!$B$4:$B$64,MATCH($A196,'Координати майданчиків'!$B$4:$B$64,0)),"")))</f>
        <v>вул. Земська, 7</v>
      </c>
    </row>
    <row r="197" spans="1:20" x14ac:dyDescent="0.35">
      <c r="A197" s="26" t="str">
        <f t="shared" si="6"/>
        <v>вул. Кар'єрна</v>
      </c>
      <c r="B197" s="26" t="str">
        <f t="shared" si="7"/>
        <v>11,2</v>
      </c>
      <c r="C197" s="27" t="str" cm="1">
        <f t="array" ref="C197">IF($O197="","",_xlfn.TEXTJOIN(", ",TRUE,IF(EXACT('Дані_зв''язок'!$J$4:$J$1012,$O197)*('Дані_зв''язок'!$C$4:$C$1012=C$4),'Дані_зв''язок'!$D$4:$D$1012,"")))</f>
        <v>11:35</v>
      </c>
      <c r="D197" s="27" t="str" cm="1">
        <f t="array" ref="D197">IF($O197="","",_xlfn.TEXTJOIN(", ",TRUE,IF(EXACT('Дані_зв''язок'!$J$4:$J$1012,$O197)*('Дані_зв''язок'!$C$4:$C$1012=D$4),'Дані_зв''язок'!$D$4:$D$1012,"")))</f>
        <v/>
      </c>
      <c r="E197" s="27" t="str" cm="1">
        <f t="array" ref="E197">IF($O197="","",_xlfn.TEXTJOIN(", ",TRUE,IF(EXACT('Дані_зв''язок'!$J$4:$J$1012,$O197)*('Дані_зв''язок'!$C$4:$C$1012=E$4),'Дані_зв''язок'!$D$4:$D$1012,"")))</f>
        <v/>
      </c>
      <c r="F197" s="27" t="str" cm="1">
        <f t="array" ref="F197">IF($O197="","",_xlfn.TEXTJOIN(", ",TRUE,IF(EXACT('Дані_зв''язок'!$J$4:$J$1012,$O197)*('Дані_зв''язок'!$C$4:$C$1012=F$4),'Дані_зв''язок'!$D$4:$D$1012,"")))</f>
        <v/>
      </c>
      <c r="G197" s="27" t="str" cm="1">
        <f t="array" ref="G197">IF($O197="","",_xlfn.TEXTJOIN(", ",TRUE,IF(EXACT('Дані_зв''язок'!$J$4:$J$1012,$O197)*('Дані_зв''язок'!$C$4:$C$1012=G$4),'Дані_зв''язок'!$D$4:$D$1012,"")))</f>
        <v/>
      </c>
      <c r="H197" s="27" t="str" cm="1">
        <f t="array" ref="H197">IF($O197="","",_xlfn.TEXTJOIN(", ",TRUE,IF(EXACT('Дані_зв''язок'!$J$4:$J$1012,$O197)*('Дані_зв''язок'!$C$4:$C$1012=H$4),'Дані_зв''язок'!$D$4:$D$1012,"")))</f>
        <v/>
      </c>
      <c r="I197" s="27" t="str" cm="1">
        <f t="array" ref="I197">IF($O197="","",_xlfn.TEXTJOIN(", ",TRUE,IF(EXACT('Дані_зв''язок'!$J$4:$J$1012,$O197)*('Дані_зв''язок'!$C$4:$C$1012=I$4),'Дані_зв''язок'!$D$4:$D$1012,"")))</f>
        <v/>
      </c>
      <c r="J197" s="27" cm="1">
        <f t="array" ref="J197">IF($O197="","",COUNTIF(C197:I197,"?*")+SUMPRODUCT(LEN(C197:I197)-LEN(SUBSTITUTE(C197:I197,",",""))))</f>
        <v>1</v>
      </c>
      <c r="K197" s="28" t="str" cm="1">
        <f t="array" ref="K197">IF($O197="","",_xlfn.TEXTJOIN(", ",TRUE,IF(EXACT('Дані_зв''язок'!$J$4:$J$1012,$O197),'Дані_зв''язок'!$L$4:$L$1012,"")))</f>
        <v>№6</v>
      </c>
      <c r="L197" s="28" t="str" cm="1">
        <f t="array" ref="L197">IF($O197="","",_xlfn.TEXTJOIN(", ",TRUE,IF(EXACT('Дані_зв''язок'!$J$4:$J$1012,$O197),'Дані_зв''язок'!$M$4:$M$1012,"")))</f>
        <v>АТ 4021</v>
      </c>
      <c r="M197" s="27" t="str" cm="1">
        <f t="array" ref="M197">IF($O197="","",IF(SUMPRODUCT(MAX(EXACT('Дані_зв''язок'!$J$4:$J$1012,$O197)*IFERROR('Дані_зв''язок'!$H$4:$H$1012,0)))=0,"",SUMPRODUCT(MAX(EXACT('Дані_зв''язок'!$J$4:$J$1012,$O197)*IFERROR('Дані_зв''язок'!$H$4:$H$1012,0)))))</f>
        <v/>
      </c>
      <c r="O197" s="30" t="s">
        <v>1318</v>
      </c>
      <c r="P197" s="24" cm="1">
        <f t="array" ref="P197">IF($O197="","",IF($B197="","",IFERROR(IF(MIN(IFERROR(VALUE(TRIM(MID(SUBSTITUTE(SUBSTITUTE($B197,","," ")," ",REPT(" ",30)),{1;31;61;91;121;151;181},30))),""))=0,"",MIN(IFERROR(VALUE(TRIM(MID(SUBSTITUTE(SUBSTITUTE($B197,","," ")," ",REPT(" ",30)),{1;31;61;91;121;151;181},30))),""))),"")))</f>
        <v>2</v>
      </c>
      <c r="Q197" s="23" t="str">
        <f t="shared" si="8"/>
        <v>Прилуки, Чернігівська обл., вул. Кар'єрна, 2</v>
      </c>
      <c r="R197" s="35">
        <f>IF($O197="","",IFERROR(INDEX('Координати майданчиків'!$H$4:$H$64,MATCH($T197,'Координати майданчиків'!$B$4:$B$64,0)),IFERROR(IF(ABS(INDEX(Геокодування!$C$2:$C$361,MATCH($Q197,Геокодування!$B$2:$B$361,0))-50.5884)+ABS(INDEX(Геокодування!$D$2:$D$361,MATCH($Q197,Геокодування!$B$2:$B$361,0))-32.3876)&gt;0.15,"",INDEX(Геокодування!$C$2:$C$361,MATCH($Q197,Геокодування!$B$2:$B$361,0))),IFERROR(IF(ABS(INDEX(Геокодування!$C$2:$C$361,MATCH("Прилуки, Чернігівська обл., "&amp;$A197,Геокодування!$B$2:$B$361,0))-50.5884)+ABS(INDEX(Геокодування!$D$2:$D$361,MATCH("Прилуки, Чернігівська обл., "&amp;$A197,Геокодування!$B$2:$B$361,0))-32.3876)&gt;0.15,"",INDEX(Геокодування!$C$2:$C$361,MATCH("Прилуки, Чернігівська обл., "&amp;$A197,Геокодування!$B$2:$B$361,0))),""))))</f>
        <v>50.609659000000001</v>
      </c>
      <c r="S197" s="43">
        <f>IF($O197="","",IFERROR(INDEX('Координати майданчиків'!$I$4:$I$64,MATCH($T197,'Координати майданчиків'!$B$4:$B$64,0)),IFERROR(IF(ABS(INDEX(Геокодування!$C$2:$C$361,MATCH($Q197,Геокодування!$B$2:$B$361,0))-50.5884)+ABS(INDEX(Геокодування!$D$2:$D$361,MATCH($Q197,Геокодування!$B$2:$B$361,0))-32.3876)&gt;0.15,"",INDEX(Геокодування!$D$2:$D$361,MATCH($Q197,Геокодування!$B$2:$B$361,0))),IFERROR(IF(ABS(INDEX(Геокодування!$C$2:$C$361,MATCH("Прилуки, Чернігівська обл., "&amp;$A197,Геокодування!$B$2:$B$361,0))-50.5884)+ABS(INDEX(Геокодування!$D$2:$D$361,MATCH("Прилуки, Чернігівська обл., "&amp;$A197,Геокодування!$B$2:$B$361,0))-32.3876)&gt;0.15,"",INDEX(Геокодування!$D$2:$D$361,MATCH("Прилуки, Чернігівська обл., "&amp;$A197,Геокодування!$B$2:$B$361,0))),""))))</f>
        <v>32.379094000000002</v>
      </c>
      <c r="T197" s="44" t="str">
        <f>IF($O197="","",IFERROR(INDEX('Координати майданчиків'!$B$4:$B$64,MATCH($A197&amp;IF($P197="","",", "&amp;$P197),'Координати майданчиків'!$B$4:$B$64,0)),IFERROR(INDEX('Координати майданчиків'!$B$4:$B$64,MATCH($A197,'Координати майданчиків'!$B$4:$B$64,0)),"")))</f>
        <v/>
      </c>
    </row>
    <row r="198" spans="1:20" x14ac:dyDescent="0.35">
      <c r="A198" s="26" t="str">
        <f t="shared" ref="A198:A261" si="9">IF($O198="","",LEFT($O198,FIND("|",$O198)-1))</f>
        <v>вул. Квашинська</v>
      </c>
      <c r="B198" s="26" t="str">
        <f t="shared" ref="B198:B261" si="10">IF($O198="","",MID($O198,FIND("|",$O198)+1,999))</f>
        <v/>
      </c>
      <c r="C198" s="27" t="str" cm="1">
        <f t="array" ref="C198">IF($O198="","",_xlfn.TEXTJOIN(", ",TRUE,IF(EXACT('Дані_зв''язок'!$J$4:$J$1012,$O198)*('Дані_зв''язок'!$C$4:$C$1012=C$4),'Дані_зв''язок'!$D$4:$D$1012,"")))</f>
        <v/>
      </c>
      <c r="D198" s="27" t="str" cm="1">
        <f t="array" ref="D198">IF($O198="","",_xlfn.TEXTJOIN(", ",TRUE,IF(EXACT('Дані_зв''язок'!$J$4:$J$1012,$O198)*('Дані_зв''язок'!$C$4:$C$1012=D$4),'Дані_зв''язок'!$D$4:$D$1012,"")))</f>
        <v/>
      </c>
      <c r="E198" s="27" t="str" cm="1">
        <f t="array" ref="E198">IF($O198="","",_xlfn.TEXTJOIN(", ",TRUE,IF(EXACT('Дані_зв''язок'!$J$4:$J$1012,$O198)*('Дані_зв''язок'!$C$4:$C$1012=E$4),'Дані_зв''язок'!$D$4:$D$1012,"")))</f>
        <v>12:45</v>
      </c>
      <c r="F198" s="27" t="str" cm="1">
        <f t="array" ref="F198">IF($O198="","",_xlfn.TEXTJOIN(", ",TRUE,IF(EXACT('Дані_зв''язок'!$J$4:$J$1012,$O198)*('Дані_зв''язок'!$C$4:$C$1012=F$4),'Дані_зв''язок'!$D$4:$D$1012,"")))</f>
        <v>14:15</v>
      </c>
      <c r="G198" s="27" t="str" cm="1">
        <f t="array" ref="G198">IF($O198="","",_xlfn.TEXTJOIN(", ",TRUE,IF(EXACT('Дані_зв''язок'!$J$4:$J$1012,$O198)*('Дані_зв''язок'!$C$4:$C$1012=G$4),'Дані_зв''язок'!$D$4:$D$1012,"")))</f>
        <v/>
      </c>
      <c r="H198" s="27" t="str" cm="1">
        <f t="array" ref="H198">IF($O198="","",_xlfn.TEXTJOIN(", ",TRUE,IF(EXACT('Дані_зв''язок'!$J$4:$J$1012,$O198)*('Дані_зв''язок'!$C$4:$C$1012=H$4),'Дані_зв''язок'!$D$4:$D$1012,"")))</f>
        <v/>
      </c>
      <c r="I198" s="27" t="str" cm="1">
        <f t="array" ref="I198">IF($O198="","",_xlfn.TEXTJOIN(", ",TRUE,IF(EXACT('Дані_зв''язок'!$J$4:$J$1012,$O198)*('Дані_зв''язок'!$C$4:$C$1012=I$4),'Дані_зв''язок'!$D$4:$D$1012,"")))</f>
        <v/>
      </c>
      <c r="J198" s="27" cm="1">
        <f t="array" ref="J198">IF($O198="","",COUNTIF(C198:I198,"?*")+SUMPRODUCT(LEN(C198:I198)-LEN(SUBSTITUTE(C198:I198,",",""))))</f>
        <v>2</v>
      </c>
      <c r="K198" s="28" t="str" cm="1">
        <f t="array" ref="K198">IF($O198="","",_xlfn.TEXTJOIN(", ",TRUE,IF(EXACT('Дані_зв''язок'!$J$4:$J$1012,$O198),'Дані_зв''язок'!$L$4:$L$1012,"")))</f>
        <v>№5</v>
      </c>
      <c r="L198" s="28" t="str" cm="1">
        <f t="array" ref="L198">IF($O198="","",_xlfn.TEXTJOIN(", ",TRUE,IF(EXACT('Дані_зв''язок'!$J$4:$J$1012,$O198),'Дані_зв''язок'!$M$4:$M$1012,"")))</f>
        <v>МАЗ 4381</v>
      </c>
      <c r="M198" s="27" t="str" cm="1">
        <f t="array" ref="M198">IF($O198="","",IF(SUMPRODUCT(MAX(EXACT('Дані_зв''язок'!$J$4:$J$1012,$O198)*IFERROR('Дані_зв''язок'!$H$4:$H$1012,0)))=0,"",SUMPRODUCT(MAX(EXACT('Дані_зв''язок'!$J$4:$J$1012,$O198)*IFERROR('Дані_зв''язок'!$H$4:$H$1012,0)))))</f>
        <v/>
      </c>
      <c r="O198" s="30" t="s">
        <v>1319</v>
      </c>
      <c r="P198" s="24" t="str" cm="1">
        <f t="array" ref="P198">IF($O198="","",IF($B198="","",IFERROR(IF(MIN(IFERROR(VALUE(TRIM(MID(SUBSTITUTE(SUBSTITUTE($B198,","," ")," ",REPT(" ",30)),{1;31;61;91;121;151;181},30))),""))=0,"",MIN(IFERROR(VALUE(TRIM(MID(SUBSTITUTE(SUBSTITUTE($B198,","," ")," ",REPT(" ",30)),{1;31;61;91;121;151;181},30))),""))),"")))</f>
        <v/>
      </c>
      <c r="Q198" s="23" t="str">
        <f t="shared" ref="Q198:Q261" si="11">IF($O198="","","Прилуки, Чернігівська обл., "&amp;$A198&amp;IF($P198="","",", "&amp;$P198))</f>
        <v>Прилуки, Чернігівська обл., вул. Квашинська</v>
      </c>
      <c r="R198" s="35">
        <f>IF($O198="","",IFERROR(INDEX('Координати майданчиків'!$H$4:$H$64,MATCH($T198,'Координати майданчиків'!$B$4:$B$64,0)),IFERROR(IF(ABS(INDEX(Геокодування!$C$2:$C$361,MATCH($Q198,Геокодування!$B$2:$B$361,0))-50.5884)+ABS(INDEX(Геокодування!$D$2:$D$361,MATCH($Q198,Геокодування!$B$2:$B$361,0))-32.3876)&gt;0.15,"",INDEX(Геокодування!$C$2:$C$361,MATCH($Q198,Геокодування!$B$2:$B$361,0))),IFERROR(IF(ABS(INDEX(Геокодування!$C$2:$C$361,MATCH("Прилуки, Чернігівська обл., "&amp;$A198,Геокодування!$B$2:$B$361,0))-50.5884)+ABS(INDEX(Геокодування!$D$2:$D$361,MATCH("Прилуки, Чернігівська обл., "&amp;$A198,Геокодування!$B$2:$B$361,0))-32.3876)&gt;0.15,"",INDEX(Геокодування!$C$2:$C$361,MATCH("Прилуки, Чернігівська обл., "&amp;$A198,Геокодування!$B$2:$B$361,0))),""))))</f>
        <v>50.600487000000001</v>
      </c>
      <c r="S198" s="43">
        <f>IF($O198="","",IFERROR(INDEX('Координати майданчиків'!$I$4:$I$64,MATCH($T198,'Координати майданчиків'!$B$4:$B$64,0)),IFERROR(IF(ABS(INDEX(Геокодування!$C$2:$C$361,MATCH($Q198,Геокодування!$B$2:$B$361,0))-50.5884)+ABS(INDEX(Геокодування!$D$2:$D$361,MATCH($Q198,Геокодування!$B$2:$B$361,0))-32.3876)&gt;0.15,"",INDEX(Геокодування!$D$2:$D$361,MATCH($Q198,Геокодування!$B$2:$B$361,0))),IFERROR(IF(ABS(INDEX(Геокодування!$C$2:$C$361,MATCH("Прилуки, Чернігівська обл., "&amp;$A198,Геокодування!$B$2:$B$361,0))-50.5884)+ABS(INDEX(Геокодування!$D$2:$D$361,MATCH("Прилуки, Чернігівська обл., "&amp;$A198,Геокодування!$B$2:$B$361,0))-32.3876)&gt;0.15,"",INDEX(Геокодування!$D$2:$D$361,MATCH("Прилуки, Чернігівська обл., "&amp;$A198,Геокодування!$B$2:$B$361,0))),""))))</f>
        <v>32.362537000000003</v>
      </c>
      <c r="T198" s="44" t="str">
        <f>IF($O198="","",IFERROR(INDEX('Координати майданчиків'!$B$4:$B$64,MATCH($A198&amp;IF($P198="","",", "&amp;$P198),'Координати майданчиків'!$B$4:$B$64,0)),IFERROR(INDEX('Координати майданчиків'!$B$4:$B$64,MATCH($A198,'Координати майданчиків'!$B$4:$B$64,0)),"")))</f>
        <v/>
      </c>
    </row>
    <row r="199" spans="1:20" x14ac:dyDescent="0.35">
      <c r="A199" s="26" t="str">
        <f t="shared" si="9"/>
        <v>вул. Київська-І. Сірка</v>
      </c>
      <c r="B199" s="26" t="str">
        <f t="shared" si="10"/>
        <v>перехрестя</v>
      </c>
      <c r="C199" s="27" t="str" cm="1">
        <f t="array" ref="C199">IF($O199="","",_xlfn.TEXTJOIN(", ",TRUE,IF(EXACT('Дані_зв''язок'!$J$4:$J$1012,$O199)*('Дані_зв''язок'!$C$4:$C$1012=C$4),'Дані_зв''язок'!$D$4:$D$1012,"")))</f>
        <v>8:40</v>
      </c>
      <c r="D199" s="27" t="str" cm="1">
        <f t="array" ref="D199">IF($O199="","",_xlfn.TEXTJOIN(", ",TRUE,IF(EXACT('Дані_зв''язок'!$J$4:$J$1012,$O199)*('Дані_зв''язок'!$C$4:$C$1012=D$4),'Дані_зв''язок'!$D$4:$D$1012,"")))</f>
        <v>8:40</v>
      </c>
      <c r="E199" s="27" t="str" cm="1">
        <f t="array" ref="E199">IF($O199="","",_xlfn.TEXTJOIN(", ",TRUE,IF(EXACT('Дані_зв''язок'!$J$4:$J$1012,$O199)*('Дані_зв''язок'!$C$4:$C$1012=E$4),'Дані_зв''язок'!$D$4:$D$1012,"")))</f>
        <v>8:40</v>
      </c>
      <c r="F199" s="27" t="str" cm="1">
        <f t="array" ref="F199">IF($O199="","",_xlfn.TEXTJOIN(", ",TRUE,IF(EXACT('Дані_зв''язок'!$J$4:$J$1012,$O199)*('Дані_зв''язок'!$C$4:$C$1012=F$4),'Дані_зв''язок'!$D$4:$D$1012,"")))</f>
        <v>14:00</v>
      </c>
      <c r="G199" s="27" t="str" cm="1">
        <f t="array" ref="G199">IF($O199="","",_xlfn.TEXTJOIN(", ",TRUE,IF(EXACT('Дані_зв''язок'!$J$4:$J$1012,$O199)*('Дані_зв''язок'!$C$4:$C$1012=G$4),'Дані_зв''язок'!$D$4:$D$1012,"")))</f>
        <v>8:40</v>
      </c>
      <c r="H199" s="27" t="str" cm="1">
        <f t="array" ref="H199">IF($O199="","",_xlfn.TEXTJOIN(", ",TRUE,IF(EXACT('Дані_зв''язок'!$J$4:$J$1012,$O199)*('Дані_зв''язок'!$C$4:$C$1012=H$4),'Дані_зв''язок'!$D$4:$D$1012,"")))</f>
        <v>8:40</v>
      </c>
      <c r="I199" s="27" t="str" cm="1">
        <f t="array" ref="I199">IF($O199="","",_xlfn.TEXTJOIN(", ",TRUE,IF(EXACT('Дані_зв''язок'!$J$4:$J$1012,$O199)*('Дані_зв''язок'!$C$4:$C$1012=I$4),'Дані_зв''язок'!$D$4:$D$1012,"")))</f>
        <v>14:00</v>
      </c>
      <c r="J199" s="27" cm="1">
        <f t="array" ref="J199">IF($O199="","",COUNTIF(C199:I199,"?*")+SUMPRODUCT(LEN(C199:I199)-LEN(SUBSTITUTE(C199:I199,",",""))))</f>
        <v>7</v>
      </c>
      <c r="K199" s="28" t="str" cm="1">
        <f t="array" ref="K199">IF($O199="","",_xlfn.TEXTJOIN(", ",TRUE,IF(EXACT('Дані_зв''язок'!$J$4:$J$1012,$O199),'Дані_зв''язок'!$L$4:$L$1012,"")))</f>
        <v>№1</v>
      </c>
      <c r="L199" s="28" t="str" cm="1">
        <f t="array" ref="L199">IF($O199="","",_xlfn.TEXTJOIN(", ",TRUE,IF(EXACT('Дані_зв''язок'!$J$4:$J$1012,$O199),'Дані_зв''язок'!$M$4:$M$1012,"")))</f>
        <v>КАМАЗ 55111, АТ-4021/1120</v>
      </c>
      <c r="M199" s="27" cm="1">
        <f t="array" ref="M199">IF($O199="","",IF(SUMPRODUCT(MAX(EXACT('Дані_зв''язок'!$J$4:$J$1012,$O199)*IFERROR('Дані_зв''язок'!$H$4:$H$1012,0)))=0,"",SUMPRODUCT(MAX(EXACT('Дані_зв''язок'!$J$4:$J$1012,$O199)*IFERROR('Дані_зв''язок'!$H$4:$H$1012,0)))))</f>
        <v>2</v>
      </c>
      <c r="O199" s="30" t="s">
        <v>1359</v>
      </c>
      <c r="P199" s="24" t="str" cm="1">
        <f t="array" ref="P199">IF($O199="","",IF($B199="","",IFERROR(IF(MIN(IFERROR(VALUE(TRIM(MID(SUBSTITUTE(SUBSTITUTE($B199,","," ")," ",REPT(" ",30)),{1;31;61;91;121;151;181},30))),""))=0,"",MIN(IFERROR(VALUE(TRIM(MID(SUBSTITUTE(SUBSTITUTE($B199,","," ")," ",REPT(" ",30)),{1;31;61;91;121;151;181},30))),""))),"")))</f>
        <v/>
      </c>
      <c r="Q199" s="23" t="str">
        <f t="shared" si="11"/>
        <v>Прилуки, Чернігівська обл., вул. Київська-І. Сірка</v>
      </c>
      <c r="R199" s="35">
        <f>IF($O199="","",IFERROR(INDEX('Координати майданчиків'!$H$4:$H$64,MATCH($T199,'Координати майданчиків'!$B$4:$B$64,0)),IFERROR(IF(ABS(INDEX(Геокодування!$C$2:$C$361,MATCH($Q199,Геокодування!$B$2:$B$361,0))-50.5884)+ABS(INDEX(Геокодування!$D$2:$D$361,MATCH($Q199,Геокодування!$B$2:$B$361,0))-32.3876)&gt;0.15,"",INDEX(Геокодування!$C$2:$C$361,MATCH($Q199,Геокодування!$B$2:$B$361,0))),IFERROR(IF(ABS(INDEX(Геокодування!$C$2:$C$361,MATCH("Прилуки, Чернігівська обл., "&amp;$A199,Геокодування!$B$2:$B$361,0))-50.5884)+ABS(INDEX(Геокодування!$D$2:$D$361,MATCH("Прилуки, Чернігівська обл., "&amp;$A199,Геокодування!$B$2:$B$361,0))-32.3876)&gt;0.15,"",INDEX(Геокодування!$C$2:$C$361,MATCH("Прилуки, Чернігівська обл., "&amp;$A199,Геокодування!$B$2:$B$361,0))),""))))</f>
        <v>50.595689999999998</v>
      </c>
      <c r="S199" s="43">
        <f>IF($O199="","",IFERROR(INDEX('Координати майданчиків'!$I$4:$I$64,MATCH($T199,'Координати майданчиків'!$B$4:$B$64,0)),IFERROR(IF(ABS(INDEX(Геокодування!$C$2:$C$361,MATCH($Q199,Геокодування!$B$2:$B$361,0))-50.5884)+ABS(INDEX(Геокодування!$D$2:$D$361,MATCH($Q199,Геокодування!$B$2:$B$361,0))-32.3876)&gt;0.15,"",INDEX(Геокодування!$D$2:$D$361,MATCH($Q199,Геокодування!$B$2:$B$361,0))),IFERROR(IF(ABS(INDEX(Геокодування!$C$2:$C$361,MATCH("Прилуки, Чернігівська обл., "&amp;$A199,Геокодування!$B$2:$B$361,0))-50.5884)+ABS(INDEX(Геокодування!$D$2:$D$361,MATCH("Прилуки, Чернігівська обл., "&amp;$A199,Геокодування!$B$2:$B$361,0))-32.3876)&gt;0.15,"",INDEX(Геокодування!$D$2:$D$361,MATCH("Прилуки, Чернігівська обл., "&amp;$A199,Геокодування!$B$2:$B$361,0))),""))))</f>
        <v>32.381813000000001</v>
      </c>
      <c r="T199" s="44" t="str">
        <f>IF($O199="","",IFERROR(INDEX('Координати майданчиків'!$B$4:$B$64,MATCH($A199&amp;IF($P199="","",", "&amp;$P199),'Координати майданчиків'!$B$4:$B$64,0)),IFERROR(INDEX('Координати майданчиків'!$B$4:$B$64,MATCH($A199,'Координати майданчиків'!$B$4:$B$64,0)),"")))</f>
        <v/>
      </c>
    </row>
    <row r="200" spans="1:20" x14ac:dyDescent="0.35">
      <c r="A200" s="26" t="str">
        <f t="shared" si="9"/>
        <v>вул. Київська-Козача</v>
      </c>
      <c r="B200" s="26" t="str">
        <f t="shared" si="10"/>
        <v>зупинка</v>
      </c>
      <c r="C200" s="27" t="str" cm="1">
        <f t="array" ref="C200">IF($O200="","",_xlfn.TEXTJOIN(", ",TRUE,IF(EXACT('Дані_зв''язок'!$J$4:$J$1012,$O200)*('Дані_зв''язок'!$C$4:$C$1012=C$4),'Дані_зв''язок'!$D$4:$D$1012,"")))</f>
        <v>7:50</v>
      </c>
      <c r="D200" s="27" t="str" cm="1">
        <f t="array" ref="D200">IF($O200="","",_xlfn.TEXTJOIN(", ",TRUE,IF(EXACT('Дані_зв''язок'!$J$4:$J$1012,$O200)*('Дані_зв''язок'!$C$4:$C$1012=D$4),'Дані_зв''язок'!$D$4:$D$1012,"")))</f>
        <v>7:50</v>
      </c>
      <c r="E200" s="27" t="str" cm="1">
        <f t="array" ref="E200">IF($O200="","",_xlfn.TEXTJOIN(", ",TRUE,IF(EXACT('Дані_зв''язок'!$J$4:$J$1012,$O200)*('Дані_зв''язок'!$C$4:$C$1012=E$4),'Дані_зв''язок'!$D$4:$D$1012,"")))</f>
        <v>7:50</v>
      </c>
      <c r="F200" s="27" t="str" cm="1">
        <f t="array" ref="F200">IF($O200="","",_xlfn.TEXTJOIN(", ",TRUE,IF(EXACT('Дані_зв''язок'!$J$4:$J$1012,$O200)*('Дані_зв''язок'!$C$4:$C$1012=F$4),'Дані_зв''язок'!$D$4:$D$1012,"")))</f>
        <v>9:10</v>
      </c>
      <c r="G200" s="27" t="str" cm="1">
        <f t="array" ref="G200">IF($O200="","",_xlfn.TEXTJOIN(", ",TRUE,IF(EXACT('Дані_зв''язок'!$J$4:$J$1012,$O200)*('Дані_зв''язок'!$C$4:$C$1012=G$4),'Дані_зв''язок'!$D$4:$D$1012,"")))</f>
        <v>7:50</v>
      </c>
      <c r="H200" s="27" t="str" cm="1">
        <f t="array" ref="H200">IF($O200="","",_xlfn.TEXTJOIN(", ",TRUE,IF(EXACT('Дані_зв''язок'!$J$4:$J$1012,$O200)*('Дані_зв''язок'!$C$4:$C$1012=H$4),'Дані_зв''язок'!$D$4:$D$1012,"")))</f>
        <v>7:50</v>
      </c>
      <c r="I200" s="27" t="str" cm="1">
        <f t="array" ref="I200">IF($O200="","",_xlfn.TEXTJOIN(", ",TRUE,IF(EXACT('Дані_зв''язок'!$J$4:$J$1012,$O200)*('Дані_зв''язок'!$C$4:$C$1012=I$4),'Дані_зв''язок'!$D$4:$D$1012,"")))</f>
        <v>9:10</v>
      </c>
      <c r="J200" s="27" cm="1">
        <f t="array" ref="J200">IF($O200="","",COUNTIF(C200:I200,"?*")+SUMPRODUCT(LEN(C200:I200)-LEN(SUBSTITUTE(C200:I200,",",""))))</f>
        <v>7</v>
      </c>
      <c r="K200" s="28" t="str" cm="1">
        <f t="array" ref="K200">IF($O200="","",_xlfn.TEXTJOIN(", ",TRUE,IF(EXACT('Дані_зв''язок'!$J$4:$J$1012,$O200),'Дані_зв''язок'!$L$4:$L$1012,"")))</f>
        <v>№1</v>
      </c>
      <c r="L200" s="28" t="str" cm="1">
        <f t="array" ref="L200">IF($O200="","",_xlfn.TEXTJOIN(", ",TRUE,IF(EXACT('Дані_зв''язок'!$J$4:$J$1012,$O200),'Дані_зв''язок'!$M$4:$M$1012,"")))</f>
        <v>КАМАЗ 55111, АТ-4021/1120</v>
      </c>
      <c r="M200" s="27" cm="1">
        <f t="array" ref="M200">IF($O200="","",IF(SUMPRODUCT(MAX(EXACT('Дані_зв''язок'!$J$4:$J$1012,$O200)*IFERROR('Дані_зв''язок'!$H$4:$H$1012,0)))=0,"",SUMPRODUCT(MAX(EXACT('Дані_зв''язок'!$J$4:$J$1012,$O200)*IFERROR('Дані_зв''язок'!$H$4:$H$1012,0)))))</f>
        <v>2</v>
      </c>
      <c r="O200" s="30" t="s">
        <v>1360</v>
      </c>
      <c r="P200" s="24" t="str" cm="1">
        <f t="array" ref="P200">IF($O200="","",IF($B200="","",IFERROR(IF(MIN(IFERROR(VALUE(TRIM(MID(SUBSTITUTE(SUBSTITUTE($B200,","," ")," ",REPT(" ",30)),{1;31;61;91;121;151;181},30))),""))=0,"",MIN(IFERROR(VALUE(TRIM(MID(SUBSTITUTE(SUBSTITUTE($B200,","," ")," ",REPT(" ",30)),{1;31;61;91;121;151;181},30))),""))),"")))</f>
        <v/>
      </c>
      <c r="Q200" s="23" t="str">
        <f t="shared" si="11"/>
        <v>Прилуки, Чернігівська обл., вул. Київська-Козача</v>
      </c>
      <c r="R200" s="35">
        <f>IF($O200="","",IFERROR(INDEX('Координати майданчиків'!$H$4:$H$64,MATCH($T200,'Координати майданчиків'!$B$4:$B$64,0)),IFERROR(IF(ABS(INDEX(Геокодування!$C$2:$C$361,MATCH($Q200,Геокодування!$B$2:$B$361,0))-50.5884)+ABS(INDEX(Геокодування!$D$2:$D$361,MATCH($Q200,Геокодування!$B$2:$B$361,0))-32.3876)&gt;0.15,"",INDEX(Геокодування!$C$2:$C$361,MATCH($Q200,Геокодування!$B$2:$B$361,0))),IFERROR(IF(ABS(INDEX(Геокодування!$C$2:$C$361,MATCH("Прилуки, Чернігівська обл., "&amp;$A200,Геокодування!$B$2:$B$361,0))-50.5884)+ABS(INDEX(Геокодування!$D$2:$D$361,MATCH("Прилуки, Чернігівська обл., "&amp;$A200,Геокодування!$B$2:$B$361,0))-32.3876)&gt;0.15,"",INDEX(Геокодування!$C$2:$C$361,MATCH("Прилуки, Чернігівська обл., "&amp;$A200,Геокодування!$B$2:$B$361,0))),""))))</f>
        <v>50.597375</v>
      </c>
      <c r="S200" s="43">
        <f>IF($O200="","",IFERROR(INDEX('Координати майданчиків'!$I$4:$I$64,MATCH($T200,'Координати майданчиків'!$B$4:$B$64,0)),IFERROR(IF(ABS(INDEX(Геокодування!$C$2:$C$361,MATCH($Q200,Геокодування!$B$2:$B$361,0))-50.5884)+ABS(INDEX(Геокодування!$D$2:$D$361,MATCH($Q200,Геокодування!$B$2:$B$361,0))-32.3876)&gt;0.15,"",INDEX(Геокодування!$D$2:$D$361,MATCH($Q200,Геокодування!$B$2:$B$361,0))),IFERROR(IF(ABS(INDEX(Геокодування!$C$2:$C$361,MATCH("Прилуки, Чернігівська обл., "&amp;$A200,Геокодування!$B$2:$B$361,0))-50.5884)+ABS(INDEX(Геокодування!$D$2:$D$361,MATCH("Прилуки, Чернігівська обл., "&amp;$A200,Геокодування!$B$2:$B$361,0))-32.3876)&gt;0.15,"",INDEX(Геокодування!$D$2:$D$361,MATCH("Прилуки, Чернігівська обл., "&amp;$A200,Геокодування!$B$2:$B$361,0))),""))))</f>
        <v>32.369256999999998</v>
      </c>
      <c r="T200" s="44" t="str">
        <f>IF($O200="","",IFERROR(INDEX('Координати майданчиків'!$B$4:$B$64,MATCH($A200&amp;IF($P200="","",", "&amp;$P200),'Координати майданчиків'!$B$4:$B$64,0)),IFERROR(INDEX('Координати майданчиків'!$B$4:$B$64,MATCH($A200,'Координати майданчиків'!$B$4:$B$64,0)),"")))</f>
        <v/>
      </c>
    </row>
    <row r="201" spans="1:20" x14ac:dyDescent="0.35">
      <c r="A201" s="26" t="str">
        <f t="shared" si="9"/>
        <v>вул. Київська</v>
      </c>
      <c r="B201" s="26" t="str">
        <f t="shared" si="10"/>
        <v/>
      </c>
      <c r="C201" s="27" t="str" cm="1">
        <f t="array" ref="C201">IF($O201="","",_xlfn.TEXTJOIN(", ",TRUE,IF(EXACT('Дані_зв''язок'!$J$4:$J$1012,$O201)*('Дані_зв''язок'!$C$4:$C$1012=C$4),'Дані_зв''язок'!$D$4:$D$1012,"")))</f>
        <v/>
      </c>
      <c r="D201" s="27" t="str" cm="1">
        <f t="array" ref="D201">IF($O201="","",_xlfn.TEXTJOIN(", ",TRUE,IF(EXACT('Дані_зв''язок'!$J$4:$J$1012,$O201)*('Дані_зв''язок'!$C$4:$C$1012=D$4),'Дані_зв''язок'!$D$4:$D$1012,"")))</f>
        <v/>
      </c>
      <c r="E201" s="27" t="str" cm="1">
        <f t="array" ref="E201">IF($O201="","",_xlfn.TEXTJOIN(", ",TRUE,IF(EXACT('Дані_зв''язок'!$J$4:$J$1012,$O201)*('Дані_зв''язок'!$C$4:$C$1012=E$4),'Дані_зв''язок'!$D$4:$D$1012,"")))</f>
        <v/>
      </c>
      <c r="F201" s="27" t="str" cm="1">
        <f t="array" ref="F201">IF($O201="","",_xlfn.TEXTJOIN(", ",TRUE,IF(EXACT('Дані_зв''язок'!$J$4:$J$1012,$O201)*('Дані_зв''язок'!$C$4:$C$1012=F$4),'Дані_зв''язок'!$D$4:$D$1012,"")))</f>
        <v>12:00</v>
      </c>
      <c r="G201" s="27" t="str" cm="1">
        <f t="array" ref="G201">IF($O201="","",_xlfn.TEXTJOIN(", ",TRUE,IF(EXACT('Дані_зв''язок'!$J$4:$J$1012,$O201)*('Дані_зв''язок'!$C$4:$C$1012=G$4),'Дані_зв''язок'!$D$4:$D$1012,"")))</f>
        <v/>
      </c>
      <c r="H201" s="27" t="str" cm="1">
        <f t="array" ref="H201">IF($O201="","",_xlfn.TEXTJOIN(", ",TRUE,IF(EXACT('Дані_зв''язок'!$J$4:$J$1012,$O201)*('Дані_зв''язок'!$C$4:$C$1012=H$4),'Дані_зв''язок'!$D$4:$D$1012,"")))</f>
        <v/>
      </c>
      <c r="I201" s="27" t="str" cm="1">
        <f t="array" ref="I201">IF($O201="","",_xlfn.TEXTJOIN(", ",TRUE,IF(EXACT('Дані_зв''язок'!$J$4:$J$1012,$O201)*('Дані_зв''язок'!$C$4:$C$1012=I$4),'Дані_зв''язок'!$D$4:$D$1012,"")))</f>
        <v/>
      </c>
      <c r="J201" s="27" cm="1">
        <f t="array" ref="J201">IF($O201="","",COUNTIF(C201:I201,"?*")+SUMPRODUCT(LEN(C201:I201)-LEN(SUBSTITUTE(C201:I201,",",""))))</f>
        <v>1</v>
      </c>
      <c r="K201" s="28" t="str" cm="1">
        <f t="array" ref="K201">IF($O201="","",_xlfn.TEXTJOIN(", ",TRUE,IF(EXACT('Дані_зв''язок'!$J$4:$J$1012,$O201),'Дані_зв''язок'!$L$4:$L$1012,"")))</f>
        <v>№5</v>
      </c>
      <c r="L201" s="28" t="str" cm="1">
        <f t="array" ref="L201">IF($O201="","",_xlfn.TEXTJOIN(", ",TRUE,IF(EXACT('Дані_зв''язок'!$J$4:$J$1012,$O201),'Дані_зв''язок'!$M$4:$M$1012,"")))</f>
        <v>МАЗ 4381</v>
      </c>
      <c r="M201" s="27" t="str" cm="1">
        <f t="array" ref="M201">IF($O201="","",IF(SUMPRODUCT(MAX(EXACT('Дані_зв''язок'!$J$4:$J$1012,$O201)*IFERROR('Дані_зв''язок'!$H$4:$H$1012,0)))=0,"",SUMPRODUCT(MAX(EXACT('Дані_зв''язок'!$J$4:$J$1012,$O201)*IFERROR('Дані_зв''язок'!$H$4:$H$1012,0)))))</f>
        <v/>
      </c>
      <c r="O201" s="30" t="s">
        <v>1320</v>
      </c>
      <c r="P201" s="24" t="str" cm="1">
        <f t="array" ref="P201">IF($O201="","",IF($B201="","",IFERROR(IF(MIN(IFERROR(VALUE(TRIM(MID(SUBSTITUTE(SUBSTITUTE($B201,","," ")," ",REPT(" ",30)),{1;31;61;91;121;151;181},30))),""))=0,"",MIN(IFERROR(VALUE(TRIM(MID(SUBSTITUTE(SUBSTITUTE($B201,","," ")," ",REPT(" ",30)),{1;31;61;91;121;151;181},30))),""))),"")))</f>
        <v/>
      </c>
      <c r="Q201" s="23" t="str">
        <f t="shared" si="11"/>
        <v>Прилуки, Чернігівська обл., вул. Київська</v>
      </c>
      <c r="R201" s="35">
        <f>IF($O201="","",IFERROR(INDEX('Координати майданчиків'!$H$4:$H$64,MATCH($T201,'Координати майданчиків'!$B$4:$B$64,0)),IFERROR(IF(ABS(INDEX(Геокодування!$C$2:$C$361,MATCH($Q201,Геокодування!$B$2:$B$361,0))-50.5884)+ABS(INDEX(Геокодування!$D$2:$D$361,MATCH($Q201,Геокодування!$B$2:$B$361,0))-32.3876)&gt;0.15,"",INDEX(Геокодування!$C$2:$C$361,MATCH($Q201,Геокодування!$B$2:$B$361,0))),IFERROR(IF(ABS(INDEX(Геокодування!$C$2:$C$361,MATCH("Прилуки, Чернігівська обл., "&amp;$A201,Геокодування!$B$2:$B$361,0))-50.5884)+ABS(INDEX(Геокодування!$D$2:$D$361,MATCH("Прилуки, Чернігівська обл., "&amp;$A201,Геокодування!$B$2:$B$361,0))-32.3876)&gt;0.15,"",INDEX(Геокодування!$C$2:$C$361,MATCH("Прилуки, Чернігівська обл., "&amp;$A201,Геокодування!$B$2:$B$361,0))),""))))</f>
        <v>50.595413999999998</v>
      </c>
      <c r="S201" s="43">
        <f>IF($O201="","",IFERROR(INDEX('Координати майданчиків'!$I$4:$I$64,MATCH($T201,'Координати майданчиків'!$B$4:$B$64,0)),IFERROR(IF(ABS(INDEX(Геокодування!$C$2:$C$361,MATCH($Q201,Геокодування!$B$2:$B$361,0))-50.5884)+ABS(INDEX(Геокодування!$D$2:$D$361,MATCH($Q201,Геокодування!$B$2:$B$361,0))-32.3876)&gt;0.15,"",INDEX(Геокодування!$D$2:$D$361,MATCH($Q201,Геокодування!$B$2:$B$361,0))),IFERROR(IF(ABS(INDEX(Геокодування!$C$2:$C$361,MATCH("Прилуки, Чернігівська обл., "&amp;$A201,Геокодування!$B$2:$B$361,0))-50.5884)+ABS(INDEX(Геокодування!$D$2:$D$361,MATCH("Прилуки, Чернігівська обл., "&amp;$A201,Геокодування!$B$2:$B$361,0))-32.3876)&gt;0.15,"",INDEX(Геокодування!$D$2:$D$361,MATCH("Прилуки, Чернігівська обл., "&amp;$A201,Геокодування!$B$2:$B$361,0))),""))))</f>
        <v>32.381410000000002</v>
      </c>
      <c r="T201" s="44" t="str">
        <f>IF($O201="","",IFERROR(INDEX('Координати майданчиків'!$B$4:$B$64,MATCH($A201&amp;IF($P201="","",", "&amp;$P201),'Координати майданчиків'!$B$4:$B$64,0)),IFERROR(INDEX('Координати майданчиків'!$B$4:$B$64,MATCH($A201,'Координати майданчиків'!$B$4:$B$64,0)),"")))</f>
        <v/>
      </c>
    </row>
    <row r="202" spans="1:20" x14ac:dyDescent="0.35">
      <c r="A202" s="26" t="str">
        <f t="shared" si="9"/>
        <v>вул. Київська</v>
      </c>
      <c r="B202" s="26" t="str">
        <f t="shared" si="10"/>
        <v>"Андріївський"</v>
      </c>
      <c r="C202" s="27" t="str" cm="1">
        <f t="array" ref="C202">IF($O202="","",_xlfn.TEXTJOIN(", ",TRUE,IF(EXACT('Дані_зв''язок'!$J$4:$J$1012,$O202)*('Дані_зв''язок'!$C$4:$C$1012=C$4),'Дані_зв''язок'!$D$4:$D$1012,"")))</f>
        <v/>
      </c>
      <c r="D202" s="27" t="str" cm="1">
        <f t="array" ref="D202">IF($O202="","",_xlfn.TEXTJOIN(", ",TRUE,IF(EXACT('Дані_зв''язок'!$J$4:$J$1012,$O202)*('Дані_зв''язок'!$C$4:$C$1012=D$4),'Дані_зв''язок'!$D$4:$D$1012,"")))</f>
        <v/>
      </c>
      <c r="E202" s="27" t="str" cm="1">
        <f t="array" ref="E202">IF($O202="","",_xlfn.TEXTJOIN(", ",TRUE,IF(EXACT('Дані_зв''язок'!$J$4:$J$1012,$O202)*('Дані_зв''язок'!$C$4:$C$1012=E$4),'Дані_зв''язок'!$D$4:$D$1012,"")))</f>
        <v/>
      </c>
      <c r="F202" s="27" t="str" cm="1">
        <f t="array" ref="F202">IF($O202="","",_xlfn.TEXTJOIN(", ",TRUE,IF(EXACT('Дані_зв''язок'!$J$4:$J$1012,$O202)*('Дані_зв''язок'!$C$4:$C$1012=F$4),'Дані_зв''язок'!$D$4:$D$1012,"")))</f>
        <v>14:25</v>
      </c>
      <c r="G202" s="27" t="str" cm="1">
        <f t="array" ref="G202">IF($O202="","",_xlfn.TEXTJOIN(", ",TRUE,IF(EXACT('Дані_зв''язок'!$J$4:$J$1012,$O202)*('Дані_зв''язок'!$C$4:$C$1012=G$4),'Дані_зв''язок'!$D$4:$D$1012,"")))</f>
        <v/>
      </c>
      <c r="H202" s="27" t="str" cm="1">
        <f t="array" ref="H202">IF($O202="","",_xlfn.TEXTJOIN(", ",TRUE,IF(EXACT('Дані_зв''язок'!$J$4:$J$1012,$O202)*('Дані_зв''язок'!$C$4:$C$1012=H$4),'Дані_зв''язок'!$D$4:$D$1012,"")))</f>
        <v/>
      </c>
      <c r="I202" s="27" t="str" cm="1">
        <f t="array" ref="I202">IF($O202="","",_xlfn.TEXTJOIN(", ",TRUE,IF(EXACT('Дані_зв''язок'!$J$4:$J$1012,$O202)*('Дані_зв''язок'!$C$4:$C$1012=I$4),'Дані_зв''язок'!$D$4:$D$1012,"")))</f>
        <v/>
      </c>
      <c r="J202" s="27" cm="1">
        <f t="array" ref="J202">IF($O202="","",COUNTIF(C202:I202,"?*")+SUMPRODUCT(LEN(C202:I202)-LEN(SUBSTITUTE(C202:I202,",",""))))</f>
        <v>1</v>
      </c>
      <c r="K202" s="28" t="str" cm="1">
        <f t="array" ref="K202">IF($O202="","",_xlfn.TEXTJOIN(", ",TRUE,IF(EXACT('Дані_зв''язок'!$J$4:$J$1012,$O202),'Дані_зв''язок'!$L$4:$L$1012,"")))</f>
        <v>№2</v>
      </c>
      <c r="L202" s="28" t="str" cm="1">
        <f t="array" ref="L202">IF($O202="","",_xlfn.TEXTJOIN(", ",TRUE,IF(EXACT('Дані_зв''язок'!$J$4:$J$1012,$O202),'Дані_зв''язок'!$M$4:$M$1012,"")))</f>
        <v>АТ 4021/1120</v>
      </c>
      <c r="M202" s="27" cm="1">
        <f t="array" ref="M202">IF($O202="","",IF(SUMPRODUCT(MAX(EXACT('Дані_зв''язок'!$J$4:$J$1012,$O202)*IFERROR('Дані_зв''язок'!$H$4:$H$1012,0)))=0,"",SUMPRODUCT(MAX(EXACT('Дані_зв''язок'!$J$4:$J$1012,$O202)*IFERROR('Дані_зв''язок'!$H$4:$H$1012,0)))))</f>
        <v>2</v>
      </c>
      <c r="O202" s="30" t="s">
        <v>1321</v>
      </c>
      <c r="P202" s="24" t="str" cm="1">
        <f t="array" ref="P202">IF($O202="","",IF($B202="","",IFERROR(IF(MIN(IFERROR(VALUE(TRIM(MID(SUBSTITUTE(SUBSTITUTE($B202,","," ")," ",REPT(" ",30)),{1;31;61;91;121;151;181},30))),""))=0,"",MIN(IFERROR(VALUE(TRIM(MID(SUBSTITUTE(SUBSTITUTE($B202,","," ")," ",REPT(" ",30)),{1;31;61;91;121;151;181},30))),""))),"")))</f>
        <v/>
      </c>
      <c r="Q202" s="23" t="str">
        <f t="shared" si="11"/>
        <v>Прилуки, Чернігівська обл., вул. Київська</v>
      </c>
      <c r="R202" s="35">
        <f>IF($O202="","",IFERROR(INDEX('Координати майданчиків'!$H$4:$H$64,MATCH($T202,'Координати майданчиків'!$B$4:$B$64,0)),IFERROR(IF(ABS(INDEX(Геокодування!$C$2:$C$361,MATCH($Q202,Геокодування!$B$2:$B$361,0))-50.5884)+ABS(INDEX(Геокодування!$D$2:$D$361,MATCH($Q202,Геокодування!$B$2:$B$361,0))-32.3876)&gt;0.15,"",INDEX(Геокодування!$C$2:$C$361,MATCH($Q202,Геокодування!$B$2:$B$361,0))),IFERROR(IF(ABS(INDEX(Геокодування!$C$2:$C$361,MATCH("Прилуки, Чернігівська обл., "&amp;$A202,Геокодування!$B$2:$B$361,0))-50.5884)+ABS(INDEX(Геокодування!$D$2:$D$361,MATCH("Прилуки, Чернігівська обл., "&amp;$A202,Геокодування!$B$2:$B$361,0))-32.3876)&gt;0.15,"",INDEX(Геокодування!$C$2:$C$361,MATCH("Прилуки, Чернігівська обл., "&amp;$A202,Геокодування!$B$2:$B$361,0))),""))))</f>
        <v>50.595413999999998</v>
      </c>
      <c r="S202" s="43">
        <f>IF($O202="","",IFERROR(INDEX('Координати майданчиків'!$I$4:$I$64,MATCH($T202,'Координати майданчиків'!$B$4:$B$64,0)),IFERROR(IF(ABS(INDEX(Геокодування!$C$2:$C$361,MATCH($Q202,Геокодування!$B$2:$B$361,0))-50.5884)+ABS(INDEX(Геокодування!$D$2:$D$361,MATCH($Q202,Геокодування!$B$2:$B$361,0))-32.3876)&gt;0.15,"",INDEX(Геокодування!$D$2:$D$361,MATCH($Q202,Геокодування!$B$2:$B$361,0))),IFERROR(IF(ABS(INDEX(Геокодування!$C$2:$C$361,MATCH("Прилуки, Чернігівська обл., "&amp;$A202,Геокодування!$B$2:$B$361,0))-50.5884)+ABS(INDEX(Геокодування!$D$2:$D$361,MATCH("Прилуки, Чернігівська обл., "&amp;$A202,Геокодування!$B$2:$B$361,0))-32.3876)&gt;0.15,"",INDEX(Геокодування!$D$2:$D$361,MATCH("Прилуки, Чернігівська обл., "&amp;$A202,Геокодування!$B$2:$B$361,0))),""))))</f>
        <v>32.381410000000002</v>
      </c>
      <c r="T202" s="44" t="str">
        <f>IF($O202="","",IFERROR(INDEX('Координати майданчиків'!$B$4:$B$64,MATCH($A202&amp;IF($P202="","",", "&amp;$P202),'Координати майданчиків'!$B$4:$B$64,0)),IFERROR(INDEX('Координати майданчиків'!$B$4:$B$64,MATCH($A202,'Координати майданчиків'!$B$4:$B$64,0)),"")))</f>
        <v/>
      </c>
    </row>
    <row r="203" spans="1:20" x14ac:dyDescent="0.35">
      <c r="A203" s="26" t="str">
        <f t="shared" si="9"/>
        <v>вул. Київська</v>
      </c>
      <c r="B203" s="26" t="str">
        <f t="shared" si="10"/>
        <v>"Дивоцін"</v>
      </c>
      <c r="C203" s="27" t="str" cm="1">
        <f t="array" ref="C203">IF($O203="","",_xlfn.TEXTJOIN(", ",TRUE,IF(EXACT('Дані_зв''язок'!$J$4:$J$1012,$O203)*('Дані_зв''язок'!$C$4:$C$1012=C$4),'Дані_зв''язок'!$D$4:$D$1012,"")))</f>
        <v>10:10</v>
      </c>
      <c r="D203" s="27" t="str" cm="1">
        <f t="array" ref="D203">IF($O203="","",_xlfn.TEXTJOIN(", ",TRUE,IF(EXACT('Дані_зв''язок'!$J$4:$J$1012,$O203)*('Дані_зв''язок'!$C$4:$C$1012=D$4),'Дані_зв''язок'!$D$4:$D$1012,"")))</f>
        <v/>
      </c>
      <c r="E203" s="27" t="str" cm="1">
        <f t="array" ref="E203">IF($O203="","",_xlfn.TEXTJOIN(", ",TRUE,IF(EXACT('Дані_зв''язок'!$J$4:$J$1012,$O203)*('Дані_зв''язок'!$C$4:$C$1012=E$4),'Дані_зв''язок'!$D$4:$D$1012,"")))</f>
        <v/>
      </c>
      <c r="F203" s="27" t="str" cm="1">
        <f t="array" ref="F203">IF($O203="","",_xlfn.TEXTJOIN(", ",TRUE,IF(EXACT('Дані_зв''язок'!$J$4:$J$1012,$O203)*('Дані_зв''язок'!$C$4:$C$1012=F$4),'Дані_зв''язок'!$D$4:$D$1012,"")))</f>
        <v/>
      </c>
      <c r="G203" s="27" t="str" cm="1">
        <f t="array" ref="G203">IF($O203="","",_xlfn.TEXTJOIN(", ",TRUE,IF(EXACT('Дані_зв''язок'!$J$4:$J$1012,$O203)*('Дані_зв''язок'!$C$4:$C$1012=G$4),'Дані_зв''язок'!$D$4:$D$1012,"")))</f>
        <v/>
      </c>
      <c r="H203" s="27" t="str" cm="1">
        <f t="array" ref="H203">IF($O203="","",_xlfn.TEXTJOIN(", ",TRUE,IF(EXACT('Дані_зв''язок'!$J$4:$J$1012,$O203)*('Дані_зв''язок'!$C$4:$C$1012=H$4),'Дані_зв''язок'!$D$4:$D$1012,"")))</f>
        <v/>
      </c>
      <c r="I203" s="27" t="str" cm="1">
        <f t="array" ref="I203">IF($O203="","",_xlfn.TEXTJOIN(", ",TRUE,IF(EXACT('Дані_зв''язок'!$J$4:$J$1012,$O203)*('Дані_зв''язок'!$C$4:$C$1012=I$4),'Дані_зв''язок'!$D$4:$D$1012,"")))</f>
        <v/>
      </c>
      <c r="J203" s="27" cm="1">
        <f t="array" ref="J203">IF($O203="","",COUNTIF(C203:I203,"?*")+SUMPRODUCT(LEN(C203:I203)-LEN(SUBSTITUTE(C203:I203,",",""))))</f>
        <v>1</v>
      </c>
      <c r="K203" s="28" t="str" cm="1">
        <f t="array" ref="K203">IF($O203="","",_xlfn.TEXTJOIN(", ",TRUE,IF(EXACT('Дані_зв''язок'!$J$4:$J$1012,$O203),'Дані_зв''язок'!$L$4:$L$1012,"")))</f>
        <v>№3</v>
      </c>
      <c r="L203" s="28" t="str" cm="1">
        <f t="array" ref="L203">IF($O203="","",_xlfn.TEXTJOIN(", ",TRUE,IF(EXACT('Дані_зв''язок'!$J$4:$J$1012,$O203),'Дані_зв''язок'!$M$4:$M$1012,"")))</f>
        <v>ГАЗ 3309</v>
      </c>
      <c r="M203" s="27" cm="1">
        <f t="array" ref="M203">IF($O203="","",IF(SUMPRODUCT(MAX(EXACT('Дані_зв''язок'!$J$4:$J$1012,$O203)*IFERROR('Дані_зв''язок'!$H$4:$H$1012,0)))=0,"",SUMPRODUCT(MAX(EXACT('Дані_зв''язок'!$J$4:$J$1012,$O203)*IFERROR('Дані_зв''язок'!$H$4:$H$1012,0)))))</f>
        <v>3</v>
      </c>
      <c r="O203" s="30" t="s">
        <v>1322</v>
      </c>
      <c r="P203" s="24" t="str" cm="1">
        <f t="array" ref="P203">IF($O203="","",IF($B203="","",IFERROR(IF(MIN(IFERROR(VALUE(TRIM(MID(SUBSTITUTE(SUBSTITUTE($B203,","," ")," ",REPT(" ",30)),{1;31;61;91;121;151;181},30))),""))=0,"",MIN(IFERROR(VALUE(TRIM(MID(SUBSTITUTE(SUBSTITUTE($B203,","," ")," ",REPT(" ",30)),{1;31;61;91;121;151;181},30))),""))),"")))</f>
        <v/>
      </c>
      <c r="Q203" s="23" t="str">
        <f t="shared" si="11"/>
        <v>Прилуки, Чернігівська обл., вул. Київська</v>
      </c>
      <c r="R203" s="35">
        <f>IF($O203="","",IFERROR(INDEX('Координати майданчиків'!$H$4:$H$64,MATCH($T203,'Координати майданчиків'!$B$4:$B$64,0)),IFERROR(IF(ABS(INDEX(Геокодування!$C$2:$C$361,MATCH($Q203,Геокодування!$B$2:$B$361,0))-50.5884)+ABS(INDEX(Геокодування!$D$2:$D$361,MATCH($Q203,Геокодування!$B$2:$B$361,0))-32.3876)&gt;0.15,"",INDEX(Геокодування!$C$2:$C$361,MATCH($Q203,Геокодування!$B$2:$B$361,0))),IFERROR(IF(ABS(INDEX(Геокодування!$C$2:$C$361,MATCH("Прилуки, Чернігівська обл., "&amp;$A203,Геокодування!$B$2:$B$361,0))-50.5884)+ABS(INDEX(Геокодування!$D$2:$D$361,MATCH("Прилуки, Чернігівська обл., "&amp;$A203,Геокодування!$B$2:$B$361,0))-32.3876)&gt;0.15,"",INDEX(Геокодування!$C$2:$C$361,MATCH("Прилуки, Чернігівська обл., "&amp;$A203,Геокодування!$B$2:$B$361,0))),""))))</f>
        <v>50.595413999999998</v>
      </c>
      <c r="S203" s="43">
        <f>IF($O203="","",IFERROR(INDEX('Координати майданчиків'!$I$4:$I$64,MATCH($T203,'Координати майданчиків'!$B$4:$B$64,0)),IFERROR(IF(ABS(INDEX(Геокодування!$C$2:$C$361,MATCH($Q203,Геокодування!$B$2:$B$361,0))-50.5884)+ABS(INDEX(Геокодування!$D$2:$D$361,MATCH($Q203,Геокодування!$B$2:$B$361,0))-32.3876)&gt;0.15,"",INDEX(Геокодування!$D$2:$D$361,MATCH($Q203,Геокодування!$B$2:$B$361,0))),IFERROR(IF(ABS(INDEX(Геокодування!$C$2:$C$361,MATCH("Прилуки, Чернігівська обл., "&amp;$A203,Геокодування!$B$2:$B$361,0))-50.5884)+ABS(INDEX(Геокодування!$D$2:$D$361,MATCH("Прилуки, Чернігівська обл., "&amp;$A203,Геокодування!$B$2:$B$361,0))-32.3876)&gt;0.15,"",INDEX(Геокодування!$D$2:$D$361,MATCH("Прилуки, Чернігівська обл., "&amp;$A203,Геокодування!$B$2:$B$361,0))),""))))</f>
        <v>32.381410000000002</v>
      </c>
      <c r="T203" s="44" t="str">
        <f>IF($O203="","",IFERROR(INDEX('Координати майданчиків'!$B$4:$B$64,MATCH($A203&amp;IF($P203="","",", "&amp;$P203),'Координати майданчиків'!$B$4:$B$64,0)),IFERROR(INDEX('Координати майданчиків'!$B$4:$B$64,MATCH($A203,'Координати майданчиків'!$B$4:$B$64,0)),"")))</f>
        <v/>
      </c>
    </row>
    <row r="204" spans="1:20" x14ac:dyDescent="0.35">
      <c r="A204" s="26" t="str">
        <f t="shared" si="9"/>
        <v>вул. Київська</v>
      </c>
      <c r="B204" s="26" t="str">
        <f t="shared" si="10"/>
        <v>"Сова"</v>
      </c>
      <c r="C204" s="27" t="str" cm="1">
        <f t="array" ref="C204">IF($O204="","",_xlfn.TEXTJOIN(", ",TRUE,IF(EXACT('Дані_зв''язок'!$J$4:$J$1012,$O204)*('Дані_зв''язок'!$C$4:$C$1012=C$4),'Дані_зв''язок'!$D$4:$D$1012,"")))</f>
        <v>11:55</v>
      </c>
      <c r="D204" s="27" t="str" cm="1">
        <f t="array" ref="D204">IF($O204="","",_xlfn.TEXTJOIN(", ",TRUE,IF(EXACT('Дані_зв''язок'!$J$4:$J$1012,$O204)*('Дані_зв''язок'!$C$4:$C$1012=D$4),'Дані_зв''язок'!$D$4:$D$1012,"")))</f>
        <v/>
      </c>
      <c r="E204" s="27" t="str" cm="1">
        <f t="array" ref="E204">IF($O204="","",_xlfn.TEXTJOIN(", ",TRUE,IF(EXACT('Дані_зв''язок'!$J$4:$J$1012,$O204)*('Дані_зв''язок'!$C$4:$C$1012=E$4),'Дані_зв''язок'!$D$4:$D$1012,"")))</f>
        <v/>
      </c>
      <c r="F204" s="27" t="str" cm="1">
        <f t="array" ref="F204">IF($O204="","",_xlfn.TEXTJOIN(", ",TRUE,IF(EXACT('Дані_зв''язок'!$J$4:$J$1012,$O204)*('Дані_зв''язок'!$C$4:$C$1012=F$4),'Дані_зв''язок'!$D$4:$D$1012,"")))</f>
        <v/>
      </c>
      <c r="G204" s="27" t="str" cm="1">
        <f t="array" ref="G204">IF($O204="","",_xlfn.TEXTJOIN(", ",TRUE,IF(EXACT('Дані_зв''язок'!$J$4:$J$1012,$O204)*('Дані_зв''язок'!$C$4:$C$1012=G$4),'Дані_зв''язок'!$D$4:$D$1012,"")))</f>
        <v/>
      </c>
      <c r="H204" s="27" t="str" cm="1">
        <f t="array" ref="H204">IF($O204="","",_xlfn.TEXTJOIN(", ",TRUE,IF(EXACT('Дані_зв''язок'!$J$4:$J$1012,$O204)*('Дані_зв''язок'!$C$4:$C$1012=H$4),'Дані_зв''язок'!$D$4:$D$1012,"")))</f>
        <v/>
      </c>
      <c r="I204" s="27" t="str" cm="1">
        <f t="array" ref="I204">IF($O204="","",_xlfn.TEXTJOIN(", ",TRUE,IF(EXACT('Дані_зв''язок'!$J$4:$J$1012,$O204)*('Дані_зв''язок'!$C$4:$C$1012=I$4),'Дані_зв''язок'!$D$4:$D$1012,"")))</f>
        <v/>
      </c>
      <c r="J204" s="27" cm="1">
        <f t="array" ref="J204">IF($O204="","",COUNTIF(C204:I204,"?*")+SUMPRODUCT(LEN(C204:I204)-LEN(SUBSTITUTE(C204:I204,",",""))))</f>
        <v>1</v>
      </c>
      <c r="K204" s="28" t="str" cm="1">
        <f t="array" ref="K204">IF($O204="","",_xlfn.TEXTJOIN(", ",TRUE,IF(EXACT('Дані_зв''язок'!$J$4:$J$1012,$O204),'Дані_зв''язок'!$L$4:$L$1012,"")))</f>
        <v>№3</v>
      </c>
      <c r="L204" s="28" t="str" cm="1">
        <f t="array" ref="L204">IF($O204="","",_xlfn.TEXTJOIN(", ",TRUE,IF(EXACT('Дані_зв''язок'!$J$4:$J$1012,$O204),'Дані_зв''язок'!$M$4:$M$1012,"")))</f>
        <v>ГАЗ 3309</v>
      </c>
      <c r="M204" s="27" cm="1">
        <f t="array" ref="M204">IF($O204="","",IF(SUMPRODUCT(MAX(EXACT('Дані_зв''язок'!$J$4:$J$1012,$O204)*IFERROR('Дані_зв''язок'!$H$4:$H$1012,0)))=0,"",SUMPRODUCT(MAX(EXACT('Дані_зв''язок'!$J$4:$J$1012,$O204)*IFERROR('Дані_зв''язок'!$H$4:$H$1012,0)))))</f>
        <v>1</v>
      </c>
      <c r="O204" s="30" t="s">
        <v>1323</v>
      </c>
      <c r="P204" s="24" t="str" cm="1">
        <f t="array" ref="P204">IF($O204="","",IF($B204="","",IFERROR(IF(MIN(IFERROR(VALUE(TRIM(MID(SUBSTITUTE(SUBSTITUTE($B204,","," ")," ",REPT(" ",30)),{1;31;61;91;121;151;181},30))),""))=0,"",MIN(IFERROR(VALUE(TRIM(MID(SUBSTITUTE(SUBSTITUTE($B204,","," ")," ",REPT(" ",30)),{1;31;61;91;121;151;181},30))),""))),"")))</f>
        <v/>
      </c>
      <c r="Q204" s="23" t="str">
        <f t="shared" si="11"/>
        <v>Прилуки, Чернігівська обл., вул. Київська</v>
      </c>
      <c r="R204" s="35">
        <f>IF($O204="","",IFERROR(INDEX('Координати майданчиків'!$H$4:$H$64,MATCH($T204,'Координати майданчиків'!$B$4:$B$64,0)),IFERROR(IF(ABS(INDEX(Геокодування!$C$2:$C$361,MATCH($Q204,Геокодування!$B$2:$B$361,0))-50.5884)+ABS(INDEX(Геокодування!$D$2:$D$361,MATCH($Q204,Геокодування!$B$2:$B$361,0))-32.3876)&gt;0.15,"",INDEX(Геокодування!$C$2:$C$361,MATCH($Q204,Геокодування!$B$2:$B$361,0))),IFERROR(IF(ABS(INDEX(Геокодування!$C$2:$C$361,MATCH("Прилуки, Чернігівська обл., "&amp;$A204,Геокодування!$B$2:$B$361,0))-50.5884)+ABS(INDEX(Геокодування!$D$2:$D$361,MATCH("Прилуки, Чернігівська обл., "&amp;$A204,Геокодування!$B$2:$B$361,0))-32.3876)&gt;0.15,"",INDEX(Геокодування!$C$2:$C$361,MATCH("Прилуки, Чернігівська обл., "&amp;$A204,Геокодування!$B$2:$B$361,0))),""))))</f>
        <v>50.595413999999998</v>
      </c>
      <c r="S204" s="43">
        <f>IF($O204="","",IFERROR(INDEX('Координати майданчиків'!$I$4:$I$64,MATCH($T204,'Координати майданчиків'!$B$4:$B$64,0)),IFERROR(IF(ABS(INDEX(Геокодування!$C$2:$C$361,MATCH($Q204,Геокодування!$B$2:$B$361,0))-50.5884)+ABS(INDEX(Геокодування!$D$2:$D$361,MATCH($Q204,Геокодування!$B$2:$B$361,0))-32.3876)&gt;0.15,"",INDEX(Геокодування!$D$2:$D$361,MATCH($Q204,Геокодування!$B$2:$B$361,0))),IFERROR(IF(ABS(INDEX(Геокодування!$C$2:$C$361,MATCH("Прилуки, Чернігівська обл., "&amp;$A204,Геокодування!$B$2:$B$361,0))-50.5884)+ABS(INDEX(Геокодування!$D$2:$D$361,MATCH("Прилуки, Чернігівська обл., "&amp;$A204,Геокодування!$B$2:$B$361,0))-32.3876)&gt;0.15,"",INDEX(Геокодування!$D$2:$D$361,MATCH("Прилуки, Чернігівська обл., "&amp;$A204,Геокодування!$B$2:$B$361,0))),""))))</f>
        <v>32.381410000000002</v>
      </c>
      <c r="T204" s="44" t="str">
        <f>IF($O204="","",IFERROR(INDEX('Координати майданчиків'!$B$4:$B$64,MATCH($A204&amp;IF($P204="","",", "&amp;$P204),'Координати майданчиків'!$B$4:$B$64,0)),IFERROR(INDEX('Координати майданчиків'!$B$4:$B$64,MATCH($A204,'Координати майданчиків'!$B$4:$B$64,0)),"")))</f>
        <v/>
      </c>
    </row>
    <row r="205" spans="1:20" x14ac:dyDescent="0.35">
      <c r="A205" s="26" t="str">
        <f t="shared" si="9"/>
        <v>вул. Київська</v>
      </c>
      <c r="B205" s="26" t="str">
        <f t="shared" si="10"/>
        <v>140</v>
      </c>
      <c r="C205" s="27" t="str" cm="1">
        <f t="array" ref="C205">IF($O205="","",_xlfn.TEXTJOIN(", ",TRUE,IF(EXACT('Дані_зв''язок'!$J$4:$J$1012,$O205)*('Дані_зв''язок'!$C$4:$C$1012=C$4),'Дані_зв''язок'!$D$4:$D$1012,"")))</f>
        <v/>
      </c>
      <c r="D205" s="27" t="str" cm="1">
        <f t="array" ref="D205">IF($O205="","",_xlfn.TEXTJOIN(", ",TRUE,IF(EXACT('Дані_зв''язок'!$J$4:$J$1012,$O205)*('Дані_зв''язок'!$C$4:$C$1012=D$4),'Дані_зв''язок'!$D$4:$D$1012,"")))</f>
        <v>9:10</v>
      </c>
      <c r="E205" s="27" t="str" cm="1">
        <f t="array" ref="E205">IF($O205="","",_xlfn.TEXTJOIN(", ",TRUE,IF(EXACT('Дані_зв''язок'!$J$4:$J$1012,$O205)*('Дані_зв''язок'!$C$4:$C$1012=E$4),'Дані_зв''язок'!$D$4:$D$1012,"")))</f>
        <v/>
      </c>
      <c r="F205" s="27" t="str" cm="1">
        <f t="array" ref="F205">IF($O205="","",_xlfn.TEXTJOIN(", ",TRUE,IF(EXACT('Дані_зв''язок'!$J$4:$J$1012,$O205)*('Дані_зв''язок'!$C$4:$C$1012=F$4),'Дані_зв''язок'!$D$4:$D$1012,"")))</f>
        <v/>
      </c>
      <c r="G205" s="27" t="str" cm="1">
        <f t="array" ref="G205">IF($O205="","",_xlfn.TEXTJOIN(", ",TRUE,IF(EXACT('Дані_зв''язок'!$J$4:$J$1012,$O205)*('Дані_зв''язок'!$C$4:$C$1012=G$4),'Дані_зв''язок'!$D$4:$D$1012,"")))</f>
        <v/>
      </c>
      <c r="H205" s="27" t="str" cm="1">
        <f t="array" ref="H205">IF($O205="","",_xlfn.TEXTJOIN(", ",TRUE,IF(EXACT('Дані_зв''язок'!$J$4:$J$1012,$O205)*('Дані_зв''язок'!$C$4:$C$1012=H$4),'Дані_зв''язок'!$D$4:$D$1012,"")))</f>
        <v/>
      </c>
      <c r="I205" s="27" t="str" cm="1">
        <f t="array" ref="I205">IF($O205="","",_xlfn.TEXTJOIN(", ",TRUE,IF(EXACT('Дані_зв''язок'!$J$4:$J$1012,$O205)*('Дані_зв''язок'!$C$4:$C$1012=I$4),'Дані_зв''язок'!$D$4:$D$1012,"")))</f>
        <v/>
      </c>
      <c r="J205" s="27" cm="1">
        <f t="array" ref="J205">IF($O205="","",COUNTIF(C205:I205,"?*")+SUMPRODUCT(LEN(C205:I205)-LEN(SUBSTITUTE(C205:I205,",",""))))</f>
        <v>1</v>
      </c>
      <c r="K205" s="28" t="str" cm="1">
        <f t="array" ref="K205">IF($O205="","",_xlfn.TEXTJOIN(", ",TRUE,IF(EXACT('Дані_зв''язок'!$J$4:$J$1012,$O205),'Дані_зв''язок'!$L$4:$L$1012,"")))</f>
        <v>№4</v>
      </c>
      <c r="L205" s="28" t="str" cm="1">
        <f t="array" ref="L205">IF($O205="","",_xlfn.TEXTJOIN(", ",TRUE,IF(EXACT('Дані_зв''язок'!$J$4:$J$1012,$O205),'Дані_зв''язок'!$M$4:$M$1012,"")))</f>
        <v>АТ 40-42/ROD21003</v>
      </c>
      <c r="M205" s="27" cm="1">
        <f t="array" ref="M205">IF($O205="","",IF(SUMPRODUCT(MAX(EXACT('Дані_зв''язок'!$J$4:$J$1012,$O205)*IFERROR('Дані_зв''язок'!$H$4:$H$1012,0)))=0,"",SUMPRODUCT(MAX(EXACT('Дані_зв''язок'!$J$4:$J$1012,$O205)*IFERROR('Дані_зв''язок'!$H$4:$H$1012,0)))))</f>
        <v>3</v>
      </c>
      <c r="O205" s="30" t="s">
        <v>1324</v>
      </c>
      <c r="P205" s="24" cm="1">
        <f t="array" ref="P205">IF($O205="","",IF($B205="","",IFERROR(IF(MIN(IFERROR(VALUE(TRIM(MID(SUBSTITUTE(SUBSTITUTE($B205,","," ")," ",REPT(" ",30)),{1;31;61;91;121;151;181},30))),""))=0,"",MIN(IFERROR(VALUE(TRIM(MID(SUBSTITUTE(SUBSTITUTE($B205,","," ")," ",REPT(" ",30)),{1;31;61;91;121;151;181},30))),""))),"")))</f>
        <v>140</v>
      </c>
      <c r="Q205" s="23" t="str">
        <f t="shared" si="11"/>
        <v>Прилуки, Чернігівська обл., вул. Київська, 140</v>
      </c>
      <c r="R205" s="35">
        <f>IF($O205="","",IFERROR(INDEX('Координати майданчиків'!$H$4:$H$64,MATCH($T205,'Координати майданчиків'!$B$4:$B$64,0)),IFERROR(IF(ABS(INDEX(Геокодування!$C$2:$C$361,MATCH($Q205,Геокодування!$B$2:$B$361,0))-50.5884)+ABS(INDEX(Геокодування!$D$2:$D$361,MATCH($Q205,Геокодування!$B$2:$B$361,0))-32.3876)&gt;0.15,"",INDEX(Геокодування!$C$2:$C$361,MATCH($Q205,Геокодування!$B$2:$B$361,0))),IFERROR(IF(ABS(INDEX(Геокодування!$C$2:$C$361,MATCH("Прилуки, Чернігівська обл., "&amp;$A205,Геокодування!$B$2:$B$361,0))-50.5884)+ABS(INDEX(Геокодування!$D$2:$D$361,MATCH("Прилуки, Чернігівська обл., "&amp;$A205,Геокодування!$B$2:$B$361,0))-32.3876)&gt;0.15,"",INDEX(Геокодування!$C$2:$C$361,MATCH("Прилуки, Чернігівська обл., "&amp;$A205,Геокодування!$B$2:$B$361,0))),""))))</f>
        <v>50.587232</v>
      </c>
      <c r="S205" s="43">
        <f>IF($O205="","",IFERROR(INDEX('Координати майданчиків'!$I$4:$I$64,MATCH($T205,'Координати майданчиків'!$B$4:$B$64,0)),IFERROR(IF(ABS(INDEX(Геокодування!$C$2:$C$361,MATCH($Q205,Геокодування!$B$2:$B$361,0))-50.5884)+ABS(INDEX(Геокодування!$D$2:$D$361,MATCH($Q205,Геокодування!$B$2:$B$361,0))-32.3876)&gt;0.15,"",INDEX(Геокодування!$D$2:$D$361,MATCH($Q205,Геокодування!$B$2:$B$361,0))),IFERROR(IF(ABS(INDEX(Геокодування!$C$2:$C$361,MATCH("Прилуки, Чернігівська обл., "&amp;$A205,Геокодування!$B$2:$B$361,0))-50.5884)+ABS(INDEX(Геокодування!$D$2:$D$361,MATCH("Прилуки, Чернігівська обл., "&amp;$A205,Геокодування!$B$2:$B$361,0))-32.3876)&gt;0.15,"",INDEX(Геокодування!$D$2:$D$361,MATCH("Прилуки, Чернігівська обл., "&amp;$A205,Геокодування!$B$2:$B$361,0))),""))))</f>
        <v>32.438777000000002</v>
      </c>
      <c r="T205" s="44" t="str">
        <f>IF($O205="","",IFERROR(INDEX('Координати майданчиків'!$B$4:$B$64,MATCH($A205&amp;IF($P205="","",", "&amp;$P205),'Координати майданчиків'!$B$4:$B$64,0)),IFERROR(INDEX('Координати майданчиків'!$B$4:$B$64,MATCH($A205,'Координати майданчиків'!$B$4:$B$64,0)),"")))</f>
        <v/>
      </c>
    </row>
    <row r="206" spans="1:20" x14ac:dyDescent="0.35">
      <c r="A206" s="26" t="str">
        <f t="shared" si="9"/>
        <v>вул. Київська</v>
      </c>
      <c r="B206" s="26" t="str">
        <f t="shared" si="10"/>
        <v>265</v>
      </c>
      <c r="C206" s="27" t="str" cm="1">
        <f t="array" ref="C206">IF($O206="","",_xlfn.TEXTJOIN(", ",TRUE,IF(EXACT('Дані_зв''язок'!$J$4:$J$1012,$O206)*('Дані_зв''язок'!$C$4:$C$1012=C$4),'Дані_зв''язок'!$D$4:$D$1012,"")))</f>
        <v>9:35</v>
      </c>
      <c r="D206" s="27" t="str" cm="1">
        <f t="array" ref="D206">IF($O206="","",_xlfn.TEXTJOIN(", ",TRUE,IF(EXACT('Дані_зв''язок'!$J$4:$J$1012,$O206)*('Дані_зв''язок'!$C$4:$C$1012=D$4),'Дані_зв''язок'!$D$4:$D$1012,"")))</f>
        <v>8:40</v>
      </c>
      <c r="E206" s="27" t="str" cm="1">
        <f t="array" ref="E206">IF($O206="","",_xlfn.TEXTJOIN(", ",TRUE,IF(EXACT('Дані_зв''язок'!$J$4:$J$1012,$O206)*('Дані_зв''язок'!$C$4:$C$1012=E$4),'Дані_зв''язок'!$D$4:$D$1012,"")))</f>
        <v/>
      </c>
      <c r="F206" s="27" t="str" cm="1">
        <f t="array" ref="F206">IF($O206="","",_xlfn.TEXTJOIN(", ",TRUE,IF(EXACT('Дані_зв''язок'!$J$4:$J$1012,$O206)*('Дані_зв''язок'!$C$4:$C$1012=F$4),'Дані_зв''язок'!$D$4:$D$1012,"")))</f>
        <v>9:25</v>
      </c>
      <c r="G206" s="27" t="str" cm="1">
        <f t="array" ref="G206">IF($O206="","",_xlfn.TEXTJOIN(", ",TRUE,IF(EXACT('Дані_зв''язок'!$J$4:$J$1012,$O206)*('Дані_зв''язок'!$C$4:$C$1012=G$4),'Дані_зв''язок'!$D$4:$D$1012,"")))</f>
        <v>9:35</v>
      </c>
      <c r="H206" s="27" t="str" cm="1">
        <f t="array" ref="H206">IF($O206="","",_xlfn.TEXTJOIN(", ",TRUE,IF(EXACT('Дані_зв''язок'!$J$4:$J$1012,$O206)*('Дані_зв''язок'!$C$4:$C$1012=H$4),'Дані_зв''язок'!$D$4:$D$1012,"")))</f>
        <v/>
      </c>
      <c r="I206" s="27" t="str" cm="1">
        <f t="array" ref="I206">IF($O206="","",_xlfn.TEXTJOIN(", ",TRUE,IF(EXACT('Дані_зв''язок'!$J$4:$J$1012,$O206)*('Дані_зв''язок'!$C$4:$C$1012=I$4),'Дані_зв''язок'!$D$4:$D$1012,"")))</f>
        <v>9:35</v>
      </c>
      <c r="J206" s="27" cm="1">
        <f t="array" ref="J206">IF($O206="","",COUNTIF(C206:I206,"?*")+SUMPRODUCT(LEN(C206:I206)-LEN(SUBSTITUTE(C206:I206,",",""))))</f>
        <v>5</v>
      </c>
      <c r="K206" s="28" t="str" cm="1">
        <f t="array" ref="K206">IF($O206="","",_xlfn.TEXTJOIN(", ",TRUE,IF(EXACT('Дані_зв''язок'!$J$4:$J$1012,$O206),'Дані_зв''язок'!$L$4:$L$1012,"")))</f>
        <v>№4</v>
      </c>
      <c r="L206" s="28" t="str" cm="1">
        <f t="array" ref="L206">IF($O206="","",_xlfn.TEXTJOIN(", ",TRUE,IF(EXACT('Дані_зв''язок'!$J$4:$J$1012,$O206),'Дані_зв''язок'!$M$4:$M$1012,"")))</f>
        <v>АТ 40-42/ROD21003</v>
      </c>
      <c r="M206" s="27" cm="1">
        <f t="array" ref="M206">IF($O206="","",IF(SUMPRODUCT(MAX(EXACT('Дані_зв''язок'!$J$4:$J$1012,$O206)*IFERROR('Дані_зв''язок'!$H$4:$H$1012,0)))=0,"",SUMPRODUCT(MAX(EXACT('Дані_зв''язок'!$J$4:$J$1012,$O206)*IFERROR('Дані_зв''язок'!$H$4:$H$1012,0)))))</f>
        <v>3</v>
      </c>
      <c r="O206" s="30" t="s">
        <v>1325</v>
      </c>
      <c r="P206" s="24" cm="1">
        <f t="array" ref="P206">IF($O206="","",IF($B206="","",IFERROR(IF(MIN(IFERROR(VALUE(TRIM(MID(SUBSTITUTE(SUBSTITUTE($B206,","," ")," ",REPT(" ",30)),{1;31;61;91;121;151;181},30))),""))=0,"",MIN(IFERROR(VALUE(TRIM(MID(SUBSTITUTE(SUBSTITUTE($B206,","," ")," ",REPT(" ",30)),{1;31;61;91;121;151;181},30))),""))),"")))</f>
        <v>265</v>
      </c>
      <c r="Q206" s="23" t="str">
        <f t="shared" si="11"/>
        <v>Прилуки, Чернігівська обл., вул. Київська, 265</v>
      </c>
      <c r="R206" s="35">
        <f>IF($O206="","",IFERROR(INDEX('Координати майданчиків'!$H$4:$H$64,MATCH($T206,'Координати майданчиків'!$B$4:$B$64,0)),IFERROR(IF(ABS(INDEX(Геокодування!$C$2:$C$361,MATCH($Q206,Геокодування!$B$2:$B$361,0))-50.5884)+ABS(INDEX(Геокодування!$D$2:$D$361,MATCH($Q206,Геокодування!$B$2:$B$361,0))-32.3876)&gt;0.15,"",INDEX(Геокодування!$C$2:$C$361,MATCH($Q206,Геокодування!$B$2:$B$361,0))),IFERROR(IF(ABS(INDEX(Геокодування!$C$2:$C$361,MATCH("Прилуки, Чернігівська обл., "&amp;$A206,Геокодування!$B$2:$B$361,0))-50.5884)+ABS(INDEX(Геокодування!$D$2:$D$361,MATCH("Прилуки, Чернігівська обл., "&amp;$A206,Геокодування!$B$2:$B$361,0))-32.3876)&gt;0.15,"",INDEX(Геокодування!$C$2:$C$361,MATCH("Прилуки, Чернігівська обл., "&amp;$A206,Геокодування!$B$2:$B$361,0))),""))))</f>
        <v>50.587232</v>
      </c>
      <c r="S206" s="43">
        <f>IF($O206="","",IFERROR(INDEX('Координати майданчиків'!$I$4:$I$64,MATCH($T206,'Координати майданчиків'!$B$4:$B$64,0)),IFERROR(IF(ABS(INDEX(Геокодування!$C$2:$C$361,MATCH($Q206,Геокодування!$B$2:$B$361,0))-50.5884)+ABS(INDEX(Геокодування!$D$2:$D$361,MATCH($Q206,Геокодування!$B$2:$B$361,0))-32.3876)&gt;0.15,"",INDEX(Геокодування!$D$2:$D$361,MATCH($Q206,Геокодування!$B$2:$B$361,0))),IFERROR(IF(ABS(INDEX(Геокодування!$C$2:$C$361,MATCH("Прилуки, Чернігівська обл., "&amp;$A206,Геокодування!$B$2:$B$361,0))-50.5884)+ABS(INDEX(Геокодування!$D$2:$D$361,MATCH("Прилуки, Чернігівська обл., "&amp;$A206,Геокодування!$B$2:$B$361,0))-32.3876)&gt;0.15,"",INDEX(Геокодування!$D$2:$D$361,MATCH("Прилуки, Чернігівська обл., "&amp;$A206,Геокодування!$B$2:$B$361,0))),""))))</f>
        <v>32.438777000000002</v>
      </c>
      <c r="T206" s="44" t="str">
        <f>IF($O206="","",IFERROR(INDEX('Координати майданчиків'!$B$4:$B$64,MATCH($A206&amp;IF($P206="","",", "&amp;$P206),'Координати майданчиків'!$B$4:$B$64,0)),IFERROR(INDEX('Координати майданчиків'!$B$4:$B$64,MATCH($A206,'Координати майданчиків'!$B$4:$B$64,0)),"")))</f>
        <v/>
      </c>
    </row>
    <row r="207" spans="1:20" x14ac:dyDescent="0.35">
      <c r="A207" s="26" t="str">
        <f t="shared" si="9"/>
        <v>вул. Київська</v>
      </c>
      <c r="B207" s="26" t="str">
        <f t="shared" si="10"/>
        <v>3 магазин</v>
      </c>
      <c r="C207" s="27" t="str" cm="1">
        <f t="array" ref="C207">IF($O207="","",_xlfn.TEXTJOIN(", ",TRUE,IF(EXACT('Дані_зв''язок'!$J$4:$J$1012,$O207)*('Дані_зв''язок'!$C$4:$C$1012=C$4),'Дані_зв''язок'!$D$4:$D$1012,"")))</f>
        <v>7:05</v>
      </c>
      <c r="D207" s="27" t="str" cm="1">
        <f t="array" ref="D207">IF($O207="","",_xlfn.TEXTJOIN(", ",TRUE,IF(EXACT('Дані_зв''язок'!$J$4:$J$1012,$O207)*('Дані_зв''язок'!$C$4:$C$1012=D$4),'Дані_зв''язок'!$D$4:$D$1012,"")))</f>
        <v>7:05, 11:10</v>
      </c>
      <c r="E207" s="27" t="str" cm="1">
        <f t="array" ref="E207">IF($O207="","",_xlfn.TEXTJOIN(", ",TRUE,IF(EXACT('Дані_зв''язок'!$J$4:$J$1012,$O207)*('Дані_зв''язок'!$C$4:$C$1012=E$4),'Дані_зв''язок'!$D$4:$D$1012,"")))</f>
        <v>7:05, 11:35</v>
      </c>
      <c r="F207" s="27" t="str" cm="1">
        <f t="array" ref="F207">IF($O207="","",_xlfn.TEXTJOIN(", ",TRUE,IF(EXACT('Дані_зв''язок'!$J$4:$J$1012,$O207)*('Дані_зв''язок'!$C$4:$C$1012=F$4),'Дані_зв''язок'!$D$4:$D$1012,"")))</f>
        <v>7:10</v>
      </c>
      <c r="G207" s="27" t="str" cm="1">
        <f t="array" ref="G207">IF($O207="","",_xlfn.TEXTJOIN(", ",TRUE,IF(EXACT('Дані_зв''язок'!$J$4:$J$1012,$O207)*('Дані_зв''язок'!$C$4:$C$1012=G$4),'Дані_зв''язок'!$D$4:$D$1012,"")))</f>
        <v>7:05</v>
      </c>
      <c r="H207" s="27" t="str" cm="1">
        <f t="array" ref="H207">IF($O207="","",_xlfn.TEXTJOIN(", ",TRUE,IF(EXACT('Дані_зв''язок'!$J$4:$J$1012,$O207)*('Дані_зв''язок'!$C$4:$C$1012=H$4),'Дані_зв''язок'!$D$4:$D$1012,"")))</f>
        <v>7:05, 11:10</v>
      </c>
      <c r="I207" s="27" t="str" cm="1">
        <f t="array" ref="I207">IF($O207="","",_xlfn.TEXTJOIN(", ",TRUE,IF(EXACT('Дані_зв''язок'!$J$4:$J$1012,$O207)*('Дані_зв''язок'!$C$4:$C$1012=I$4),'Дані_зв''язок'!$D$4:$D$1012,"")))</f>
        <v>7:10</v>
      </c>
      <c r="J207" s="27" cm="1">
        <f t="array" ref="J207">IF($O207="","",COUNTIF(C207:I207,"?*")+SUMPRODUCT(LEN(C207:I207)-LEN(SUBSTITUTE(C207:I207,",",""))))</f>
        <v>10</v>
      </c>
      <c r="K207" s="28" t="str" cm="1">
        <f t="array" ref="K207">IF($O207="","",_xlfn.TEXTJOIN(", ",TRUE,IF(EXACT('Дані_зв''язок'!$J$4:$J$1012,$O207),'Дані_зв''язок'!$L$4:$L$1012,"")))</f>
        <v>№1</v>
      </c>
      <c r="L207" s="28" t="str" cm="1">
        <f t="array" ref="L207">IF($O207="","",_xlfn.TEXTJOIN(", ",TRUE,IF(EXACT('Дані_зв''язок'!$J$4:$J$1012,$O207),'Дані_зв''язок'!$M$4:$M$1012,"")))</f>
        <v>КАМАЗ 55111, АТ-4021/1120</v>
      </c>
      <c r="M207" s="27" cm="1">
        <f t="array" ref="M207">IF($O207="","",IF(SUMPRODUCT(MAX(EXACT('Дані_зв''язок'!$J$4:$J$1012,$O207)*IFERROR('Дані_зв''язок'!$H$4:$H$1012,0)))=0,"",SUMPRODUCT(MAX(EXACT('Дані_зв''язок'!$J$4:$J$1012,$O207)*IFERROR('Дані_зв''язок'!$H$4:$H$1012,0)))))</f>
        <v>5</v>
      </c>
      <c r="O207" s="30" t="s">
        <v>1326</v>
      </c>
      <c r="P207" s="24" cm="1">
        <f t="array" ref="P207">IF($O207="","",IF($B207="","",IFERROR(IF(MIN(IFERROR(VALUE(TRIM(MID(SUBSTITUTE(SUBSTITUTE($B207,","," ")," ",REPT(" ",30)),{1;31;61;91;121;151;181},30))),""))=0,"",MIN(IFERROR(VALUE(TRIM(MID(SUBSTITUTE(SUBSTITUTE($B207,","," ")," ",REPT(" ",30)),{1;31;61;91;121;151;181},30))),""))),"")))</f>
        <v>3</v>
      </c>
      <c r="Q207" s="23" t="str">
        <f t="shared" si="11"/>
        <v>Прилуки, Чернігівська обл., вул. Київська, 3</v>
      </c>
      <c r="R207" s="35">
        <f>IF($O207="","",IFERROR(INDEX('Координати майданчиків'!$H$4:$H$64,MATCH($T207,'Координати майданчиків'!$B$4:$B$64,0)),IFERROR(IF(ABS(INDEX(Геокодування!$C$2:$C$361,MATCH($Q207,Геокодування!$B$2:$B$361,0))-50.5884)+ABS(INDEX(Геокодування!$D$2:$D$361,MATCH($Q207,Геокодування!$B$2:$B$361,0))-32.3876)&gt;0.15,"",INDEX(Геокодування!$C$2:$C$361,MATCH($Q207,Геокодування!$B$2:$B$361,0))),IFERROR(IF(ABS(INDEX(Геокодування!$C$2:$C$361,MATCH("Прилуки, Чернігівська обл., "&amp;$A207,Геокодування!$B$2:$B$361,0))-50.5884)+ABS(INDEX(Геокодування!$D$2:$D$361,MATCH("Прилуки, Чернігівська обл., "&amp;$A207,Геокодування!$B$2:$B$361,0))-32.3876)&gt;0.15,"",INDEX(Геокодування!$C$2:$C$361,MATCH("Прилуки, Чернігівська обл., "&amp;$A207,Геокодування!$B$2:$B$361,0))),""))))</f>
        <v>50.587232</v>
      </c>
      <c r="S207" s="43">
        <f>IF($O207="","",IFERROR(INDEX('Координати майданчиків'!$I$4:$I$64,MATCH($T207,'Координати майданчиків'!$B$4:$B$64,0)),IFERROR(IF(ABS(INDEX(Геокодування!$C$2:$C$361,MATCH($Q207,Геокодування!$B$2:$B$361,0))-50.5884)+ABS(INDEX(Геокодування!$D$2:$D$361,MATCH($Q207,Геокодування!$B$2:$B$361,0))-32.3876)&gt;0.15,"",INDEX(Геокодування!$D$2:$D$361,MATCH($Q207,Геокодування!$B$2:$B$361,0))),IFERROR(IF(ABS(INDEX(Геокодування!$C$2:$C$361,MATCH("Прилуки, Чернігівська обл., "&amp;$A207,Геокодування!$B$2:$B$361,0))-50.5884)+ABS(INDEX(Геокодування!$D$2:$D$361,MATCH("Прилуки, Чернігівська обл., "&amp;$A207,Геокодування!$B$2:$B$361,0))-32.3876)&gt;0.15,"",INDEX(Геокодування!$D$2:$D$361,MATCH("Прилуки, Чернігівська обл., "&amp;$A207,Геокодування!$B$2:$B$361,0))),""))))</f>
        <v>32.438777000000002</v>
      </c>
      <c r="T207" s="44" t="str">
        <f>IF($O207="","",IFERROR(INDEX('Координати майданчиків'!$B$4:$B$64,MATCH($A207&amp;IF($P207="","",", "&amp;$P207),'Координати майданчиків'!$B$4:$B$64,0)),IFERROR(INDEX('Координати майданчиків'!$B$4:$B$64,MATCH($A207,'Координати майданчиків'!$B$4:$B$64,0)),"")))</f>
        <v/>
      </c>
    </row>
    <row r="208" spans="1:20" x14ac:dyDescent="0.35">
      <c r="A208" s="26" t="str">
        <f t="shared" si="9"/>
        <v>вул. Київська</v>
      </c>
      <c r="B208" s="26" t="str">
        <f t="shared" si="10"/>
        <v>469,479,519</v>
      </c>
      <c r="C208" s="27" t="str" cm="1">
        <f t="array" ref="C208">IF($O208="","",_xlfn.TEXTJOIN(", ",TRUE,IF(EXACT('Дані_зв''язок'!$J$4:$J$1012,$O208)*('Дані_зв''язок'!$C$4:$C$1012=C$4),'Дані_зв''язок'!$D$4:$D$1012,"")))</f>
        <v/>
      </c>
      <c r="D208" s="27" t="str" cm="1">
        <f t="array" ref="D208">IF($O208="","",_xlfn.TEXTJOIN(", ",TRUE,IF(EXACT('Дані_зв''язок'!$J$4:$J$1012,$O208)*('Дані_зв''язок'!$C$4:$C$1012=D$4),'Дані_зв''язок'!$D$4:$D$1012,"")))</f>
        <v/>
      </c>
      <c r="E208" s="27" t="str" cm="1">
        <f t="array" ref="E208">IF($O208="","",_xlfn.TEXTJOIN(", ",TRUE,IF(EXACT('Дані_зв''язок'!$J$4:$J$1012,$O208)*('Дані_зв''язок'!$C$4:$C$1012=E$4),'Дані_зв''язок'!$D$4:$D$1012,"")))</f>
        <v/>
      </c>
      <c r="F208" s="27" t="str" cm="1">
        <f t="array" ref="F208">IF($O208="","",_xlfn.TEXTJOIN(", ",TRUE,IF(EXACT('Дані_зв''язок'!$J$4:$J$1012,$O208)*('Дані_зв''язок'!$C$4:$C$1012=F$4),'Дані_зв''язок'!$D$4:$D$1012,"")))</f>
        <v/>
      </c>
      <c r="G208" s="27" t="str" cm="1">
        <f t="array" ref="G208">IF($O208="","",_xlfn.TEXTJOIN(", ",TRUE,IF(EXACT('Дані_зв''язок'!$J$4:$J$1012,$O208)*('Дані_зв''язок'!$C$4:$C$1012=G$4),'Дані_зв''язок'!$D$4:$D$1012,"")))</f>
        <v>14:30</v>
      </c>
      <c r="H208" s="27" t="str" cm="1">
        <f t="array" ref="H208">IF($O208="","",_xlfn.TEXTJOIN(", ",TRUE,IF(EXACT('Дані_зв''язок'!$J$4:$J$1012,$O208)*('Дані_зв''язок'!$C$4:$C$1012=H$4),'Дані_зв''язок'!$D$4:$D$1012,"")))</f>
        <v/>
      </c>
      <c r="I208" s="27" t="str" cm="1">
        <f t="array" ref="I208">IF($O208="","",_xlfn.TEXTJOIN(", ",TRUE,IF(EXACT('Дані_зв''язок'!$J$4:$J$1012,$O208)*('Дані_зв''язок'!$C$4:$C$1012=I$4),'Дані_зв''язок'!$D$4:$D$1012,"")))</f>
        <v/>
      </c>
      <c r="J208" s="27" cm="1">
        <f t="array" ref="J208">IF($O208="","",COUNTIF(C208:I208,"?*")+SUMPRODUCT(LEN(C208:I208)-LEN(SUBSTITUTE(C208:I208,",",""))))</f>
        <v>1</v>
      </c>
      <c r="K208" s="28" t="str" cm="1">
        <f t="array" ref="K208">IF($O208="","",_xlfn.TEXTJOIN(", ",TRUE,IF(EXACT('Дані_зв''язок'!$J$4:$J$1012,$O208),'Дані_зв''язок'!$L$4:$L$1012,"")))</f>
        <v>№6</v>
      </c>
      <c r="L208" s="28" t="str" cm="1">
        <f t="array" ref="L208">IF($O208="","",_xlfn.TEXTJOIN(", ",TRUE,IF(EXACT('Дані_зв''язок'!$J$4:$J$1012,$O208),'Дані_зв''язок'!$M$4:$M$1012,"")))</f>
        <v>АТ 4021</v>
      </c>
      <c r="M208" s="27" t="str" cm="1">
        <f t="array" ref="M208">IF($O208="","",IF(SUMPRODUCT(MAX(EXACT('Дані_зв''язок'!$J$4:$J$1012,$O208)*IFERROR('Дані_зв''язок'!$H$4:$H$1012,0)))=0,"",SUMPRODUCT(MAX(EXACT('Дані_зв''язок'!$J$4:$J$1012,$O208)*IFERROR('Дані_зв''язок'!$H$4:$H$1012,0)))))</f>
        <v/>
      </c>
      <c r="O208" s="30" t="s">
        <v>1327</v>
      </c>
      <c r="P208" s="24" cm="1">
        <f t="array" ref="P208">IF($O208="","",IF($B208="","",IFERROR(IF(MIN(IFERROR(VALUE(TRIM(MID(SUBSTITUTE(SUBSTITUTE($B208,","," ")," ",REPT(" ",30)),{1;31;61;91;121;151;181},30))),""))=0,"",MIN(IFERROR(VALUE(TRIM(MID(SUBSTITUTE(SUBSTITUTE($B208,","," ")," ",REPT(" ",30)),{1;31;61;91;121;151;181},30))),""))),"")))</f>
        <v>469</v>
      </c>
      <c r="Q208" s="23" t="str">
        <f t="shared" si="11"/>
        <v>Прилуки, Чернігівська обл., вул. Київська, 469</v>
      </c>
      <c r="R208" s="35">
        <f>IF($O208="","",IFERROR(INDEX('Координати майданчиків'!$H$4:$H$64,MATCH($T208,'Координати майданчиків'!$B$4:$B$64,0)),IFERROR(IF(ABS(INDEX(Геокодування!$C$2:$C$361,MATCH($Q208,Геокодування!$B$2:$B$361,0))-50.5884)+ABS(INDEX(Геокодування!$D$2:$D$361,MATCH($Q208,Геокодування!$B$2:$B$361,0))-32.3876)&gt;0.15,"",INDEX(Геокодування!$C$2:$C$361,MATCH($Q208,Геокодування!$B$2:$B$361,0))),IFERROR(IF(ABS(INDEX(Геокодування!$C$2:$C$361,MATCH("Прилуки, Чернігівська обл., "&amp;$A208,Геокодування!$B$2:$B$361,0))-50.5884)+ABS(INDEX(Геокодування!$D$2:$D$361,MATCH("Прилуки, Чернігівська обл., "&amp;$A208,Геокодування!$B$2:$B$361,0))-32.3876)&gt;0.15,"",INDEX(Геокодування!$C$2:$C$361,MATCH("Прилуки, Чернігівська обл., "&amp;$A208,Геокодування!$B$2:$B$361,0))),""))))</f>
        <v>50.587232</v>
      </c>
      <c r="S208" s="43">
        <f>IF($O208="","",IFERROR(INDEX('Координати майданчиків'!$I$4:$I$64,MATCH($T208,'Координати майданчиків'!$B$4:$B$64,0)),IFERROR(IF(ABS(INDEX(Геокодування!$C$2:$C$361,MATCH($Q208,Геокодування!$B$2:$B$361,0))-50.5884)+ABS(INDEX(Геокодування!$D$2:$D$361,MATCH($Q208,Геокодування!$B$2:$B$361,0))-32.3876)&gt;0.15,"",INDEX(Геокодування!$D$2:$D$361,MATCH($Q208,Геокодування!$B$2:$B$361,0))),IFERROR(IF(ABS(INDEX(Геокодування!$C$2:$C$361,MATCH("Прилуки, Чернігівська обл., "&amp;$A208,Геокодування!$B$2:$B$361,0))-50.5884)+ABS(INDEX(Геокодування!$D$2:$D$361,MATCH("Прилуки, Чернігівська обл., "&amp;$A208,Геокодування!$B$2:$B$361,0))-32.3876)&gt;0.15,"",INDEX(Геокодування!$D$2:$D$361,MATCH("Прилуки, Чернігівська обл., "&amp;$A208,Геокодування!$B$2:$B$361,0))),""))))</f>
        <v>32.438777000000002</v>
      </c>
      <c r="T208" s="44" t="str">
        <f>IF($O208="","",IFERROR(INDEX('Координати майданчиків'!$B$4:$B$64,MATCH($A208&amp;IF($P208="","",", "&amp;$P208),'Координати майданчиків'!$B$4:$B$64,0)),IFERROR(INDEX('Координати майданчиків'!$B$4:$B$64,MATCH($A208,'Координати майданчиків'!$B$4:$B$64,0)),"")))</f>
        <v/>
      </c>
    </row>
    <row r="209" spans="1:20" x14ac:dyDescent="0.35">
      <c r="A209" s="26" t="str">
        <f t="shared" si="9"/>
        <v>вул. Київська</v>
      </c>
      <c r="B209" s="26" t="str">
        <f t="shared" si="10"/>
        <v>5 магазин</v>
      </c>
      <c r="C209" s="27" t="str" cm="1">
        <f t="array" ref="C209">IF($O209="","",_xlfn.TEXTJOIN(", ",TRUE,IF(EXACT('Дані_зв''язок'!$J$4:$J$1012,$O209)*('Дані_зв''язок'!$C$4:$C$1012=C$4),'Дані_зв''язок'!$D$4:$D$1012,"")))</f>
        <v>8:10</v>
      </c>
      <c r="D209" s="27" t="str" cm="1">
        <f t="array" ref="D209">IF($O209="","",_xlfn.TEXTJOIN(", ",TRUE,IF(EXACT('Дані_зв''язок'!$J$4:$J$1012,$O209)*('Дані_зв''язок'!$C$4:$C$1012=D$4),'Дані_зв''язок'!$D$4:$D$1012,"")))</f>
        <v>8:10</v>
      </c>
      <c r="E209" s="27" t="str" cm="1">
        <f t="array" ref="E209">IF($O209="","",_xlfn.TEXTJOIN(", ",TRUE,IF(EXACT('Дані_зв''язок'!$J$4:$J$1012,$O209)*('Дані_зв''язок'!$C$4:$C$1012=E$4),'Дані_зв''язок'!$D$4:$D$1012,"")))</f>
        <v>8:10</v>
      </c>
      <c r="F209" s="27" t="str" cm="1">
        <f t="array" ref="F209">IF($O209="","",_xlfn.TEXTJOIN(", ",TRUE,IF(EXACT('Дані_зв''язок'!$J$4:$J$1012,$O209)*('Дані_зв''язок'!$C$4:$C$1012=F$4),'Дані_зв''язок'!$D$4:$D$1012,"")))</f>
        <v>10:35</v>
      </c>
      <c r="G209" s="27" t="str" cm="1">
        <f t="array" ref="G209">IF($O209="","",_xlfn.TEXTJOIN(", ",TRUE,IF(EXACT('Дані_зв''язок'!$J$4:$J$1012,$O209)*('Дані_зв''язок'!$C$4:$C$1012=G$4),'Дані_зв''язок'!$D$4:$D$1012,"")))</f>
        <v>8:10</v>
      </c>
      <c r="H209" s="27" t="str" cm="1">
        <f t="array" ref="H209">IF($O209="","",_xlfn.TEXTJOIN(", ",TRUE,IF(EXACT('Дані_зв''язок'!$J$4:$J$1012,$O209)*('Дані_зв''язок'!$C$4:$C$1012=H$4),'Дані_зв''язок'!$D$4:$D$1012,"")))</f>
        <v>8:10</v>
      </c>
      <c r="I209" s="27" t="str" cm="1">
        <f t="array" ref="I209">IF($O209="","",_xlfn.TEXTJOIN(", ",TRUE,IF(EXACT('Дані_зв''язок'!$J$4:$J$1012,$O209)*('Дані_зв''язок'!$C$4:$C$1012=I$4),'Дані_зв''язок'!$D$4:$D$1012,"")))</f>
        <v>10:50</v>
      </c>
      <c r="J209" s="27" cm="1">
        <f t="array" ref="J209">IF($O209="","",COUNTIF(C209:I209,"?*")+SUMPRODUCT(LEN(C209:I209)-LEN(SUBSTITUTE(C209:I209,",",""))))</f>
        <v>7</v>
      </c>
      <c r="K209" s="28" t="str" cm="1">
        <f t="array" ref="K209">IF($O209="","",_xlfn.TEXTJOIN(", ",TRUE,IF(EXACT('Дані_зв''язок'!$J$4:$J$1012,$O209),'Дані_зв''язок'!$L$4:$L$1012,"")))</f>
        <v>№1</v>
      </c>
      <c r="L209" s="28" t="str" cm="1">
        <f t="array" ref="L209">IF($O209="","",_xlfn.TEXTJOIN(", ",TRUE,IF(EXACT('Дані_зв''язок'!$J$4:$J$1012,$O209),'Дані_зв''язок'!$M$4:$M$1012,"")))</f>
        <v>КАМАЗ 55111, АТ-4021/1120</v>
      </c>
      <c r="M209" s="27" cm="1">
        <f t="array" ref="M209">IF($O209="","",IF(SUMPRODUCT(MAX(EXACT('Дані_зв''язок'!$J$4:$J$1012,$O209)*IFERROR('Дані_зв''язок'!$H$4:$H$1012,0)))=0,"",SUMPRODUCT(MAX(EXACT('Дані_зв''язок'!$J$4:$J$1012,$O209)*IFERROR('Дані_зв''язок'!$H$4:$H$1012,0)))))</f>
        <v>3</v>
      </c>
      <c r="O209" s="30" t="s">
        <v>1328</v>
      </c>
      <c r="P209" s="24" cm="1">
        <f t="array" ref="P209">IF($O209="","",IF($B209="","",IFERROR(IF(MIN(IFERROR(VALUE(TRIM(MID(SUBSTITUTE(SUBSTITUTE($B209,","," ")," ",REPT(" ",30)),{1;31;61;91;121;151;181},30))),""))=0,"",MIN(IFERROR(VALUE(TRIM(MID(SUBSTITUTE(SUBSTITUTE($B209,","," ")," ",REPT(" ",30)),{1;31;61;91;121;151;181},30))),""))),"")))</f>
        <v>5</v>
      </c>
      <c r="Q209" s="23" t="str">
        <f t="shared" si="11"/>
        <v>Прилуки, Чернігівська обл., вул. Київська, 5</v>
      </c>
      <c r="R209" s="35">
        <f>IF($O209="","",IFERROR(INDEX('Координати майданчиків'!$H$4:$H$64,MATCH($T209,'Координати майданчиків'!$B$4:$B$64,0)),IFERROR(IF(ABS(INDEX(Геокодування!$C$2:$C$361,MATCH($Q209,Геокодування!$B$2:$B$361,0))-50.5884)+ABS(INDEX(Геокодування!$D$2:$D$361,MATCH($Q209,Геокодування!$B$2:$B$361,0))-32.3876)&gt;0.15,"",INDEX(Геокодування!$C$2:$C$361,MATCH($Q209,Геокодування!$B$2:$B$361,0))),IFERROR(IF(ABS(INDEX(Геокодування!$C$2:$C$361,MATCH("Прилуки, Чернігівська обл., "&amp;$A209,Геокодування!$B$2:$B$361,0))-50.5884)+ABS(INDEX(Геокодування!$D$2:$D$361,MATCH("Прилуки, Чернігівська обл., "&amp;$A209,Геокодування!$B$2:$B$361,0))-32.3876)&gt;0.15,"",INDEX(Геокодування!$C$2:$C$361,MATCH("Прилуки, Чернігівська обл., "&amp;$A209,Геокодування!$B$2:$B$361,0))),""))))</f>
        <v>50.587232</v>
      </c>
      <c r="S209" s="43">
        <f>IF($O209="","",IFERROR(INDEX('Координати майданчиків'!$I$4:$I$64,MATCH($T209,'Координати майданчиків'!$B$4:$B$64,0)),IFERROR(IF(ABS(INDEX(Геокодування!$C$2:$C$361,MATCH($Q209,Геокодування!$B$2:$B$361,0))-50.5884)+ABS(INDEX(Геокодування!$D$2:$D$361,MATCH($Q209,Геокодування!$B$2:$B$361,0))-32.3876)&gt;0.15,"",INDEX(Геокодування!$D$2:$D$361,MATCH($Q209,Геокодування!$B$2:$B$361,0))),IFERROR(IF(ABS(INDEX(Геокодування!$C$2:$C$361,MATCH("Прилуки, Чернігівська обл., "&amp;$A209,Геокодування!$B$2:$B$361,0))-50.5884)+ABS(INDEX(Геокодування!$D$2:$D$361,MATCH("Прилуки, Чернігівська обл., "&amp;$A209,Геокодування!$B$2:$B$361,0))-32.3876)&gt;0.15,"",INDEX(Геокодування!$D$2:$D$361,MATCH("Прилуки, Чернігівська обл., "&amp;$A209,Геокодування!$B$2:$B$361,0))),""))))</f>
        <v>32.438777000000002</v>
      </c>
      <c r="T209" s="44" t="str">
        <f>IF($O209="","",IFERROR(INDEX('Координати майданчиків'!$B$4:$B$64,MATCH($A209&amp;IF($P209="","",", "&amp;$P209),'Координати майданчиків'!$B$4:$B$64,0)),IFERROR(INDEX('Координати майданчиків'!$B$4:$B$64,MATCH($A209,'Координати майданчиків'!$B$4:$B$64,0)),"")))</f>
        <v/>
      </c>
    </row>
    <row r="210" spans="1:20" x14ac:dyDescent="0.35">
      <c r="A210" s="26" t="str">
        <f t="shared" si="9"/>
        <v>вул. Київська</v>
      </c>
      <c r="B210" s="26" t="str">
        <f t="shared" si="10"/>
        <v>АТБ</v>
      </c>
      <c r="C210" s="27" t="str" cm="1">
        <f t="array" ref="C210">IF($O210="","",_xlfn.TEXTJOIN(", ",TRUE,IF(EXACT('Дані_зв''язок'!$J$4:$J$1012,$O210)*('Дані_зв''язок'!$C$4:$C$1012=C$4),'Дані_зв''язок'!$D$4:$D$1012,"")))</f>
        <v>15:35</v>
      </c>
      <c r="D210" s="27" t="str" cm="1">
        <f t="array" ref="D210">IF($O210="","",_xlfn.TEXTJOIN(", ",TRUE,IF(EXACT('Дані_зв''язок'!$J$4:$J$1012,$O210)*('Дані_зв''язок'!$C$4:$C$1012=D$4),'Дані_зв''язок'!$D$4:$D$1012,"")))</f>
        <v/>
      </c>
      <c r="E210" s="27" t="str" cm="1">
        <f t="array" ref="E210">IF($O210="","",_xlfn.TEXTJOIN(", ",TRUE,IF(EXACT('Дані_зв''язок'!$J$4:$J$1012,$O210)*('Дані_зв''язок'!$C$4:$C$1012=E$4),'Дані_зв''язок'!$D$4:$D$1012,"")))</f>
        <v/>
      </c>
      <c r="F210" s="27" t="str" cm="1">
        <f t="array" ref="F210">IF($O210="","",_xlfn.TEXTJOIN(", ",TRUE,IF(EXACT('Дані_зв''язок'!$J$4:$J$1012,$O210)*('Дані_зв''язок'!$C$4:$C$1012=F$4),'Дані_зв''язок'!$D$4:$D$1012,"")))</f>
        <v/>
      </c>
      <c r="G210" s="27" t="str" cm="1">
        <f t="array" ref="G210">IF($O210="","",_xlfn.TEXTJOIN(", ",TRUE,IF(EXACT('Дані_зв''язок'!$J$4:$J$1012,$O210)*('Дані_зв''язок'!$C$4:$C$1012=G$4),'Дані_зв''язок'!$D$4:$D$1012,"")))</f>
        <v/>
      </c>
      <c r="H210" s="27" t="str" cm="1">
        <f t="array" ref="H210">IF($O210="","",_xlfn.TEXTJOIN(", ",TRUE,IF(EXACT('Дані_зв''язок'!$J$4:$J$1012,$O210)*('Дані_зв''язок'!$C$4:$C$1012=H$4),'Дані_зв''язок'!$D$4:$D$1012,"")))</f>
        <v/>
      </c>
      <c r="I210" s="27" t="str" cm="1">
        <f t="array" ref="I210">IF($O210="","",_xlfn.TEXTJOIN(", ",TRUE,IF(EXACT('Дані_зв''язок'!$J$4:$J$1012,$O210)*('Дані_зв''язок'!$C$4:$C$1012=I$4),'Дані_зв''язок'!$D$4:$D$1012,"")))</f>
        <v/>
      </c>
      <c r="J210" s="27" cm="1">
        <f t="array" ref="J210">IF($O210="","",COUNTIF(C210:I210,"?*")+SUMPRODUCT(LEN(C210:I210)-LEN(SUBSTITUTE(C210:I210,",",""))))</f>
        <v>1</v>
      </c>
      <c r="K210" s="28" t="str" cm="1">
        <f t="array" ref="K210">IF($O210="","",_xlfn.TEXTJOIN(", ",TRUE,IF(EXACT('Дані_зв''язок'!$J$4:$J$1012,$O210),'Дані_зв''язок'!$L$4:$L$1012,"")))</f>
        <v>№2</v>
      </c>
      <c r="L210" s="28" t="str" cm="1">
        <f t="array" ref="L210">IF($O210="","",_xlfn.TEXTJOIN(", ",TRUE,IF(EXACT('Дані_зв''язок'!$J$4:$J$1012,$O210),'Дані_зв''язок'!$M$4:$M$1012,"")))</f>
        <v>АТ 4021/1120</v>
      </c>
      <c r="M210" s="27" cm="1">
        <f t="array" ref="M210">IF($O210="","",IF(SUMPRODUCT(MAX(EXACT('Дані_зв''язок'!$J$4:$J$1012,$O210)*IFERROR('Дані_зв''язок'!$H$4:$H$1012,0)))=0,"",SUMPRODUCT(MAX(EXACT('Дані_зв''язок'!$J$4:$J$1012,$O210)*IFERROR('Дані_зв''язок'!$H$4:$H$1012,0)))))</f>
        <v>1</v>
      </c>
      <c r="O210" s="30" t="s">
        <v>1331</v>
      </c>
      <c r="P210" s="24" t="str" cm="1">
        <f t="array" ref="P210">IF($O210="","",IF($B210="","",IFERROR(IF(MIN(IFERROR(VALUE(TRIM(MID(SUBSTITUTE(SUBSTITUTE($B210,","," ")," ",REPT(" ",30)),{1;31;61;91;121;151;181},30))),""))=0,"",MIN(IFERROR(VALUE(TRIM(MID(SUBSTITUTE(SUBSTITUTE($B210,","," ")," ",REPT(" ",30)),{1;31;61;91;121;151;181},30))),""))),"")))</f>
        <v/>
      </c>
      <c r="Q210" s="23" t="str">
        <f t="shared" si="11"/>
        <v>Прилуки, Чернігівська обл., вул. Київська</v>
      </c>
      <c r="R210" s="35">
        <f>IF($O210="","",IFERROR(INDEX('Координати майданчиків'!$H$4:$H$64,MATCH($T210,'Координати майданчиків'!$B$4:$B$64,0)),IFERROR(IF(ABS(INDEX(Геокодування!$C$2:$C$361,MATCH($Q210,Геокодування!$B$2:$B$361,0))-50.5884)+ABS(INDEX(Геокодування!$D$2:$D$361,MATCH($Q210,Геокодування!$B$2:$B$361,0))-32.3876)&gt;0.15,"",INDEX(Геокодування!$C$2:$C$361,MATCH($Q210,Геокодування!$B$2:$B$361,0))),IFERROR(IF(ABS(INDEX(Геокодування!$C$2:$C$361,MATCH("Прилуки, Чернігівська обл., "&amp;$A210,Геокодування!$B$2:$B$361,0))-50.5884)+ABS(INDEX(Геокодування!$D$2:$D$361,MATCH("Прилуки, Чернігівська обл., "&amp;$A210,Геокодування!$B$2:$B$361,0))-32.3876)&gt;0.15,"",INDEX(Геокодування!$C$2:$C$361,MATCH("Прилуки, Чернігівська обл., "&amp;$A210,Геокодування!$B$2:$B$361,0))),""))))</f>
        <v>50.595413999999998</v>
      </c>
      <c r="S210" s="43">
        <f>IF($O210="","",IFERROR(INDEX('Координати майданчиків'!$I$4:$I$64,MATCH($T210,'Координати майданчиків'!$B$4:$B$64,0)),IFERROR(IF(ABS(INDEX(Геокодування!$C$2:$C$361,MATCH($Q210,Геокодування!$B$2:$B$361,0))-50.5884)+ABS(INDEX(Геокодування!$D$2:$D$361,MATCH($Q210,Геокодування!$B$2:$B$361,0))-32.3876)&gt;0.15,"",INDEX(Геокодування!$D$2:$D$361,MATCH($Q210,Геокодування!$B$2:$B$361,0))),IFERROR(IF(ABS(INDEX(Геокодування!$C$2:$C$361,MATCH("Прилуки, Чернігівська обл., "&amp;$A210,Геокодування!$B$2:$B$361,0))-50.5884)+ABS(INDEX(Геокодування!$D$2:$D$361,MATCH("Прилуки, Чернігівська обл., "&amp;$A210,Геокодування!$B$2:$B$361,0))-32.3876)&gt;0.15,"",INDEX(Геокодування!$D$2:$D$361,MATCH("Прилуки, Чернігівська обл., "&amp;$A210,Геокодування!$B$2:$B$361,0))),""))))</f>
        <v>32.381410000000002</v>
      </c>
      <c r="T210" s="44" t="str">
        <f>IF($O210="","",IFERROR(INDEX('Координати майданчиків'!$B$4:$B$64,MATCH($A210&amp;IF($P210="","",", "&amp;$P210),'Координати майданчиків'!$B$4:$B$64,0)),IFERROR(INDEX('Координати майданчиків'!$B$4:$B$64,MATCH($A210,'Координати майданчиків'!$B$4:$B$64,0)),"")))</f>
        <v/>
      </c>
    </row>
    <row r="211" spans="1:20" x14ac:dyDescent="0.35">
      <c r="A211" s="26" t="str">
        <f t="shared" si="9"/>
        <v>вул. Київська</v>
      </c>
      <c r="B211" s="26" t="str">
        <f t="shared" si="10"/>
        <v>Аврора</v>
      </c>
      <c r="C211" s="27" t="str" cm="1">
        <f t="array" ref="C211">IF($O211="","",_xlfn.TEXTJOIN(", ",TRUE,IF(EXACT('Дані_зв''язок'!$J$4:$J$1012,$O211)*('Дані_зв''язок'!$C$4:$C$1012=C$4),'Дані_зв''язок'!$D$4:$D$1012,"")))</f>
        <v>11:35, 13:35</v>
      </c>
      <c r="D211" s="27" t="str" cm="1">
        <f t="array" ref="D211">IF($O211="","",_xlfn.TEXTJOIN(", ",TRUE,IF(EXACT('Дані_зв''язок'!$J$4:$J$1012,$O211)*('Дані_зв''язок'!$C$4:$C$1012=D$4),'Дані_зв''язок'!$D$4:$D$1012,"")))</f>
        <v/>
      </c>
      <c r="E211" s="27" t="str" cm="1">
        <f t="array" ref="E211">IF($O211="","",_xlfn.TEXTJOIN(", ",TRUE,IF(EXACT('Дані_зв''язок'!$J$4:$J$1012,$O211)*('Дані_зв''язок'!$C$4:$C$1012=E$4),'Дані_зв''язок'!$D$4:$D$1012,"")))</f>
        <v/>
      </c>
      <c r="F211" s="27" t="str" cm="1">
        <f t="array" ref="F211">IF($O211="","",_xlfn.TEXTJOIN(", ",TRUE,IF(EXACT('Дані_зв''язок'!$J$4:$J$1012,$O211)*('Дані_зв''язок'!$C$4:$C$1012=F$4),'Дані_зв''язок'!$D$4:$D$1012,"")))</f>
        <v/>
      </c>
      <c r="G211" s="27" t="str" cm="1">
        <f t="array" ref="G211">IF($O211="","",_xlfn.TEXTJOIN(", ",TRUE,IF(EXACT('Дані_зв''язок'!$J$4:$J$1012,$O211)*('Дані_зв''язок'!$C$4:$C$1012=G$4),'Дані_зв''язок'!$D$4:$D$1012,"")))</f>
        <v/>
      </c>
      <c r="H211" s="27" t="str" cm="1">
        <f t="array" ref="H211">IF($O211="","",_xlfn.TEXTJOIN(", ",TRUE,IF(EXACT('Дані_зв''язок'!$J$4:$J$1012,$O211)*('Дані_зв''язок'!$C$4:$C$1012=H$4),'Дані_зв''язок'!$D$4:$D$1012,"")))</f>
        <v/>
      </c>
      <c r="I211" s="27" t="str" cm="1">
        <f t="array" ref="I211">IF($O211="","",_xlfn.TEXTJOIN(", ",TRUE,IF(EXACT('Дані_зв''язок'!$J$4:$J$1012,$O211)*('Дані_зв''язок'!$C$4:$C$1012=I$4),'Дані_зв''язок'!$D$4:$D$1012,"")))</f>
        <v/>
      </c>
      <c r="J211" s="27" cm="1">
        <f t="array" ref="J211">IF($O211="","",COUNTIF(C211:I211,"?*")+SUMPRODUCT(LEN(C211:I211)-LEN(SUBSTITUTE(C211:I211,",",""))))</f>
        <v>2</v>
      </c>
      <c r="K211" s="28" t="str" cm="1">
        <f t="array" ref="K211">IF($O211="","",_xlfn.TEXTJOIN(", ",TRUE,IF(EXACT('Дані_зв''язок'!$J$4:$J$1012,$O211),'Дані_зв''язок'!$L$4:$L$1012,"")))</f>
        <v>№1</v>
      </c>
      <c r="L211" s="28" t="str" cm="1">
        <f t="array" ref="L211">IF($O211="","",_xlfn.TEXTJOIN(", ",TRUE,IF(EXACT('Дані_зв''язок'!$J$4:$J$1012,$O211),'Дані_зв''язок'!$M$4:$M$1012,"")))</f>
        <v>КАМАЗ 55111, АТ-4021/1120</v>
      </c>
      <c r="M211" s="27" cm="1">
        <f t="array" ref="M211">IF($O211="","",IF(SUMPRODUCT(MAX(EXACT('Дані_зв''язок'!$J$4:$J$1012,$O211)*IFERROR('Дані_зв''язок'!$H$4:$H$1012,0)))=0,"",SUMPRODUCT(MAX(EXACT('Дані_зв''язок'!$J$4:$J$1012,$O211)*IFERROR('Дані_зв''язок'!$H$4:$H$1012,0)))))</f>
        <v>2</v>
      </c>
      <c r="O211" s="30" t="s">
        <v>1329</v>
      </c>
      <c r="P211" s="24" t="str" cm="1">
        <f t="array" ref="P211">IF($O211="","",IF($B211="","",IFERROR(IF(MIN(IFERROR(VALUE(TRIM(MID(SUBSTITUTE(SUBSTITUTE($B211,","," ")," ",REPT(" ",30)),{1;31;61;91;121;151;181},30))),""))=0,"",MIN(IFERROR(VALUE(TRIM(MID(SUBSTITUTE(SUBSTITUTE($B211,","," ")," ",REPT(" ",30)),{1;31;61;91;121;151;181},30))),""))),"")))</f>
        <v/>
      </c>
      <c r="Q211" s="23" t="str">
        <f t="shared" si="11"/>
        <v>Прилуки, Чернігівська обл., вул. Київська</v>
      </c>
      <c r="R211" s="35">
        <f>IF($O211="","",IFERROR(INDEX('Координати майданчиків'!$H$4:$H$64,MATCH($T211,'Координати майданчиків'!$B$4:$B$64,0)),IFERROR(IF(ABS(INDEX(Геокодування!$C$2:$C$361,MATCH($Q211,Геокодування!$B$2:$B$361,0))-50.5884)+ABS(INDEX(Геокодування!$D$2:$D$361,MATCH($Q211,Геокодування!$B$2:$B$361,0))-32.3876)&gt;0.15,"",INDEX(Геокодування!$C$2:$C$361,MATCH($Q211,Геокодування!$B$2:$B$361,0))),IFERROR(IF(ABS(INDEX(Геокодування!$C$2:$C$361,MATCH("Прилуки, Чернігівська обл., "&amp;$A211,Геокодування!$B$2:$B$361,0))-50.5884)+ABS(INDEX(Геокодування!$D$2:$D$361,MATCH("Прилуки, Чернігівська обл., "&amp;$A211,Геокодування!$B$2:$B$361,0))-32.3876)&gt;0.15,"",INDEX(Геокодування!$C$2:$C$361,MATCH("Прилуки, Чернігівська обл., "&amp;$A211,Геокодування!$B$2:$B$361,0))),""))))</f>
        <v>50.595413999999998</v>
      </c>
      <c r="S211" s="43">
        <f>IF($O211="","",IFERROR(INDEX('Координати майданчиків'!$I$4:$I$64,MATCH($T211,'Координати майданчиків'!$B$4:$B$64,0)),IFERROR(IF(ABS(INDEX(Геокодування!$C$2:$C$361,MATCH($Q211,Геокодування!$B$2:$B$361,0))-50.5884)+ABS(INDEX(Геокодування!$D$2:$D$361,MATCH($Q211,Геокодування!$B$2:$B$361,0))-32.3876)&gt;0.15,"",INDEX(Геокодування!$D$2:$D$361,MATCH($Q211,Геокодування!$B$2:$B$361,0))),IFERROR(IF(ABS(INDEX(Геокодування!$C$2:$C$361,MATCH("Прилуки, Чернігівська обл., "&amp;$A211,Геокодування!$B$2:$B$361,0))-50.5884)+ABS(INDEX(Геокодування!$D$2:$D$361,MATCH("Прилуки, Чернігівська обл., "&amp;$A211,Геокодування!$B$2:$B$361,0))-32.3876)&gt;0.15,"",INDEX(Геокодування!$D$2:$D$361,MATCH("Прилуки, Чернігівська обл., "&amp;$A211,Геокодування!$B$2:$B$361,0))),""))))</f>
        <v>32.381410000000002</v>
      </c>
      <c r="T211" s="44" t="str">
        <f>IF($O211="","",IFERROR(INDEX('Координати майданчиків'!$B$4:$B$64,MATCH($A211&amp;IF($P211="","",", "&amp;$P211),'Координати майданчиків'!$B$4:$B$64,0)),IFERROR(INDEX('Координати майданчиків'!$B$4:$B$64,MATCH($A211,'Координати майданчиків'!$B$4:$B$64,0)),"")))</f>
        <v/>
      </c>
    </row>
    <row r="212" spans="1:20" x14ac:dyDescent="0.35">
      <c r="A212" s="26" t="str">
        <f t="shared" si="9"/>
        <v>вул. Київська</v>
      </c>
      <c r="B212" s="26" t="str">
        <f t="shared" si="10"/>
        <v>Актив</v>
      </c>
      <c r="C212" s="27" t="str" cm="1">
        <f t="array" ref="C212">IF($O212="","",_xlfn.TEXTJOIN(", ",TRUE,IF(EXACT('Дані_зв''язок'!$J$4:$J$1012,$O212)*('Дані_зв''язок'!$C$4:$C$1012=C$4),'Дані_зв''язок'!$D$4:$D$1012,"")))</f>
        <v>10:35</v>
      </c>
      <c r="D212" s="27" t="str" cm="1">
        <f t="array" ref="D212">IF($O212="","",_xlfn.TEXTJOIN(", ",TRUE,IF(EXACT('Дані_зв''язок'!$J$4:$J$1012,$O212)*('Дані_зв''язок'!$C$4:$C$1012=D$4),'Дані_зв''язок'!$D$4:$D$1012,"")))</f>
        <v/>
      </c>
      <c r="E212" s="27" t="str" cm="1">
        <f t="array" ref="E212">IF($O212="","",_xlfn.TEXTJOIN(", ",TRUE,IF(EXACT('Дані_зв''язок'!$J$4:$J$1012,$O212)*('Дані_зв''язок'!$C$4:$C$1012=E$4),'Дані_зв''язок'!$D$4:$D$1012,"")))</f>
        <v/>
      </c>
      <c r="F212" s="27" t="str" cm="1">
        <f t="array" ref="F212">IF($O212="","",_xlfn.TEXTJOIN(", ",TRUE,IF(EXACT('Дані_зв''язок'!$J$4:$J$1012,$O212)*('Дані_зв''язок'!$C$4:$C$1012=F$4),'Дані_зв''язок'!$D$4:$D$1012,"")))</f>
        <v/>
      </c>
      <c r="G212" s="27" t="str" cm="1">
        <f t="array" ref="G212">IF($O212="","",_xlfn.TEXTJOIN(", ",TRUE,IF(EXACT('Дані_зв''язок'!$J$4:$J$1012,$O212)*('Дані_зв''язок'!$C$4:$C$1012=G$4),'Дані_зв''язок'!$D$4:$D$1012,"")))</f>
        <v/>
      </c>
      <c r="H212" s="27" t="str" cm="1">
        <f t="array" ref="H212">IF($O212="","",_xlfn.TEXTJOIN(", ",TRUE,IF(EXACT('Дані_зв''язок'!$J$4:$J$1012,$O212)*('Дані_зв''язок'!$C$4:$C$1012=H$4),'Дані_зв''язок'!$D$4:$D$1012,"")))</f>
        <v/>
      </c>
      <c r="I212" s="27" t="str" cm="1">
        <f t="array" ref="I212">IF($O212="","",_xlfn.TEXTJOIN(", ",TRUE,IF(EXACT('Дані_зв''язок'!$J$4:$J$1012,$O212)*('Дані_зв''язок'!$C$4:$C$1012=I$4),'Дані_зв''язок'!$D$4:$D$1012,"")))</f>
        <v/>
      </c>
      <c r="J212" s="27" cm="1">
        <f t="array" ref="J212">IF($O212="","",COUNTIF(C212:I212,"?*")+SUMPRODUCT(LEN(C212:I212)-LEN(SUBSTITUTE(C212:I212,",",""))))</f>
        <v>1</v>
      </c>
      <c r="K212" s="28" t="str" cm="1">
        <f t="array" ref="K212">IF($O212="","",_xlfn.TEXTJOIN(", ",TRUE,IF(EXACT('Дані_зв''язок'!$J$4:$J$1012,$O212),'Дані_зв''язок'!$L$4:$L$1012,"")))</f>
        <v>№1</v>
      </c>
      <c r="L212" s="28" t="str" cm="1">
        <f t="array" ref="L212">IF($O212="","",_xlfn.TEXTJOIN(", ",TRUE,IF(EXACT('Дані_зв''язок'!$J$4:$J$1012,$O212),'Дані_зв''язок'!$M$4:$M$1012,"")))</f>
        <v>АТ-4021/1120</v>
      </c>
      <c r="M212" s="27" cm="1">
        <f t="array" ref="M212">IF($O212="","",IF(SUMPRODUCT(MAX(EXACT('Дані_зв''язок'!$J$4:$J$1012,$O212)*IFERROR('Дані_зв''язок'!$H$4:$H$1012,0)))=0,"",SUMPRODUCT(MAX(EXACT('Дані_зв''язок'!$J$4:$J$1012,$O212)*IFERROR('Дані_зв''язок'!$H$4:$H$1012,0)))))</f>
        <v>3</v>
      </c>
      <c r="O212" s="30" t="s">
        <v>1330</v>
      </c>
      <c r="P212" s="24" t="str" cm="1">
        <f t="array" ref="P212">IF($O212="","",IF($B212="","",IFERROR(IF(MIN(IFERROR(VALUE(TRIM(MID(SUBSTITUTE(SUBSTITUTE($B212,","," ")," ",REPT(" ",30)),{1;31;61;91;121;151;181},30))),""))=0,"",MIN(IFERROR(VALUE(TRIM(MID(SUBSTITUTE(SUBSTITUTE($B212,","," ")," ",REPT(" ",30)),{1;31;61;91;121;151;181},30))),""))),"")))</f>
        <v/>
      </c>
      <c r="Q212" s="23" t="str">
        <f t="shared" si="11"/>
        <v>Прилуки, Чернігівська обл., вул. Київська</v>
      </c>
      <c r="R212" s="35">
        <f>IF($O212="","",IFERROR(INDEX('Координати майданчиків'!$H$4:$H$64,MATCH($T212,'Координати майданчиків'!$B$4:$B$64,0)),IFERROR(IF(ABS(INDEX(Геокодування!$C$2:$C$361,MATCH($Q212,Геокодування!$B$2:$B$361,0))-50.5884)+ABS(INDEX(Геокодування!$D$2:$D$361,MATCH($Q212,Геокодування!$B$2:$B$361,0))-32.3876)&gt;0.15,"",INDEX(Геокодування!$C$2:$C$361,MATCH($Q212,Геокодування!$B$2:$B$361,0))),IFERROR(IF(ABS(INDEX(Геокодування!$C$2:$C$361,MATCH("Прилуки, Чернігівська обл., "&amp;$A212,Геокодування!$B$2:$B$361,0))-50.5884)+ABS(INDEX(Геокодування!$D$2:$D$361,MATCH("Прилуки, Чернігівська обл., "&amp;$A212,Геокодування!$B$2:$B$361,0))-32.3876)&gt;0.15,"",INDEX(Геокодування!$C$2:$C$361,MATCH("Прилуки, Чернігівська обл., "&amp;$A212,Геокодування!$B$2:$B$361,0))),""))))</f>
        <v>50.595413999999998</v>
      </c>
      <c r="S212" s="43">
        <f>IF($O212="","",IFERROR(INDEX('Координати майданчиків'!$I$4:$I$64,MATCH($T212,'Координати майданчиків'!$B$4:$B$64,0)),IFERROR(IF(ABS(INDEX(Геокодування!$C$2:$C$361,MATCH($Q212,Геокодування!$B$2:$B$361,0))-50.5884)+ABS(INDEX(Геокодування!$D$2:$D$361,MATCH($Q212,Геокодування!$B$2:$B$361,0))-32.3876)&gt;0.15,"",INDEX(Геокодування!$D$2:$D$361,MATCH($Q212,Геокодування!$B$2:$B$361,0))),IFERROR(IF(ABS(INDEX(Геокодування!$C$2:$C$361,MATCH("Прилуки, Чернігівська обл., "&amp;$A212,Геокодування!$B$2:$B$361,0))-50.5884)+ABS(INDEX(Геокодування!$D$2:$D$361,MATCH("Прилуки, Чернігівська обл., "&amp;$A212,Геокодування!$B$2:$B$361,0))-32.3876)&gt;0.15,"",INDEX(Геокодування!$D$2:$D$361,MATCH("Прилуки, Чернігівська обл., "&amp;$A212,Геокодування!$B$2:$B$361,0))),""))))</f>
        <v>32.381410000000002</v>
      </c>
      <c r="T212" s="44" t="str">
        <f>IF($O212="","",IFERROR(INDEX('Координати майданчиків'!$B$4:$B$64,MATCH($A212&amp;IF($P212="","",", "&amp;$P212),'Координати майданчиків'!$B$4:$B$64,0)),IFERROR(INDEX('Координати майданчиків'!$B$4:$B$64,MATCH($A212,'Координати майданчиків'!$B$4:$B$64,0)),"")))</f>
        <v/>
      </c>
    </row>
    <row r="213" spans="1:20" x14ac:dyDescent="0.35">
      <c r="A213" s="26" t="str">
        <f t="shared" si="9"/>
        <v>вул. Київська</v>
      </c>
      <c r="B213" s="26" t="str">
        <f t="shared" si="10"/>
        <v>Д/с 8</v>
      </c>
      <c r="C213" s="27" t="str" cm="1">
        <f t="array" ref="C213">IF($O213="","",_xlfn.TEXTJOIN(", ",TRUE,IF(EXACT('Дані_зв''язок'!$J$4:$J$1012,$O213)*('Дані_зв''язок'!$C$4:$C$1012=C$4),'Дані_зв''язок'!$D$4:$D$1012,"")))</f>
        <v/>
      </c>
      <c r="D213" s="27" t="str" cm="1">
        <f t="array" ref="D213">IF($O213="","",_xlfn.TEXTJOIN(", ",TRUE,IF(EXACT('Дані_зв''язок'!$J$4:$J$1012,$O213)*('Дані_зв''язок'!$C$4:$C$1012=D$4),'Дані_зв''язок'!$D$4:$D$1012,"")))</f>
        <v/>
      </c>
      <c r="E213" s="27" t="str" cm="1">
        <f t="array" ref="E213">IF($O213="","",_xlfn.TEXTJOIN(", ",TRUE,IF(EXACT('Дані_зв''язок'!$J$4:$J$1012,$O213)*('Дані_зв''язок'!$C$4:$C$1012=E$4),'Дані_зв''язок'!$D$4:$D$1012,"")))</f>
        <v/>
      </c>
      <c r="F213" s="27" t="str" cm="1">
        <f t="array" ref="F213">IF($O213="","",_xlfn.TEXTJOIN(", ",TRUE,IF(EXACT('Дані_зв''язок'!$J$4:$J$1012,$O213)*('Дані_зв''язок'!$C$4:$C$1012=F$4),'Дані_зв''язок'!$D$4:$D$1012,"")))</f>
        <v>7:00</v>
      </c>
      <c r="G213" s="27" t="str" cm="1">
        <f t="array" ref="G213">IF($O213="","",_xlfn.TEXTJOIN(", ",TRUE,IF(EXACT('Дані_зв''язок'!$J$4:$J$1012,$O213)*('Дані_зв''язок'!$C$4:$C$1012=G$4),'Дані_зв''язок'!$D$4:$D$1012,"")))</f>
        <v/>
      </c>
      <c r="H213" s="27" t="str" cm="1">
        <f t="array" ref="H213">IF($O213="","",_xlfn.TEXTJOIN(", ",TRUE,IF(EXACT('Дані_зв''язок'!$J$4:$J$1012,$O213)*('Дані_зв''язок'!$C$4:$C$1012=H$4),'Дані_зв''язок'!$D$4:$D$1012,"")))</f>
        <v/>
      </c>
      <c r="I213" s="27" t="str" cm="1">
        <f t="array" ref="I213">IF($O213="","",_xlfn.TEXTJOIN(", ",TRUE,IF(EXACT('Дані_зв''язок'!$J$4:$J$1012,$O213)*('Дані_зв''язок'!$C$4:$C$1012=I$4),'Дані_зв''язок'!$D$4:$D$1012,"")))</f>
        <v/>
      </c>
      <c r="J213" s="27" cm="1">
        <f t="array" ref="J213">IF($O213="","",COUNTIF(C213:I213,"?*")+SUMPRODUCT(LEN(C213:I213)-LEN(SUBSTITUTE(C213:I213,",",""))))</f>
        <v>1</v>
      </c>
      <c r="K213" s="28" t="str" cm="1">
        <f t="array" ref="K213">IF($O213="","",_xlfn.TEXTJOIN(", ",TRUE,IF(EXACT('Дані_зв''язок'!$J$4:$J$1012,$O213),'Дані_зв''язок'!$L$4:$L$1012,"")))</f>
        <v>№6</v>
      </c>
      <c r="L213" s="28" t="str" cm="1">
        <f t="array" ref="L213">IF($O213="","",_xlfn.TEXTJOIN(", ",TRUE,IF(EXACT('Дані_зв''язок'!$J$4:$J$1012,$O213),'Дані_зв''язок'!$M$4:$M$1012,"")))</f>
        <v>АТ 4021</v>
      </c>
      <c r="M213" s="27" t="str" cm="1">
        <f t="array" ref="M213">IF($O213="","",IF(SUMPRODUCT(MAX(EXACT('Дані_зв''язок'!$J$4:$J$1012,$O213)*IFERROR('Дані_зв''язок'!$H$4:$H$1012,0)))=0,"",SUMPRODUCT(MAX(EXACT('Дані_зв''язок'!$J$4:$J$1012,$O213)*IFERROR('Дані_зв''язок'!$H$4:$H$1012,0)))))</f>
        <v/>
      </c>
      <c r="O213" s="30" t="s">
        <v>1334</v>
      </c>
      <c r="P213" s="24" cm="1">
        <f t="array" ref="P213">IF($O213="","",IF($B213="","",IFERROR(IF(MIN(IFERROR(VALUE(TRIM(MID(SUBSTITUTE(SUBSTITUTE($B213,","," ")," ",REPT(" ",30)),{1;31;61;91;121;151;181},30))),""))=0,"",MIN(IFERROR(VALUE(TRIM(MID(SUBSTITUTE(SUBSTITUTE($B213,","," ")," ",REPT(" ",30)),{1;31;61;91;121;151;181},30))),""))),"")))</f>
        <v>8</v>
      </c>
      <c r="Q213" s="23" t="str">
        <f t="shared" si="11"/>
        <v>Прилуки, Чернігівська обл., вул. Київська, 8</v>
      </c>
      <c r="R213" s="35">
        <f>IF($O213="","",IFERROR(INDEX('Координати майданчиків'!$H$4:$H$64,MATCH($T213,'Координати майданчиків'!$B$4:$B$64,0)),IFERROR(IF(ABS(INDEX(Геокодування!$C$2:$C$361,MATCH($Q213,Геокодування!$B$2:$B$361,0))-50.5884)+ABS(INDEX(Геокодування!$D$2:$D$361,MATCH($Q213,Геокодування!$B$2:$B$361,0))-32.3876)&gt;0.15,"",INDEX(Геокодування!$C$2:$C$361,MATCH($Q213,Геокодування!$B$2:$B$361,0))),IFERROR(IF(ABS(INDEX(Геокодування!$C$2:$C$361,MATCH("Прилуки, Чернігівська обл., "&amp;$A213,Геокодування!$B$2:$B$361,0))-50.5884)+ABS(INDEX(Геокодування!$D$2:$D$361,MATCH("Прилуки, Чернігівська обл., "&amp;$A213,Геокодування!$B$2:$B$361,0))-32.3876)&gt;0.15,"",INDEX(Геокодування!$C$2:$C$361,MATCH("Прилуки, Чернігівська обл., "&amp;$A213,Геокодування!$B$2:$B$361,0))),""))))</f>
        <v>50.587232</v>
      </c>
      <c r="S213" s="43">
        <f>IF($O213="","",IFERROR(INDEX('Координати майданчиків'!$I$4:$I$64,MATCH($T213,'Координати майданчиків'!$B$4:$B$64,0)),IFERROR(IF(ABS(INDEX(Геокодування!$C$2:$C$361,MATCH($Q213,Геокодування!$B$2:$B$361,0))-50.5884)+ABS(INDEX(Геокодування!$D$2:$D$361,MATCH($Q213,Геокодування!$B$2:$B$361,0))-32.3876)&gt;0.15,"",INDEX(Геокодування!$D$2:$D$361,MATCH($Q213,Геокодування!$B$2:$B$361,0))),IFERROR(IF(ABS(INDEX(Геокодування!$C$2:$C$361,MATCH("Прилуки, Чернігівська обл., "&amp;$A213,Геокодування!$B$2:$B$361,0))-50.5884)+ABS(INDEX(Геокодування!$D$2:$D$361,MATCH("Прилуки, Чернігівська обл., "&amp;$A213,Геокодування!$B$2:$B$361,0))-32.3876)&gt;0.15,"",INDEX(Геокодування!$D$2:$D$361,MATCH("Прилуки, Чернігівська обл., "&amp;$A213,Геокодування!$B$2:$B$361,0))),""))))</f>
        <v>32.438777000000002</v>
      </c>
      <c r="T213" s="44" t="str">
        <f>IF($O213="","",IFERROR(INDEX('Координати майданчиків'!$B$4:$B$64,MATCH($A213&amp;IF($P213="","",", "&amp;$P213),'Координати майданчиків'!$B$4:$B$64,0)),IFERROR(INDEX('Координати майданчиків'!$B$4:$B$64,MATCH($A213,'Координати майданчиків'!$B$4:$B$64,0)),"")))</f>
        <v/>
      </c>
    </row>
    <row r="214" spans="1:20" x14ac:dyDescent="0.35">
      <c r="A214" s="26" t="str">
        <f t="shared" si="9"/>
        <v>вул. Київська</v>
      </c>
      <c r="B214" s="26" t="str">
        <f t="shared" si="10"/>
        <v>Д/с 9</v>
      </c>
      <c r="C214" s="27" t="str" cm="1">
        <f t="array" ref="C214">IF($O214="","",_xlfn.TEXTJOIN(", ",TRUE,IF(EXACT('Дані_зв''язок'!$J$4:$J$1012,$O214)*('Дані_зв''язок'!$C$4:$C$1012=C$4),'Дані_зв''язок'!$D$4:$D$1012,"")))</f>
        <v/>
      </c>
      <c r="D214" s="27" t="str" cm="1">
        <f t="array" ref="D214">IF($O214="","",_xlfn.TEXTJOIN(", ",TRUE,IF(EXACT('Дані_зв''язок'!$J$4:$J$1012,$O214)*('Дані_зв''язок'!$C$4:$C$1012=D$4),'Дані_зв''язок'!$D$4:$D$1012,"")))</f>
        <v/>
      </c>
      <c r="E214" s="27" t="str" cm="1">
        <f t="array" ref="E214">IF($O214="","",_xlfn.TEXTJOIN(", ",TRUE,IF(EXACT('Дані_зв''язок'!$J$4:$J$1012,$O214)*('Дані_зв''язок'!$C$4:$C$1012=E$4),'Дані_зв''язок'!$D$4:$D$1012,"")))</f>
        <v/>
      </c>
      <c r="F214" s="27" t="str" cm="1">
        <f t="array" ref="F214">IF($O214="","",_xlfn.TEXTJOIN(", ",TRUE,IF(EXACT('Дані_зв''язок'!$J$4:$J$1012,$O214)*('Дані_зв''язок'!$C$4:$C$1012=F$4),'Дані_зв''язок'!$D$4:$D$1012,"")))</f>
        <v>10:35</v>
      </c>
      <c r="G214" s="27" t="str" cm="1">
        <f t="array" ref="G214">IF($O214="","",_xlfn.TEXTJOIN(", ",TRUE,IF(EXACT('Дані_зв''язок'!$J$4:$J$1012,$O214)*('Дані_зв''язок'!$C$4:$C$1012=G$4),'Дані_зв''язок'!$D$4:$D$1012,"")))</f>
        <v/>
      </c>
      <c r="H214" s="27" t="str" cm="1">
        <f t="array" ref="H214">IF($O214="","",_xlfn.TEXTJOIN(", ",TRUE,IF(EXACT('Дані_зв''язок'!$J$4:$J$1012,$O214)*('Дані_зв''язок'!$C$4:$C$1012=H$4),'Дані_зв''язок'!$D$4:$D$1012,"")))</f>
        <v/>
      </c>
      <c r="I214" s="27" t="str" cm="1">
        <f t="array" ref="I214">IF($O214="","",_xlfn.TEXTJOIN(", ",TRUE,IF(EXACT('Дані_зв''язок'!$J$4:$J$1012,$O214)*('Дані_зв''язок'!$C$4:$C$1012=I$4),'Дані_зв''язок'!$D$4:$D$1012,"")))</f>
        <v/>
      </c>
      <c r="J214" s="27" cm="1">
        <f t="array" ref="J214">IF($O214="","",COUNTIF(C214:I214,"?*")+SUMPRODUCT(LEN(C214:I214)-LEN(SUBSTITUTE(C214:I214,",",""))))</f>
        <v>1</v>
      </c>
      <c r="K214" s="28" t="str" cm="1">
        <f t="array" ref="K214">IF($O214="","",_xlfn.TEXTJOIN(", ",TRUE,IF(EXACT('Дані_зв''язок'!$J$4:$J$1012,$O214),'Дані_зв''язок'!$L$4:$L$1012,"")))</f>
        <v>№3</v>
      </c>
      <c r="L214" s="28" t="str" cm="1">
        <f t="array" ref="L214">IF($O214="","",_xlfn.TEXTJOIN(", ",TRUE,IF(EXACT('Дані_зв''язок'!$J$4:$J$1012,$O214),'Дані_зв''язок'!$M$4:$M$1012,"")))</f>
        <v>ГАЗ 3309</v>
      </c>
      <c r="M214" s="27" cm="1">
        <f t="array" ref="M214">IF($O214="","",IF(SUMPRODUCT(MAX(EXACT('Дані_зв''язок'!$J$4:$J$1012,$O214)*IFERROR('Дані_зв''язок'!$H$4:$H$1012,0)))=0,"",SUMPRODUCT(MAX(EXACT('Дані_зв''язок'!$J$4:$J$1012,$O214)*IFERROR('Дані_зв''язок'!$H$4:$H$1012,0)))))</f>
        <v>1</v>
      </c>
      <c r="O214" s="30" t="s">
        <v>1335</v>
      </c>
      <c r="P214" s="24" cm="1">
        <f t="array" ref="P214">IF($O214="","",IF($B214="","",IFERROR(IF(MIN(IFERROR(VALUE(TRIM(MID(SUBSTITUTE(SUBSTITUTE($B214,","," ")," ",REPT(" ",30)),{1;31;61;91;121;151;181},30))),""))=0,"",MIN(IFERROR(VALUE(TRIM(MID(SUBSTITUTE(SUBSTITUTE($B214,","," ")," ",REPT(" ",30)),{1;31;61;91;121;151;181},30))),""))),"")))</f>
        <v>9</v>
      </c>
      <c r="Q214" s="23" t="str">
        <f t="shared" si="11"/>
        <v>Прилуки, Чернігівська обл., вул. Київська, 9</v>
      </c>
      <c r="R214" s="35">
        <f>IF($O214="","",IFERROR(INDEX('Координати майданчиків'!$H$4:$H$64,MATCH($T214,'Координати майданчиків'!$B$4:$B$64,0)),IFERROR(IF(ABS(INDEX(Геокодування!$C$2:$C$361,MATCH($Q214,Геокодування!$B$2:$B$361,0))-50.5884)+ABS(INDEX(Геокодування!$D$2:$D$361,MATCH($Q214,Геокодування!$B$2:$B$361,0))-32.3876)&gt;0.15,"",INDEX(Геокодування!$C$2:$C$361,MATCH($Q214,Геокодування!$B$2:$B$361,0))),IFERROR(IF(ABS(INDEX(Геокодування!$C$2:$C$361,MATCH("Прилуки, Чернігівська обл., "&amp;$A214,Геокодування!$B$2:$B$361,0))-50.5884)+ABS(INDEX(Геокодування!$D$2:$D$361,MATCH("Прилуки, Чернігівська обл., "&amp;$A214,Геокодування!$B$2:$B$361,0))-32.3876)&gt;0.15,"",INDEX(Геокодування!$C$2:$C$361,MATCH("Прилуки, Чернігівська обл., "&amp;$A214,Геокодування!$B$2:$B$361,0))),""))))</f>
        <v>50.587232</v>
      </c>
      <c r="S214" s="43">
        <f>IF($O214="","",IFERROR(INDEX('Координати майданчиків'!$I$4:$I$64,MATCH($T214,'Координати майданчиків'!$B$4:$B$64,0)),IFERROR(IF(ABS(INDEX(Геокодування!$C$2:$C$361,MATCH($Q214,Геокодування!$B$2:$B$361,0))-50.5884)+ABS(INDEX(Геокодування!$D$2:$D$361,MATCH($Q214,Геокодування!$B$2:$B$361,0))-32.3876)&gt;0.15,"",INDEX(Геокодування!$D$2:$D$361,MATCH($Q214,Геокодування!$B$2:$B$361,0))),IFERROR(IF(ABS(INDEX(Геокодування!$C$2:$C$361,MATCH("Прилуки, Чернігівська обл., "&amp;$A214,Геокодування!$B$2:$B$361,0))-50.5884)+ABS(INDEX(Геокодування!$D$2:$D$361,MATCH("Прилуки, Чернігівська обл., "&amp;$A214,Геокодування!$B$2:$B$361,0))-32.3876)&gt;0.15,"",INDEX(Геокодування!$D$2:$D$361,MATCH("Прилуки, Чернігівська обл., "&amp;$A214,Геокодування!$B$2:$B$361,0))),""))))</f>
        <v>32.438777000000002</v>
      </c>
      <c r="T214" s="44" t="str">
        <f>IF($O214="","",IFERROR(INDEX('Координати майданчиків'!$B$4:$B$64,MATCH($A214&amp;IF($P214="","",", "&amp;$P214),'Координати майданчиків'!$B$4:$B$64,0)),IFERROR(INDEX('Координати майданчиків'!$B$4:$B$64,MATCH($A214,'Координати майданчиків'!$B$4:$B$64,0)),"")))</f>
        <v/>
      </c>
    </row>
    <row r="215" spans="1:20" x14ac:dyDescent="0.35">
      <c r="A215" s="26" t="str">
        <f t="shared" si="9"/>
        <v>вул. Київська</v>
      </c>
      <c r="B215" s="26" t="str">
        <f t="shared" si="10"/>
        <v>М-н Маркетопт</v>
      </c>
      <c r="C215" s="27" t="str" cm="1">
        <f t="array" ref="C215">IF($O215="","",_xlfn.TEXTJOIN(", ",TRUE,IF(EXACT('Дані_зв''язок'!$J$4:$J$1012,$O215)*('Дані_зв''язок'!$C$4:$C$1012=C$4),'Дані_зв''язок'!$D$4:$D$1012,"")))</f>
        <v>10:10</v>
      </c>
      <c r="D215" s="27" t="str" cm="1">
        <f t="array" ref="D215">IF($O215="","",_xlfn.TEXTJOIN(", ",TRUE,IF(EXACT('Дані_зв''язок'!$J$4:$J$1012,$O215)*('Дані_зв''язок'!$C$4:$C$1012=D$4),'Дані_зв''язок'!$D$4:$D$1012,"")))</f>
        <v/>
      </c>
      <c r="E215" s="27" t="str" cm="1">
        <f t="array" ref="E215">IF($O215="","",_xlfn.TEXTJOIN(", ",TRUE,IF(EXACT('Дані_зв''язок'!$J$4:$J$1012,$O215)*('Дані_зв''язок'!$C$4:$C$1012=E$4),'Дані_зв''язок'!$D$4:$D$1012,"")))</f>
        <v>11:00</v>
      </c>
      <c r="F215" s="27" t="str" cm="1">
        <f t="array" ref="F215">IF($O215="","",_xlfn.TEXTJOIN(", ",TRUE,IF(EXACT('Дані_зв''язок'!$J$4:$J$1012,$O215)*('Дані_зв''язок'!$C$4:$C$1012=F$4),'Дані_зв''язок'!$D$4:$D$1012,"")))</f>
        <v>13:20</v>
      </c>
      <c r="G215" s="27" t="str" cm="1">
        <f t="array" ref="G215">IF($O215="","",_xlfn.TEXTJOIN(", ",TRUE,IF(EXACT('Дані_зв''язок'!$J$4:$J$1012,$O215)*('Дані_зв''язок'!$C$4:$C$1012=G$4),'Дані_зв''язок'!$D$4:$D$1012,"")))</f>
        <v>11:45</v>
      </c>
      <c r="H215" s="27" t="str" cm="1">
        <f t="array" ref="H215">IF($O215="","",_xlfn.TEXTJOIN(", ",TRUE,IF(EXACT('Дані_зв''язок'!$J$4:$J$1012,$O215)*('Дані_зв''язок'!$C$4:$C$1012=H$4),'Дані_зв''язок'!$D$4:$D$1012,"")))</f>
        <v/>
      </c>
      <c r="I215" s="27" t="str" cm="1">
        <f t="array" ref="I215">IF($O215="","",_xlfn.TEXTJOIN(", ",TRUE,IF(EXACT('Дані_зв''язок'!$J$4:$J$1012,$O215)*('Дані_зв''язок'!$C$4:$C$1012=I$4),'Дані_зв''язок'!$D$4:$D$1012,"")))</f>
        <v>13:20</v>
      </c>
      <c r="J215" s="27" cm="1">
        <f t="array" ref="J215">IF($O215="","",COUNTIF(C215:I215,"?*")+SUMPRODUCT(LEN(C215:I215)-LEN(SUBSTITUTE(C215:I215,",",""))))</f>
        <v>5</v>
      </c>
      <c r="K215" s="28" t="str" cm="1">
        <f t="array" ref="K215">IF($O215="","",_xlfn.TEXTJOIN(", ",TRUE,IF(EXACT('Дані_зв''язок'!$J$4:$J$1012,$O215),'Дані_зв''язок'!$L$4:$L$1012,"")))</f>
        <v>№1</v>
      </c>
      <c r="L215" s="28" t="str" cm="1">
        <f t="array" ref="L215">IF($O215="","",_xlfn.TEXTJOIN(", ",TRUE,IF(EXACT('Дані_зв''язок'!$J$4:$J$1012,$O215),'Дані_зв''язок'!$M$4:$M$1012,"")))</f>
        <v>КАМАЗ 55111, АТ-4021/1120</v>
      </c>
      <c r="M215" s="27" cm="1">
        <f t="array" ref="M215">IF($O215="","",IF(SUMPRODUCT(MAX(EXACT('Дані_зв''язок'!$J$4:$J$1012,$O215)*IFERROR('Дані_зв''язок'!$H$4:$H$1012,0)))=0,"",SUMPRODUCT(MAX(EXACT('Дані_зв''язок'!$J$4:$J$1012,$O215)*IFERROR('Дані_зв''язок'!$H$4:$H$1012,0)))))</f>
        <v>2</v>
      </c>
      <c r="O215" s="30" t="s">
        <v>1340</v>
      </c>
      <c r="P215" s="24" t="str" cm="1">
        <f t="array" ref="P215">IF($O215="","",IF($B215="","",IFERROR(IF(MIN(IFERROR(VALUE(TRIM(MID(SUBSTITUTE(SUBSTITUTE($B215,","," ")," ",REPT(" ",30)),{1;31;61;91;121;151;181},30))),""))=0,"",MIN(IFERROR(VALUE(TRIM(MID(SUBSTITUTE(SUBSTITUTE($B215,","," ")," ",REPT(" ",30)),{1;31;61;91;121;151;181},30))),""))),"")))</f>
        <v/>
      </c>
      <c r="Q215" s="23" t="str">
        <f t="shared" si="11"/>
        <v>Прилуки, Чернігівська обл., вул. Київська</v>
      </c>
      <c r="R215" s="35">
        <f>IF($O215="","",IFERROR(INDEX('Координати майданчиків'!$H$4:$H$64,MATCH($T215,'Координати майданчиків'!$B$4:$B$64,0)),IFERROR(IF(ABS(INDEX(Геокодування!$C$2:$C$361,MATCH($Q215,Геокодування!$B$2:$B$361,0))-50.5884)+ABS(INDEX(Геокодування!$D$2:$D$361,MATCH($Q215,Геокодування!$B$2:$B$361,0))-32.3876)&gt;0.15,"",INDEX(Геокодування!$C$2:$C$361,MATCH($Q215,Геокодування!$B$2:$B$361,0))),IFERROR(IF(ABS(INDEX(Геокодування!$C$2:$C$361,MATCH("Прилуки, Чернігівська обл., "&amp;$A215,Геокодування!$B$2:$B$361,0))-50.5884)+ABS(INDEX(Геокодування!$D$2:$D$361,MATCH("Прилуки, Чернігівська обл., "&amp;$A215,Геокодування!$B$2:$B$361,0))-32.3876)&gt;0.15,"",INDEX(Геокодування!$C$2:$C$361,MATCH("Прилуки, Чернігівська обл., "&amp;$A215,Геокодування!$B$2:$B$361,0))),""))))</f>
        <v>50.595413999999998</v>
      </c>
      <c r="S215" s="43">
        <f>IF($O215="","",IFERROR(INDEX('Координати майданчиків'!$I$4:$I$64,MATCH($T215,'Координати майданчиків'!$B$4:$B$64,0)),IFERROR(IF(ABS(INDEX(Геокодування!$C$2:$C$361,MATCH($Q215,Геокодування!$B$2:$B$361,0))-50.5884)+ABS(INDEX(Геокодування!$D$2:$D$361,MATCH($Q215,Геокодування!$B$2:$B$361,0))-32.3876)&gt;0.15,"",INDEX(Геокодування!$D$2:$D$361,MATCH($Q215,Геокодування!$B$2:$B$361,0))),IFERROR(IF(ABS(INDEX(Геокодування!$C$2:$C$361,MATCH("Прилуки, Чернігівська обл., "&amp;$A215,Геокодування!$B$2:$B$361,0))-50.5884)+ABS(INDEX(Геокодування!$D$2:$D$361,MATCH("Прилуки, Чернігівська обл., "&amp;$A215,Геокодування!$B$2:$B$361,0))-32.3876)&gt;0.15,"",INDEX(Геокодування!$D$2:$D$361,MATCH("Прилуки, Чернігівська обл., "&amp;$A215,Геокодування!$B$2:$B$361,0))),""))))</f>
        <v>32.381410000000002</v>
      </c>
      <c r="T215" s="44" t="str">
        <f>IF($O215="","",IFERROR(INDEX('Координати майданчиків'!$B$4:$B$64,MATCH($A215&amp;IF($P215="","",", "&amp;$P215),'Координати майданчиків'!$B$4:$B$64,0)),IFERROR(INDEX('Координати майданчиків'!$B$4:$B$64,MATCH($A215,'Координати майданчиків'!$B$4:$B$64,0)),"")))</f>
        <v/>
      </c>
    </row>
    <row r="216" spans="1:20" x14ac:dyDescent="0.35">
      <c r="A216" s="26" t="str">
        <f t="shared" si="9"/>
        <v>вул. Київська</v>
      </c>
      <c r="B216" s="26" t="str">
        <f t="shared" si="10"/>
        <v>М-н Практика</v>
      </c>
      <c r="C216" s="27" t="str" cm="1">
        <f t="array" ref="C216">IF($O216="","",_xlfn.TEXTJOIN(", ",TRUE,IF(EXACT('Дані_зв''язок'!$J$4:$J$1012,$O216)*('Дані_зв''язок'!$C$4:$C$1012=C$4),'Дані_зв''язок'!$D$4:$D$1012,"")))</f>
        <v>10:20</v>
      </c>
      <c r="D216" s="27" t="str" cm="1">
        <f t="array" ref="D216">IF($O216="","",_xlfn.TEXTJOIN(", ",TRUE,IF(EXACT('Дані_зв''язок'!$J$4:$J$1012,$O216)*('Дані_зв''язок'!$C$4:$C$1012=D$4),'Дані_зв''язок'!$D$4:$D$1012,"")))</f>
        <v/>
      </c>
      <c r="E216" s="27" t="str" cm="1">
        <f t="array" ref="E216">IF($O216="","",_xlfn.TEXTJOIN(", ",TRUE,IF(EXACT('Дані_зв''язок'!$J$4:$J$1012,$O216)*('Дані_зв''язок'!$C$4:$C$1012=E$4),'Дані_зв''язок'!$D$4:$D$1012,"")))</f>
        <v/>
      </c>
      <c r="F216" s="27" t="str" cm="1">
        <f t="array" ref="F216">IF($O216="","",_xlfn.TEXTJOIN(", ",TRUE,IF(EXACT('Дані_зв''язок'!$J$4:$J$1012,$O216)*('Дані_зв''язок'!$C$4:$C$1012=F$4),'Дані_зв''язок'!$D$4:$D$1012,"")))</f>
        <v>13:10</v>
      </c>
      <c r="G216" s="27" t="str" cm="1">
        <f t="array" ref="G216">IF($O216="","",_xlfn.TEXTJOIN(", ",TRUE,IF(EXACT('Дані_зв''язок'!$J$4:$J$1012,$O216)*('Дані_зв''язок'!$C$4:$C$1012=G$4),'Дані_зв''язок'!$D$4:$D$1012,"")))</f>
        <v>11:40</v>
      </c>
      <c r="H216" s="27" t="str" cm="1">
        <f t="array" ref="H216">IF($O216="","",_xlfn.TEXTJOIN(", ",TRUE,IF(EXACT('Дані_зв''язок'!$J$4:$J$1012,$O216)*('Дані_зв''язок'!$C$4:$C$1012=H$4),'Дані_зв''язок'!$D$4:$D$1012,"")))</f>
        <v/>
      </c>
      <c r="I216" s="27" t="str" cm="1">
        <f t="array" ref="I216">IF($O216="","",_xlfn.TEXTJOIN(", ",TRUE,IF(EXACT('Дані_зв''язок'!$J$4:$J$1012,$O216)*('Дані_зв''язок'!$C$4:$C$1012=I$4),'Дані_зв''язок'!$D$4:$D$1012,"")))</f>
        <v>13:10</v>
      </c>
      <c r="J216" s="27" cm="1">
        <f t="array" ref="J216">IF($O216="","",COUNTIF(C216:I216,"?*")+SUMPRODUCT(LEN(C216:I216)-LEN(SUBSTITUTE(C216:I216,",",""))))</f>
        <v>4</v>
      </c>
      <c r="K216" s="28" t="str" cm="1">
        <f t="array" ref="K216">IF($O216="","",_xlfn.TEXTJOIN(", ",TRUE,IF(EXACT('Дані_зв''язок'!$J$4:$J$1012,$O216),'Дані_зв''язок'!$L$4:$L$1012,"")))</f>
        <v>№1</v>
      </c>
      <c r="L216" s="28" t="str" cm="1">
        <f t="array" ref="L216">IF($O216="","",_xlfn.TEXTJOIN(", ",TRUE,IF(EXACT('Дані_зв''язок'!$J$4:$J$1012,$O216),'Дані_зв''язок'!$M$4:$M$1012,"")))</f>
        <v>КАМАЗ 55111, АТ-4021/1120</v>
      </c>
      <c r="M216" s="27" cm="1">
        <f t="array" ref="M216">IF($O216="","",IF(SUMPRODUCT(MAX(EXACT('Дані_зв''язок'!$J$4:$J$1012,$O216)*IFERROR('Дані_зв''язок'!$H$4:$H$1012,0)))=0,"",SUMPRODUCT(MAX(EXACT('Дані_зв''язок'!$J$4:$J$1012,$O216)*IFERROR('Дані_зв''язок'!$H$4:$H$1012,0)))))</f>
        <v>3</v>
      </c>
      <c r="O216" s="30" t="s">
        <v>1341</v>
      </c>
      <c r="P216" s="24" t="str" cm="1">
        <f t="array" ref="P216">IF($O216="","",IF($B216="","",IFERROR(IF(MIN(IFERROR(VALUE(TRIM(MID(SUBSTITUTE(SUBSTITUTE($B216,","," ")," ",REPT(" ",30)),{1;31;61;91;121;151;181},30))),""))=0,"",MIN(IFERROR(VALUE(TRIM(MID(SUBSTITUTE(SUBSTITUTE($B216,","," ")," ",REPT(" ",30)),{1;31;61;91;121;151;181},30))),""))),"")))</f>
        <v/>
      </c>
      <c r="Q216" s="23" t="str">
        <f t="shared" si="11"/>
        <v>Прилуки, Чернігівська обл., вул. Київська</v>
      </c>
      <c r="R216" s="35">
        <f>IF($O216="","",IFERROR(INDEX('Координати майданчиків'!$H$4:$H$64,MATCH($T216,'Координати майданчиків'!$B$4:$B$64,0)),IFERROR(IF(ABS(INDEX(Геокодування!$C$2:$C$361,MATCH($Q216,Геокодування!$B$2:$B$361,0))-50.5884)+ABS(INDEX(Геокодування!$D$2:$D$361,MATCH($Q216,Геокодування!$B$2:$B$361,0))-32.3876)&gt;0.15,"",INDEX(Геокодування!$C$2:$C$361,MATCH($Q216,Геокодування!$B$2:$B$361,0))),IFERROR(IF(ABS(INDEX(Геокодування!$C$2:$C$361,MATCH("Прилуки, Чернігівська обл., "&amp;$A216,Геокодування!$B$2:$B$361,0))-50.5884)+ABS(INDEX(Геокодування!$D$2:$D$361,MATCH("Прилуки, Чернігівська обл., "&amp;$A216,Геокодування!$B$2:$B$361,0))-32.3876)&gt;0.15,"",INDEX(Геокодування!$C$2:$C$361,MATCH("Прилуки, Чернігівська обл., "&amp;$A216,Геокодування!$B$2:$B$361,0))),""))))</f>
        <v>50.595413999999998</v>
      </c>
      <c r="S216" s="43">
        <f>IF($O216="","",IFERROR(INDEX('Координати майданчиків'!$I$4:$I$64,MATCH($T216,'Координати майданчиків'!$B$4:$B$64,0)),IFERROR(IF(ABS(INDEX(Геокодування!$C$2:$C$361,MATCH($Q216,Геокодування!$B$2:$B$361,0))-50.5884)+ABS(INDEX(Геокодування!$D$2:$D$361,MATCH($Q216,Геокодування!$B$2:$B$361,0))-32.3876)&gt;0.15,"",INDEX(Геокодування!$D$2:$D$361,MATCH($Q216,Геокодування!$B$2:$B$361,0))),IFERROR(IF(ABS(INDEX(Геокодування!$C$2:$C$361,MATCH("Прилуки, Чернігівська обл., "&amp;$A216,Геокодування!$B$2:$B$361,0))-50.5884)+ABS(INDEX(Геокодування!$D$2:$D$361,MATCH("Прилуки, Чернігівська обл., "&amp;$A216,Геокодування!$B$2:$B$361,0))-32.3876)&gt;0.15,"",INDEX(Геокодування!$D$2:$D$361,MATCH("Прилуки, Чернігівська обл., "&amp;$A216,Геокодування!$B$2:$B$361,0))),""))))</f>
        <v>32.381410000000002</v>
      </c>
      <c r="T216" s="44" t="str">
        <f>IF($O216="","",IFERROR(INDEX('Координати майданчиків'!$B$4:$B$64,MATCH($A216&amp;IF($P216="","",", "&amp;$P216),'Координати майданчиків'!$B$4:$B$64,0)),IFERROR(INDEX('Координати майданчиків'!$B$4:$B$64,MATCH($A216,'Координати майданчиків'!$B$4:$B$64,0)),"")))</f>
        <v/>
      </c>
    </row>
    <row r="217" spans="1:20" x14ac:dyDescent="0.35">
      <c r="A217" s="26" t="str">
        <f t="shared" si="9"/>
        <v>вул. Київська</v>
      </c>
      <c r="B217" s="26" t="str">
        <f t="shared" si="10"/>
        <v>Мийка</v>
      </c>
      <c r="C217" s="27" t="str" cm="1">
        <f t="array" ref="C217">IF($O217="","",_xlfn.TEXTJOIN(", ",TRUE,IF(EXACT('Дані_зв''язок'!$J$4:$J$1012,$O217)*('Дані_зв''язок'!$C$4:$C$1012=C$4),'Дані_зв''язок'!$D$4:$D$1012,"")))</f>
        <v>10:35</v>
      </c>
      <c r="D217" s="27" t="str" cm="1">
        <f t="array" ref="D217">IF($O217="","",_xlfn.TEXTJOIN(", ",TRUE,IF(EXACT('Дані_зв''язок'!$J$4:$J$1012,$O217)*('Дані_зв''язок'!$C$4:$C$1012=D$4),'Дані_зв''язок'!$D$4:$D$1012,"")))</f>
        <v/>
      </c>
      <c r="E217" s="27" t="str" cm="1">
        <f t="array" ref="E217">IF($O217="","",_xlfn.TEXTJOIN(", ",TRUE,IF(EXACT('Дані_зв''язок'!$J$4:$J$1012,$O217)*('Дані_зв''язок'!$C$4:$C$1012=E$4),'Дані_зв''язок'!$D$4:$D$1012,"")))</f>
        <v/>
      </c>
      <c r="F217" s="27" t="str" cm="1">
        <f t="array" ref="F217">IF($O217="","",_xlfn.TEXTJOIN(", ",TRUE,IF(EXACT('Дані_зв''язок'!$J$4:$J$1012,$O217)*('Дані_зв''язок'!$C$4:$C$1012=F$4),'Дані_зв''язок'!$D$4:$D$1012,"")))</f>
        <v>13:05</v>
      </c>
      <c r="G217" s="27" t="str" cm="1">
        <f t="array" ref="G217">IF($O217="","",_xlfn.TEXTJOIN(", ",TRUE,IF(EXACT('Дані_зв''язок'!$J$4:$J$1012,$O217)*('Дані_зв''язок'!$C$4:$C$1012=G$4),'Дані_зв''язок'!$D$4:$D$1012,"")))</f>
        <v>11:35</v>
      </c>
      <c r="H217" s="27" t="str" cm="1">
        <f t="array" ref="H217">IF($O217="","",_xlfn.TEXTJOIN(", ",TRUE,IF(EXACT('Дані_зв''язок'!$J$4:$J$1012,$O217)*('Дані_зв''язок'!$C$4:$C$1012=H$4),'Дані_зв''язок'!$D$4:$D$1012,"")))</f>
        <v/>
      </c>
      <c r="I217" s="27" t="str" cm="1">
        <f t="array" ref="I217">IF($O217="","",_xlfn.TEXTJOIN(", ",TRUE,IF(EXACT('Дані_зв''язок'!$J$4:$J$1012,$O217)*('Дані_зв''язок'!$C$4:$C$1012=I$4),'Дані_зв''язок'!$D$4:$D$1012,"")))</f>
        <v>13:05</v>
      </c>
      <c r="J217" s="27" cm="1">
        <f t="array" ref="J217">IF($O217="","",COUNTIF(C217:I217,"?*")+SUMPRODUCT(LEN(C217:I217)-LEN(SUBSTITUTE(C217:I217,",",""))))</f>
        <v>4</v>
      </c>
      <c r="K217" s="28" t="str" cm="1">
        <f t="array" ref="K217">IF($O217="","",_xlfn.TEXTJOIN(", ",TRUE,IF(EXACT('Дані_зв''язок'!$J$4:$J$1012,$O217),'Дані_зв''язок'!$L$4:$L$1012,"")))</f>
        <v>№1</v>
      </c>
      <c r="L217" s="28" t="str" cm="1">
        <f t="array" ref="L217">IF($O217="","",_xlfn.TEXTJOIN(", ",TRUE,IF(EXACT('Дані_зв''язок'!$J$4:$J$1012,$O217),'Дані_зв''язок'!$M$4:$M$1012,"")))</f>
        <v>КАМАЗ 55111, АТ-4021/1120</v>
      </c>
      <c r="M217" s="27" cm="1">
        <f t="array" ref="M217">IF($O217="","",IF(SUMPRODUCT(MAX(EXACT('Дані_зв''язок'!$J$4:$J$1012,$O217)*IFERROR('Дані_зв''язок'!$H$4:$H$1012,0)))=0,"",SUMPRODUCT(MAX(EXACT('Дані_зв''язок'!$J$4:$J$1012,$O217)*IFERROR('Дані_зв''язок'!$H$4:$H$1012,0)))))</f>
        <v>1</v>
      </c>
      <c r="O217" s="30" t="s">
        <v>1338</v>
      </c>
      <c r="P217" s="24" t="str" cm="1">
        <f t="array" ref="P217">IF($O217="","",IF($B217="","",IFERROR(IF(MIN(IFERROR(VALUE(TRIM(MID(SUBSTITUTE(SUBSTITUTE($B217,","," ")," ",REPT(" ",30)),{1;31;61;91;121;151;181},30))),""))=0,"",MIN(IFERROR(VALUE(TRIM(MID(SUBSTITUTE(SUBSTITUTE($B217,","," ")," ",REPT(" ",30)),{1;31;61;91;121;151;181},30))),""))),"")))</f>
        <v/>
      </c>
      <c r="Q217" s="23" t="str">
        <f t="shared" si="11"/>
        <v>Прилуки, Чернігівська обл., вул. Київська</v>
      </c>
      <c r="R217" s="35">
        <f>IF($O217="","",IFERROR(INDEX('Координати майданчиків'!$H$4:$H$64,MATCH($T217,'Координати майданчиків'!$B$4:$B$64,0)),IFERROR(IF(ABS(INDEX(Геокодування!$C$2:$C$361,MATCH($Q217,Геокодування!$B$2:$B$361,0))-50.5884)+ABS(INDEX(Геокодування!$D$2:$D$361,MATCH($Q217,Геокодування!$B$2:$B$361,0))-32.3876)&gt;0.15,"",INDEX(Геокодування!$C$2:$C$361,MATCH($Q217,Геокодування!$B$2:$B$361,0))),IFERROR(IF(ABS(INDEX(Геокодування!$C$2:$C$361,MATCH("Прилуки, Чернігівська обл., "&amp;$A217,Геокодування!$B$2:$B$361,0))-50.5884)+ABS(INDEX(Геокодування!$D$2:$D$361,MATCH("Прилуки, Чернігівська обл., "&amp;$A217,Геокодування!$B$2:$B$361,0))-32.3876)&gt;0.15,"",INDEX(Геокодування!$C$2:$C$361,MATCH("Прилуки, Чернігівська обл., "&amp;$A217,Геокодування!$B$2:$B$361,0))),""))))</f>
        <v>50.595413999999998</v>
      </c>
      <c r="S217" s="43">
        <f>IF($O217="","",IFERROR(INDEX('Координати майданчиків'!$I$4:$I$64,MATCH($T217,'Координати майданчиків'!$B$4:$B$64,0)),IFERROR(IF(ABS(INDEX(Геокодування!$C$2:$C$361,MATCH($Q217,Геокодування!$B$2:$B$361,0))-50.5884)+ABS(INDEX(Геокодування!$D$2:$D$361,MATCH($Q217,Геокодування!$B$2:$B$361,0))-32.3876)&gt;0.15,"",INDEX(Геокодування!$D$2:$D$361,MATCH($Q217,Геокодування!$B$2:$B$361,0))),IFERROR(IF(ABS(INDEX(Геокодування!$C$2:$C$361,MATCH("Прилуки, Чернігівська обл., "&amp;$A217,Геокодування!$B$2:$B$361,0))-50.5884)+ABS(INDEX(Геокодування!$D$2:$D$361,MATCH("Прилуки, Чернігівська обл., "&amp;$A217,Геокодування!$B$2:$B$361,0))-32.3876)&gt;0.15,"",INDEX(Геокодування!$D$2:$D$361,MATCH("Прилуки, Чернігівська обл., "&amp;$A217,Геокодування!$B$2:$B$361,0))),""))))</f>
        <v>32.381410000000002</v>
      </c>
      <c r="T217" s="44" t="str">
        <f>IF($O217="","",IFERROR(INDEX('Координати майданчиків'!$B$4:$B$64,MATCH($A217&amp;IF($P217="","",", "&amp;$P217),'Координати майданчиків'!$B$4:$B$64,0)),IFERROR(INDEX('Координати майданчиків'!$B$4:$B$64,MATCH($A217,'Координати майданчиків'!$B$4:$B$64,0)),"")))</f>
        <v/>
      </c>
    </row>
    <row r="218" spans="1:20" ht="26" x14ac:dyDescent="0.35">
      <c r="A218" s="26" t="str">
        <f t="shared" si="9"/>
        <v>вул. Київська</v>
      </c>
      <c r="B218" s="26" t="str">
        <f t="shared" si="10"/>
        <v>Нова пошта 3 біля АТБ</v>
      </c>
      <c r="C218" s="27" t="str" cm="1">
        <f t="array" ref="C218">IF($O218="","",_xlfn.TEXTJOIN(", ",TRUE,IF(EXACT('Дані_зв''язок'!$J$4:$J$1012,$O218)*('Дані_зв''язок'!$C$4:$C$1012=C$4),'Дані_зв''язок'!$D$4:$D$1012,"")))</f>
        <v/>
      </c>
      <c r="D218" s="27" t="str" cm="1">
        <f t="array" ref="D218">IF($O218="","",_xlfn.TEXTJOIN(", ",TRUE,IF(EXACT('Дані_зв''язок'!$J$4:$J$1012,$O218)*('Дані_зв''язок'!$C$4:$C$1012=D$4),'Дані_зв''язок'!$D$4:$D$1012,"")))</f>
        <v/>
      </c>
      <c r="E218" s="27" t="str" cm="1">
        <f t="array" ref="E218">IF($O218="","",_xlfn.TEXTJOIN(", ",TRUE,IF(EXACT('Дані_зв''язок'!$J$4:$J$1012,$O218)*('Дані_зв''язок'!$C$4:$C$1012=E$4),'Дані_зв''язок'!$D$4:$D$1012,"")))</f>
        <v/>
      </c>
      <c r="F218" s="27" t="str" cm="1">
        <f t="array" ref="F218">IF($O218="","",_xlfn.TEXTJOIN(", ",TRUE,IF(EXACT('Дані_зв''язок'!$J$4:$J$1012,$O218)*('Дані_зв''язок'!$C$4:$C$1012=F$4),'Дані_зв''язок'!$D$4:$D$1012,"")))</f>
        <v/>
      </c>
      <c r="G218" s="27" t="str" cm="1">
        <f t="array" ref="G218">IF($O218="","",_xlfn.TEXTJOIN(", ",TRUE,IF(EXACT('Дані_зв''язок'!$J$4:$J$1012,$O218)*('Дані_зв''язок'!$C$4:$C$1012=G$4),'Дані_зв''язок'!$D$4:$D$1012,"")))</f>
        <v>15:20</v>
      </c>
      <c r="H218" s="27" t="str" cm="1">
        <f t="array" ref="H218">IF($O218="","",_xlfn.TEXTJOIN(", ",TRUE,IF(EXACT('Дані_зв''язок'!$J$4:$J$1012,$O218)*('Дані_зв''язок'!$C$4:$C$1012=H$4),'Дані_зв''язок'!$D$4:$D$1012,"")))</f>
        <v/>
      </c>
      <c r="I218" s="27" t="str" cm="1">
        <f t="array" ref="I218">IF($O218="","",_xlfn.TEXTJOIN(", ",TRUE,IF(EXACT('Дані_зв''язок'!$J$4:$J$1012,$O218)*('Дані_зв''язок'!$C$4:$C$1012=I$4),'Дані_зв''язок'!$D$4:$D$1012,"")))</f>
        <v/>
      </c>
      <c r="J218" s="27" cm="1">
        <f t="array" ref="J218">IF($O218="","",COUNTIF(C218:I218,"?*")+SUMPRODUCT(LEN(C218:I218)-LEN(SUBSTITUTE(C218:I218,",",""))))</f>
        <v>1</v>
      </c>
      <c r="K218" s="28" t="str" cm="1">
        <f t="array" ref="K218">IF($O218="","",_xlfn.TEXTJOIN(", ",TRUE,IF(EXACT('Дані_зв''язок'!$J$4:$J$1012,$O218),'Дані_зв''язок'!$L$4:$L$1012,"")))</f>
        <v>№2</v>
      </c>
      <c r="L218" s="28" t="str" cm="1">
        <f t="array" ref="L218">IF($O218="","",_xlfn.TEXTJOIN(", ",TRUE,IF(EXACT('Дані_зв''язок'!$J$4:$J$1012,$O218),'Дані_зв''язок'!$M$4:$M$1012,"")))</f>
        <v>АТ 4021/1120</v>
      </c>
      <c r="M218" s="27" cm="1">
        <f t="array" ref="M218">IF($O218="","",IF(SUMPRODUCT(MAX(EXACT('Дані_зв''язок'!$J$4:$J$1012,$O218)*IFERROR('Дані_зв''язок'!$H$4:$H$1012,0)))=0,"",SUMPRODUCT(MAX(EXACT('Дані_зв''язок'!$J$4:$J$1012,$O218)*IFERROR('Дані_зв''язок'!$H$4:$H$1012,0)))))</f>
        <v>2</v>
      </c>
      <c r="O218" s="30" t="s">
        <v>1342</v>
      </c>
      <c r="P218" s="24" cm="1">
        <f t="array" ref="P218">IF($O218="","",IF($B218="","",IFERROR(IF(MIN(IFERROR(VALUE(TRIM(MID(SUBSTITUTE(SUBSTITUTE($B218,","," ")," ",REPT(" ",30)),{1;31;61;91;121;151;181},30))),""))=0,"",MIN(IFERROR(VALUE(TRIM(MID(SUBSTITUTE(SUBSTITUTE($B218,","," ")," ",REPT(" ",30)),{1;31;61;91;121;151;181},30))),""))),"")))</f>
        <v>3</v>
      </c>
      <c r="Q218" s="23" t="str">
        <f t="shared" si="11"/>
        <v>Прилуки, Чернігівська обл., вул. Київська, 3</v>
      </c>
      <c r="R218" s="35">
        <f>IF($O218="","",IFERROR(INDEX('Координати майданчиків'!$H$4:$H$64,MATCH($T218,'Координати майданчиків'!$B$4:$B$64,0)),IFERROR(IF(ABS(INDEX(Геокодування!$C$2:$C$361,MATCH($Q218,Геокодування!$B$2:$B$361,0))-50.5884)+ABS(INDEX(Геокодування!$D$2:$D$361,MATCH($Q218,Геокодування!$B$2:$B$361,0))-32.3876)&gt;0.15,"",INDEX(Геокодування!$C$2:$C$361,MATCH($Q218,Геокодування!$B$2:$B$361,0))),IFERROR(IF(ABS(INDEX(Геокодування!$C$2:$C$361,MATCH("Прилуки, Чернігівська обл., "&amp;$A218,Геокодування!$B$2:$B$361,0))-50.5884)+ABS(INDEX(Геокодування!$D$2:$D$361,MATCH("Прилуки, Чернігівська обл., "&amp;$A218,Геокодування!$B$2:$B$361,0))-32.3876)&gt;0.15,"",INDEX(Геокодування!$C$2:$C$361,MATCH("Прилуки, Чернігівська обл., "&amp;$A218,Геокодування!$B$2:$B$361,0))),""))))</f>
        <v>50.587232</v>
      </c>
      <c r="S218" s="43">
        <f>IF($O218="","",IFERROR(INDEX('Координати майданчиків'!$I$4:$I$64,MATCH($T218,'Координати майданчиків'!$B$4:$B$64,0)),IFERROR(IF(ABS(INDEX(Геокодування!$C$2:$C$361,MATCH($Q218,Геокодування!$B$2:$B$361,0))-50.5884)+ABS(INDEX(Геокодування!$D$2:$D$361,MATCH($Q218,Геокодування!$B$2:$B$361,0))-32.3876)&gt;0.15,"",INDEX(Геокодування!$D$2:$D$361,MATCH($Q218,Геокодування!$B$2:$B$361,0))),IFERROR(IF(ABS(INDEX(Геокодування!$C$2:$C$361,MATCH("Прилуки, Чернігівська обл., "&amp;$A218,Геокодування!$B$2:$B$361,0))-50.5884)+ABS(INDEX(Геокодування!$D$2:$D$361,MATCH("Прилуки, Чернігівська обл., "&amp;$A218,Геокодування!$B$2:$B$361,0))-32.3876)&gt;0.15,"",INDEX(Геокодування!$D$2:$D$361,MATCH("Прилуки, Чернігівська обл., "&amp;$A218,Геокодування!$B$2:$B$361,0))),""))))</f>
        <v>32.438777000000002</v>
      </c>
      <c r="T218" s="44" t="str">
        <f>IF($O218="","",IFERROR(INDEX('Координати майданчиків'!$B$4:$B$64,MATCH($A218&amp;IF($P218="","",", "&amp;$P218),'Координати майданчиків'!$B$4:$B$64,0)),IFERROR(INDEX('Координати майданчиків'!$B$4:$B$64,MATCH($A218,'Координати майданчиків'!$B$4:$B$64,0)),"")))</f>
        <v/>
      </c>
    </row>
    <row r="219" spans="1:20" x14ac:dyDescent="0.35">
      <c r="A219" s="26" t="str">
        <f t="shared" si="9"/>
        <v>вул. Київська</v>
      </c>
      <c r="B219" s="26" t="str">
        <f t="shared" si="10"/>
        <v>Ощадбанк</v>
      </c>
      <c r="C219" s="27" t="str" cm="1">
        <f t="array" ref="C219">IF($O219="","",_xlfn.TEXTJOIN(", ",TRUE,IF(EXACT('Дані_зв''язок'!$J$4:$J$1012,$O219)*('Дані_зв''язок'!$C$4:$C$1012=C$4),'Дані_зв''язок'!$D$4:$D$1012,"")))</f>
        <v>7:15</v>
      </c>
      <c r="D219" s="27" t="str" cm="1">
        <f t="array" ref="D219">IF($O219="","",_xlfn.TEXTJOIN(", ",TRUE,IF(EXACT('Дані_зв''язок'!$J$4:$J$1012,$O219)*('Дані_зв''язок'!$C$4:$C$1012=D$4),'Дані_зв''язок'!$D$4:$D$1012,"")))</f>
        <v>7:15, 10:55</v>
      </c>
      <c r="E219" s="27" t="str" cm="1">
        <f t="array" ref="E219">IF($O219="","",_xlfn.TEXTJOIN(", ",TRUE,IF(EXACT('Дані_зв''язок'!$J$4:$J$1012,$O219)*('Дані_зв''язок'!$C$4:$C$1012=E$4),'Дані_зв''язок'!$D$4:$D$1012,"")))</f>
        <v>7:15, 11:20</v>
      </c>
      <c r="F219" s="27" t="str" cm="1">
        <f t="array" ref="F219">IF($O219="","",_xlfn.TEXTJOIN(", ",TRUE,IF(EXACT('Дані_зв''язок'!$J$4:$J$1012,$O219)*('Дані_зв''язок'!$C$4:$C$1012=F$4),'Дані_зв''язок'!$D$4:$D$1012,"")))</f>
        <v>7:25</v>
      </c>
      <c r="G219" s="27" t="str" cm="1">
        <f t="array" ref="G219">IF($O219="","",_xlfn.TEXTJOIN(", ",TRUE,IF(EXACT('Дані_зв''язок'!$J$4:$J$1012,$O219)*('Дані_зв''язок'!$C$4:$C$1012=G$4),'Дані_зв''язок'!$D$4:$D$1012,"")))</f>
        <v>7:15</v>
      </c>
      <c r="H219" s="27" t="str" cm="1">
        <f t="array" ref="H219">IF($O219="","",_xlfn.TEXTJOIN(", ",TRUE,IF(EXACT('Дані_зв''язок'!$J$4:$J$1012,$O219)*('Дані_зв''язок'!$C$4:$C$1012=H$4),'Дані_зв''язок'!$D$4:$D$1012,"")))</f>
        <v>7:15, 10:55</v>
      </c>
      <c r="I219" s="27" t="str" cm="1">
        <f t="array" ref="I219">IF($O219="","",_xlfn.TEXTJOIN(", ",TRUE,IF(EXACT('Дані_зв''язок'!$J$4:$J$1012,$O219)*('Дані_зв''язок'!$C$4:$C$1012=I$4),'Дані_зв''язок'!$D$4:$D$1012,"")))</f>
        <v>7:25</v>
      </c>
      <c r="J219" s="27" cm="1">
        <f t="array" ref="J219">IF($O219="","",COUNTIF(C219:I219,"?*")+SUMPRODUCT(LEN(C219:I219)-LEN(SUBSTITUTE(C219:I219,",",""))))</f>
        <v>10</v>
      </c>
      <c r="K219" s="28" t="str" cm="1">
        <f t="array" ref="K219">IF($O219="","",_xlfn.TEXTJOIN(", ",TRUE,IF(EXACT('Дані_зв''язок'!$J$4:$J$1012,$O219),'Дані_зв''язок'!$L$4:$L$1012,"")))</f>
        <v>№1</v>
      </c>
      <c r="L219" s="28" t="str" cm="1">
        <f t="array" ref="L219">IF($O219="","",_xlfn.TEXTJOIN(", ",TRUE,IF(EXACT('Дані_зв''язок'!$J$4:$J$1012,$O219),'Дані_зв''язок'!$M$4:$M$1012,"")))</f>
        <v>КАМАЗ 55111, АТ-4021/1120</v>
      </c>
      <c r="M219" s="27" cm="1">
        <f t="array" ref="M219">IF($O219="","",IF(SUMPRODUCT(MAX(EXACT('Дані_зв''язок'!$J$4:$J$1012,$O219)*IFERROR('Дані_зв''язок'!$H$4:$H$1012,0)))=0,"",SUMPRODUCT(MAX(EXACT('Дані_зв''язок'!$J$4:$J$1012,$O219)*IFERROR('Дані_зв''язок'!$H$4:$H$1012,0)))))</f>
        <v>3</v>
      </c>
      <c r="O219" s="30" t="s">
        <v>1343</v>
      </c>
      <c r="P219" s="24" t="str" cm="1">
        <f t="array" ref="P219">IF($O219="","",IF($B219="","",IFERROR(IF(MIN(IFERROR(VALUE(TRIM(MID(SUBSTITUTE(SUBSTITUTE($B219,","," ")," ",REPT(" ",30)),{1;31;61;91;121;151;181},30))),""))=0,"",MIN(IFERROR(VALUE(TRIM(MID(SUBSTITUTE(SUBSTITUTE($B219,","," ")," ",REPT(" ",30)),{1;31;61;91;121;151;181},30))),""))),"")))</f>
        <v/>
      </c>
      <c r="Q219" s="23" t="str">
        <f t="shared" si="11"/>
        <v>Прилуки, Чернігівська обл., вул. Київська</v>
      </c>
      <c r="R219" s="35">
        <f>IF($O219="","",IFERROR(INDEX('Координати майданчиків'!$H$4:$H$64,MATCH($T219,'Координати майданчиків'!$B$4:$B$64,0)),IFERROR(IF(ABS(INDEX(Геокодування!$C$2:$C$361,MATCH($Q219,Геокодування!$B$2:$B$361,0))-50.5884)+ABS(INDEX(Геокодування!$D$2:$D$361,MATCH($Q219,Геокодування!$B$2:$B$361,0))-32.3876)&gt;0.15,"",INDEX(Геокодування!$C$2:$C$361,MATCH($Q219,Геокодування!$B$2:$B$361,0))),IFERROR(IF(ABS(INDEX(Геокодування!$C$2:$C$361,MATCH("Прилуки, Чернігівська обл., "&amp;$A219,Геокодування!$B$2:$B$361,0))-50.5884)+ABS(INDEX(Геокодування!$D$2:$D$361,MATCH("Прилуки, Чернігівська обл., "&amp;$A219,Геокодування!$B$2:$B$361,0))-32.3876)&gt;0.15,"",INDEX(Геокодування!$C$2:$C$361,MATCH("Прилуки, Чернігівська обл., "&amp;$A219,Геокодування!$B$2:$B$361,0))),""))))</f>
        <v>50.595413999999998</v>
      </c>
      <c r="S219" s="43">
        <f>IF($O219="","",IFERROR(INDEX('Координати майданчиків'!$I$4:$I$64,MATCH($T219,'Координати майданчиків'!$B$4:$B$64,0)),IFERROR(IF(ABS(INDEX(Геокодування!$C$2:$C$361,MATCH($Q219,Геокодування!$B$2:$B$361,0))-50.5884)+ABS(INDEX(Геокодування!$D$2:$D$361,MATCH($Q219,Геокодування!$B$2:$B$361,0))-32.3876)&gt;0.15,"",INDEX(Геокодування!$D$2:$D$361,MATCH($Q219,Геокодування!$B$2:$B$361,0))),IFERROR(IF(ABS(INDEX(Геокодування!$C$2:$C$361,MATCH("Прилуки, Чернігівська обл., "&amp;$A219,Геокодування!$B$2:$B$361,0))-50.5884)+ABS(INDEX(Геокодування!$D$2:$D$361,MATCH("Прилуки, Чернігівська обл., "&amp;$A219,Геокодування!$B$2:$B$361,0))-32.3876)&gt;0.15,"",INDEX(Геокодування!$D$2:$D$361,MATCH("Прилуки, Чернігівська обл., "&amp;$A219,Геокодування!$B$2:$B$361,0))),""))))</f>
        <v>32.381410000000002</v>
      </c>
      <c r="T219" s="44" t="str">
        <f>IF($O219="","",IFERROR(INDEX('Координати майданчиків'!$B$4:$B$64,MATCH($A219&amp;IF($P219="","",", "&amp;$P219),'Координати майданчиків'!$B$4:$B$64,0)),IFERROR(INDEX('Координати майданчиків'!$B$4:$B$64,MATCH($A219,'Координати майданчиків'!$B$4:$B$64,0)),"")))</f>
        <v/>
      </c>
    </row>
    <row r="220" spans="1:20" x14ac:dyDescent="0.35">
      <c r="A220" s="26" t="str">
        <f t="shared" si="9"/>
        <v>вул. Київська</v>
      </c>
      <c r="B220" s="26" t="str">
        <f t="shared" si="10"/>
        <v>Райлікарня</v>
      </c>
      <c r="C220" s="27" t="str" cm="1">
        <f t="array" ref="C220">IF($O220="","",_xlfn.TEXTJOIN(", ",TRUE,IF(EXACT('Дані_зв''язок'!$J$4:$J$1012,$O220)*('Дані_зв''язок'!$C$4:$C$1012=C$4),'Дані_зв''язок'!$D$4:$D$1012,"")))</f>
        <v>7:55</v>
      </c>
      <c r="D220" s="27" t="str" cm="1">
        <f t="array" ref="D220">IF($O220="","",_xlfn.TEXTJOIN(", ",TRUE,IF(EXACT('Дані_зв''язок'!$J$4:$J$1012,$O220)*('Дані_зв''язок'!$C$4:$C$1012=D$4),'Дані_зв''язок'!$D$4:$D$1012,"")))</f>
        <v>7:55</v>
      </c>
      <c r="E220" s="27" t="str" cm="1">
        <f t="array" ref="E220">IF($O220="","",_xlfn.TEXTJOIN(", ",TRUE,IF(EXACT('Дані_зв''язок'!$J$4:$J$1012,$O220)*('Дані_зв''язок'!$C$4:$C$1012=E$4),'Дані_зв''язок'!$D$4:$D$1012,"")))</f>
        <v>7:55</v>
      </c>
      <c r="F220" s="27" t="str" cm="1">
        <f t="array" ref="F220">IF($O220="","",_xlfn.TEXTJOIN(", ",TRUE,IF(EXACT('Дані_зв''язок'!$J$4:$J$1012,$O220)*('Дані_зв''язок'!$C$4:$C$1012=F$4),'Дані_зв''язок'!$D$4:$D$1012,"")))</f>
        <v>9:20</v>
      </c>
      <c r="G220" s="27" t="str" cm="1">
        <f t="array" ref="G220">IF($O220="","",_xlfn.TEXTJOIN(", ",TRUE,IF(EXACT('Дані_зв''язок'!$J$4:$J$1012,$O220)*('Дані_зв''язок'!$C$4:$C$1012=G$4),'Дані_зв''язок'!$D$4:$D$1012,"")))</f>
        <v>7:55</v>
      </c>
      <c r="H220" s="27" t="str" cm="1">
        <f t="array" ref="H220">IF($O220="","",_xlfn.TEXTJOIN(", ",TRUE,IF(EXACT('Дані_зв''язок'!$J$4:$J$1012,$O220)*('Дані_зв''язок'!$C$4:$C$1012=H$4),'Дані_зв''язок'!$D$4:$D$1012,"")))</f>
        <v>7:55</v>
      </c>
      <c r="I220" s="27" t="str" cm="1">
        <f t="array" ref="I220">IF($O220="","",_xlfn.TEXTJOIN(", ",TRUE,IF(EXACT('Дані_зв''язок'!$J$4:$J$1012,$O220)*('Дані_зв''язок'!$C$4:$C$1012=I$4),'Дані_зв''язок'!$D$4:$D$1012,"")))</f>
        <v>9:20</v>
      </c>
      <c r="J220" s="27" cm="1">
        <f t="array" ref="J220">IF($O220="","",COUNTIF(C220:I220,"?*")+SUMPRODUCT(LEN(C220:I220)-LEN(SUBSTITUTE(C220:I220,",",""))))</f>
        <v>7</v>
      </c>
      <c r="K220" s="28" t="str" cm="1">
        <f t="array" ref="K220">IF($O220="","",_xlfn.TEXTJOIN(", ",TRUE,IF(EXACT('Дані_зв''язок'!$J$4:$J$1012,$O220),'Дані_зв''язок'!$L$4:$L$1012,"")))</f>
        <v>№1</v>
      </c>
      <c r="L220" s="28" t="str" cm="1">
        <f t="array" ref="L220">IF($O220="","",_xlfn.TEXTJOIN(", ",TRUE,IF(EXACT('Дані_зв''язок'!$J$4:$J$1012,$O220),'Дані_зв''язок'!$M$4:$M$1012,"")))</f>
        <v>КАМАЗ 55111, АТ-4021/1120</v>
      </c>
      <c r="M220" s="27" cm="1">
        <f t="array" ref="M220">IF($O220="","",IF(SUMPRODUCT(MAX(EXACT('Дані_зв''язок'!$J$4:$J$1012,$O220)*IFERROR('Дані_зв''язок'!$H$4:$H$1012,0)))=0,"",SUMPRODUCT(MAX(EXACT('Дані_зв''язок'!$J$4:$J$1012,$O220)*IFERROR('Дані_зв''язок'!$H$4:$H$1012,0)))))</f>
        <v>4</v>
      </c>
      <c r="O220" s="30" t="s">
        <v>1345</v>
      </c>
      <c r="P220" s="24" t="str" cm="1">
        <f t="array" ref="P220">IF($O220="","",IF($B220="","",IFERROR(IF(MIN(IFERROR(VALUE(TRIM(MID(SUBSTITUTE(SUBSTITUTE($B220,","," ")," ",REPT(" ",30)),{1;31;61;91;121;151;181},30))),""))=0,"",MIN(IFERROR(VALUE(TRIM(MID(SUBSTITUTE(SUBSTITUTE($B220,","," ")," ",REPT(" ",30)),{1;31;61;91;121;151;181},30))),""))),"")))</f>
        <v/>
      </c>
      <c r="Q220" s="23" t="str">
        <f t="shared" si="11"/>
        <v>Прилуки, Чернігівська обл., вул. Київська</v>
      </c>
      <c r="R220" s="35">
        <f>IF($O220="","",IFERROR(INDEX('Координати майданчиків'!$H$4:$H$64,MATCH($T220,'Координати майданчиків'!$B$4:$B$64,0)),IFERROR(IF(ABS(INDEX(Геокодування!$C$2:$C$361,MATCH($Q220,Геокодування!$B$2:$B$361,0))-50.5884)+ABS(INDEX(Геокодування!$D$2:$D$361,MATCH($Q220,Геокодування!$B$2:$B$361,0))-32.3876)&gt;0.15,"",INDEX(Геокодування!$C$2:$C$361,MATCH($Q220,Геокодування!$B$2:$B$361,0))),IFERROR(IF(ABS(INDEX(Геокодування!$C$2:$C$361,MATCH("Прилуки, Чернігівська обл., "&amp;$A220,Геокодування!$B$2:$B$361,0))-50.5884)+ABS(INDEX(Геокодування!$D$2:$D$361,MATCH("Прилуки, Чернігівська обл., "&amp;$A220,Геокодування!$B$2:$B$361,0))-32.3876)&gt;0.15,"",INDEX(Геокодування!$C$2:$C$361,MATCH("Прилуки, Чернігівська обл., "&amp;$A220,Геокодування!$B$2:$B$361,0))),""))))</f>
        <v>50.595413999999998</v>
      </c>
      <c r="S220" s="43">
        <f>IF($O220="","",IFERROR(INDEX('Координати майданчиків'!$I$4:$I$64,MATCH($T220,'Координати майданчиків'!$B$4:$B$64,0)),IFERROR(IF(ABS(INDEX(Геокодування!$C$2:$C$361,MATCH($Q220,Геокодування!$B$2:$B$361,0))-50.5884)+ABS(INDEX(Геокодування!$D$2:$D$361,MATCH($Q220,Геокодування!$B$2:$B$361,0))-32.3876)&gt;0.15,"",INDEX(Геокодування!$D$2:$D$361,MATCH($Q220,Геокодування!$B$2:$B$361,0))),IFERROR(IF(ABS(INDEX(Геокодування!$C$2:$C$361,MATCH("Прилуки, Чернігівська обл., "&amp;$A220,Геокодування!$B$2:$B$361,0))-50.5884)+ABS(INDEX(Геокодування!$D$2:$D$361,MATCH("Прилуки, Чернігівська обл., "&amp;$A220,Геокодування!$B$2:$B$361,0))-32.3876)&gt;0.15,"",INDEX(Геокодування!$D$2:$D$361,MATCH("Прилуки, Чернігівська обл., "&amp;$A220,Геокодування!$B$2:$B$361,0))),""))))</f>
        <v>32.381410000000002</v>
      </c>
      <c r="T220" s="44" t="str">
        <f>IF($O220="","",IFERROR(INDEX('Координати майданчиків'!$B$4:$B$64,MATCH($A220&amp;IF($P220="","",", "&amp;$P220),'Координати майданчиків'!$B$4:$B$64,0)),IFERROR(INDEX('Координати майданчиків'!$B$4:$B$64,MATCH($A220,'Координати майданчиків'!$B$4:$B$64,0)),"")))</f>
        <v/>
      </c>
    </row>
    <row r="221" spans="1:20" x14ac:dyDescent="0.35">
      <c r="A221" s="26" t="str">
        <f t="shared" si="9"/>
        <v>вул. Київська</v>
      </c>
      <c r="B221" s="26" t="str">
        <f t="shared" si="10"/>
        <v>Сільпо</v>
      </c>
      <c r="C221" s="27" t="str" cm="1">
        <f t="array" ref="C221">IF($O221="","",_xlfn.TEXTJOIN(", ",TRUE,IF(EXACT('Дані_зв''язок'!$J$4:$J$1012,$O221)*('Дані_зв''язок'!$C$4:$C$1012=C$4),'Дані_зв''язок'!$D$4:$D$1012,"")))</f>
        <v>10:40</v>
      </c>
      <c r="D221" s="27" t="str" cm="1">
        <f t="array" ref="D221">IF($O221="","",_xlfn.TEXTJOIN(", ",TRUE,IF(EXACT('Дані_зв''язок'!$J$4:$J$1012,$O221)*('Дані_зв''язок'!$C$4:$C$1012=D$4),'Дані_зв''язок'!$D$4:$D$1012,"")))</f>
        <v/>
      </c>
      <c r="E221" s="27" t="str" cm="1">
        <f t="array" ref="E221">IF($O221="","",_xlfn.TEXTJOIN(", ",TRUE,IF(EXACT('Дані_зв''язок'!$J$4:$J$1012,$O221)*('Дані_зв''язок'!$C$4:$C$1012=E$4),'Дані_зв''язок'!$D$4:$D$1012,"")))</f>
        <v>10:50</v>
      </c>
      <c r="F221" s="27" t="str" cm="1">
        <f t="array" ref="F221">IF($O221="","",_xlfn.TEXTJOIN(", ",TRUE,IF(EXACT('Дані_зв''язок'!$J$4:$J$1012,$O221)*('Дані_зв''язок'!$C$4:$C$1012=F$4),'Дані_зв''язок'!$D$4:$D$1012,"")))</f>
        <v>10:50</v>
      </c>
      <c r="G221" s="27" t="str" cm="1">
        <f t="array" ref="G221">IF($O221="","",_xlfn.TEXTJOIN(", ",TRUE,IF(EXACT('Дані_зв''язок'!$J$4:$J$1012,$O221)*('Дані_зв''язок'!$C$4:$C$1012=G$4),'Дані_зв''язок'!$D$4:$D$1012,"")))</f>
        <v>11:25</v>
      </c>
      <c r="H221" s="27" t="str" cm="1">
        <f t="array" ref="H221">IF($O221="","",_xlfn.TEXTJOIN(", ",TRUE,IF(EXACT('Дані_зв''язок'!$J$4:$J$1012,$O221)*('Дані_зв''язок'!$C$4:$C$1012=H$4),'Дані_зв''язок'!$D$4:$D$1012,"")))</f>
        <v/>
      </c>
      <c r="I221" s="27" t="str" cm="1">
        <f t="array" ref="I221">IF($O221="","",_xlfn.TEXTJOIN(", ",TRUE,IF(EXACT('Дані_зв''язок'!$J$4:$J$1012,$O221)*('Дані_зв''язок'!$C$4:$C$1012=I$4),'Дані_зв''язок'!$D$4:$D$1012,"")))</f>
        <v>12:00</v>
      </c>
      <c r="J221" s="27" cm="1">
        <f t="array" ref="J221">IF($O221="","",COUNTIF(C221:I221,"?*")+SUMPRODUCT(LEN(C221:I221)-LEN(SUBSTITUTE(C221:I221,",",""))))</f>
        <v>5</v>
      </c>
      <c r="K221" s="28" t="str" cm="1">
        <f t="array" ref="K221">IF($O221="","",_xlfn.TEXTJOIN(", ",TRUE,IF(EXACT('Дані_зв''язок'!$J$4:$J$1012,$O221),'Дані_зв''язок'!$L$4:$L$1012,"")))</f>
        <v>№1</v>
      </c>
      <c r="L221" s="28" t="str" cm="1">
        <f t="array" ref="L221">IF($O221="","",_xlfn.TEXTJOIN(", ",TRUE,IF(EXACT('Дані_зв''язок'!$J$4:$J$1012,$O221),'Дані_зв''язок'!$M$4:$M$1012,"")))</f>
        <v>КАМАЗ 55111, АТ-4021/1120</v>
      </c>
      <c r="M221" s="27" cm="1">
        <f t="array" ref="M221">IF($O221="","",IF(SUMPRODUCT(MAX(EXACT('Дані_зв''язок'!$J$4:$J$1012,$O221)*IFERROR('Дані_зв''язок'!$H$4:$H$1012,0)))=0,"",SUMPRODUCT(MAX(EXACT('Дані_зв''язок'!$J$4:$J$1012,$O221)*IFERROR('Дані_зв''язок'!$H$4:$H$1012,0)))))</f>
        <v>2</v>
      </c>
      <c r="O221" s="30" t="s">
        <v>1347</v>
      </c>
      <c r="P221" s="24" t="str" cm="1">
        <f t="array" ref="P221">IF($O221="","",IF($B221="","",IFERROR(IF(MIN(IFERROR(VALUE(TRIM(MID(SUBSTITUTE(SUBSTITUTE($B221,","," ")," ",REPT(" ",30)),{1;31;61;91;121;151;181},30))),""))=0,"",MIN(IFERROR(VALUE(TRIM(MID(SUBSTITUTE(SUBSTITUTE($B221,","," ")," ",REPT(" ",30)),{1;31;61;91;121;151;181},30))),""))),"")))</f>
        <v/>
      </c>
      <c r="Q221" s="23" t="str">
        <f t="shared" si="11"/>
        <v>Прилуки, Чернігівська обл., вул. Київська</v>
      </c>
      <c r="R221" s="35">
        <f>IF($O221="","",IFERROR(INDEX('Координати майданчиків'!$H$4:$H$64,MATCH($T221,'Координати майданчиків'!$B$4:$B$64,0)),IFERROR(IF(ABS(INDEX(Геокодування!$C$2:$C$361,MATCH($Q221,Геокодування!$B$2:$B$361,0))-50.5884)+ABS(INDEX(Геокодування!$D$2:$D$361,MATCH($Q221,Геокодування!$B$2:$B$361,0))-32.3876)&gt;0.15,"",INDEX(Геокодування!$C$2:$C$361,MATCH($Q221,Геокодування!$B$2:$B$361,0))),IFERROR(IF(ABS(INDEX(Геокодування!$C$2:$C$361,MATCH("Прилуки, Чернігівська обл., "&amp;$A221,Геокодування!$B$2:$B$361,0))-50.5884)+ABS(INDEX(Геокодування!$D$2:$D$361,MATCH("Прилуки, Чернігівська обл., "&amp;$A221,Геокодування!$B$2:$B$361,0))-32.3876)&gt;0.15,"",INDEX(Геокодування!$C$2:$C$361,MATCH("Прилуки, Чернігівська обл., "&amp;$A221,Геокодування!$B$2:$B$361,0))),""))))</f>
        <v>50.595413999999998</v>
      </c>
      <c r="S221" s="43">
        <f>IF($O221="","",IFERROR(INDEX('Координати майданчиків'!$I$4:$I$64,MATCH($T221,'Координати майданчиків'!$B$4:$B$64,0)),IFERROR(IF(ABS(INDEX(Геокодування!$C$2:$C$361,MATCH($Q221,Геокодування!$B$2:$B$361,0))-50.5884)+ABS(INDEX(Геокодування!$D$2:$D$361,MATCH($Q221,Геокодування!$B$2:$B$361,0))-32.3876)&gt;0.15,"",INDEX(Геокодування!$D$2:$D$361,MATCH($Q221,Геокодування!$B$2:$B$361,0))),IFERROR(IF(ABS(INDEX(Геокодування!$C$2:$C$361,MATCH("Прилуки, Чернігівська обл., "&amp;$A221,Геокодування!$B$2:$B$361,0))-50.5884)+ABS(INDEX(Геокодування!$D$2:$D$361,MATCH("Прилуки, Чернігівська обл., "&amp;$A221,Геокодування!$B$2:$B$361,0))-32.3876)&gt;0.15,"",INDEX(Геокодування!$D$2:$D$361,MATCH("Прилуки, Чернігівська обл., "&amp;$A221,Геокодування!$B$2:$B$361,0))),""))))</f>
        <v>32.381410000000002</v>
      </c>
      <c r="T221" s="44" t="str">
        <f>IF($O221="","",IFERROR(INDEX('Координати майданчиків'!$B$4:$B$64,MATCH($A221&amp;IF($P221="","",", "&amp;$P221),'Координати майданчиків'!$B$4:$B$64,0)),IFERROR(INDEX('Координати майданчиків'!$B$4:$B$64,MATCH($A221,'Координати майданчиків'!$B$4:$B$64,0)),"")))</f>
        <v/>
      </c>
    </row>
    <row r="222" spans="1:20" x14ac:dyDescent="0.35">
      <c r="A222" s="26" t="str">
        <f t="shared" si="9"/>
        <v>вул. Київська</v>
      </c>
      <c r="B222" s="26" t="str">
        <f t="shared" si="10"/>
        <v>Траш</v>
      </c>
      <c r="C222" s="27" t="str" cm="1">
        <f t="array" ref="C222">IF($O222="","",_xlfn.TEXTJOIN(", ",TRUE,IF(EXACT('Дані_зв''язок'!$J$4:$J$1012,$O222)*('Дані_зв''язок'!$C$4:$C$1012=C$4),'Дані_зв''язок'!$D$4:$D$1012,"")))</f>
        <v>15:10</v>
      </c>
      <c r="D222" s="27" t="str" cm="1">
        <f t="array" ref="D222">IF($O222="","",_xlfn.TEXTJOIN(", ",TRUE,IF(EXACT('Дані_зв''язок'!$J$4:$J$1012,$O222)*('Дані_зв''язок'!$C$4:$C$1012=D$4),'Дані_зв''язок'!$D$4:$D$1012,"")))</f>
        <v>15:40</v>
      </c>
      <c r="E222" s="27" t="str" cm="1">
        <f t="array" ref="E222">IF($O222="","",_xlfn.TEXTJOIN(", ",TRUE,IF(EXACT('Дані_зв''язок'!$J$4:$J$1012,$O222)*('Дані_зв''язок'!$C$4:$C$1012=E$4),'Дані_зв''язок'!$D$4:$D$1012,"")))</f>
        <v/>
      </c>
      <c r="F222" s="27" t="str" cm="1">
        <f t="array" ref="F222">IF($O222="","",_xlfn.TEXTJOIN(", ",TRUE,IF(EXACT('Дані_зв''язок'!$J$4:$J$1012,$O222)*('Дані_зв''язок'!$C$4:$C$1012=F$4),'Дані_зв''язок'!$D$4:$D$1012,"")))</f>
        <v>15:10</v>
      </c>
      <c r="G222" s="27" t="str" cm="1">
        <f t="array" ref="G222">IF($O222="","",_xlfn.TEXTJOIN(", ",TRUE,IF(EXACT('Дані_зв''язок'!$J$4:$J$1012,$O222)*('Дані_зв''язок'!$C$4:$C$1012=G$4),'Дані_зв''язок'!$D$4:$D$1012,"")))</f>
        <v>15:30</v>
      </c>
      <c r="H222" s="27" t="str" cm="1">
        <f t="array" ref="H222">IF($O222="","",_xlfn.TEXTJOIN(", ",TRUE,IF(EXACT('Дані_зв''язок'!$J$4:$J$1012,$O222)*('Дані_зв''язок'!$C$4:$C$1012=H$4),'Дані_зв''язок'!$D$4:$D$1012,"")))</f>
        <v/>
      </c>
      <c r="I222" s="27" t="str" cm="1">
        <f t="array" ref="I222">IF($O222="","",_xlfn.TEXTJOIN(", ",TRUE,IF(EXACT('Дані_зв''язок'!$J$4:$J$1012,$O222)*('Дані_зв''язок'!$C$4:$C$1012=I$4),'Дані_зв''язок'!$D$4:$D$1012,"")))</f>
        <v>15:10</v>
      </c>
      <c r="J222" s="27" cm="1">
        <f t="array" ref="J222">IF($O222="","",COUNTIF(C222:I222,"?*")+SUMPRODUCT(LEN(C222:I222)-LEN(SUBSTITUTE(C222:I222,",",""))))</f>
        <v>5</v>
      </c>
      <c r="K222" s="28" t="str" cm="1">
        <f t="array" ref="K222">IF($O222="","",_xlfn.TEXTJOIN(", ",TRUE,IF(EXACT('Дані_зв''язок'!$J$4:$J$1012,$O222),'Дані_зв''язок'!$L$4:$L$1012,"")))</f>
        <v>№4</v>
      </c>
      <c r="L222" s="28" t="str" cm="1">
        <f t="array" ref="L222">IF($O222="","",_xlfn.TEXTJOIN(", ",TRUE,IF(EXACT('Дані_зв''язок'!$J$4:$J$1012,$O222),'Дані_зв''язок'!$M$4:$M$1012,"")))</f>
        <v>АТ 40-42/ROD21003</v>
      </c>
      <c r="M222" s="27" cm="1">
        <f t="array" ref="M222">IF($O222="","",IF(SUMPRODUCT(MAX(EXACT('Дані_зв''язок'!$J$4:$J$1012,$O222)*IFERROR('Дані_зв''язок'!$H$4:$H$1012,0)))=0,"",SUMPRODUCT(MAX(EXACT('Дані_зв''язок'!$J$4:$J$1012,$O222)*IFERROR('Дані_зв''язок'!$H$4:$H$1012,0)))))</f>
        <v>3</v>
      </c>
      <c r="O222" s="30" t="s">
        <v>1348</v>
      </c>
      <c r="P222" s="24" t="str" cm="1">
        <f t="array" ref="P222">IF($O222="","",IF($B222="","",IFERROR(IF(MIN(IFERROR(VALUE(TRIM(MID(SUBSTITUTE(SUBSTITUTE($B222,","," ")," ",REPT(" ",30)),{1;31;61;91;121;151;181},30))),""))=0,"",MIN(IFERROR(VALUE(TRIM(MID(SUBSTITUTE(SUBSTITUTE($B222,","," ")," ",REPT(" ",30)),{1;31;61;91;121;151;181},30))),""))),"")))</f>
        <v/>
      </c>
      <c r="Q222" s="23" t="str">
        <f t="shared" si="11"/>
        <v>Прилуки, Чернігівська обл., вул. Київська</v>
      </c>
      <c r="R222" s="35">
        <f>IF($O222="","",IFERROR(INDEX('Координати майданчиків'!$H$4:$H$64,MATCH($T222,'Координати майданчиків'!$B$4:$B$64,0)),IFERROR(IF(ABS(INDEX(Геокодування!$C$2:$C$361,MATCH($Q222,Геокодування!$B$2:$B$361,0))-50.5884)+ABS(INDEX(Геокодування!$D$2:$D$361,MATCH($Q222,Геокодування!$B$2:$B$361,0))-32.3876)&gt;0.15,"",INDEX(Геокодування!$C$2:$C$361,MATCH($Q222,Геокодування!$B$2:$B$361,0))),IFERROR(IF(ABS(INDEX(Геокодування!$C$2:$C$361,MATCH("Прилуки, Чернігівська обл., "&amp;$A222,Геокодування!$B$2:$B$361,0))-50.5884)+ABS(INDEX(Геокодування!$D$2:$D$361,MATCH("Прилуки, Чернігівська обл., "&amp;$A222,Геокодування!$B$2:$B$361,0))-32.3876)&gt;0.15,"",INDEX(Геокодування!$C$2:$C$361,MATCH("Прилуки, Чернігівська обл., "&amp;$A222,Геокодування!$B$2:$B$361,0))),""))))</f>
        <v>50.595413999999998</v>
      </c>
      <c r="S222" s="43">
        <f>IF($O222="","",IFERROR(INDEX('Координати майданчиків'!$I$4:$I$64,MATCH($T222,'Координати майданчиків'!$B$4:$B$64,0)),IFERROR(IF(ABS(INDEX(Геокодування!$C$2:$C$361,MATCH($Q222,Геокодування!$B$2:$B$361,0))-50.5884)+ABS(INDEX(Геокодування!$D$2:$D$361,MATCH($Q222,Геокодування!$B$2:$B$361,0))-32.3876)&gt;0.15,"",INDEX(Геокодування!$D$2:$D$361,MATCH($Q222,Геокодування!$B$2:$B$361,0))),IFERROR(IF(ABS(INDEX(Геокодування!$C$2:$C$361,MATCH("Прилуки, Чернігівська обл., "&amp;$A222,Геокодування!$B$2:$B$361,0))-50.5884)+ABS(INDEX(Геокодування!$D$2:$D$361,MATCH("Прилуки, Чернігівська обл., "&amp;$A222,Геокодування!$B$2:$B$361,0))-32.3876)&gt;0.15,"",INDEX(Геокодування!$D$2:$D$361,MATCH("Прилуки, Чернігівська обл., "&amp;$A222,Геокодування!$B$2:$B$361,0))),""))))</f>
        <v>32.381410000000002</v>
      </c>
      <c r="T222" s="44" t="str">
        <f>IF($O222="","",IFERROR(INDEX('Координати майданчиків'!$B$4:$B$64,MATCH($A222&amp;IF($P222="","",", "&amp;$P222),'Координати майданчиків'!$B$4:$B$64,0)),IFERROR(INDEX('Координати майданчиків'!$B$4:$B$64,MATCH($A222,'Координати майданчиків'!$B$4:$B$64,0)),"")))</f>
        <v/>
      </c>
    </row>
    <row r="223" spans="1:20" x14ac:dyDescent="0.35">
      <c r="A223" s="26" t="str">
        <f t="shared" si="9"/>
        <v>вул. Київська</v>
      </c>
      <c r="B223" s="26" t="str">
        <f t="shared" si="10"/>
        <v>УБР</v>
      </c>
      <c r="C223" s="27" t="str" cm="1">
        <f t="array" ref="C223">IF($O223="","",_xlfn.TEXTJOIN(", ",TRUE,IF(EXACT('Дані_зв''язок'!$J$4:$J$1012,$O223)*('Дані_зв''язок'!$C$4:$C$1012=C$4),'Дані_зв''язок'!$D$4:$D$1012,"")))</f>
        <v/>
      </c>
      <c r="D223" s="27" t="str" cm="1">
        <f t="array" ref="D223">IF($O223="","",_xlfn.TEXTJOIN(", ",TRUE,IF(EXACT('Дані_зв''язок'!$J$4:$J$1012,$O223)*('Дані_зв''язок'!$C$4:$C$1012=D$4),'Дані_зв''язок'!$D$4:$D$1012,"")))</f>
        <v/>
      </c>
      <c r="E223" s="27" t="str" cm="1">
        <f t="array" ref="E223">IF($O223="","",_xlfn.TEXTJOIN(", ",TRUE,IF(EXACT('Дані_зв''язок'!$J$4:$J$1012,$O223)*('Дані_зв''язок'!$C$4:$C$1012=E$4),'Дані_зв''язок'!$D$4:$D$1012,"")))</f>
        <v/>
      </c>
      <c r="F223" s="27" t="str" cm="1">
        <f t="array" ref="F223">IF($O223="","",_xlfn.TEXTJOIN(", ",TRUE,IF(EXACT('Дані_зв''язок'!$J$4:$J$1012,$O223)*('Дані_зв''язок'!$C$4:$C$1012=F$4),'Дані_зв''язок'!$D$4:$D$1012,"")))</f>
        <v>15:05</v>
      </c>
      <c r="G223" s="27" t="str" cm="1">
        <f t="array" ref="G223">IF($O223="","",_xlfn.TEXTJOIN(", ",TRUE,IF(EXACT('Дані_зв''язок'!$J$4:$J$1012,$O223)*('Дані_зв''язок'!$C$4:$C$1012=G$4),'Дані_зв''язок'!$D$4:$D$1012,"")))</f>
        <v/>
      </c>
      <c r="H223" s="27" t="str" cm="1">
        <f t="array" ref="H223">IF($O223="","",_xlfn.TEXTJOIN(", ",TRUE,IF(EXACT('Дані_зв''язок'!$J$4:$J$1012,$O223)*('Дані_зв''язок'!$C$4:$C$1012=H$4),'Дані_зв''язок'!$D$4:$D$1012,"")))</f>
        <v/>
      </c>
      <c r="I223" s="27" t="str" cm="1">
        <f t="array" ref="I223">IF($O223="","",_xlfn.TEXTJOIN(", ",TRUE,IF(EXACT('Дані_зв''язок'!$J$4:$J$1012,$O223)*('Дані_зв''язок'!$C$4:$C$1012=I$4),'Дані_зв''язок'!$D$4:$D$1012,"")))</f>
        <v/>
      </c>
      <c r="J223" s="27" cm="1">
        <f t="array" ref="J223">IF($O223="","",COUNTIF(C223:I223,"?*")+SUMPRODUCT(LEN(C223:I223)-LEN(SUBSTITUTE(C223:I223,",",""))))</f>
        <v>1</v>
      </c>
      <c r="K223" s="28" t="str" cm="1">
        <f t="array" ref="K223">IF($O223="","",_xlfn.TEXTJOIN(", ",TRUE,IF(EXACT('Дані_зв''язок'!$J$4:$J$1012,$O223),'Дані_зв''язок'!$L$4:$L$1012,"")))</f>
        <v>№2</v>
      </c>
      <c r="L223" s="28" t="str" cm="1">
        <f t="array" ref="L223">IF($O223="","",_xlfn.TEXTJOIN(", ",TRUE,IF(EXACT('Дані_зв''язок'!$J$4:$J$1012,$O223),'Дані_зв''язок'!$M$4:$M$1012,"")))</f>
        <v>АТ 4021/1120</v>
      </c>
      <c r="M223" s="27" cm="1">
        <f t="array" ref="M223">IF($O223="","",IF(SUMPRODUCT(MAX(EXACT('Дані_зв''язок'!$J$4:$J$1012,$O223)*IFERROR('Дані_зв''язок'!$H$4:$H$1012,0)))=0,"",SUMPRODUCT(MAX(EXACT('Дані_зв''язок'!$J$4:$J$1012,$O223)*IFERROR('Дані_зв''язок'!$H$4:$H$1012,0)))))</f>
        <v>1</v>
      </c>
      <c r="O223" s="30" t="s">
        <v>1349</v>
      </c>
      <c r="P223" s="24" t="str" cm="1">
        <f t="array" ref="P223">IF($O223="","",IF($B223="","",IFERROR(IF(MIN(IFERROR(VALUE(TRIM(MID(SUBSTITUTE(SUBSTITUTE($B223,","," ")," ",REPT(" ",30)),{1;31;61;91;121;151;181},30))),""))=0,"",MIN(IFERROR(VALUE(TRIM(MID(SUBSTITUTE(SUBSTITUTE($B223,","," ")," ",REPT(" ",30)),{1;31;61;91;121;151;181},30))),""))),"")))</f>
        <v/>
      </c>
      <c r="Q223" s="23" t="str">
        <f t="shared" si="11"/>
        <v>Прилуки, Чернігівська обл., вул. Київська</v>
      </c>
      <c r="R223" s="35">
        <f>IF($O223="","",IFERROR(INDEX('Координати майданчиків'!$H$4:$H$64,MATCH($T223,'Координати майданчиків'!$B$4:$B$64,0)),IFERROR(IF(ABS(INDEX(Геокодування!$C$2:$C$361,MATCH($Q223,Геокодування!$B$2:$B$361,0))-50.5884)+ABS(INDEX(Геокодування!$D$2:$D$361,MATCH($Q223,Геокодування!$B$2:$B$361,0))-32.3876)&gt;0.15,"",INDEX(Геокодування!$C$2:$C$361,MATCH($Q223,Геокодування!$B$2:$B$361,0))),IFERROR(IF(ABS(INDEX(Геокодування!$C$2:$C$361,MATCH("Прилуки, Чернігівська обл., "&amp;$A223,Геокодування!$B$2:$B$361,0))-50.5884)+ABS(INDEX(Геокодування!$D$2:$D$361,MATCH("Прилуки, Чернігівська обл., "&amp;$A223,Геокодування!$B$2:$B$361,0))-32.3876)&gt;0.15,"",INDEX(Геокодування!$C$2:$C$361,MATCH("Прилуки, Чернігівська обл., "&amp;$A223,Геокодування!$B$2:$B$361,0))),""))))</f>
        <v>50.595413999999998</v>
      </c>
      <c r="S223" s="43">
        <f>IF($O223="","",IFERROR(INDEX('Координати майданчиків'!$I$4:$I$64,MATCH($T223,'Координати майданчиків'!$B$4:$B$64,0)),IFERROR(IF(ABS(INDEX(Геокодування!$C$2:$C$361,MATCH($Q223,Геокодування!$B$2:$B$361,0))-50.5884)+ABS(INDEX(Геокодування!$D$2:$D$361,MATCH($Q223,Геокодування!$B$2:$B$361,0))-32.3876)&gt;0.15,"",INDEX(Геокодування!$D$2:$D$361,MATCH($Q223,Геокодування!$B$2:$B$361,0))),IFERROR(IF(ABS(INDEX(Геокодування!$C$2:$C$361,MATCH("Прилуки, Чернігівська обл., "&amp;$A223,Геокодування!$B$2:$B$361,0))-50.5884)+ABS(INDEX(Геокодування!$D$2:$D$361,MATCH("Прилуки, Чернігівська обл., "&amp;$A223,Геокодування!$B$2:$B$361,0))-32.3876)&gt;0.15,"",INDEX(Геокодування!$D$2:$D$361,MATCH("Прилуки, Чернігівська обл., "&amp;$A223,Геокодування!$B$2:$B$361,0))),""))))</f>
        <v>32.381410000000002</v>
      </c>
      <c r="T223" s="44" t="str">
        <f>IF($O223="","",IFERROR(INDEX('Координати майданчиків'!$B$4:$B$64,MATCH($A223&amp;IF($P223="","",", "&amp;$P223),'Координати майданчиків'!$B$4:$B$64,0)),IFERROR(INDEX('Координати майданчиків'!$B$4:$B$64,MATCH($A223,'Координати майданчиків'!$B$4:$B$64,0)),"")))</f>
        <v/>
      </c>
    </row>
    <row r="224" spans="1:20" x14ac:dyDescent="0.35">
      <c r="A224" s="26" t="str">
        <f t="shared" si="9"/>
        <v>вул. Київська</v>
      </c>
      <c r="B224" s="26" t="str">
        <f t="shared" si="10"/>
        <v>Франсуа</v>
      </c>
      <c r="C224" s="27" t="str" cm="1">
        <f t="array" ref="C224">IF($O224="","",_xlfn.TEXTJOIN(", ",TRUE,IF(EXACT('Дані_зв''язок'!$J$4:$J$1012,$O224)*('Дані_зв''язок'!$C$4:$C$1012=C$4),'Дані_зв''язок'!$D$4:$D$1012,"")))</f>
        <v>15:30</v>
      </c>
      <c r="D224" s="27" t="str" cm="1">
        <f t="array" ref="D224">IF($O224="","",_xlfn.TEXTJOIN(", ",TRUE,IF(EXACT('Дані_зв''язок'!$J$4:$J$1012,$O224)*('Дані_зв''язок'!$C$4:$C$1012=D$4),'Дані_зв''язок'!$D$4:$D$1012,"")))</f>
        <v/>
      </c>
      <c r="E224" s="27" t="str" cm="1">
        <f t="array" ref="E224">IF($O224="","",_xlfn.TEXTJOIN(", ",TRUE,IF(EXACT('Дані_зв''язок'!$J$4:$J$1012,$O224)*('Дані_зв''язок'!$C$4:$C$1012=E$4),'Дані_зв''язок'!$D$4:$D$1012,"")))</f>
        <v/>
      </c>
      <c r="F224" s="27" t="str" cm="1">
        <f t="array" ref="F224">IF($O224="","",_xlfn.TEXTJOIN(", ",TRUE,IF(EXACT('Дані_зв''язок'!$J$4:$J$1012,$O224)*('Дані_зв''язок'!$C$4:$C$1012=F$4),'Дані_зв''язок'!$D$4:$D$1012,"")))</f>
        <v/>
      </c>
      <c r="G224" s="27" t="str" cm="1">
        <f t="array" ref="G224">IF($O224="","",_xlfn.TEXTJOIN(", ",TRUE,IF(EXACT('Дані_зв''язок'!$J$4:$J$1012,$O224)*('Дані_зв''язок'!$C$4:$C$1012=G$4),'Дані_зв''язок'!$D$4:$D$1012,"")))</f>
        <v/>
      </c>
      <c r="H224" s="27" t="str" cm="1">
        <f t="array" ref="H224">IF($O224="","",_xlfn.TEXTJOIN(", ",TRUE,IF(EXACT('Дані_зв''язок'!$J$4:$J$1012,$O224)*('Дані_зв''язок'!$C$4:$C$1012=H$4),'Дані_зв''язок'!$D$4:$D$1012,"")))</f>
        <v/>
      </c>
      <c r="I224" s="27" t="str" cm="1">
        <f t="array" ref="I224">IF($O224="","",_xlfn.TEXTJOIN(", ",TRUE,IF(EXACT('Дані_зв''язок'!$J$4:$J$1012,$O224)*('Дані_зв''язок'!$C$4:$C$1012=I$4),'Дані_зв''язок'!$D$4:$D$1012,"")))</f>
        <v/>
      </c>
      <c r="J224" s="27" cm="1">
        <f t="array" ref="J224">IF($O224="","",COUNTIF(C224:I224,"?*")+SUMPRODUCT(LEN(C224:I224)-LEN(SUBSTITUTE(C224:I224,",",""))))</f>
        <v>1</v>
      </c>
      <c r="K224" s="28" t="str" cm="1">
        <f t="array" ref="K224">IF($O224="","",_xlfn.TEXTJOIN(", ",TRUE,IF(EXACT('Дані_зв''язок'!$J$4:$J$1012,$O224),'Дані_зв''язок'!$L$4:$L$1012,"")))</f>
        <v>№2</v>
      </c>
      <c r="L224" s="28" t="str" cm="1">
        <f t="array" ref="L224">IF($O224="","",_xlfn.TEXTJOIN(", ",TRUE,IF(EXACT('Дані_зв''язок'!$J$4:$J$1012,$O224),'Дані_зв''язок'!$M$4:$M$1012,"")))</f>
        <v>АТ 4021/1120</v>
      </c>
      <c r="M224" s="27" cm="1">
        <f t="array" ref="M224">IF($O224="","",IF(SUMPRODUCT(MAX(EXACT('Дані_зв''язок'!$J$4:$J$1012,$O224)*IFERROR('Дані_зв''язок'!$H$4:$H$1012,0)))=0,"",SUMPRODUCT(MAX(EXACT('Дані_зв''язок'!$J$4:$J$1012,$O224)*IFERROR('Дані_зв''язок'!$H$4:$H$1012,0)))))</f>
        <v>1</v>
      </c>
      <c r="O224" s="30" t="s">
        <v>1350</v>
      </c>
      <c r="P224" s="24" t="str" cm="1">
        <f t="array" ref="P224">IF($O224="","",IF($B224="","",IFERROR(IF(MIN(IFERROR(VALUE(TRIM(MID(SUBSTITUTE(SUBSTITUTE($B224,","," ")," ",REPT(" ",30)),{1;31;61;91;121;151;181},30))),""))=0,"",MIN(IFERROR(VALUE(TRIM(MID(SUBSTITUTE(SUBSTITUTE($B224,","," ")," ",REPT(" ",30)),{1;31;61;91;121;151;181},30))),""))),"")))</f>
        <v/>
      </c>
      <c r="Q224" s="23" t="str">
        <f t="shared" si="11"/>
        <v>Прилуки, Чернігівська обл., вул. Київська</v>
      </c>
      <c r="R224" s="35">
        <f>IF($O224="","",IFERROR(INDEX('Координати майданчиків'!$H$4:$H$64,MATCH($T224,'Координати майданчиків'!$B$4:$B$64,0)),IFERROR(IF(ABS(INDEX(Геокодування!$C$2:$C$361,MATCH($Q224,Геокодування!$B$2:$B$361,0))-50.5884)+ABS(INDEX(Геокодування!$D$2:$D$361,MATCH($Q224,Геокодування!$B$2:$B$361,0))-32.3876)&gt;0.15,"",INDEX(Геокодування!$C$2:$C$361,MATCH($Q224,Геокодування!$B$2:$B$361,0))),IFERROR(IF(ABS(INDEX(Геокодування!$C$2:$C$361,MATCH("Прилуки, Чернігівська обл., "&amp;$A224,Геокодування!$B$2:$B$361,0))-50.5884)+ABS(INDEX(Геокодування!$D$2:$D$361,MATCH("Прилуки, Чернігівська обл., "&amp;$A224,Геокодування!$B$2:$B$361,0))-32.3876)&gt;0.15,"",INDEX(Геокодування!$C$2:$C$361,MATCH("Прилуки, Чернігівська обл., "&amp;$A224,Геокодування!$B$2:$B$361,0))),""))))</f>
        <v>50.595413999999998</v>
      </c>
      <c r="S224" s="43">
        <f>IF($O224="","",IFERROR(INDEX('Координати майданчиків'!$I$4:$I$64,MATCH($T224,'Координати майданчиків'!$B$4:$B$64,0)),IFERROR(IF(ABS(INDEX(Геокодування!$C$2:$C$361,MATCH($Q224,Геокодування!$B$2:$B$361,0))-50.5884)+ABS(INDEX(Геокодування!$D$2:$D$361,MATCH($Q224,Геокодування!$B$2:$B$361,0))-32.3876)&gt;0.15,"",INDEX(Геокодування!$D$2:$D$361,MATCH($Q224,Геокодування!$B$2:$B$361,0))),IFERROR(IF(ABS(INDEX(Геокодування!$C$2:$C$361,MATCH("Прилуки, Чернігівська обл., "&amp;$A224,Геокодування!$B$2:$B$361,0))-50.5884)+ABS(INDEX(Геокодування!$D$2:$D$361,MATCH("Прилуки, Чернігівська обл., "&amp;$A224,Геокодування!$B$2:$B$361,0))-32.3876)&gt;0.15,"",INDEX(Геокодування!$D$2:$D$361,MATCH("Прилуки, Чернігівська обл., "&amp;$A224,Геокодування!$B$2:$B$361,0))),""))))</f>
        <v>32.381410000000002</v>
      </c>
      <c r="T224" s="44" t="str">
        <f>IF($O224="","",IFERROR(INDEX('Координати майданчиків'!$B$4:$B$64,MATCH($A224&amp;IF($P224="","",", "&amp;$P224),'Координати майданчиків'!$B$4:$B$64,0)),IFERROR(INDEX('Координати майданчиків'!$B$4:$B$64,MATCH($A224,'Координати майданчиків'!$B$4:$B$64,0)),"")))</f>
        <v/>
      </c>
    </row>
    <row r="225" spans="1:20" ht="37.5" x14ac:dyDescent="0.35">
      <c r="A225" s="26" t="str">
        <f t="shared" si="9"/>
        <v>вул. Київська</v>
      </c>
      <c r="B225" s="26" t="str">
        <f t="shared" si="10"/>
        <v>ЦМЛ</v>
      </c>
      <c r="C225" s="27" t="str" cm="1">
        <f t="array" ref="C225">IF($O225="","",_xlfn.TEXTJOIN(", ",TRUE,IF(EXACT('Дані_зв''язок'!$J$4:$J$1012,$O225)*('Дані_зв''язок'!$C$4:$C$1012=C$4),'Дані_зв''язок'!$D$4:$D$1012,"")))</f>
        <v>8:25, 13:40</v>
      </c>
      <c r="D225" s="27" t="str" cm="1">
        <f t="array" ref="D225">IF($O225="","",_xlfn.TEXTJOIN(", ",TRUE,IF(EXACT('Дані_зв''язок'!$J$4:$J$1012,$O225)*('Дані_зв''язок'!$C$4:$C$1012=D$4),'Дані_зв''язок'!$D$4:$D$1012,"")))</f>
        <v>8:25, 13:25</v>
      </c>
      <c r="E225" s="27" t="str" cm="1">
        <f t="array" ref="E225">IF($O225="","",_xlfn.TEXTJOIN(", ",TRUE,IF(EXACT('Дані_зв''язок'!$J$4:$J$1012,$O225)*('Дані_зв''язок'!$C$4:$C$1012=E$4),'Дані_зв''язок'!$D$4:$D$1012,"")))</f>
        <v>8:25, 12:25</v>
      </c>
      <c r="F225" s="27" t="str" cm="1">
        <f t="array" ref="F225">IF($O225="","",_xlfn.TEXTJOIN(", ",TRUE,IF(EXACT('Дані_зв''язок'!$J$4:$J$1012,$O225)*('Дані_зв''язок'!$C$4:$C$1012=F$4),'Дані_зв''язок'!$D$4:$D$1012,"")))</f>
        <v>13:25, 13:45</v>
      </c>
      <c r="G225" s="27" t="str" cm="1">
        <f t="array" ref="G225">IF($O225="","",_xlfn.TEXTJOIN(", ",TRUE,IF(EXACT('Дані_зв''язок'!$J$4:$J$1012,$O225)*('Дані_зв''язок'!$C$4:$C$1012=G$4),'Дані_зв''язок'!$D$4:$D$1012,"")))</f>
        <v>8:25, 13:40</v>
      </c>
      <c r="H225" s="27" t="str" cm="1">
        <f t="array" ref="H225">IF($O225="","",_xlfn.TEXTJOIN(", ",TRUE,IF(EXACT('Дані_зв''язок'!$J$4:$J$1012,$O225)*('Дані_зв''язок'!$C$4:$C$1012=H$4),'Дані_зв''язок'!$D$4:$D$1012,"")))</f>
        <v>8:25, 12:25</v>
      </c>
      <c r="I225" s="27" t="str" cm="1">
        <f t="array" ref="I225">IF($O225="","",_xlfn.TEXTJOIN(", ",TRUE,IF(EXACT('Дані_зв''язок'!$J$4:$J$1012,$O225)*('Дані_зв''язок'!$C$4:$C$1012=I$4),'Дані_зв''язок'!$D$4:$D$1012,"")))</f>
        <v>13:45, 13:55</v>
      </c>
      <c r="J225" s="27" cm="1">
        <f t="array" ref="J225">IF($O225="","",COUNTIF(C225:I225,"?*")+SUMPRODUCT(LEN(C225:I225)-LEN(SUBSTITUTE(C225:I225,",",""))))</f>
        <v>14</v>
      </c>
      <c r="K225" s="28" t="str" cm="1">
        <f t="array" ref="K225">IF($O225="","",_xlfn.TEXTJOIN(", ",TRUE,IF(EXACT('Дані_зв''язок'!$J$4:$J$1012,$O225),'Дані_зв''язок'!$L$4:$L$1012,"")))</f>
        <v>№1, №4</v>
      </c>
      <c r="L225" s="28" t="str" cm="1">
        <f t="array" ref="L225">IF($O225="","",_xlfn.TEXTJOIN(", ",TRUE,IF(EXACT('Дані_зв''язок'!$J$4:$J$1012,$O225),'Дані_зв''язок'!$M$4:$M$1012,"")))</f>
        <v>КАМАЗ 55111, АТ 40-42/ROD21003, ГАЗ 3309, АТ-4021/1120</v>
      </c>
      <c r="M225" s="27" cm="1">
        <f t="array" ref="M225">IF($O225="","",IF(SUMPRODUCT(MAX(EXACT('Дані_зв''язок'!$J$4:$J$1012,$O225)*IFERROR('Дані_зв''язок'!$H$4:$H$1012,0)))=0,"",SUMPRODUCT(MAX(EXACT('Дані_зв''язок'!$J$4:$J$1012,$O225)*IFERROR('Дані_зв''язок'!$H$4:$H$1012,0)))))</f>
        <v>4</v>
      </c>
      <c r="O225" s="30" t="s">
        <v>1352</v>
      </c>
      <c r="P225" s="24" t="str" cm="1">
        <f t="array" ref="P225">IF($O225="","",IF($B225="","",IFERROR(IF(MIN(IFERROR(VALUE(TRIM(MID(SUBSTITUTE(SUBSTITUTE($B225,","," ")," ",REPT(" ",30)),{1;31;61;91;121;151;181},30))),""))=0,"",MIN(IFERROR(VALUE(TRIM(MID(SUBSTITUTE(SUBSTITUTE($B225,","," ")," ",REPT(" ",30)),{1;31;61;91;121;151;181},30))),""))),"")))</f>
        <v/>
      </c>
      <c r="Q225" s="23" t="str">
        <f t="shared" si="11"/>
        <v>Прилуки, Чернігівська обл., вул. Київська</v>
      </c>
      <c r="R225" s="35">
        <f>IF($O225="","",IFERROR(INDEX('Координати майданчиків'!$H$4:$H$64,MATCH($T225,'Координати майданчиків'!$B$4:$B$64,0)),IFERROR(IF(ABS(INDEX(Геокодування!$C$2:$C$361,MATCH($Q225,Геокодування!$B$2:$B$361,0))-50.5884)+ABS(INDEX(Геокодування!$D$2:$D$361,MATCH($Q225,Геокодування!$B$2:$B$361,0))-32.3876)&gt;0.15,"",INDEX(Геокодування!$C$2:$C$361,MATCH($Q225,Геокодування!$B$2:$B$361,0))),IFERROR(IF(ABS(INDEX(Геокодування!$C$2:$C$361,MATCH("Прилуки, Чернігівська обл., "&amp;$A225,Геокодування!$B$2:$B$361,0))-50.5884)+ABS(INDEX(Геокодування!$D$2:$D$361,MATCH("Прилуки, Чернігівська обл., "&amp;$A225,Геокодування!$B$2:$B$361,0))-32.3876)&gt;0.15,"",INDEX(Геокодування!$C$2:$C$361,MATCH("Прилуки, Чернігівська обл., "&amp;$A225,Геокодування!$B$2:$B$361,0))),""))))</f>
        <v>50.595413999999998</v>
      </c>
      <c r="S225" s="43">
        <f>IF($O225="","",IFERROR(INDEX('Координати майданчиків'!$I$4:$I$64,MATCH($T225,'Координати майданчиків'!$B$4:$B$64,0)),IFERROR(IF(ABS(INDEX(Геокодування!$C$2:$C$361,MATCH($Q225,Геокодування!$B$2:$B$361,0))-50.5884)+ABS(INDEX(Геокодування!$D$2:$D$361,MATCH($Q225,Геокодування!$B$2:$B$361,0))-32.3876)&gt;0.15,"",INDEX(Геокодування!$D$2:$D$361,MATCH($Q225,Геокодування!$B$2:$B$361,0))),IFERROR(IF(ABS(INDEX(Геокодування!$C$2:$C$361,MATCH("Прилуки, Чернігівська обл., "&amp;$A225,Геокодування!$B$2:$B$361,0))-50.5884)+ABS(INDEX(Геокодування!$D$2:$D$361,MATCH("Прилуки, Чернігівська обл., "&amp;$A225,Геокодування!$B$2:$B$361,0))-32.3876)&gt;0.15,"",INDEX(Геокодування!$D$2:$D$361,MATCH("Прилуки, Чернігівська обл., "&amp;$A225,Геокодування!$B$2:$B$361,0))),""))))</f>
        <v>32.381410000000002</v>
      </c>
      <c r="T225" s="44" t="str">
        <f>IF($O225="","",IFERROR(INDEX('Координати майданчиків'!$B$4:$B$64,MATCH($A225&amp;IF($P225="","",", "&amp;$P225),'Координати майданчиків'!$B$4:$B$64,0)),IFERROR(INDEX('Координати майданчиків'!$B$4:$B$64,MATCH($A225,'Координати майданчиків'!$B$4:$B$64,0)),"")))</f>
        <v/>
      </c>
    </row>
    <row r="226" spans="1:20" x14ac:dyDescent="0.35">
      <c r="A226" s="26" t="str">
        <f t="shared" si="9"/>
        <v>вул. Київська</v>
      </c>
      <c r="B226" s="26" t="str">
        <f t="shared" si="10"/>
        <v>ЦМЛ (швидка)</v>
      </c>
      <c r="C226" s="27" t="str" cm="1">
        <f t="array" ref="C226">IF($O226="","",_xlfn.TEXTJOIN(", ",TRUE,IF(EXACT('Дані_зв''язок'!$J$4:$J$1012,$O226)*('Дані_зв''язок'!$C$4:$C$1012=C$4),'Дані_зв''язок'!$D$4:$D$1012,"")))</f>
        <v>13:55</v>
      </c>
      <c r="D226" s="27" t="str" cm="1">
        <f t="array" ref="D226">IF($O226="","",_xlfn.TEXTJOIN(", ",TRUE,IF(EXACT('Дані_зв''язок'!$J$4:$J$1012,$O226)*('Дані_зв''язок'!$C$4:$C$1012=D$4),'Дані_зв''язок'!$D$4:$D$1012,"")))</f>
        <v>13:40</v>
      </c>
      <c r="E226" s="27" t="str" cm="1">
        <f t="array" ref="E226">IF($O226="","",_xlfn.TEXTJOIN(", ",TRUE,IF(EXACT('Дані_зв''язок'!$J$4:$J$1012,$O226)*('Дані_зв''язок'!$C$4:$C$1012=E$4),'Дані_зв''язок'!$D$4:$D$1012,"")))</f>
        <v>12:40</v>
      </c>
      <c r="F226" s="27" t="str" cm="1">
        <f t="array" ref="F226">IF($O226="","",_xlfn.TEXTJOIN(", ",TRUE,IF(EXACT('Дані_зв''язок'!$J$4:$J$1012,$O226)*('Дані_зв''язок'!$C$4:$C$1012=F$4),'Дані_зв''язок'!$D$4:$D$1012,"")))</f>
        <v>13:40</v>
      </c>
      <c r="G226" s="27" t="str" cm="1">
        <f t="array" ref="G226">IF($O226="","",_xlfn.TEXTJOIN(", ",TRUE,IF(EXACT('Дані_зв''язок'!$J$4:$J$1012,$O226)*('Дані_зв''язок'!$C$4:$C$1012=G$4),'Дані_зв''язок'!$D$4:$D$1012,"")))</f>
        <v>13:55</v>
      </c>
      <c r="H226" s="27" t="str" cm="1">
        <f t="array" ref="H226">IF($O226="","",_xlfn.TEXTJOIN(", ",TRUE,IF(EXACT('Дані_зв''язок'!$J$4:$J$1012,$O226)*('Дані_зв''язок'!$C$4:$C$1012=H$4),'Дані_зв''язок'!$D$4:$D$1012,"")))</f>
        <v>12:40</v>
      </c>
      <c r="I226" s="27" t="str" cm="1">
        <f t="array" ref="I226">IF($O226="","",_xlfn.TEXTJOIN(", ",TRUE,IF(EXACT('Дані_зв''язок'!$J$4:$J$1012,$O226)*('Дані_зв''язок'!$C$4:$C$1012=I$4),'Дані_зв''язок'!$D$4:$D$1012,"")))</f>
        <v>14:15</v>
      </c>
      <c r="J226" s="27" cm="1">
        <f t="array" ref="J226">IF($O226="","",COUNTIF(C226:I226,"?*")+SUMPRODUCT(LEN(C226:I226)-LEN(SUBSTITUTE(C226:I226,",",""))))</f>
        <v>7</v>
      </c>
      <c r="K226" s="28" t="str" cm="1">
        <f t="array" ref="K226">IF($O226="","",_xlfn.TEXTJOIN(", ",TRUE,IF(EXACT('Дані_зв''язок'!$J$4:$J$1012,$O226),'Дані_зв''язок'!$L$4:$L$1012,"")))</f>
        <v>№4</v>
      </c>
      <c r="L226" s="28" t="str" cm="1">
        <f t="array" ref="L226">IF($O226="","",_xlfn.TEXTJOIN(", ",TRUE,IF(EXACT('Дані_зв''язок'!$J$4:$J$1012,$O226),'Дані_зв''язок'!$M$4:$M$1012,"")))</f>
        <v>АТ 40-42/ROD21003, ГАЗ 3309</v>
      </c>
      <c r="M226" s="27" cm="1">
        <f t="array" ref="M226">IF($O226="","",IF(SUMPRODUCT(MAX(EXACT('Дані_зв''язок'!$J$4:$J$1012,$O226)*IFERROR('Дані_зв''язок'!$H$4:$H$1012,0)))=0,"",SUMPRODUCT(MAX(EXACT('Дані_зв''язок'!$J$4:$J$1012,$O226)*IFERROR('Дані_зв''язок'!$H$4:$H$1012,0)))))</f>
        <v>2</v>
      </c>
      <c r="O226" s="30" t="s">
        <v>1353</v>
      </c>
      <c r="P226" s="24" t="str" cm="1">
        <f t="array" ref="P226">IF($O226="","",IF($B226="","",IFERROR(IF(MIN(IFERROR(VALUE(TRIM(MID(SUBSTITUTE(SUBSTITUTE($B226,","," ")," ",REPT(" ",30)),{1;31;61;91;121;151;181},30))),""))=0,"",MIN(IFERROR(VALUE(TRIM(MID(SUBSTITUTE(SUBSTITUTE($B226,","," ")," ",REPT(" ",30)),{1;31;61;91;121;151;181},30))),""))),"")))</f>
        <v/>
      </c>
      <c r="Q226" s="23" t="str">
        <f t="shared" si="11"/>
        <v>Прилуки, Чернігівська обл., вул. Київська</v>
      </c>
      <c r="R226" s="35">
        <f>IF($O226="","",IFERROR(INDEX('Координати майданчиків'!$H$4:$H$64,MATCH($T226,'Координати майданчиків'!$B$4:$B$64,0)),IFERROR(IF(ABS(INDEX(Геокодування!$C$2:$C$361,MATCH($Q226,Геокодування!$B$2:$B$361,0))-50.5884)+ABS(INDEX(Геокодування!$D$2:$D$361,MATCH($Q226,Геокодування!$B$2:$B$361,0))-32.3876)&gt;0.15,"",INDEX(Геокодування!$C$2:$C$361,MATCH($Q226,Геокодування!$B$2:$B$361,0))),IFERROR(IF(ABS(INDEX(Геокодування!$C$2:$C$361,MATCH("Прилуки, Чернігівська обл., "&amp;$A226,Геокодування!$B$2:$B$361,0))-50.5884)+ABS(INDEX(Геокодування!$D$2:$D$361,MATCH("Прилуки, Чернігівська обл., "&amp;$A226,Геокодування!$B$2:$B$361,0))-32.3876)&gt;0.15,"",INDEX(Геокодування!$C$2:$C$361,MATCH("Прилуки, Чернігівська обл., "&amp;$A226,Геокодування!$B$2:$B$361,0))),""))))</f>
        <v>50.595413999999998</v>
      </c>
      <c r="S226" s="43">
        <f>IF($O226="","",IFERROR(INDEX('Координати майданчиків'!$I$4:$I$64,MATCH($T226,'Координати майданчиків'!$B$4:$B$64,0)),IFERROR(IF(ABS(INDEX(Геокодування!$C$2:$C$361,MATCH($Q226,Геокодування!$B$2:$B$361,0))-50.5884)+ABS(INDEX(Геокодування!$D$2:$D$361,MATCH($Q226,Геокодування!$B$2:$B$361,0))-32.3876)&gt;0.15,"",INDEX(Геокодування!$D$2:$D$361,MATCH($Q226,Геокодування!$B$2:$B$361,0))),IFERROR(IF(ABS(INDEX(Геокодування!$C$2:$C$361,MATCH("Прилуки, Чернігівська обл., "&amp;$A226,Геокодування!$B$2:$B$361,0))-50.5884)+ABS(INDEX(Геокодування!$D$2:$D$361,MATCH("Прилуки, Чернігівська обл., "&amp;$A226,Геокодування!$B$2:$B$361,0))-32.3876)&gt;0.15,"",INDEX(Геокодування!$D$2:$D$361,MATCH("Прилуки, Чернігівська обл., "&amp;$A226,Геокодування!$B$2:$B$361,0))),""))))</f>
        <v>32.381410000000002</v>
      </c>
      <c r="T226" s="44" t="str">
        <f>IF($O226="","",IFERROR(INDEX('Координати майданчиків'!$B$4:$B$64,MATCH($A226&amp;IF($P226="","",", "&amp;$P226),'Координати майданчиків'!$B$4:$B$64,0)),IFERROR(INDEX('Координати майданчиків'!$B$4:$B$64,MATCH($A226,'Координати майданчиків'!$B$4:$B$64,0)),"")))</f>
        <v/>
      </c>
    </row>
    <row r="227" spans="1:20" x14ac:dyDescent="0.35">
      <c r="A227" s="26" t="str">
        <f t="shared" si="9"/>
        <v>вул. Київська</v>
      </c>
      <c r="B227" s="26" t="str">
        <f t="shared" si="10"/>
        <v>Центральна площа</v>
      </c>
      <c r="C227" s="27" t="str" cm="1">
        <f t="array" ref="C227">IF($O227="","",_xlfn.TEXTJOIN(", ",TRUE,IF(EXACT('Дані_зв''язок'!$J$4:$J$1012,$O227)*('Дані_зв''язок'!$C$4:$C$1012=C$4),'Дані_зв''язок'!$D$4:$D$1012,"")))</f>
        <v>7:20, 11:25</v>
      </c>
      <c r="D227" s="27" t="str" cm="1">
        <f t="array" ref="D227">IF($O227="","",_xlfn.TEXTJOIN(", ",TRUE,IF(EXACT('Дані_зв''язок'!$J$4:$J$1012,$O227)*('Дані_зв''язок'!$C$4:$C$1012=D$4),'Дані_зв''язок'!$D$4:$D$1012,"")))</f>
        <v>7:20, 10:45</v>
      </c>
      <c r="E227" s="27" t="str" cm="1">
        <f t="array" ref="E227">IF($O227="","",_xlfn.TEXTJOIN(", ",TRUE,IF(EXACT('Дані_зв''язок'!$J$4:$J$1012,$O227)*('Дані_зв''язок'!$C$4:$C$1012=E$4),'Дані_зв''язок'!$D$4:$D$1012,"")))</f>
        <v>7:20, 11:10</v>
      </c>
      <c r="F227" s="27" t="str" cm="1">
        <f t="array" ref="F227">IF($O227="","",_xlfn.TEXTJOIN(", ",TRUE,IF(EXACT('Дані_зв''язок'!$J$4:$J$1012,$O227)*('Дані_зв''язок'!$C$4:$C$1012=F$4),'Дані_зв''язок'!$D$4:$D$1012,"")))</f>
        <v>7:35</v>
      </c>
      <c r="G227" s="27" t="str" cm="1">
        <f t="array" ref="G227">IF($O227="","",_xlfn.TEXTJOIN(", ",TRUE,IF(EXACT('Дані_зв''язок'!$J$4:$J$1012,$O227)*('Дані_зв''язок'!$C$4:$C$1012=G$4),'Дані_зв''язок'!$D$4:$D$1012,"")))</f>
        <v>7:20</v>
      </c>
      <c r="H227" s="27" t="str" cm="1">
        <f t="array" ref="H227">IF($O227="","",_xlfn.TEXTJOIN(", ",TRUE,IF(EXACT('Дані_зв''язок'!$J$4:$J$1012,$O227)*('Дані_зв''язок'!$C$4:$C$1012=H$4),'Дані_зв''язок'!$D$4:$D$1012,"")))</f>
        <v>7:20, 10:45</v>
      </c>
      <c r="I227" s="27" t="str" cm="1">
        <f t="array" ref="I227">IF($O227="","",_xlfn.TEXTJOIN(", ",TRUE,IF(EXACT('Дані_зв''язок'!$J$4:$J$1012,$O227)*('Дані_зв''язок'!$C$4:$C$1012=I$4),'Дані_зв''язок'!$D$4:$D$1012,"")))</f>
        <v>7:35, 15:50</v>
      </c>
      <c r="J227" s="27" cm="1">
        <f t="array" ref="J227">IF($O227="","",COUNTIF(C227:I227,"?*")+SUMPRODUCT(LEN(C227:I227)-LEN(SUBSTITUTE(C227:I227,",",""))))</f>
        <v>12</v>
      </c>
      <c r="K227" s="28" t="str" cm="1">
        <f t="array" ref="K227">IF($O227="","",_xlfn.TEXTJOIN(", ",TRUE,IF(EXACT('Дані_зв''язок'!$J$4:$J$1012,$O227),'Дані_зв''язок'!$L$4:$L$1012,"")))</f>
        <v>№1</v>
      </c>
      <c r="L227" s="28" t="str" cm="1">
        <f t="array" ref="L227">IF($O227="","",_xlfn.TEXTJOIN(", ",TRUE,IF(EXACT('Дані_зв''язок'!$J$4:$J$1012,$O227),'Дані_зв''язок'!$M$4:$M$1012,"")))</f>
        <v>КАМАЗ 55111, АТ-4021/1120</v>
      </c>
      <c r="M227" s="27" cm="1">
        <f t="array" ref="M227">IF($O227="","",IF(SUMPRODUCT(MAX(EXACT('Дані_зв''язок'!$J$4:$J$1012,$O227)*IFERROR('Дані_зв''язок'!$H$4:$H$1012,0)))=0,"",SUMPRODUCT(MAX(EXACT('Дані_зв''язок'!$J$4:$J$1012,$O227)*IFERROR('Дані_зв''язок'!$H$4:$H$1012,0)))))</f>
        <v>2</v>
      </c>
      <c r="O227" s="30" t="s">
        <v>1351</v>
      </c>
      <c r="P227" s="24" t="str" cm="1">
        <f t="array" ref="P227">IF($O227="","",IF($B227="","",IFERROR(IF(MIN(IFERROR(VALUE(TRIM(MID(SUBSTITUTE(SUBSTITUTE($B227,","," ")," ",REPT(" ",30)),{1;31;61;91;121;151;181},30))),""))=0,"",MIN(IFERROR(VALUE(TRIM(MID(SUBSTITUTE(SUBSTITUTE($B227,","," ")," ",REPT(" ",30)),{1;31;61;91;121;151;181},30))),""))),"")))</f>
        <v/>
      </c>
      <c r="Q227" s="23" t="str">
        <f t="shared" si="11"/>
        <v>Прилуки, Чернігівська обл., вул. Київська</v>
      </c>
      <c r="R227" s="35">
        <f>IF($O227="","",IFERROR(INDEX('Координати майданчиків'!$H$4:$H$64,MATCH($T227,'Координати майданчиків'!$B$4:$B$64,0)),IFERROR(IF(ABS(INDEX(Геокодування!$C$2:$C$361,MATCH($Q227,Геокодування!$B$2:$B$361,0))-50.5884)+ABS(INDEX(Геокодування!$D$2:$D$361,MATCH($Q227,Геокодування!$B$2:$B$361,0))-32.3876)&gt;0.15,"",INDEX(Геокодування!$C$2:$C$361,MATCH($Q227,Геокодування!$B$2:$B$361,0))),IFERROR(IF(ABS(INDEX(Геокодування!$C$2:$C$361,MATCH("Прилуки, Чернігівська обл., "&amp;$A227,Геокодування!$B$2:$B$361,0))-50.5884)+ABS(INDEX(Геокодування!$D$2:$D$361,MATCH("Прилуки, Чернігівська обл., "&amp;$A227,Геокодування!$B$2:$B$361,0))-32.3876)&gt;0.15,"",INDEX(Геокодування!$C$2:$C$361,MATCH("Прилуки, Чернігівська обл., "&amp;$A227,Геокодування!$B$2:$B$361,0))),""))))</f>
        <v>50.595413999999998</v>
      </c>
      <c r="S227" s="43">
        <f>IF($O227="","",IFERROR(INDEX('Координати майданчиків'!$I$4:$I$64,MATCH($T227,'Координати майданчиків'!$B$4:$B$64,0)),IFERROR(IF(ABS(INDEX(Геокодування!$C$2:$C$361,MATCH($Q227,Геокодування!$B$2:$B$361,0))-50.5884)+ABS(INDEX(Геокодування!$D$2:$D$361,MATCH($Q227,Геокодування!$B$2:$B$361,0))-32.3876)&gt;0.15,"",INDEX(Геокодування!$D$2:$D$361,MATCH($Q227,Геокодування!$B$2:$B$361,0))),IFERROR(IF(ABS(INDEX(Геокодування!$C$2:$C$361,MATCH("Прилуки, Чернігівська обл., "&amp;$A227,Геокодування!$B$2:$B$361,0))-50.5884)+ABS(INDEX(Геокодування!$D$2:$D$361,MATCH("Прилуки, Чернігівська обл., "&amp;$A227,Геокодування!$B$2:$B$361,0))-32.3876)&gt;0.15,"",INDEX(Геокодування!$D$2:$D$361,MATCH("Прилуки, Чернігівська обл., "&amp;$A227,Геокодування!$B$2:$B$361,0))),""))))</f>
        <v>32.381410000000002</v>
      </c>
      <c r="T227" s="44" t="str">
        <f>IF($O227="","",IFERROR(INDEX('Координати майданчиків'!$B$4:$B$64,MATCH($A227&amp;IF($P227="","",", "&amp;$P227),'Координати майданчиків'!$B$4:$B$64,0)),IFERROR(INDEX('Координати майданчиків'!$B$4:$B$64,MATCH($A227,'Координати майданчиків'!$B$4:$B$64,0)),"")))</f>
        <v/>
      </c>
    </row>
    <row r="228" spans="1:20" x14ac:dyDescent="0.35">
      <c r="A228" s="26" t="str">
        <f t="shared" si="9"/>
        <v>вул. Київська</v>
      </c>
      <c r="B228" s="26" t="str">
        <f t="shared" si="10"/>
        <v>Швейна</v>
      </c>
      <c r="C228" s="27" t="str" cm="1">
        <f t="array" ref="C228">IF($O228="","",_xlfn.TEXTJOIN(", ",TRUE,IF(EXACT('Дані_зв''язок'!$J$4:$J$1012,$O228)*('Дані_зв''язок'!$C$4:$C$1012=C$4),'Дані_зв''язок'!$D$4:$D$1012,"")))</f>
        <v/>
      </c>
      <c r="D228" s="27" t="str" cm="1">
        <f t="array" ref="D228">IF($O228="","",_xlfn.TEXTJOIN(", ",TRUE,IF(EXACT('Дані_зв''язок'!$J$4:$J$1012,$O228)*('Дані_зв''язок'!$C$4:$C$1012=D$4),'Дані_зв''язок'!$D$4:$D$1012,"")))</f>
        <v/>
      </c>
      <c r="E228" s="27" t="str" cm="1">
        <f t="array" ref="E228">IF($O228="","",_xlfn.TEXTJOIN(", ",TRUE,IF(EXACT('Дані_зв''язок'!$J$4:$J$1012,$O228)*('Дані_зв''язок'!$C$4:$C$1012=E$4),'Дані_зв''язок'!$D$4:$D$1012,"")))</f>
        <v/>
      </c>
      <c r="F228" s="27" t="str" cm="1">
        <f t="array" ref="F228">IF($O228="","",_xlfn.TEXTJOIN(", ",TRUE,IF(EXACT('Дані_зв''язок'!$J$4:$J$1012,$O228)*('Дані_зв''язок'!$C$4:$C$1012=F$4),'Дані_зв''язок'!$D$4:$D$1012,"")))</f>
        <v>15:15</v>
      </c>
      <c r="G228" s="27" t="str" cm="1">
        <f t="array" ref="G228">IF($O228="","",_xlfn.TEXTJOIN(", ",TRUE,IF(EXACT('Дані_зв''язок'!$J$4:$J$1012,$O228)*('Дані_зв''язок'!$C$4:$C$1012=G$4),'Дані_зв''язок'!$D$4:$D$1012,"")))</f>
        <v/>
      </c>
      <c r="H228" s="27" t="str" cm="1">
        <f t="array" ref="H228">IF($O228="","",_xlfn.TEXTJOIN(", ",TRUE,IF(EXACT('Дані_зв''язок'!$J$4:$J$1012,$O228)*('Дані_зв''язок'!$C$4:$C$1012=H$4),'Дані_зв''язок'!$D$4:$D$1012,"")))</f>
        <v/>
      </c>
      <c r="I228" s="27" t="str" cm="1">
        <f t="array" ref="I228">IF($O228="","",_xlfn.TEXTJOIN(", ",TRUE,IF(EXACT('Дані_зв''язок'!$J$4:$J$1012,$O228)*('Дані_зв''язок'!$C$4:$C$1012=I$4),'Дані_зв''язок'!$D$4:$D$1012,"")))</f>
        <v/>
      </c>
      <c r="J228" s="27" cm="1">
        <f t="array" ref="J228">IF($O228="","",COUNTIF(C228:I228,"?*")+SUMPRODUCT(LEN(C228:I228)-LEN(SUBSTITUTE(C228:I228,",",""))))</f>
        <v>1</v>
      </c>
      <c r="K228" s="28" t="str" cm="1">
        <f t="array" ref="K228">IF($O228="","",_xlfn.TEXTJOIN(", ",TRUE,IF(EXACT('Дані_зв''язок'!$J$4:$J$1012,$O228),'Дані_зв''язок'!$L$4:$L$1012,"")))</f>
        <v>№2</v>
      </c>
      <c r="L228" s="28" t="str" cm="1">
        <f t="array" ref="L228">IF($O228="","",_xlfn.TEXTJOIN(", ",TRUE,IF(EXACT('Дані_зв''язок'!$J$4:$J$1012,$O228),'Дані_зв''язок'!$M$4:$M$1012,"")))</f>
        <v>АТ 4021/1120</v>
      </c>
      <c r="M228" s="27" cm="1">
        <f t="array" ref="M228">IF($O228="","",IF(SUMPRODUCT(MAX(EXACT('Дані_зв''язок'!$J$4:$J$1012,$O228)*IFERROR('Дані_зв''язок'!$H$4:$H$1012,0)))=0,"",SUMPRODUCT(MAX(EXACT('Дані_зв''язок'!$J$4:$J$1012,$O228)*IFERROR('Дані_зв''язок'!$H$4:$H$1012,0)))))</f>
        <v>6</v>
      </c>
      <c r="O228" s="30" t="s">
        <v>1354</v>
      </c>
      <c r="P228" s="24" t="str" cm="1">
        <f t="array" ref="P228">IF($O228="","",IF($B228="","",IFERROR(IF(MIN(IFERROR(VALUE(TRIM(MID(SUBSTITUTE(SUBSTITUTE($B228,","," ")," ",REPT(" ",30)),{1;31;61;91;121;151;181},30))),""))=0,"",MIN(IFERROR(VALUE(TRIM(MID(SUBSTITUTE(SUBSTITUTE($B228,","," ")," ",REPT(" ",30)),{1;31;61;91;121;151;181},30))),""))),"")))</f>
        <v/>
      </c>
      <c r="Q228" s="23" t="str">
        <f t="shared" si="11"/>
        <v>Прилуки, Чернігівська обл., вул. Київська</v>
      </c>
      <c r="R228" s="35">
        <f>IF($O228="","",IFERROR(INDEX('Координати майданчиків'!$H$4:$H$64,MATCH($T228,'Координати майданчиків'!$B$4:$B$64,0)),IFERROR(IF(ABS(INDEX(Геокодування!$C$2:$C$361,MATCH($Q228,Геокодування!$B$2:$B$361,0))-50.5884)+ABS(INDEX(Геокодування!$D$2:$D$361,MATCH($Q228,Геокодування!$B$2:$B$361,0))-32.3876)&gt;0.15,"",INDEX(Геокодування!$C$2:$C$361,MATCH($Q228,Геокодування!$B$2:$B$361,0))),IFERROR(IF(ABS(INDEX(Геокодування!$C$2:$C$361,MATCH("Прилуки, Чернігівська обл., "&amp;$A228,Геокодування!$B$2:$B$361,0))-50.5884)+ABS(INDEX(Геокодування!$D$2:$D$361,MATCH("Прилуки, Чернігівська обл., "&amp;$A228,Геокодування!$B$2:$B$361,0))-32.3876)&gt;0.15,"",INDEX(Геокодування!$C$2:$C$361,MATCH("Прилуки, Чернігівська обл., "&amp;$A228,Геокодування!$B$2:$B$361,0))),""))))</f>
        <v>50.595413999999998</v>
      </c>
      <c r="S228" s="43">
        <f>IF($O228="","",IFERROR(INDEX('Координати майданчиків'!$I$4:$I$64,MATCH($T228,'Координати майданчиків'!$B$4:$B$64,0)),IFERROR(IF(ABS(INDEX(Геокодування!$C$2:$C$361,MATCH($Q228,Геокодування!$B$2:$B$361,0))-50.5884)+ABS(INDEX(Геокодування!$D$2:$D$361,MATCH($Q228,Геокодування!$B$2:$B$361,0))-32.3876)&gt;0.15,"",INDEX(Геокодування!$D$2:$D$361,MATCH($Q228,Геокодування!$B$2:$B$361,0))),IFERROR(IF(ABS(INDEX(Геокодування!$C$2:$C$361,MATCH("Прилуки, Чернігівська обл., "&amp;$A228,Геокодування!$B$2:$B$361,0))-50.5884)+ABS(INDEX(Геокодування!$D$2:$D$361,MATCH("Прилуки, Чернігівська обл., "&amp;$A228,Геокодування!$B$2:$B$361,0))-32.3876)&gt;0.15,"",INDEX(Геокодування!$D$2:$D$361,MATCH("Прилуки, Чернігівська обл., "&amp;$A228,Геокодування!$B$2:$B$361,0))),""))))</f>
        <v>32.381410000000002</v>
      </c>
      <c r="T228" s="44" t="str">
        <f>IF($O228="","",IFERROR(INDEX('Координати майданчиків'!$B$4:$B$64,MATCH($A228&amp;IF($P228="","",", "&amp;$P228),'Координати майданчиків'!$B$4:$B$64,0)),IFERROR(INDEX('Координати майданчиків'!$B$4:$B$64,MATCH($A228,'Координати майданчиків'!$B$4:$B$64,0)),"")))</f>
        <v/>
      </c>
    </row>
    <row r="229" spans="1:20" x14ac:dyDescent="0.35">
      <c r="A229" s="26" t="str">
        <f t="shared" si="9"/>
        <v>вул. Київська</v>
      </c>
      <c r="B229" s="26" t="str">
        <f t="shared" si="10"/>
        <v>виконком</v>
      </c>
      <c r="C229" s="27" t="str" cm="1">
        <f t="array" ref="C229">IF($O229="","",_xlfn.TEXTJOIN(", ",TRUE,IF(EXACT('Дані_зв''язок'!$J$4:$J$1012,$O229)*('Дані_зв''язок'!$C$4:$C$1012=C$4),'Дані_зв''язок'!$D$4:$D$1012,"")))</f>
        <v/>
      </c>
      <c r="D229" s="27" t="str" cm="1">
        <f t="array" ref="D229">IF($O229="","",_xlfn.TEXTJOIN(", ",TRUE,IF(EXACT('Дані_зв''язок'!$J$4:$J$1012,$O229)*('Дані_зв''язок'!$C$4:$C$1012=D$4),'Дані_зв''язок'!$D$4:$D$1012,"")))</f>
        <v>12:10</v>
      </c>
      <c r="E229" s="27" t="str" cm="1">
        <f t="array" ref="E229">IF($O229="","",_xlfn.TEXTJOIN(", ",TRUE,IF(EXACT('Дані_зв''язок'!$J$4:$J$1012,$O229)*('Дані_зв''язок'!$C$4:$C$1012=E$4),'Дані_зв''язок'!$D$4:$D$1012,"")))</f>
        <v/>
      </c>
      <c r="F229" s="27" t="str" cm="1">
        <f t="array" ref="F229">IF($O229="","",_xlfn.TEXTJOIN(", ",TRUE,IF(EXACT('Дані_зв''язок'!$J$4:$J$1012,$O229)*('Дані_зв''язок'!$C$4:$C$1012=F$4),'Дані_зв''язок'!$D$4:$D$1012,"")))</f>
        <v/>
      </c>
      <c r="G229" s="27" t="str" cm="1">
        <f t="array" ref="G229">IF($O229="","",_xlfn.TEXTJOIN(", ",TRUE,IF(EXACT('Дані_зв''язок'!$J$4:$J$1012,$O229)*('Дані_зв''язок'!$C$4:$C$1012=G$4),'Дані_зв''язок'!$D$4:$D$1012,"")))</f>
        <v/>
      </c>
      <c r="H229" s="27" t="str" cm="1">
        <f t="array" ref="H229">IF($O229="","",_xlfn.TEXTJOIN(", ",TRUE,IF(EXACT('Дані_зв''язок'!$J$4:$J$1012,$O229)*('Дані_зв''язок'!$C$4:$C$1012=H$4),'Дані_зв''язок'!$D$4:$D$1012,"")))</f>
        <v/>
      </c>
      <c r="I229" s="27" t="str" cm="1">
        <f t="array" ref="I229">IF($O229="","",_xlfn.TEXTJOIN(", ",TRUE,IF(EXACT('Дані_зв''язок'!$J$4:$J$1012,$O229)*('Дані_зв''язок'!$C$4:$C$1012=I$4),'Дані_зв''язок'!$D$4:$D$1012,"")))</f>
        <v/>
      </c>
      <c r="J229" s="27" cm="1">
        <f t="array" ref="J229">IF($O229="","",COUNTIF(C229:I229,"?*")+SUMPRODUCT(LEN(C229:I229)-LEN(SUBSTITUTE(C229:I229,",",""))))</f>
        <v>1</v>
      </c>
      <c r="K229" s="28" t="str" cm="1">
        <f t="array" ref="K229">IF($O229="","",_xlfn.TEXTJOIN(", ",TRUE,IF(EXACT('Дані_зв''язок'!$J$4:$J$1012,$O229),'Дані_зв''язок'!$L$4:$L$1012,"")))</f>
        <v>№3</v>
      </c>
      <c r="L229" s="28" t="str" cm="1">
        <f t="array" ref="L229">IF($O229="","",_xlfn.TEXTJOIN(", ",TRUE,IF(EXACT('Дані_зв''язок'!$J$4:$J$1012,$O229),'Дані_зв''язок'!$M$4:$M$1012,"")))</f>
        <v>МАЗ-4371</v>
      </c>
      <c r="M229" s="27" cm="1">
        <f t="array" ref="M229">IF($O229="","",IF(SUMPRODUCT(MAX(EXACT('Дані_зв''язок'!$J$4:$J$1012,$O229)*IFERROR('Дані_зв''язок'!$H$4:$H$1012,0)))=0,"",SUMPRODUCT(MAX(EXACT('Дані_зв''язок'!$J$4:$J$1012,$O229)*IFERROR('Дані_зв''язок'!$H$4:$H$1012,0)))))</f>
        <v>1</v>
      </c>
      <c r="O229" s="30" t="s">
        <v>1332</v>
      </c>
      <c r="P229" s="24" t="str" cm="1">
        <f t="array" ref="P229">IF($O229="","",IF($B229="","",IFERROR(IF(MIN(IFERROR(VALUE(TRIM(MID(SUBSTITUTE(SUBSTITUTE($B229,","," ")," ",REPT(" ",30)),{1;31;61;91;121;151;181},30))),""))=0,"",MIN(IFERROR(VALUE(TRIM(MID(SUBSTITUTE(SUBSTITUTE($B229,","," ")," ",REPT(" ",30)),{1;31;61;91;121;151;181},30))),""))),"")))</f>
        <v/>
      </c>
      <c r="Q229" s="23" t="str">
        <f t="shared" si="11"/>
        <v>Прилуки, Чернігівська обл., вул. Київська</v>
      </c>
      <c r="R229" s="35">
        <f>IF($O229="","",IFERROR(INDEX('Координати майданчиків'!$H$4:$H$64,MATCH($T229,'Координати майданчиків'!$B$4:$B$64,0)),IFERROR(IF(ABS(INDEX(Геокодування!$C$2:$C$361,MATCH($Q229,Геокодування!$B$2:$B$361,0))-50.5884)+ABS(INDEX(Геокодування!$D$2:$D$361,MATCH($Q229,Геокодування!$B$2:$B$361,0))-32.3876)&gt;0.15,"",INDEX(Геокодування!$C$2:$C$361,MATCH($Q229,Геокодування!$B$2:$B$361,0))),IFERROR(IF(ABS(INDEX(Геокодування!$C$2:$C$361,MATCH("Прилуки, Чернігівська обл., "&amp;$A229,Геокодування!$B$2:$B$361,0))-50.5884)+ABS(INDEX(Геокодування!$D$2:$D$361,MATCH("Прилуки, Чернігівська обл., "&amp;$A229,Геокодування!$B$2:$B$361,0))-32.3876)&gt;0.15,"",INDEX(Геокодування!$C$2:$C$361,MATCH("Прилуки, Чернігівська обл., "&amp;$A229,Геокодування!$B$2:$B$361,0))),""))))</f>
        <v>50.595413999999998</v>
      </c>
      <c r="S229" s="43">
        <f>IF($O229="","",IFERROR(INDEX('Координати майданчиків'!$I$4:$I$64,MATCH($T229,'Координати майданчиків'!$B$4:$B$64,0)),IFERROR(IF(ABS(INDEX(Геокодування!$C$2:$C$361,MATCH($Q229,Геокодування!$B$2:$B$361,0))-50.5884)+ABS(INDEX(Геокодування!$D$2:$D$361,MATCH($Q229,Геокодування!$B$2:$B$361,0))-32.3876)&gt;0.15,"",INDEX(Геокодування!$D$2:$D$361,MATCH($Q229,Геокодування!$B$2:$B$361,0))),IFERROR(IF(ABS(INDEX(Геокодування!$C$2:$C$361,MATCH("Прилуки, Чернігівська обл., "&amp;$A229,Геокодування!$B$2:$B$361,0))-50.5884)+ABS(INDEX(Геокодування!$D$2:$D$361,MATCH("Прилуки, Чернігівська обл., "&amp;$A229,Геокодування!$B$2:$B$361,0))-32.3876)&gt;0.15,"",INDEX(Геокодування!$D$2:$D$361,MATCH("Прилуки, Чернігівська обл., "&amp;$A229,Геокодування!$B$2:$B$361,0))),""))))</f>
        <v>32.381410000000002</v>
      </c>
      <c r="T229" s="44" t="str">
        <f>IF($O229="","",IFERROR(INDEX('Координати майданчиків'!$B$4:$B$64,MATCH($A229&amp;IF($P229="","",", "&amp;$P229),'Координати майданчиків'!$B$4:$B$64,0)),IFERROR(INDEX('Координати майданчиків'!$B$4:$B$64,MATCH($A229,'Координати майданчиків'!$B$4:$B$64,0)),"")))</f>
        <v/>
      </c>
    </row>
    <row r="230" spans="1:20" x14ac:dyDescent="0.35">
      <c r="A230" s="26" t="str">
        <f t="shared" si="9"/>
        <v>вул. Київська</v>
      </c>
      <c r="B230" s="26" t="str">
        <f t="shared" si="10"/>
        <v>військомат</v>
      </c>
      <c r="C230" s="27" t="str" cm="1">
        <f t="array" ref="C230">IF($O230="","",_xlfn.TEXTJOIN(", ",TRUE,IF(EXACT('Дані_зв''язок'!$J$4:$J$1012,$O230)*('Дані_зв''язок'!$C$4:$C$1012=C$4),'Дані_зв''язок'!$D$4:$D$1012,"")))</f>
        <v>8:25</v>
      </c>
      <c r="D230" s="27" t="str" cm="1">
        <f t="array" ref="D230">IF($O230="","",_xlfn.TEXTJOIN(", ",TRUE,IF(EXACT('Дані_зв''язок'!$J$4:$J$1012,$O230)*('Дані_зв''язок'!$C$4:$C$1012=D$4),'Дані_зв''язок'!$D$4:$D$1012,"")))</f>
        <v/>
      </c>
      <c r="E230" s="27" t="str" cm="1">
        <f t="array" ref="E230">IF($O230="","",_xlfn.TEXTJOIN(", ",TRUE,IF(EXACT('Дані_зв''язок'!$J$4:$J$1012,$O230)*('Дані_зв''язок'!$C$4:$C$1012=E$4),'Дані_зв''язок'!$D$4:$D$1012,"")))</f>
        <v/>
      </c>
      <c r="F230" s="27" t="str" cm="1">
        <f t="array" ref="F230">IF($O230="","",_xlfn.TEXTJOIN(", ",TRUE,IF(EXACT('Дані_зв''язок'!$J$4:$J$1012,$O230)*('Дані_зв''язок'!$C$4:$C$1012=F$4),'Дані_зв''язок'!$D$4:$D$1012,"")))</f>
        <v/>
      </c>
      <c r="G230" s="27" t="str" cm="1">
        <f t="array" ref="G230">IF($O230="","",_xlfn.TEXTJOIN(", ",TRUE,IF(EXACT('Дані_зв''язок'!$J$4:$J$1012,$O230)*('Дані_зв''язок'!$C$4:$C$1012=G$4),'Дані_зв''язок'!$D$4:$D$1012,"")))</f>
        <v/>
      </c>
      <c r="H230" s="27" t="str" cm="1">
        <f t="array" ref="H230">IF($O230="","",_xlfn.TEXTJOIN(", ",TRUE,IF(EXACT('Дані_зв''язок'!$J$4:$J$1012,$O230)*('Дані_зв''язок'!$C$4:$C$1012=H$4),'Дані_зв''язок'!$D$4:$D$1012,"")))</f>
        <v/>
      </c>
      <c r="I230" s="27" t="str" cm="1">
        <f t="array" ref="I230">IF($O230="","",_xlfn.TEXTJOIN(", ",TRUE,IF(EXACT('Дані_зв''язок'!$J$4:$J$1012,$O230)*('Дані_зв''язок'!$C$4:$C$1012=I$4),'Дані_зв''язок'!$D$4:$D$1012,"")))</f>
        <v/>
      </c>
      <c r="J230" s="27" cm="1">
        <f t="array" ref="J230">IF($O230="","",COUNTIF(C230:I230,"?*")+SUMPRODUCT(LEN(C230:I230)-LEN(SUBSTITUTE(C230:I230,",",""))))</f>
        <v>1</v>
      </c>
      <c r="K230" s="28" t="str" cm="1">
        <f t="array" ref="K230">IF($O230="","",_xlfn.TEXTJOIN(", ",TRUE,IF(EXACT('Дані_зв''язок'!$J$4:$J$1012,$O230),'Дані_зв''язок'!$L$4:$L$1012,"")))</f>
        <v>№3</v>
      </c>
      <c r="L230" s="28" t="str" cm="1">
        <f t="array" ref="L230">IF($O230="","",_xlfn.TEXTJOIN(", ",TRUE,IF(EXACT('Дані_зв''язок'!$J$4:$J$1012,$O230),'Дані_зв''язок'!$M$4:$M$1012,"")))</f>
        <v>МАЗ-4371</v>
      </c>
      <c r="M230" s="27" cm="1">
        <f t="array" ref="M230">IF($O230="","",IF(SUMPRODUCT(MAX(EXACT('Дані_зв''язок'!$J$4:$J$1012,$O230)*IFERROR('Дані_зв''язок'!$H$4:$H$1012,0)))=0,"",SUMPRODUCT(MAX(EXACT('Дані_зв''язок'!$J$4:$J$1012,$O230)*IFERROR('Дані_зв''язок'!$H$4:$H$1012,0)))))</f>
        <v>2</v>
      </c>
      <c r="O230" s="30" t="s">
        <v>1333</v>
      </c>
      <c r="P230" s="24" t="str" cm="1">
        <f t="array" ref="P230">IF($O230="","",IF($B230="","",IFERROR(IF(MIN(IFERROR(VALUE(TRIM(MID(SUBSTITUTE(SUBSTITUTE($B230,","," ")," ",REPT(" ",30)),{1;31;61;91;121;151;181},30))),""))=0,"",MIN(IFERROR(VALUE(TRIM(MID(SUBSTITUTE(SUBSTITUTE($B230,","," ")," ",REPT(" ",30)),{1;31;61;91;121;151;181},30))),""))),"")))</f>
        <v/>
      </c>
      <c r="Q230" s="23" t="str">
        <f t="shared" si="11"/>
        <v>Прилуки, Чернігівська обл., вул. Київська</v>
      </c>
      <c r="R230" s="35">
        <f>IF($O230="","",IFERROR(INDEX('Координати майданчиків'!$H$4:$H$64,MATCH($T230,'Координати майданчиків'!$B$4:$B$64,0)),IFERROR(IF(ABS(INDEX(Геокодування!$C$2:$C$361,MATCH($Q230,Геокодування!$B$2:$B$361,0))-50.5884)+ABS(INDEX(Геокодування!$D$2:$D$361,MATCH($Q230,Геокодування!$B$2:$B$361,0))-32.3876)&gt;0.15,"",INDEX(Геокодування!$C$2:$C$361,MATCH($Q230,Геокодування!$B$2:$B$361,0))),IFERROR(IF(ABS(INDEX(Геокодування!$C$2:$C$361,MATCH("Прилуки, Чернігівська обл., "&amp;$A230,Геокодування!$B$2:$B$361,0))-50.5884)+ABS(INDEX(Геокодування!$D$2:$D$361,MATCH("Прилуки, Чернігівська обл., "&amp;$A230,Геокодування!$B$2:$B$361,0))-32.3876)&gt;0.15,"",INDEX(Геокодування!$C$2:$C$361,MATCH("Прилуки, Чернігівська обл., "&amp;$A230,Геокодування!$B$2:$B$361,0))),""))))</f>
        <v>50.595413999999998</v>
      </c>
      <c r="S230" s="43">
        <f>IF($O230="","",IFERROR(INDEX('Координати майданчиків'!$I$4:$I$64,MATCH($T230,'Координати майданчиків'!$B$4:$B$64,0)),IFERROR(IF(ABS(INDEX(Геокодування!$C$2:$C$361,MATCH($Q230,Геокодування!$B$2:$B$361,0))-50.5884)+ABS(INDEX(Геокодування!$D$2:$D$361,MATCH($Q230,Геокодування!$B$2:$B$361,0))-32.3876)&gt;0.15,"",INDEX(Геокодування!$D$2:$D$361,MATCH($Q230,Геокодування!$B$2:$B$361,0))),IFERROR(IF(ABS(INDEX(Геокодування!$C$2:$C$361,MATCH("Прилуки, Чернігівська обл., "&amp;$A230,Геокодування!$B$2:$B$361,0))-50.5884)+ABS(INDEX(Геокодування!$D$2:$D$361,MATCH("Прилуки, Чернігівська обл., "&amp;$A230,Геокодування!$B$2:$B$361,0))-32.3876)&gt;0.15,"",INDEX(Геокодування!$D$2:$D$361,MATCH("Прилуки, Чернігівська обл., "&amp;$A230,Геокодування!$B$2:$B$361,0))),""))))</f>
        <v>32.381410000000002</v>
      </c>
      <c r="T230" s="44" t="str">
        <f>IF($O230="","",IFERROR(INDEX('Координати майданчиків'!$B$4:$B$64,MATCH($A230&amp;IF($P230="","",", "&amp;$P230),'Координати майданчиків'!$B$4:$B$64,0)),IFERROR(INDEX('Координати майданчиків'!$B$4:$B$64,MATCH($A230,'Координати майданчиків'!$B$4:$B$64,0)),"")))</f>
        <v/>
      </c>
    </row>
    <row r="231" spans="1:20" x14ac:dyDescent="0.35">
      <c r="A231" s="26" t="str">
        <f t="shared" si="9"/>
        <v>вул. Київська</v>
      </c>
      <c r="B231" s="26" t="str">
        <f t="shared" si="10"/>
        <v>д/с 9</v>
      </c>
      <c r="C231" s="27" t="str" cm="1">
        <f t="array" ref="C231">IF($O231="","",_xlfn.TEXTJOIN(", ",TRUE,IF(EXACT('Дані_зв''язок'!$J$4:$J$1012,$O231)*('Дані_зв''язок'!$C$4:$C$1012=C$4),'Дані_зв''язок'!$D$4:$D$1012,"")))</f>
        <v>13:45</v>
      </c>
      <c r="D231" s="27" t="str" cm="1">
        <f t="array" ref="D231">IF($O231="","",_xlfn.TEXTJOIN(", ",TRUE,IF(EXACT('Дані_зв''язок'!$J$4:$J$1012,$O231)*('Дані_зв''язок'!$C$4:$C$1012=D$4),'Дані_зв''язок'!$D$4:$D$1012,"")))</f>
        <v/>
      </c>
      <c r="E231" s="27" t="str" cm="1">
        <f t="array" ref="E231">IF($O231="","",_xlfn.TEXTJOIN(", ",TRUE,IF(EXACT('Дані_зв''язок'!$J$4:$J$1012,$O231)*('Дані_зв''язок'!$C$4:$C$1012=E$4),'Дані_зв''язок'!$D$4:$D$1012,"")))</f>
        <v/>
      </c>
      <c r="F231" s="27" t="str" cm="1">
        <f t="array" ref="F231">IF($O231="","",_xlfn.TEXTJOIN(", ",TRUE,IF(EXACT('Дані_зв''язок'!$J$4:$J$1012,$O231)*('Дані_зв''язок'!$C$4:$C$1012=F$4),'Дані_зв''язок'!$D$4:$D$1012,"")))</f>
        <v/>
      </c>
      <c r="G231" s="27" t="str" cm="1">
        <f t="array" ref="G231">IF($O231="","",_xlfn.TEXTJOIN(", ",TRUE,IF(EXACT('Дані_зв''язок'!$J$4:$J$1012,$O231)*('Дані_зв''язок'!$C$4:$C$1012=G$4),'Дані_зв''язок'!$D$4:$D$1012,"")))</f>
        <v/>
      </c>
      <c r="H231" s="27" t="str" cm="1">
        <f t="array" ref="H231">IF($O231="","",_xlfn.TEXTJOIN(", ",TRUE,IF(EXACT('Дані_зв''язок'!$J$4:$J$1012,$O231)*('Дані_зв''язок'!$C$4:$C$1012=H$4),'Дані_зв''язок'!$D$4:$D$1012,"")))</f>
        <v/>
      </c>
      <c r="I231" s="27" t="str" cm="1">
        <f t="array" ref="I231">IF($O231="","",_xlfn.TEXTJOIN(", ",TRUE,IF(EXACT('Дані_зв''язок'!$J$4:$J$1012,$O231)*('Дані_зв''язок'!$C$4:$C$1012=I$4),'Дані_зв''язок'!$D$4:$D$1012,"")))</f>
        <v/>
      </c>
      <c r="J231" s="27" cm="1">
        <f t="array" ref="J231">IF($O231="","",COUNTIF(C231:I231,"?*")+SUMPRODUCT(LEN(C231:I231)-LEN(SUBSTITUTE(C231:I231,",",""))))</f>
        <v>1</v>
      </c>
      <c r="K231" s="28" t="str" cm="1">
        <f t="array" ref="K231">IF($O231="","",_xlfn.TEXTJOIN(", ",TRUE,IF(EXACT('Дані_зв''язок'!$J$4:$J$1012,$O231),'Дані_зв''язок'!$L$4:$L$1012,"")))</f>
        <v>№1</v>
      </c>
      <c r="L231" s="28" t="str" cm="1">
        <f t="array" ref="L231">IF($O231="","",_xlfn.TEXTJOIN(", ",TRUE,IF(EXACT('Дані_зв''язок'!$J$4:$J$1012,$O231),'Дані_зв''язок'!$M$4:$M$1012,"")))</f>
        <v>АТ-4021/1120</v>
      </c>
      <c r="M231" s="27" cm="1">
        <f t="array" ref="M231">IF($O231="","",IF(SUMPRODUCT(MAX(EXACT('Дані_зв''язок'!$J$4:$J$1012,$O231)*IFERROR('Дані_зв''язок'!$H$4:$H$1012,0)))=0,"",SUMPRODUCT(MAX(EXACT('Дані_зв''язок'!$J$4:$J$1012,$O231)*IFERROR('Дані_зв''язок'!$H$4:$H$1012,0)))))</f>
        <v>1</v>
      </c>
      <c r="O231" s="30" t="s">
        <v>1597</v>
      </c>
      <c r="P231" s="24" cm="1">
        <f t="array" ref="P231">IF($O231="","",IF($B231="","",IFERROR(IF(MIN(IFERROR(VALUE(TRIM(MID(SUBSTITUTE(SUBSTITUTE($B231,","," ")," ",REPT(" ",30)),{1;31;61;91;121;151;181},30))),""))=0,"",MIN(IFERROR(VALUE(TRIM(MID(SUBSTITUTE(SUBSTITUTE($B231,","," ")," ",REPT(" ",30)),{1;31;61;91;121;151;181},30))),""))),"")))</f>
        <v>9</v>
      </c>
      <c r="Q231" s="23" t="str">
        <f t="shared" si="11"/>
        <v>Прилуки, Чернігівська обл., вул. Київська, 9</v>
      </c>
      <c r="R231" s="35">
        <f>IF($O231="","",IFERROR(INDEX('Координати майданчиків'!$H$4:$H$64,MATCH($T231,'Координати майданчиків'!$B$4:$B$64,0)),IFERROR(IF(ABS(INDEX(Геокодування!$C$2:$C$361,MATCH($Q231,Геокодування!$B$2:$B$361,0))-50.5884)+ABS(INDEX(Геокодування!$D$2:$D$361,MATCH($Q231,Геокодування!$B$2:$B$361,0))-32.3876)&gt;0.15,"",INDEX(Геокодування!$C$2:$C$361,MATCH($Q231,Геокодування!$B$2:$B$361,0))),IFERROR(IF(ABS(INDEX(Геокодування!$C$2:$C$361,MATCH("Прилуки, Чернігівська обл., "&amp;$A231,Геокодування!$B$2:$B$361,0))-50.5884)+ABS(INDEX(Геокодування!$D$2:$D$361,MATCH("Прилуки, Чернігівська обл., "&amp;$A231,Геокодування!$B$2:$B$361,0))-32.3876)&gt;0.15,"",INDEX(Геокодування!$C$2:$C$361,MATCH("Прилуки, Чернігівська обл., "&amp;$A231,Геокодування!$B$2:$B$361,0))),""))))</f>
        <v>50.587232</v>
      </c>
      <c r="S231" s="43">
        <f>IF($O231="","",IFERROR(INDEX('Координати майданчиків'!$I$4:$I$64,MATCH($T231,'Координати майданчиків'!$B$4:$B$64,0)),IFERROR(IF(ABS(INDEX(Геокодування!$C$2:$C$361,MATCH($Q231,Геокодування!$B$2:$B$361,0))-50.5884)+ABS(INDEX(Геокодування!$D$2:$D$361,MATCH($Q231,Геокодування!$B$2:$B$361,0))-32.3876)&gt;0.15,"",INDEX(Геокодування!$D$2:$D$361,MATCH($Q231,Геокодування!$B$2:$B$361,0))),IFERROR(IF(ABS(INDEX(Геокодування!$C$2:$C$361,MATCH("Прилуки, Чернігівська обл., "&amp;$A231,Геокодування!$B$2:$B$361,0))-50.5884)+ABS(INDEX(Геокодування!$D$2:$D$361,MATCH("Прилуки, Чернігівська обл., "&amp;$A231,Геокодування!$B$2:$B$361,0))-32.3876)&gt;0.15,"",INDEX(Геокодування!$D$2:$D$361,MATCH("Прилуки, Чернігівська обл., "&amp;$A231,Геокодування!$B$2:$B$361,0))),""))))</f>
        <v>32.438777000000002</v>
      </c>
      <c r="T231" s="44" t="str">
        <f>IF($O231="","",IFERROR(INDEX('Координати майданчиків'!$B$4:$B$64,MATCH($A231&amp;IF($P231="","",", "&amp;$P231),'Координати майданчиків'!$B$4:$B$64,0)),IFERROR(INDEX('Координати майданчиків'!$B$4:$B$64,MATCH($A231,'Координати майданчиків'!$B$4:$B$64,0)),"")))</f>
        <v/>
      </c>
    </row>
    <row r="232" spans="1:20" x14ac:dyDescent="0.35">
      <c r="A232" s="26" t="str">
        <f t="shared" si="9"/>
        <v>вул. Київська</v>
      </c>
      <c r="B232" s="26" t="str">
        <f t="shared" si="10"/>
        <v>колонія</v>
      </c>
      <c r="C232" s="27" t="str" cm="1">
        <f t="array" ref="C232">IF($O232="","",_xlfn.TEXTJOIN(", ",TRUE,IF(EXACT('Дані_зв''язок'!$J$4:$J$1012,$O232)*('Дані_зв''язок'!$C$4:$C$1012=C$4),'Дані_зв''язок'!$D$4:$D$1012,"")))</f>
        <v/>
      </c>
      <c r="D232" s="27" t="str" cm="1">
        <f t="array" ref="D232">IF($O232="","",_xlfn.TEXTJOIN(", ",TRUE,IF(EXACT('Дані_зв''язок'!$J$4:$J$1012,$O232)*('Дані_зв''язок'!$C$4:$C$1012=D$4),'Дані_зв''язок'!$D$4:$D$1012,"")))</f>
        <v/>
      </c>
      <c r="E232" s="27" t="str" cm="1">
        <f t="array" ref="E232">IF($O232="","",_xlfn.TEXTJOIN(", ",TRUE,IF(EXACT('Дані_зв''язок'!$J$4:$J$1012,$O232)*('Дані_зв''язок'!$C$4:$C$1012=E$4),'Дані_зв''язок'!$D$4:$D$1012,"")))</f>
        <v/>
      </c>
      <c r="F232" s="27" t="str" cm="1">
        <f t="array" ref="F232">IF($O232="","",_xlfn.TEXTJOIN(", ",TRUE,IF(EXACT('Дані_зв''язок'!$J$4:$J$1012,$O232)*('Дані_зв''язок'!$C$4:$C$1012=F$4),'Дані_зв''язок'!$D$4:$D$1012,"")))</f>
        <v/>
      </c>
      <c r="G232" s="27" t="str" cm="1">
        <f t="array" ref="G232">IF($O232="","",_xlfn.TEXTJOIN(", ",TRUE,IF(EXACT('Дані_зв''язок'!$J$4:$J$1012,$O232)*('Дані_зв''язок'!$C$4:$C$1012=G$4),'Дані_зв''язок'!$D$4:$D$1012,"")))</f>
        <v>11:55</v>
      </c>
      <c r="H232" s="27" t="str" cm="1">
        <f t="array" ref="H232">IF($O232="","",_xlfn.TEXTJOIN(", ",TRUE,IF(EXACT('Дані_зв''язок'!$J$4:$J$1012,$O232)*('Дані_зв''язок'!$C$4:$C$1012=H$4),'Дані_зв''язок'!$D$4:$D$1012,"")))</f>
        <v/>
      </c>
      <c r="I232" s="27" t="str" cm="1">
        <f t="array" ref="I232">IF($O232="","",_xlfn.TEXTJOIN(", ",TRUE,IF(EXACT('Дані_зв''язок'!$J$4:$J$1012,$O232)*('Дані_зв''язок'!$C$4:$C$1012=I$4),'Дані_зв''язок'!$D$4:$D$1012,"")))</f>
        <v/>
      </c>
      <c r="J232" s="27" cm="1">
        <f t="array" ref="J232">IF($O232="","",COUNTIF(C232:I232,"?*")+SUMPRODUCT(LEN(C232:I232)-LEN(SUBSTITUTE(C232:I232,",",""))))</f>
        <v>1</v>
      </c>
      <c r="K232" s="28" t="str" cm="1">
        <f t="array" ref="K232">IF($O232="","",_xlfn.TEXTJOIN(", ",TRUE,IF(EXACT('Дані_зв''язок'!$J$4:$J$1012,$O232),'Дані_зв''язок'!$L$4:$L$1012,"")))</f>
        <v>№1</v>
      </c>
      <c r="L232" s="28" t="str" cm="1">
        <f t="array" ref="L232">IF($O232="","",_xlfn.TEXTJOIN(", ",TRUE,IF(EXACT('Дані_зв''язок'!$J$4:$J$1012,$O232),'Дані_зв''язок'!$M$4:$M$1012,"")))</f>
        <v>КАМАЗ 55111</v>
      </c>
      <c r="M232" s="27" cm="1">
        <f t="array" ref="M232">IF($O232="","",IF(SUMPRODUCT(MAX(EXACT('Дані_зв''язок'!$J$4:$J$1012,$O232)*IFERROR('Дані_зв''язок'!$H$4:$H$1012,0)))=0,"",SUMPRODUCT(MAX(EXACT('Дані_зв''язок'!$J$4:$J$1012,$O232)*IFERROR('Дані_зв''язок'!$H$4:$H$1012,0)))))</f>
        <v>1</v>
      </c>
      <c r="O232" s="30" t="s">
        <v>1336</v>
      </c>
      <c r="P232" s="24" t="str" cm="1">
        <f t="array" ref="P232">IF($O232="","",IF($B232="","",IFERROR(IF(MIN(IFERROR(VALUE(TRIM(MID(SUBSTITUTE(SUBSTITUTE($B232,","," ")," ",REPT(" ",30)),{1;31;61;91;121;151;181},30))),""))=0,"",MIN(IFERROR(VALUE(TRIM(MID(SUBSTITUTE(SUBSTITUTE($B232,","," ")," ",REPT(" ",30)),{1;31;61;91;121;151;181},30))),""))),"")))</f>
        <v/>
      </c>
      <c r="Q232" s="23" t="str">
        <f t="shared" si="11"/>
        <v>Прилуки, Чернігівська обл., вул. Київська</v>
      </c>
      <c r="R232" s="35">
        <f>IF($O232="","",IFERROR(INDEX('Координати майданчиків'!$H$4:$H$64,MATCH($T232,'Координати майданчиків'!$B$4:$B$64,0)),IFERROR(IF(ABS(INDEX(Геокодування!$C$2:$C$361,MATCH($Q232,Геокодування!$B$2:$B$361,0))-50.5884)+ABS(INDEX(Геокодування!$D$2:$D$361,MATCH($Q232,Геокодування!$B$2:$B$361,0))-32.3876)&gt;0.15,"",INDEX(Геокодування!$C$2:$C$361,MATCH($Q232,Геокодування!$B$2:$B$361,0))),IFERROR(IF(ABS(INDEX(Геокодування!$C$2:$C$361,MATCH("Прилуки, Чернігівська обл., "&amp;$A232,Геокодування!$B$2:$B$361,0))-50.5884)+ABS(INDEX(Геокодування!$D$2:$D$361,MATCH("Прилуки, Чернігівська обл., "&amp;$A232,Геокодування!$B$2:$B$361,0))-32.3876)&gt;0.15,"",INDEX(Геокодування!$C$2:$C$361,MATCH("Прилуки, Чернігівська обл., "&amp;$A232,Геокодування!$B$2:$B$361,0))),""))))</f>
        <v>50.595413999999998</v>
      </c>
      <c r="S232" s="43">
        <f>IF($O232="","",IFERROR(INDEX('Координати майданчиків'!$I$4:$I$64,MATCH($T232,'Координати майданчиків'!$B$4:$B$64,0)),IFERROR(IF(ABS(INDEX(Геокодування!$C$2:$C$361,MATCH($Q232,Геокодування!$B$2:$B$361,0))-50.5884)+ABS(INDEX(Геокодування!$D$2:$D$361,MATCH($Q232,Геокодування!$B$2:$B$361,0))-32.3876)&gt;0.15,"",INDEX(Геокодування!$D$2:$D$361,MATCH($Q232,Геокодування!$B$2:$B$361,0))),IFERROR(IF(ABS(INDEX(Геокодування!$C$2:$C$361,MATCH("Прилуки, Чернігівська обл., "&amp;$A232,Геокодування!$B$2:$B$361,0))-50.5884)+ABS(INDEX(Геокодування!$D$2:$D$361,MATCH("Прилуки, Чернігівська обл., "&amp;$A232,Геокодування!$B$2:$B$361,0))-32.3876)&gt;0.15,"",INDEX(Геокодування!$D$2:$D$361,MATCH("Прилуки, Чернігівська обл., "&amp;$A232,Геокодування!$B$2:$B$361,0))),""))))</f>
        <v>32.381410000000002</v>
      </c>
      <c r="T232" s="44" t="str">
        <f>IF($O232="","",IFERROR(INDEX('Координати майданчиків'!$B$4:$B$64,MATCH($A232&amp;IF($P232="","",", "&amp;$P232),'Координати майданчиків'!$B$4:$B$64,0)),IFERROR(INDEX('Координати майданчиків'!$B$4:$B$64,MATCH($A232,'Координати майданчиків'!$B$4:$B$64,0)),"")))</f>
        <v/>
      </c>
    </row>
    <row r="233" spans="1:20" x14ac:dyDescent="0.35">
      <c r="A233" s="26" t="str">
        <f t="shared" si="9"/>
        <v>вул. Київська</v>
      </c>
      <c r="B233" s="26" t="str">
        <f t="shared" si="10"/>
        <v>літописець</v>
      </c>
      <c r="C233" s="27" t="str" cm="1">
        <f t="array" ref="C233">IF($O233="","",_xlfn.TEXTJOIN(", ",TRUE,IF(EXACT('Дані_зв''язок'!$J$4:$J$1012,$O233)*('Дані_зв''язок'!$C$4:$C$1012=C$4),'Дані_зв''язок'!$D$4:$D$1012,"")))</f>
        <v>8:25</v>
      </c>
      <c r="D233" s="27" t="str" cm="1">
        <f t="array" ref="D233">IF($O233="","",_xlfn.TEXTJOIN(", ",TRUE,IF(EXACT('Дані_зв''язок'!$J$4:$J$1012,$O233)*('Дані_зв''язок'!$C$4:$C$1012=D$4),'Дані_зв''язок'!$D$4:$D$1012,"")))</f>
        <v/>
      </c>
      <c r="E233" s="27" t="str" cm="1">
        <f t="array" ref="E233">IF($O233="","",_xlfn.TEXTJOIN(", ",TRUE,IF(EXACT('Дані_зв''язок'!$J$4:$J$1012,$O233)*('Дані_зв''язок'!$C$4:$C$1012=E$4),'Дані_зв''язок'!$D$4:$D$1012,"")))</f>
        <v/>
      </c>
      <c r="F233" s="27" t="str" cm="1">
        <f t="array" ref="F233">IF($O233="","",_xlfn.TEXTJOIN(", ",TRUE,IF(EXACT('Дані_зв''язок'!$J$4:$J$1012,$O233)*('Дані_зв''язок'!$C$4:$C$1012=F$4),'Дані_зв''язок'!$D$4:$D$1012,"")))</f>
        <v/>
      </c>
      <c r="G233" s="27" t="str" cm="1">
        <f t="array" ref="G233">IF($O233="","",_xlfn.TEXTJOIN(", ",TRUE,IF(EXACT('Дані_зв''язок'!$J$4:$J$1012,$O233)*('Дані_зв''язок'!$C$4:$C$1012=G$4),'Дані_зв''язок'!$D$4:$D$1012,"")))</f>
        <v>8:25</v>
      </c>
      <c r="H233" s="27" t="str" cm="1">
        <f t="array" ref="H233">IF($O233="","",_xlfn.TEXTJOIN(", ",TRUE,IF(EXACT('Дані_зв''язок'!$J$4:$J$1012,$O233)*('Дані_зв''язок'!$C$4:$C$1012=H$4),'Дані_зв''язок'!$D$4:$D$1012,"")))</f>
        <v/>
      </c>
      <c r="I233" s="27" t="str" cm="1">
        <f t="array" ref="I233">IF($O233="","",_xlfn.TEXTJOIN(", ",TRUE,IF(EXACT('Дані_зв''язок'!$J$4:$J$1012,$O233)*('Дані_зв''язок'!$C$4:$C$1012=I$4),'Дані_зв''язок'!$D$4:$D$1012,"")))</f>
        <v>8:40</v>
      </c>
      <c r="J233" s="27" cm="1">
        <f t="array" ref="J233">IF($O233="","",COUNTIF(C233:I233,"?*")+SUMPRODUCT(LEN(C233:I233)-LEN(SUBSTITUTE(C233:I233,",",""))))</f>
        <v>3</v>
      </c>
      <c r="K233" s="28" t="str" cm="1">
        <f t="array" ref="K233">IF($O233="","",_xlfn.TEXTJOIN(", ",TRUE,IF(EXACT('Дані_зв''язок'!$J$4:$J$1012,$O233),'Дані_зв''язок'!$L$4:$L$1012,"")))</f>
        <v>№4</v>
      </c>
      <c r="L233" s="28" t="str" cm="1">
        <f t="array" ref="L233">IF($O233="","",_xlfn.TEXTJOIN(", ",TRUE,IF(EXACT('Дані_зв''язок'!$J$4:$J$1012,$O233),'Дані_зв''язок'!$M$4:$M$1012,"")))</f>
        <v>АТ 40-42/ROD21003</v>
      </c>
      <c r="M233" s="27" cm="1">
        <f t="array" ref="M233">IF($O233="","",IF(SUMPRODUCT(MAX(EXACT('Дані_зв''язок'!$J$4:$J$1012,$O233)*IFERROR('Дані_зв''язок'!$H$4:$H$1012,0)))=0,"",SUMPRODUCT(MAX(EXACT('Дані_зв''язок'!$J$4:$J$1012,$O233)*IFERROR('Дані_зв''язок'!$H$4:$H$1012,0)))))</f>
        <v>1</v>
      </c>
      <c r="O233" s="30" t="s">
        <v>1337</v>
      </c>
      <c r="P233" s="24" t="str" cm="1">
        <f t="array" ref="P233">IF($O233="","",IF($B233="","",IFERROR(IF(MIN(IFERROR(VALUE(TRIM(MID(SUBSTITUTE(SUBSTITUTE($B233,","," ")," ",REPT(" ",30)),{1;31;61;91;121;151;181},30))),""))=0,"",MIN(IFERROR(VALUE(TRIM(MID(SUBSTITUTE(SUBSTITUTE($B233,","," ")," ",REPT(" ",30)),{1;31;61;91;121;151;181},30))),""))),"")))</f>
        <v/>
      </c>
      <c r="Q233" s="23" t="str">
        <f t="shared" si="11"/>
        <v>Прилуки, Чернігівська обл., вул. Київська</v>
      </c>
      <c r="R233" s="35">
        <f>IF($O233="","",IFERROR(INDEX('Координати майданчиків'!$H$4:$H$64,MATCH($T233,'Координати майданчиків'!$B$4:$B$64,0)),IFERROR(IF(ABS(INDEX(Геокодування!$C$2:$C$361,MATCH($Q233,Геокодування!$B$2:$B$361,0))-50.5884)+ABS(INDEX(Геокодування!$D$2:$D$361,MATCH($Q233,Геокодування!$B$2:$B$361,0))-32.3876)&gt;0.15,"",INDEX(Геокодування!$C$2:$C$361,MATCH($Q233,Геокодування!$B$2:$B$361,0))),IFERROR(IF(ABS(INDEX(Геокодування!$C$2:$C$361,MATCH("Прилуки, Чернігівська обл., "&amp;$A233,Геокодування!$B$2:$B$361,0))-50.5884)+ABS(INDEX(Геокодування!$D$2:$D$361,MATCH("Прилуки, Чернігівська обл., "&amp;$A233,Геокодування!$B$2:$B$361,0))-32.3876)&gt;0.15,"",INDEX(Геокодування!$C$2:$C$361,MATCH("Прилуки, Чернігівська обл., "&amp;$A233,Геокодування!$B$2:$B$361,0))),""))))</f>
        <v>50.595413999999998</v>
      </c>
      <c r="S233" s="43">
        <f>IF($O233="","",IFERROR(INDEX('Координати майданчиків'!$I$4:$I$64,MATCH($T233,'Координати майданчиків'!$B$4:$B$64,0)),IFERROR(IF(ABS(INDEX(Геокодування!$C$2:$C$361,MATCH($Q233,Геокодування!$B$2:$B$361,0))-50.5884)+ABS(INDEX(Геокодування!$D$2:$D$361,MATCH($Q233,Геокодування!$B$2:$B$361,0))-32.3876)&gt;0.15,"",INDEX(Геокодування!$D$2:$D$361,MATCH($Q233,Геокодування!$B$2:$B$361,0))),IFERROR(IF(ABS(INDEX(Геокодування!$C$2:$C$361,MATCH("Прилуки, Чернігівська обл., "&amp;$A233,Геокодування!$B$2:$B$361,0))-50.5884)+ABS(INDEX(Геокодування!$D$2:$D$361,MATCH("Прилуки, Чернігівська обл., "&amp;$A233,Геокодування!$B$2:$B$361,0))-32.3876)&gt;0.15,"",INDEX(Геокодування!$D$2:$D$361,MATCH("Прилуки, Чернігівська обл., "&amp;$A233,Геокодування!$B$2:$B$361,0))),""))))</f>
        <v>32.381410000000002</v>
      </c>
      <c r="T233" s="44" t="str">
        <f>IF($O233="","",IFERROR(INDEX('Координати майданчиків'!$B$4:$B$64,MATCH($A233&amp;IF($P233="","",", "&amp;$P233),'Координати майданчиків'!$B$4:$B$64,0)),IFERROR(INDEX('Координати майданчиків'!$B$4:$B$64,MATCH($A233,'Координати майданчиків'!$B$4:$B$64,0)),"")))</f>
        <v/>
      </c>
    </row>
    <row r="234" spans="1:20" x14ac:dyDescent="0.35">
      <c r="A234" s="26" t="str">
        <f t="shared" si="9"/>
        <v>вул. Київська</v>
      </c>
      <c r="B234" s="26" t="str">
        <f t="shared" si="10"/>
        <v>м-н "Драйв"</v>
      </c>
      <c r="C234" s="27" t="str" cm="1">
        <f t="array" ref="C234">IF($O234="","",_xlfn.TEXTJOIN(", ",TRUE,IF(EXACT('Дані_зв''язок'!$J$4:$J$1012,$O234)*('Дані_зв''язок'!$C$4:$C$1012=C$4),'Дані_зв''язок'!$D$4:$D$1012,"")))</f>
        <v>15:45</v>
      </c>
      <c r="D234" s="27" t="str" cm="1">
        <f t="array" ref="D234">IF($O234="","",_xlfn.TEXTJOIN(", ",TRUE,IF(EXACT('Дані_зв''язок'!$J$4:$J$1012,$O234)*('Дані_зв''язок'!$C$4:$C$1012=D$4),'Дані_зв''язок'!$D$4:$D$1012,"")))</f>
        <v/>
      </c>
      <c r="E234" s="27" t="str" cm="1">
        <f t="array" ref="E234">IF($O234="","",_xlfn.TEXTJOIN(", ",TRUE,IF(EXACT('Дані_зв''язок'!$J$4:$J$1012,$O234)*('Дані_зв''язок'!$C$4:$C$1012=E$4),'Дані_зв''язок'!$D$4:$D$1012,"")))</f>
        <v/>
      </c>
      <c r="F234" s="27" t="str" cm="1">
        <f t="array" ref="F234">IF($O234="","",_xlfn.TEXTJOIN(", ",TRUE,IF(EXACT('Дані_зв''язок'!$J$4:$J$1012,$O234)*('Дані_зв''язок'!$C$4:$C$1012=F$4),'Дані_зв''язок'!$D$4:$D$1012,"")))</f>
        <v/>
      </c>
      <c r="G234" s="27" t="str" cm="1">
        <f t="array" ref="G234">IF($O234="","",_xlfn.TEXTJOIN(", ",TRUE,IF(EXACT('Дані_зв''язок'!$J$4:$J$1012,$O234)*('Дані_зв''язок'!$C$4:$C$1012=G$4),'Дані_зв''язок'!$D$4:$D$1012,"")))</f>
        <v>15:40</v>
      </c>
      <c r="H234" s="27" t="str" cm="1">
        <f t="array" ref="H234">IF($O234="","",_xlfn.TEXTJOIN(", ",TRUE,IF(EXACT('Дані_зв''язок'!$J$4:$J$1012,$O234)*('Дані_зв''язок'!$C$4:$C$1012=H$4),'Дані_зв''язок'!$D$4:$D$1012,"")))</f>
        <v/>
      </c>
      <c r="I234" s="27" t="str" cm="1">
        <f t="array" ref="I234">IF($O234="","",_xlfn.TEXTJOIN(", ",TRUE,IF(EXACT('Дані_зв''язок'!$J$4:$J$1012,$O234)*('Дані_зв''язок'!$C$4:$C$1012=I$4),'Дані_зв''язок'!$D$4:$D$1012,"")))</f>
        <v/>
      </c>
      <c r="J234" s="27" cm="1">
        <f t="array" ref="J234">IF($O234="","",COUNTIF(C234:I234,"?*")+SUMPRODUCT(LEN(C234:I234)-LEN(SUBSTITUTE(C234:I234,",",""))))</f>
        <v>2</v>
      </c>
      <c r="K234" s="28" t="str" cm="1">
        <f t="array" ref="K234">IF($O234="","",_xlfn.TEXTJOIN(", ",TRUE,IF(EXACT('Дані_зв''язок'!$J$4:$J$1012,$O234),'Дані_зв''язок'!$L$4:$L$1012,"")))</f>
        <v>№2</v>
      </c>
      <c r="L234" s="28" t="str" cm="1">
        <f t="array" ref="L234">IF($O234="","",_xlfn.TEXTJOIN(", ",TRUE,IF(EXACT('Дані_зв''язок'!$J$4:$J$1012,$O234),'Дані_зв''язок'!$M$4:$M$1012,"")))</f>
        <v>АТ 4021/1120</v>
      </c>
      <c r="M234" s="27" cm="1">
        <f t="array" ref="M234">IF($O234="","",IF(SUMPRODUCT(MAX(EXACT('Дані_зв''язок'!$J$4:$J$1012,$O234)*IFERROR('Дані_зв''язок'!$H$4:$H$1012,0)))=0,"",SUMPRODUCT(MAX(EXACT('Дані_зв''язок'!$J$4:$J$1012,$O234)*IFERROR('Дані_зв''язок'!$H$4:$H$1012,0)))))</f>
        <v>1</v>
      </c>
      <c r="O234" s="30" t="s">
        <v>1339</v>
      </c>
      <c r="P234" s="24" t="str" cm="1">
        <f t="array" ref="P234">IF($O234="","",IF($B234="","",IFERROR(IF(MIN(IFERROR(VALUE(TRIM(MID(SUBSTITUTE(SUBSTITUTE($B234,","," ")," ",REPT(" ",30)),{1;31;61;91;121;151;181},30))),""))=0,"",MIN(IFERROR(VALUE(TRIM(MID(SUBSTITUTE(SUBSTITUTE($B234,","," ")," ",REPT(" ",30)),{1;31;61;91;121;151;181},30))),""))),"")))</f>
        <v/>
      </c>
      <c r="Q234" s="23" t="str">
        <f t="shared" si="11"/>
        <v>Прилуки, Чернігівська обл., вул. Київська</v>
      </c>
      <c r="R234" s="35">
        <f>IF($O234="","",IFERROR(INDEX('Координати майданчиків'!$H$4:$H$64,MATCH($T234,'Координати майданчиків'!$B$4:$B$64,0)),IFERROR(IF(ABS(INDEX(Геокодування!$C$2:$C$361,MATCH($Q234,Геокодування!$B$2:$B$361,0))-50.5884)+ABS(INDEX(Геокодування!$D$2:$D$361,MATCH($Q234,Геокодування!$B$2:$B$361,0))-32.3876)&gt;0.15,"",INDEX(Геокодування!$C$2:$C$361,MATCH($Q234,Геокодування!$B$2:$B$361,0))),IFERROR(IF(ABS(INDEX(Геокодування!$C$2:$C$361,MATCH("Прилуки, Чернігівська обл., "&amp;$A234,Геокодування!$B$2:$B$361,0))-50.5884)+ABS(INDEX(Геокодування!$D$2:$D$361,MATCH("Прилуки, Чернігівська обл., "&amp;$A234,Геокодування!$B$2:$B$361,0))-32.3876)&gt;0.15,"",INDEX(Геокодування!$C$2:$C$361,MATCH("Прилуки, Чернігівська обл., "&amp;$A234,Геокодування!$B$2:$B$361,0))),""))))</f>
        <v>50.595413999999998</v>
      </c>
      <c r="S234" s="43">
        <f>IF($O234="","",IFERROR(INDEX('Координати майданчиків'!$I$4:$I$64,MATCH($T234,'Координати майданчиків'!$B$4:$B$64,0)),IFERROR(IF(ABS(INDEX(Геокодування!$C$2:$C$361,MATCH($Q234,Геокодування!$B$2:$B$361,0))-50.5884)+ABS(INDEX(Геокодування!$D$2:$D$361,MATCH($Q234,Геокодування!$B$2:$B$361,0))-32.3876)&gt;0.15,"",INDEX(Геокодування!$D$2:$D$361,MATCH($Q234,Геокодування!$B$2:$B$361,0))),IFERROR(IF(ABS(INDEX(Геокодування!$C$2:$C$361,MATCH("Прилуки, Чернігівська обл., "&amp;$A234,Геокодування!$B$2:$B$361,0))-50.5884)+ABS(INDEX(Геокодування!$D$2:$D$361,MATCH("Прилуки, Чернігівська обл., "&amp;$A234,Геокодування!$B$2:$B$361,0))-32.3876)&gt;0.15,"",INDEX(Геокодування!$D$2:$D$361,MATCH("Прилуки, Чернігівська обл., "&amp;$A234,Геокодування!$B$2:$B$361,0))),""))))</f>
        <v>32.381410000000002</v>
      </c>
      <c r="T234" s="44" t="str">
        <f>IF($O234="","",IFERROR(INDEX('Координати майданчиків'!$B$4:$B$64,MATCH($A234&amp;IF($P234="","",", "&amp;$P234),'Координати майданчиків'!$B$4:$B$64,0)),IFERROR(INDEX('Координати майданчиків'!$B$4:$B$64,MATCH($A234,'Координати майданчиків'!$B$4:$B$64,0)),"")))</f>
        <v/>
      </c>
    </row>
    <row r="235" spans="1:20" x14ac:dyDescent="0.35">
      <c r="A235" s="26" t="str">
        <f t="shared" si="9"/>
        <v>вул. Київська</v>
      </c>
      <c r="B235" s="26" t="str">
        <f t="shared" si="10"/>
        <v>пожежна</v>
      </c>
      <c r="C235" s="27" t="str" cm="1">
        <f t="array" ref="C235">IF($O235="","",_xlfn.TEXTJOIN(", ",TRUE,IF(EXACT('Дані_зв''язок'!$J$4:$J$1012,$O235)*('Дані_зв''язок'!$C$4:$C$1012=C$4),'Дані_зв''язок'!$D$4:$D$1012,"")))</f>
        <v/>
      </c>
      <c r="D235" s="27" t="str" cm="1">
        <f t="array" ref="D235">IF($O235="","",_xlfn.TEXTJOIN(", ",TRUE,IF(EXACT('Дані_зв''язок'!$J$4:$J$1012,$O235)*('Дані_зв''язок'!$C$4:$C$1012=D$4),'Дані_зв''язок'!$D$4:$D$1012,"")))</f>
        <v/>
      </c>
      <c r="E235" s="27" t="str" cm="1">
        <f t="array" ref="E235">IF($O235="","",_xlfn.TEXTJOIN(", ",TRUE,IF(EXACT('Дані_зв''язок'!$J$4:$J$1012,$O235)*('Дані_зв''язок'!$C$4:$C$1012=E$4),'Дані_зв''язок'!$D$4:$D$1012,"")))</f>
        <v/>
      </c>
      <c r="F235" s="27" t="str" cm="1">
        <f t="array" ref="F235">IF($O235="","",_xlfn.TEXTJOIN(", ",TRUE,IF(EXACT('Дані_зв''язок'!$J$4:$J$1012,$O235)*('Дані_зв''язок'!$C$4:$C$1012=F$4),'Дані_зв''язок'!$D$4:$D$1012,"")))</f>
        <v/>
      </c>
      <c r="G235" s="27" t="str" cm="1">
        <f t="array" ref="G235">IF($O235="","",_xlfn.TEXTJOIN(", ",TRUE,IF(EXACT('Дані_зв''язок'!$J$4:$J$1012,$O235)*('Дані_зв''язок'!$C$4:$C$1012=G$4),'Дані_зв''язок'!$D$4:$D$1012,"")))</f>
        <v>15:50</v>
      </c>
      <c r="H235" s="27" t="str" cm="1">
        <f t="array" ref="H235">IF($O235="","",_xlfn.TEXTJOIN(", ",TRUE,IF(EXACT('Дані_зв''язок'!$J$4:$J$1012,$O235)*('Дані_зв''язок'!$C$4:$C$1012=H$4),'Дані_зв''язок'!$D$4:$D$1012,"")))</f>
        <v/>
      </c>
      <c r="I235" s="27" t="str" cm="1">
        <f t="array" ref="I235">IF($O235="","",_xlfn.TEXTJOIN(", ",TRUE,IF(EXACT('Дані_зв''язок'!$J$4:$J$1012,$O235)*('Дані_зв''язок'!$C$4:$C$1012=I$4),'Дані_зв''язок'!$D$4:$D$1012,"")))</f>
        <v/>
      </c>
      <c r="J235" s="27" cm="1">
        <f t="array" ref="J235">IF($O235="","",COUNTIF(C235:I235,"?*")+SUMPRODUCT(LEN(C235:I235)-LEN(SUBSTITUTE(C235:I235,",",""))))</f>
        <v>1</v>
      </c>
      <c r="K235" s="28" t="str" cm="1">
        <f t="array" ref="K235">IF($O235="","",_xlfn.TEXTJOIN(", ",TRUE,IF(EXACT('Дані_зв''язок'!$J$4:$J$1012,$O235),'Дані_зв''язок'!$L$4:$L$1012,"")))</f>
        <v>№4</v>
      </c>
      <c r="L235" s="28" t="str" cm="1">
        <f t="array" ref="L235">IF($O235="","",_xlfn.TEXTJOIN(", ",TRUE,IF(EXACT('Дані_зв''язок'!$J$4:$J$1012,$O235),'Дані_зв''язок'!$M$4:$M$1012,"")))</f>
        <v>АТ 40-42/ROD21003</v>
      </c>
      <c r="M235" s="27" cm="1">
        <f t="array" ref="M235">IF($O235="","",IF(SUMPRODUCT(MAX(EXACT('Дані_зв''язок'!$J$4:$J$1012,$O235)*IFERROR('Дані_зв''язок'!$H$4:$H$1012,0)))=0,"",SUMPRODUCT(MAX(EXACT('Дані_зв''язок'!$J$4:$J$1012,$O235)*IFERROR('Дані_зв''язок'!$H$4:$H$1012,0)))))</f>
        <v>2</v>
      </c>
      <c r="O235" s="30" t="s">
        <v>1344</v>
      </c>
      <c r="P235" s="24" t="str" cm="1">
        <f t="array" ref="P235">IF($O235="","",IF($B235="","",IFERROR(IF(MIN(IFERROR(VALUE(TRIM(MID(SUBSTITUTE(SUBSTITUTE($B235,","," ")," ",REPT(" ",30)),{1;31;61;91;121;151;181},30))),""))=0,"",MIN(IFERROR(VALUE(TRIM(MID(SUBSTITUTE(SUBSTITUTE($B235,","," ")," ",REPT(" ",30)),{1;31;61;91;121;151;181},30))),""))),"")))</f>
        <v/>
      </c>
      <c r="Q235" s="23" t="str">
        <f t="shared" si="11"/>
        <v>Прилуки, Чернігівська обл., вул. Київська</v>
      </c>
      <c r="R235" s="35">
        <f>IF($O235="","",IFERROR(INDEX('Координати майданчиків'!$H$4:$H$64,MATCH($T235,'Координати майданчиків'!$B$4:$B$64,0)),IFERROR(IF(ABS(INDEX(Геокодування!$C$2:$C$361,MATCH($Q235,Геокодування!$B$2:$B$361,0))-50.5884)+ABS(INDEX(Геокодування!$D$2:$D$361,MATCH($Q235,Геокодування!$B$2:$B$361,0))-32.3876)&gt;0.15,"",INDEX(Геокодування!$C$2:$C$361,MATCH($Q235,Геокодування!$B$2:$B$361,0))),IFERROR(IF(ABS(INDEX(Геокодування!$C$2:$C$361,MATCH("Прилуки, Чернігівська обл., "&amp;$A235,Геокодування!$B$2:$B$361,0))-50.5884)+ABS(INDEX(Геокодування!$D$2:$D$361,MATCH("Прилуки, Чернігівська обл., "&amp;$A235,Геокодування!$B$2:$B$361,0))-32.3876)&gt;0.15,"",INDEX(Геокодування!$C$2:$C$361,MATCH("Прилуки, Чернігівська обл., "&amp;$A235,Геокодування!$B$2:$B$361,0))),""))))</f>
        <v>50.595413999999998</v>
      </c>
      <c r="S235" s="43">
        <f>IF($O235="","",IFERROR(INDEX('Координати майданчиків'!$I$4:$I$64,MATCH($T235,'Координати майданчиків'!$B$4:$B$64,0)),IFERROR(IF(ABS(INDEX(Геокодування!$C$2:$C$361,MATCH($Q235,Геокодування!$B$2:$B$361,0))-50.5884)+ABS(INDEX(Геокодування!$D$2:$D$361,MATCH($Q235,Геокодування!$B$2:$B$361,0))-32.3876)&gt;0.15,"",INDEX(Геокодування!$D$2:$D$361,MATCH($Q235,Геокодування!$B$2:$B$361,0))),IFERROR(IF(ABS(INDEX(Геокодування!$C$2:$C$361,MATCH("Прилуки, Чернігівська обл., "&amp;$A235,Геокодування!$B$2:$B$361,0))-50.5884)+ABS(INDEX(Геокодування!$D$2:$D$361,MATCH("Прилуки, Чернігівська обл., "&amp;$A235,Геокодування!$B$2:$B$361,0))-32.3876)&gt;0.15,"",INDEX(Геокодування!$D$2:$D$361,MATCH("Прилуки, Чернігівська обл., "&amp;$A235,Геокодування!$B$2:$B$361,0))),""))))</f>
        <v>32.381410000000002</v>
      </c>
      <c r="T235" s="44" t="str">
        <f>IF($O235="","",IFERROR(INDEX('Координати майданчиків'!$B$4:$B$64,MATCH($A235&amp;IF($P235="","",", "&amp;$P235),'Координати майданчиків'!$B$4:$B$64,0)),IFERROR(INDEX('Координати майданчиків'!$B$4:$B$64,MATCH($A235,'Координати майданчиків'!$B$4:$B$64,0)),"")))</f>
        <v/>
      </c>
    </row>
    <row r="236" spans="1:20" x14ac:dyDescent="0.35">
      <c r="A236" s="26" t="str">
        <f t="shared" si="9"/>
        <v>вул. Київська</v>
      </c>
      <c r="B236" s="26" t="str">
        <f t="shared" si="10"/>
        <v>райлікарня</v>
      </c>
      <c r="C236" s="27" t="str" cm="1">
        <f t="array" ref="C236">IF($O236="","",_xlfn.TEXTJOIN(", ",TRUE,IF(EXACT('Дані_зв''язок'!$J$4:$J$1012,$O236)*('Дані_зв''язок'!$C$4:$C$1012=C$4),'Дані_зв''язок'!$D$4:$D$1012,"")))</f>
        <v>12:55</v>
      </c>
      <c r="D236" s="27" t="str" cm="1">
        <f t="array" ref="D236">IF($O236="","",_xlfn.TEXTJOIN(", ",TRUE,IF(EXACT('Дані_зв''язок'!$J$4:$J$1012,$O236)*('Дані_зв''язок'!$C$4:$C$1012=D$4),'Дані_зв''язок'!$D$4:$D$1012,"")))</f>
        <v/>
      </c>
      <c r="E236" s="27" t="str" cm="1">
        <f t="array" ref="E236">IF($O236="","",_xlfn.TEXTJOIN(", ",TRUE,IF(EXACT('Дані_зв''язок'!$J$4:$J$1012,$O236)*('Дані_зв''язок'!$C$4:$C$1012=E$4),'Дані_зв''язок'!$D$4:$D$1012,"")))</f>
        <v/>
      </c>
      <c r="F236" s="27" t="str" cm="1">
        <f t="array" ref="F236">IF($O236="","",_xlfn.TEXTJOIN(", ",TRUE,IF(EXACT('Дані_зв''язок'!$J$4:$J$1012,$O236)*('Дані_зв''язок'!$C$4:$C$1012=F$4),'Дані_зв''язок'!$D$4:$D$1012,"")))</f>
        <v/>
      </c>
      <c r="G236" s="27" t="str" cm="1">
        <f t="array" ref="G236">IF($O236="","",_xlfn.TEXTJOIN(", ",TRUE,IF(EXACT('Дані_зв''язок'!$J$4:$J$1012,$O236)*('Дані_зв''язок'!$C$4:$C$1012=G$4),'Дані_зв''язок'!$D$4:$D$1012,"")))</f>
        <v>7:15</v>
      </c>
      <c r="H236" s="27" t="str" cm="1">
        <f t="array" ref="H236">IF($O236="","",_xlfn.TEXTJOIN(", ",TRUE,IF(EXACT('Дані_зв''язок'!$J$4:$J$1012,$O236)*('Дані_зв''язок'!$C$4:$C$1012=H$4),'Дані_зв''язок'!$D$4:$D$1012,"")))</f>
        <v/>
      </c>
      <c r="I236" s="27" t="str" cm="1">
        <f t="array" ref="I236">IF($O236="","",_xlfn.TEXTJOIN(", ",TRUE,IF(EXACT('Дані_зв''язок'!$J$4:$J$1012,$O236)*('Дані_зв''язок'!$C$4:$C$1012=I$4),'Дані_зв''язок'!$D$4:$D$1012,"")))</f>
        <v/>
      </c>
      <c r="J236" s="27" cm="1">
        <f t="array" ref="J236">IF($O236="","",COUNTIF(C236:I236,"?*")+SUMPRODUCT(LEN(C236:I236)-LEN(SUBSTITUTE(C236:I236,",",""))))</f>
        <v>2</v>
      </c>
      <c r="K236" s="28" t="str" cm="1">
        <f t="array" ref="K236">IF($O236="","",_xlfn.TEXTJOIN(", ",TRUE,IF(EXACT('Дані_зв''язок'!$J$4:$J$1012,$O236),'Дані_зв''язок'!$L$4:$L$1012,"")))</f>
        <v>№3</v>
      </c>
      <c r="L236" s="28" t="str" cm="1">
        <f t="array" ref="L236">IF($O236="","",_xlfn.TEXTJOIN(", ",TRUE,IF(EXACT('Дані_зв''язок'!$J$4:$J$1012,$O236),'Дані_зв''язок'!$M$4:$M$1012,"")))</f>
        <v>МАЗ-4371</v>
      </c>
      <c r="M236" s="27" cm="1">
        <f t="array" ref="M236">IF($O236="","",IF(SUMPRODUCT(MAX(EXACT('Дані_зв''язок'!$J$4:$J$1012,$O236)*IFERROR('Дані_зв''язок'!$H$4:$H$1012,0)))=0,"",SUMPRODUCT(MAX(EXACT('Дані_зв''язок'!$J$4:$J$1012,$O236)*IFERROR('Дані_зв''язок'!$H$4:$H$1012,0)))))</f>
        <v>2</v>
      </c>
      <c r="O236" s="30" t="s">
        <v>1598</v>
      </c>
      <c r="P236" s="24" t="str" cm="1">
        <f t="array" ref="P236">IF($O236="","",IF($B236="","",IFERROR(IF(MIN(IFERROR(VALUE(TRIM(MID(SUBSTITUTE(SUBSTITUTE($B236,","," ")," ",REPT(" ",30)),{1;31;61;91;121;151;181},30))),""))=0,"",MIN(IFERROR(VALUE(TRIM(MID(SUBSTITUTE(SUBSTITUTE($B236,","," ")," ",REPT(" ",30)),{1;31;61;91;121;151;181},30))),""))),"")))</f>
        <v/>
      </c>
      <c r="Q236" s="23" t="str">
        <f t="shared" si="11"/>
        <v>Прилуки, Чернігівська обл., вул. Київська</v>
      </c>
      <c r="R236" s="35">
        <f>IF($O236="","",IFERROR(INDEX('Координати майданчиків'!$H$4:$H$64,MATCH($T236,'Координати майданчиків'!$B$4:$B$64,0)),IFERROR(IF(ABS(INDEX(Геокодування!$C$2:$C$361,MATCH($Q236,Геокодування!$B$2:$B$361,0))-50.5884)+ABS(INDEX(Геокодування!$D$2:$D$361,MATCH($Q236,Геокодування!$B$2:$B$361,0))-32.3876)&gt;0.15,"",INDEX(Геокодування!$C$2:$C$361,MATCH($Q236,Геокодування!$B$2:$B$361,0))),IFERROR(IF(ABS(INDEX(Геокодування!$C$2:$C$361,MATCH("Прилуки, Чернігівська обл., "&amp;$A236,Геокодування!$B$2:$B$361,0))-50.5884)+ABS(INDEX(Геокодування!$D$2:$D$361,MATCH("Прилуки, Чернігівська обл., "&amp;$A236,Геокодування!$B$2:$B$361,0))-32.3876)&gt;0.15,"",INDEX(Геокодування!$C$2:$C$361,MATCH("Прилуки, Чернігівська обл., "&amp;$A236,Геокодування!$B$2:$B$361,0))),""))))</f>
        <v>50.595413999999998</v>
      </c>
      <c r="S236" s="43">
        <f>IF($O236="","",IFERROR(INDEX('Координати майданчиків'!$I$4:$I$64,MATCH($T236,'Координати майданчиків'!$B$4:$B$64,0)),IFERROR(IF(ABS(INDEX(Геокодування!$C$2:$C$361,MATCH($Q236,Геокодування!$B$2:$B$361,0))-50.5884)+ABS(INDEX(Геокодування!$D$2:$D$361,MATCH($Q236,Геокодування!$B$2:$B$361,0))-32.3876)&gt;0.15,"",INDEX(Геокодування!$D$2:$D$361,MATCH($Q236,Геокодування!$B$2:$B$361,0))),IFERROR(IF(ABS(INDEX(Геокодування!$C$2:$C$361,MATCH("Прилуки, Чернігівська обл., "&amp;$A236,Геокодування!$B$2:$B$361,0))-50.5884)+ABS(INDEX(Геокодування!$D$2:$D$361,MATCH("Прилуки, Чернігівська обл., "&amp;$A236,Геокодування!$B$2:$B$361,0))-32.3876)&gt;0.15,"",INDEX(Геокодування!$D$2:$D$361,MATCH("Прилуки, Чернігівська обл., "&amp;$A236,Геокодування!$B$2:$B$361,0))),""))))</f>
        <v>32.381410000000002</v>
      </c>
      <c r="T236" s="44" t="str">
        <f>IF($O236="","",IFERROR(INDEX('Координати майданчиків'!$B$4:$B$64,MATCH($A236&amp;IF($P236="","",", "&amp;$P236),'Координати майданчиків'!$B$4:$B$64,0)),IFERROR(INDEX('Координати майданчиків'!$B$4:$B$64,MATCH($A236,'Координати майданчиків'!$B$4:$B$64,0)),"")))</f>
        <v/>
      </c>
    </row>
    <row r="237" spans="1:20" x14ac:dyDescent="0.35">
      <c r="A237" s="26" t="str">
        <f t="shared" si="9"/>
        <v>вул. Київська</v>
      </c>
      <c r="B237" s="26" t="str">
        <f t="shared" si="10"/>
        <v>райрада</v>
      </c>
      <c r="C237" s="27" t="str" cm="1">
        <f t="array" ref="C237">IF($O237="","",_xlfn.TEXTJOIN(", ",TRUE,IF(EXACT('Дані_зв''язок'!$J$4:$J$1012,$O237)*('Дані_зв''язок'!$C$4:$C$1012=C$4),'Дані_зв''язок'!$D$4:$D$1012,"")))</f>
        <v/>
      </c>
      <c r="D237" s="27" t="str" cm="1">
        <f t="array" ref="D237">IF($O237="","",_xlfn.TEXTJOIN(", ",TRUE,IF(EXACT('Дані_зв''язок'!$J$4:$J$1012,$O237)*('Дані_зв''язок'!$C$4:$C$1012=D$4),'Дані_зв''язок'!$D$4:$D$1012,"")))</f>
        <v/>
      </c>
      <c r="E237" s="27" t="str" cm="1">
        <f t="array" ref="E237">IF($O237="","",_xlfn.TEXTJOIN(", ",TRUE,IF(EXACT('Дані_зв''язок'!$J$4:$J$1012,$O237)*('Дані_зв''язок'!$C$4:$C$1012=E$4),'Дані_зв''язок'!$D$4:$D$1012,"")))</f>
        <v/>
      </c>
      <c r="F237" s="27" t="str" cm="1">
        <f t="array" ref="F237">IF($O237="","",_xlfn.TEXTJOIN(", ",TRUE,IF(EXACT('Дані_зв''язок'!$J$4:$J$1012,$O237)*('Дані_зв''язок'!$C$4:$C$1012=F$4),'Дані_зв''язок'!$D$4:$D$1012,"")))</f>
        <v/>
      </c>
      <c r="G237" s="27" t="str" cm="1">
        <f t="array" ref="G237">IF($O237="","",_xlfn.TEXTJOIN(", ",TRUE,IF(EXACT('Дані_зв''язок'!$J$4:$J$1012,$O237)*('Дані_зв''язок'!$C$4:$C$1012=G$4),'Дані_зв''язок'!$D$4:$D$1012,"")))</f>
        <v>10:00</v>
      </c>
      <c r="H237" s="27" t="str" cm="1">
        <f t="array" ref="H237">IF($O237="","",_xlfn.TEXTJOIN(", ",TRUE,IF(EXACT('Дані_зв''язок'!$J$4:$J$1012,$O237)*('Дані_зв''язок'!$C$4:$C$1012=H$4),'Дані_зв''язок'!$D$4:$D$1012,"")))</f>
        <v/>
      </c>
      <c r="I237" s="27" t="str" cm="1">
        <f t="array" ref="I237">IF($O237="","",_xlfn.TEXTJOIN(", ",TRUE,IF(EXACT('Дані_зв''язок'!$J$4:$J$1012,$O237)*('Дані_зв''язок'!$C$4:$C$1012=I$4),'Дані_зв''язок'!$D$4:$D$1012,"")))</f>
        <v/>
      </c>
      <c r="J237" s="27" cm="1">
        <f t="array" ref="J237">IF($O237="","",COUNTIF(C237:I237,"?*")+SUMPRODUCT(LEN(C237:I237)-LEN(SUBSTITUTE(C237:I237,",",""))))</f>
        <v>1</v>
      </c>
      <c r="K237" s="28" t="str" cm="1">
        <f t="array" ref="K237">IF($O237="","",_xlfn.TEXTJOIN(", ",TRUE,IF(EXACT('Дані_зв''язок'!$J$4:$J$1012,$O237),'Дані_зв''язок'!$L$4:$L$1012,"")))</f>
        <v>№3</v>
      </c>
      <c r="L237" s="28" t="str" cm="1">
        <f t="array" ref="L237">IF($O237="","",_xlfn.TEXTJOIN(", ",TRUE,IF(EXACT('Дані_зв''язок'!$J$4:$J$1012,$O237),'Дані_зв''язок'!$M$4:$M$1012,"")))</f>
        <v>МАЗ-4371</v>
      </c>
      <c r="M237" s="27" cm="1">
        <f t="array" ref="M237">IF($O237="","",IF(SUMPRODUCT(MAX(EXACT('Дані_зв''язок'!$J$4:$J$1012,$O237)*IFERROR('Дані_зв''язок'!$H$4:$H$1012,0)))=0,"",SUMPRODUCT(MAX(EXACT('Дані_зв''язок'!$J$4:$J$1012,$O237)*IFERROR('Дані_зв''язок'!$H$4:$H$1012,0)))))</f>
        <v>1</v>
      </c>
      <c r="O237" s="30" t="s">
        <v>1346</v>
      </c>
      <c r="P237" s="24" t="str" cm="1">
        <f t="array" ref="P237">IF($O237="","",IF($B237="","",IFERROR(IF(MIN(IFERROR(VALUE(TRIM(MID(SUBSTITUTE(SUBSTITUTE($B237,","," ")," ",REPT(" ",30)),{1;31;61;91;121;151;181},30))),""))=0,"",MIN(IFERROR(VALUE(TRIM(MID(SUBSTITUTE(SUBSTITUTE($B237,","," ")," ",REPT(" ",30)),{1;31;61;91;121;151;181},30))),""))),"")))</f>
        <v/>
      </c>
      <c r="Q237" s="23" t="str">
        <f t="shared" si="11"/>
        <v>Прилуки, Чернігівська обл., вул. Київська</v>
      </c>
      <c r="R237" s="35">
        <f>IF($O237="","",IFERROR(INDEX('Координати майданчиків'!$H$4:$H$64,MATCH($T237,'Координати майданчиків'!$B$4:$B$64,0)),IFERROR(IF(ABS(INDEX(Геокодування!$C$2:$C$361,MATCH($Q237,Геокодування!$B$2:$B$361,0))-50.5884)+ABS(INDEX(Геокодування!$D$2:$D$361,MATCH($Q237,Геокодування!$B$2:$B$361,0))-32.3876)&gt;0.15,"",INDEX(Геокодування!$C$2:$C$361,MATCH($Q237,Геокодування!$B$2:$B$361,0))),IFERROR(IF(ABS(INDEX(Геокодування!$C$2:$C$361,MATCH("Прилуки, Чернігівська обл., "&amp;$A237,Геокодування!$B$2:$B$361,0))-50.5884)+ABS(INDEX(Геокодування!$D$2:$D$361,MATCH("Прилуки, Чернігівська обл., "&amp;$A237,Геокодування!$B$2:$B$361,0))-32.3876)&gt;0.15,"",INDEX(Геокодування!$C$2:$C$361,MATCH("Прилуки, Чернігівська обл., "&amp;$A237,Геокодування!$B$2:$B$361,0))),""))))</f>
        <v>50.595413999999998</v>
      </c>
      <c r="S237" s="43">
        <f>IF($O237="","",IFERROR(INDEX('Координати майданчиків'!$I$4:$I$64,MATCH($T237,'Координати майданчиків'!$B$4:$B$64,0)),IFERROR(IF(ABS(INDEX(Геокодування!$C$2:$C$361,MATCH($Q237,Геокодування!$B$2:$B$361,0))-50.5884)+ABS(INDEX(Геокодування!$D$2:$D$361,MATCH($Q237,Геокодування!$B$2:$B$361,0))-32.3876)&gt;0.15,"",INDEX(Геокодування!$D$2:$D$361,MATCH($Q237,Геокодування!$B$2:$B$361,0))),IFERROR(IF(ABS(INDEX(Геокодування!$C$2:$C$361,MATCH("Прилуки, Чернігівська обл., "&amp;$A237,Геокодування!$B$2:$B$361,0))-50.5884)+ABS(INDEX(Геокодування!$D$2:$D$361,MATCH("Прилуки, Чернігівська обл., "&amp;$A237,Геокодування!$B$2:$B$361,0))-32.3876)&gt;0.15,"",INDEX(Геокодування!$D$2:$D$361,MATCH("Прилуки, Чернігівська обл., "&amp;$A237,Геокодування!$B$2:$B$361,0))),""))))</f>
        <v>32.381410000000002</v>
      </c>
      <c r="T237" s="44" t="str">
        <f>IF($O237="","",IFERROR(INDEX('Координати майданчиків'!$B$4:$B$64,MATCH($A237&amp;IF($P237="","",", "&amp;$P237),'Координати майданчиків'!$B$4:$B$64,0)),IFERROR(INDEX('Координати майданчиків'!$B$4:$B$64,MATCH($A237,'Координати майданчиків'!$B$4:$B$64,0)),"")))</f>
        <v/>
      </c>
    </row>
    <row r="238" spans="1:20" x14ac:dyDescent="0.35">
      <c r="A238" s="26" t="str">
        <f t="shared" si="9"/>
        <v>вул. Київська</v>
      </c>
      <c r="B238" s="26" t="str">
        <f t="shared" si="10"/>
        <v>шк. 1</v>
      </c>
      <c r="C238" s="27" t="str" cm="1">
        <f t="array" ref="C238">IF($O238="","",_xlfn.TEXTJOIN(", ",TRUE,IF(EXACT('Дані_зв''язок'!$J$4:$J$1012,$O238)*('Дані_зв''язок'!$C$4:$C$1012=C$4),'Дані_зв''язок'!$D$4:$D$1012,"")))</f>
        <v>12:55</v>
      </c>
      <c r="D238" s="27" t="str" cm="1">
        <f t="array" ref="D238">IF($O238="","",_xlfn.TEXTJOIN(", ",TRUE,IF(EXACT('Дані_зв''язок'!$J$4:$J$1012,$O238)*('Дані_зв''язок'!$C$4:$C$1012=D$4),'Дані_зв''язок'!$D$4:$D$1012,"")))</f>
        <v/>
      </c>
      <c r="E238" s="27" t="str" cm="1">
        <f t="array" ref="E238">IF($O238="","",_xlfn.TEXTJOIN(", ",TRUE,IF(EXACT('Дані_зв''язок'!$J$4:$J$1012,$O238)*('Дані_зв''язок'!$C$4:$C$1012=E$4),'Дані_зв''язок'!$D$4:$D$1012,"")))</f>
        <v/>
      </c>
      <c r="F238" s="27" t="str" cm="1">
        <f t="array" ref="F238">IF($O238="","",_xlfn.TEXTJOIN(", ",TRUE,IF(EXACT('Дані_зв''язок'!$J$4:$J$1012,$O238)*('Дані_зв''язок'!$C$4:$C$1012=F$4),'Дані_зв''язок'!$D$4:$D$1012,"")))</f>
        <v/>
      </c>
      <c r="G238" s="27" t="str" cm="1">
        <f t="array" ref="G238">IF($O238="","",_xlfn.TEXTJOIN(", ",TRUE,IF(EXACT('Дані_зв''язок'!$J$4:$J$1012,$O238)*('Дані_зв''язок'!$C$4:$C$1012=G$4),'Дані_зв''язок'!$D$4:$D$1012,"")))</f>
        <v/>
      </c>
      <c r="H238" s="27" t="str" cm="1">
        <f t="array" ref="H238">IF($O238="","",_xlfn.TEXTJOIN(", ",TRUE,IF(EXACT('Дані_зв''язок'!$J$4:$J$1012,$O238)*('Дані_зв''язок'!$C$4:$C$1012=H$4),'Дані_зв''язок'!$D$4:$D$1012,"")))</f>
        <v/>
      </c>
      <c r="I238" s="27" t="str" cm="1">
        <f t="array" ref="I238">IF($O238="","",_xlfn.TEXTJOIN(", ",TRUE,IF(EXACT('Дані_зв''язок'!$J$4:$J$1012,$O238)*('Дані_зв''язок'!$C$4:$C$1012=I$4),'Дані_зв''язок'!$D$4:$D$1012,"")))</f>
        <v/>
      </c>
      <c r="J238" s="27" cm="1">
        <f t="array" ref="J238">IF($O238="","",COUNTIF(C238:I238,"?*")+SUMPRODUCT(LEN(C238:I238)-LEN(SUBSTITUTE(C238:I238,",",""))))</f>
        <v>1</v>
      </c>
      <c r="K238" s="28" t="str" cm="1">
        <f t="array" ref="K238">IF($O238="","",_xlfn.TEXTJOIN(", ",TRUE,IF(EXACT('Дані_зв''язок'!$J$4:$J$1012,$O238),'Дані_зв''язок'!$L$4:$L$1012,"")))</f>
        <v>№1</v>
      </c>
      <c r="L238" s="28" t="str" cm="1">
        <f t="array" ref="L238">IF($O238="","",_xlfn.TEXTJOIN(", ",TRUE,IF(EXACT('Дані_зв''язок'!$J$4:$J$1012,$O238),'Дані_зв''язок'!$M$4:$M$1012,"")))</f>
        <v>АТ-4021/1120</v>
      </c>
      <c r="M238" s="27" cm="1">
        <f t="array" ref="M238">IF($O238="","",IF(SUMPRODUCT(MAX(EXACT('Дані_зв''язок'!$J$4:$J$1012,$O238)*IFERROR('Дані_зв''язок'!$H$4:$H$1012,0)))=0,"",SUMPRODUCT(MAX(EXACT('Дані_зв''язок'!$J$4:$J$1012,$O238)*IFERROR('Дані_зв''язок'!$H$4:$H$1012,0)))))</f>
        <v>3</v>
      </c>
      <c r="O238" s="30" t="s">
        <v>1355</v>
      </c>
      <c r="P238" s="24" cm="1">
        <f t="array" ref="P238">IF($O238="","",IF($B238="","",IFERROR(IF(MIN(IFERROR(VALUE(TRIM(MID(SUBSTITUTE(SUBSTITUTE($B238,","," ")," ",REPT(" ",30)),{1;31;61;91;121;151;181},30))),""))=0,"",MIN(IFERROR(VALUE(TRIM(MID(SUBSTITUTE(SUBSTITUTE($B238,","," ")," ",REPT(" ",30)),{1;31;61;91;121;151;181},30))),""))),"")))</f>
        <v>1</v>
      </c>
      <c r="Q238" s="23" t="str">
        <f t="shared" si="11"/>
        <v>Прилуки, Чернігівська обл., вул. Київська, 1</v>
      </c>
      <c r="R238" s="35">
        <f>IF($O238="","",IFERROR(INDEX('Координати майданчиків'!$H$4:$H$64,MATCH($T238,'Координати майданчиків'!$B$4:$B$64,0)),IFERROR(IF(ABS(INDEX(Геокодування!$C$2:$C$361,MATCH($Q238,Геокодування!$B$2:$B$361,0))-50.5884)+ABS(INDEX(Геокодування!$D$2:$D$361,MATCH($Q238,Геокодування!$B$2:$B$361,0))-32.3876)&gt;0.15,"",INDEX(Геокодування!$C$2:$C$361,MATCH($Q238,Геокодування!$B$2:$B$361,0))),IFERROR(IF(ABS(INDEX(Геокодування!$C$2:$C$361,MATCH("Прилуки, Чернігівська обл., "&amp;$A238,Геокодування!$B$2:$B$361,0))-50.5884)+ABS(INDEX(Геокодування!$D$2:$D$361,MATCH("Прилуки, Чернігівська обл., "&amp;$A238,Геокодування!$B$2:$B$361,0))-32.3876)&gt;0.15,"",INDEX(Геокодування!$C$2:$C$361,MATCH("Прилуки, Чернігівська обл., "&amp;$A238,Геокодування!$B$2:$B$361,0))),""))))</f>
        <v>50.587232</v>
      </c>
      <c r="S238" s="43">
        <f>IF($O238="","",IFERROR(INDEX('Координати майданчиків'!$I$4:$I$64,MATCH($T238,'Координати майданчиків'!$B$4:$B$64,0)),IFERROR(IF(ABS(INDEX(Геокодування!$C$2:$C$361,MATCH($Q238,Геокодування!$B$2:$B$361,0))-50.5884)+ABS(INDEX(Геокодування!$D$2:$D$361,MATCH($Q238,Геокодування!$B$2:$B$361,0))-32.3876)&gt;0.15,"",INDEX(Геокодування!$D$2:$D$361,MATCH($Q238,Геокодування!$B$2:$B$361,0))),IFERROR(IF(ABS(INDEX(Геокодування!$C$2:$C$361,MATCH("Прилуки, Чернігівська обл., "&amp;$A238,Геокодування!$B$2:$B$361,0))-50.5884)+ABS(INDEX(Геокодування!$D$2:$D$361,MATCH("Прилуки, Чернігівська обл., "&amp;$A238,Геокодування!$B$2:$B$361,0))-32.3876)&gt;0.15,"",INDEX(Геокодування!$D$2:$D$361,MATCH("Прилуки, Чернігівська обл., "&amp;$A238,Геокодування!$B$2:$B$361,0))),""))))</f>
        <v>32.438777000000002</v>
      </c>
      <c r="T238" s="44" t="str">
        <f>IF($O238="","",IFERROR(INDEX('Координати майданчиків'!$B$4:$B$64,MATCH($A238&amp;IF($P238="","",", "&amp;$P238),'Координати майданчиків'!$B$4:$B$64,0)),IFERROR(INDEX('Координати майданчиків'!$B$4:$B$64,MATCH($A238,'Координати майданчиків'!$B$4:$B$64,0)),"")))</f>
        <v/>
      </c>
    </row>
    <row r="239" spans="1:20" x14ac:dyDescent="0.35">
      <c r="A239" s="26" t="str">
        <f t="shared" si="9"/>
        <v>вул. Київська</v>
      </c>
      <c r="B239" s="26" t="str">
        <f t="shared" si="10"/>
        <v>шк. 6</v>
      </c>
      <c r="C239" s="27" t="str" cm="1">
        <f t="array" ref="C239">IF($O239="","",_xlfn.TEXTJOIN(", ",TRUE,IF(EXACT('Дані_зв''язок'!$J$4:$J$1012,$O239)*('Дані_зв''язок'!$C$4:$C$1012=C$4),'Дані_зв''язок'!$D$4:$D$1012,"")))</f>
        <v>14:10</v>
      </c>
      <c r="D239" s="27" t="str" cm="1">
        <f t="array" ref="D239">IF($O239="","",_xlfn.TEXTJOIN(", ",TRUE,IF(EXACT('Дані_зв''язок'!$J$4:$J$1012,$O239)*('Дані_зв''язок'!$C$4:$C$1012=D$4),'Дані_зв''язок'!$D$4:$D$1012,"")))</f>
        <v/>
      </c>
      <c r="E239" s="27" t="str" cm="1">
        <f t="array" ref="E239">IF($O239="","",_xlfn.TEXTJOIN(", ",TRUE,IF(EXACT('Дані_зв''язок'!$J$4:$J$1012,$O239)*('Дані_зв''язок'!$C$4:$C$1012=E$4),'Дані_зв''язок'!$D$4:$D$1012,"")))</f>
        <v/>
      </c>
      <c r="F239" s="27" t="str" cm="1">
        <f t="array" ref="F239">IF($O239="","",_xlfn.TEXTJOIN(", ",TRUE,IF(EXACT('Дані_зв''язок'!$J$4:$J$1012,$O239)*('Дані_зв''язок'!$C$4:$C$1012=F$4),'Дані_зв''язок'!$D$4:$D$1012,"")))</f>
        <v/>
      </c>
      <c r="G239" s="27" t="str" cm="1">
        <f t="array" ref="G239">IF($O239="","",_xlfn.TEXTJOIN(", ",TRUE,IF(EXACT('Дані_зв''язок'!$J$4:$J$1012,$O239)*('Дані_зв''язок'!$C$4:$C$1012=G$4),'Дані_зв''язок'!$D$4:$D$1012,"")))</f>
        <v/>
      </c>
      <c r="H239" s="27" t="str" cm="1">
        <f t="array" ref="H239">IF($O239="","",_xlfn.TEXTJOIN(", ",TRUE,IF(EXACT('Дані_зв''язок'!$J$4:$J$1012,$O239)*('Дані_зв''язок'!$C$4:$C$1012=H$4),'Дані_зв''язок'!$D$4:$D$1012,"")))</f>
        <v/>
      </c>
      <c r="I239" s="27" t="str" cm="1">
        <f t="array" ref="I239">IF($O239="","",_xlfn.TEXTJOIN(", ",TRUE,IF(EXACT('Дані_зв''язок'!$J$4:$J$1012,$O239)*('Дані_зв''язок'!$C$4:$C$1012=I$4),'Дані_зв''язок'!$D$4:$D$1012,"")))</f>
        <v/>
      </c>
      <c r="J239" s="27" cm="1">
        <f t="array" ref="J239">IF($O239="","",COUNTIF(C239:I239,"?*")+SUMPRODUCT(LEN(C239:I239)-LEN(SUBSTITUTE(C239:I239,",",""))))</f>
        <v>1</v>
      </c>
      <c r="K239" s="28" t="str" cm="1">
        <f t="array" ref="K239">IF($O239="","",_xlfn.TEXTJOIN(", ",TRUE,IF(EXACT('Дані_зв''язок'!$J$4:$J$1012,$O239),'Дані_зв''язок'!$L$4:$L$1012,"")))</f>
        <v>№1</v>
      </c>
      <c r="L239" s="28" t="str" cm="1">
        <f t="array" ref="L239">IF($O239="","",_xlfn.TEXTJOIN(", ",TRUE,IF(EXACT('Дані_зв''язок'!$J$4:$J$1012,$O239),'Дані_зв''язок'!$M$4:$M$1012,"")))</f>
        <v>АТ-4021/1120</v>
      </c>
      <c r="M239" s="27" cm="1">
        <f t="array" ref="M239">IF($O239="","",IF(SUMPRODUCT(MAX(EXACT('Дані_зв''язок'!$J$4:$J$1012,$O239)*IFERROR('Дані_зв''язок'!$H$4:$H$1012,0)))=0,"",SUMPRODUCT(MAX(EXACT('Дані_зв''язок'!$J$4:$J$1012,$O239)*IFERROR('Дані_зв''язок'!$H$4:$H$1012,0)))))</f>
        <v>1</v>
      </c>
      <c r="O239" s="30" t="s">
        <v>1356</v>
      </c>
      <c r="P239" s="24" cm="1">
        <f t="array" ref="P239">IF($O239="","",IF($B239="","",IFERROR(IF(MIN(IFERROR(VALUE(TRIM(MID(SUBSTITUTE(SUBSTITUTE($B239,","," ")," ",REPT(" ",30)),{1;31;61;91;121;151;181},30))),""))=0,"",MIN(IFERROR(VALUE(TRIM(MID(SUBSTITUTE(SUBSTITUTE($B239,","," ")," ",REPT(" ",30)),{1;31;61;91;121;151;181},30))),""))),"")))</f>
        <v>6</v>
      </c>
      <c r="Q239" s="23" t="str">
        <f t="shared" si="11"/>
        <v>Прилуки, Чернігівська обл., вул. Київська, 6</v>
      </c>
      <c r="R239" s="35">
        <f>IF($O239="","",IFERROR(INDEX('Координати майданчиків'!$H$4:$H$64,MATCH($T239,'Координати майданчиків'!$B$4:$B$64,0)),IFERROR(IF(ABS(INDEX(Геокодування!$C$2:$C$361,MATCH($Q239,Геокодування!$B$2:$B$361,0))-50.5884)+ABS(INDEX(Геокодування!$D$2:$D$361,MATCH($Q239,Геокодування!$B$2:$B$361,0))-32.3876)&gt;0.15,"",INDEX(Геокодування!$C$2:$C$361,MATCH($Q239,Геокодування!$B$2:$B$361,0))),IFERROR(IF(ABS(INDEX(Геокодування!$C$2:$C$361,MATCH("Прилуки, Чернігівська обл., "&amp;$A239,Геокодування!$B$2:$B$361,0))-50.5884)+ABS(INDEX(Геокодування!$D$2:$D$361,MATCH("Прилуки, Чернігівська обл., "&amp;$A239,Геокодування!$B$2:$B$361,0))-32.3876)&gt;0.15,"",INDEX(Геокодування!$C$2:$C$361,MATCH("Прилуки, Чернігівська обл., "&amp;$A239,Геокодування!$B$2:$B$361,0))),""))))</f>
        <v>50.587232</v>
      </c>
      <c r="S239" s="43">
        <f>IF($O239="","",IFERROR(INDEX('Координати майданчиків'!$I$4:$I$64,MATCH($T239,'Координати майданчиків'!$B$4:$B$64,0)),IFERROR(IF(ABS(INDEX(Геокодування!$C$2:$C$361,MATCH($Q239,Геокодування!$B$2:$B$361,0))-50.5884)+ABS(INDEX(Геокодування!$D$2:$D$361,MATCH($Q239,Геокодування!$B$2:$B$361,0))-32.3876)&gt;0.15,"",INDEX(Геокодування!$D$2:$D$361,MATCH($Q239,Геокодування!$B$2:$B$361,0))),IFERROR(IF(ABS(INDEX(Геокодування!$C$2:$C$361,MATCH("Прилуки, Чернігівська обл., "&amp;$A239,Геокодування!$B$2:$B$361,0))-50.5884)+ABS(INDEX(Геокодування!$D$2:$D$361,MATCH("Прилуки, Чернігівська обл., "&amp;$A239,Геокодування!$B$2:$B$361,0))-32.3876)&gt;0.15,"",INDEX(Геокодування!$D$2:$D$361,MATCH("Прилуки, Чернігівська обл., "&amp;$A239,Геокодування!$B$2:$B$361,0))),""))))</f>
        <v>32.438777000000002</v>
      </c>
      <c r="T239" s="44" t="str">
        <f>IF($O239="","",IFERROR(INDEX('Координати майданчиків'!$B$4:$B$64,MATCH($A239&amp;IF($P239="","",", "&amp;$P239),'Координати майданчиків'!$B$4:$B$64,0)),IFERROR(INDEX('Координати майданчиків'!$B$4:$B$64,MATCH($A239,'Координати майданчиків'!$B$4:$B$64,0)),"")))</f>
        <v/>
      </c>
    </row>
    <row r="240" spans="1:20" x14ac:dyDescent="0.35">
      <c r="A240" s="26" t="str">
        <f t="shared" si="9"/>
        <v>вул. Київська</v>
      </c>
      <c r="B240" s="26" t="str">
        <f t="shared" si="10"/>
        <v>шк. мистецтв</v>
      </c>
      <c r="C240" s="27" t="str" cm="1">
        <f t="array" ref="C240">IF($O240="","",_xlfn.TEXTJOIN(", ",TRUE,IF(EXACT('Дані_зв''язок'!$J$4:$J$1012,$O240)*('Дані_зв''язок'!$C$4:$C$1012=C$4),'Дані_зв''язок'!$D$4:$D$1012,"")))</f>
        <v>10:50</v>
      </c>
      <c r="D240" s="27" t="str" cm="1">
        <f t="array" ref="D240">IF($O240="","",_xlfn.TEXTJOIN(", ",TRUE,IF(EXACT('Дані_зв''язок'!$J$4:$J$1012,$O240)*('Дані_зв''язок'!$C$4:$C$1012=D$4),'Дані_зв''язок'!$D$4:$D$1012,"")))</f>
        <v/>
      </c>
      <c r="E240" s="27" t="str" cm="1">
        <f t="array" ref="E240">IF($O240="","",_xlfn.TEXTJOIN(", ",TRUE,IF(EXACT('Дані_зв''язок'!$J$4:$J$1012,$O240)*('Дані_зв''язок'!$C$4:$C$1012=E$4),'Дані_зв''язок'!$D$4:$D$1012,"")))</f>
        <v/>
      </c>
      <c r="F240" s="27" t="str" cm="1">
        <f t="array" ref="F240">IF($O240="","",_xlfn.TEXTJOIN(", ",TRUE,IF(EXACT('Дані_зв''язок'!$J$4:$J$1012,$O240)*('Дані_зв''язок'!$C$4:$C$1012=F$4),'Дані_зв''язок'!$D$4:$D$1012,"")))</f>
        <v/>
      </c>
      <c r="G240" s="27" t="str" cm="1">
        <f t="array" ref="G240">IF($O240="","",_xlfn.TEXTJOIN(", ",TRUE,IF(EXACT('Дані_зв''язок'!$J$4:$J$1012,$O240)*('Дані_зв''язок'!$C$4:$C$1012=G$4),'Дані_зв''язок'!$D$4:$D$1012,"")))</f>
        <v/>
      </c>
      <c r="H240" s="27" t="str" cm="1">
        <f t="array" ref="H240">IF($O240="","",_xlfn.TEXTJOIN(", ",TRUE,IF(EXACT('Дані_зв''язок'!$J$4:$J$1012,$O240)*('Дані_зв''язок'!$C$4:$C$1012=H$4),'Дані_зв''язок'!$D$4:$D$1012,"")))</f>
        <v/>
      </c>
      <c r="I240" s="27" t="str" cm="1">
        <f t="array" ref="I240">IF($O240="","",_xlfn.TEXTJOIN(", ",TRUE,IF(EXACT('Дані_зв''язок'!$J$4:$J$1012,$O240)*('Дані_зв''язок'!$C$4:$C$1012=I$4),'Дані_зв''язок'!$D$4:$D$1012,"")))</f>
        <v/>
      </c>
      <c r="J240" s="27" cm="1">
        <f t="array" ref="J240">IF($O240="","",COUNTIF(C240:I240,"?*")+SUMPRODUCT(LEN(C240:I240)-LEN(SUBSTITUTE(C240:I240,",",""))))</f>
        <v>1</v>
      </c>
      <c r="K240" s="28" t="str" cm="1">
        <f t="array" ref="K240">IF($O240="","",_xlfn.TEXTJOIN(", ",TRUE,IF(EXACT('Дані_зв''язок'!$J$4:$J$1012,$O240),'Дані_зв''язок'!$L$4:$L$1012,"")))</f>
        <v>№3</v>
      </c>
      <c r="L240" s="28" t="str" cm="1">
        <f t="array" ref="L240">IF($O240="","",_xlfn.TEXTJOIN(", ",TRUE,IF(EXACT('Дані_зв''язок'!$J$4:$J$1012,$O240),'Дані_зв''язок'!$M$4:$M$1012,"")))</f>
        <v>ГАЗ 3309</v>
      </c>
      <c r="M240" s="27" cm="1">
        <f t="array" ref="M240">IF($O240="","",IF(SUMPRODUCT(MAX(EXACT('Дані_зв''язок'!$J$4:$J$1012,$O240)*IFERROR('Дані_зв''язок'!$H$4:$H$1012,0)))=0,"",SUMPRODUCT(MAX(EXACT('Дані_зв''язок'!$J$4:$J$1012,$O240)*IFERROR('Дані_зв''язок'!$H$4:$H$1012,0)))))</f>
        <v>1</v>
      </c>
      <c r="O240" s="30" t="s">
        <v>1357</v>
      </c>
      <c r="P240" s="24" t="str" cm="1">
        <f t="array" ref="P240">IF($O240="","",IF($B240="","",IFERROR(IF(MIN(IFERROR(VALUE(TRIM(MID(SUBSTITUTE(SUBSTITUTE($B240,","," ")," ",REPT(" ",30)),{1;31;61;91;121;151;181},30))),""))=0,"",MIN(IFERROR(VALUE(TRIM(MID(SUBSTITUTE(SUBSTITUTE($B240,","," ")," ",REPT(" ",30)),{1;31;61;91;121;151;181},30))),""))),"")))</f>
        <v/>
      </c>
      <c r="Q240" s="23" t="str">
        <f t="shared" si="11"/>
        <v>Прилуки, Чернігівська обл., вул. Київська</v>
      </c>
      <c r="R240" s="35">
        <f>IF($O240="","",IFERROR(INDEX('Координати майданчиків'!$H$4:$H$64,MATCH($T240,'Координати майданчиків'!$B$4:$B$64,0)),IFERROR(IF(ABS(INDEX(Геокодування!$C$2:$C$361,MATCH($Q240,Геокодування!$B$2:$B$361,0))-50.5884)+ABS(INDEX(Геокодування!$D$2:$D$361,MATCH($Q240,Геокодування!$B$2:$B$361,0))-32.3876)&gt;0.15,"",INDEX(Геокодування!$C$2:$C$361,MATCH($Q240,Геокодування!$B$2:$B$361,0))),IFERROR(IF(ABS(INDEX(Геокодування!$C$2:$C$361,MATCH("Прилуки, Чернігівська обл., "&amp;$A240,Геокодування!$B$2:$B$361,0))-50.5884)+ABS(INDEX(Геокодування!$D$2:$D$361,MATCH("Прилуки, Чернігівська обл., "&amp;$A240,Геокодування!$B$2:$B$361,0))-32.3876)&gt;0.15,"",INDEX(Геокодування!$C$2:$C$361,MATCH("Прилуки, Чернігівська обл., "&amp;$A240,Геокодування!$B$2:$B$361,0))),""))))</f>
        <v>50.595413999999998</v>
      </c>
      <c r="S240" s="43">
        <f>IF($O240="","",IFERROR(INDEX('Координати майданчиків'!$I$4:$I$64,MATCH($T240,'Координати майданчиків'!$B$4:$B$64,0)),IFERROR(IF(ABS(INDEX(Геокодування!$C$2:$C$361,MATCH($Q240,Геокодування!$B$2:$B$361,0))-50.5884)+ABS(INDEX(Геокодування!$D$2:$D$361,MATCH($Q240,Геокодування!$B$2:$B$361,0))-32.3876)&gt;0.15,"",INDEX(Геокодування!$D$2:$D$361,MATCH($Q240,Геокодування!$B$2:$B$361,0))),IFERROR(IF(ABS(INDEX(Геокодування!$C$2:$C$361,MATCH("Прилуки, Чернігівська обл., "&amp;$A240,Геокодування!$B$2:$B$361,0))-50.5884)+ABS(INDEX(Геокодування!$D$2:$D$361,MATCH("Прилуки, Чернігівська обл., "&amp;$A240,Геокодування!$B$2:$B$361,0))-32.3876)&gt;0.15,"",INDEX(Геокодування!$D$2:$D$361,MATCH("Прилуки, Чернігівська обл., "&amp;$A240,Геокодування!$B$2:$B$361,0))),""))))</f>
        <v>32.381410000000002</v>
      </c>
      <c r="T240" s="44" t="str">
        <f>IF($O240="","",IFERROR(INDEX('Координати майданчиків'!$B$4:$B$64,MATCH($A240&amp;IF($P240="","",", "&amp;$P240),'Координати майданчиків'!$B$4:$B$64,0)),IFERROR(INDEX('Координати майданчиків'!$B$4:$B$64,MATCH($A240,'Координати майданчиків'!$B$4:$B$64,0)),"")))</f>
        <v/>
      </c>
    </row>
    <row r="241" spans="1:20" x14ac:dyDescent="0.35">
      <c r="A241" s="26" t="str">
        <f t="shared" si="9"/>
        <v>вул. Київська</v>
      </c>
      <c r="B241" s="26" t="str">
        <f t="shared" si="10"/>
        <v>шк.-інтернат</v>
      </c>
      <c r="C241" s="27" t="str" cm="1">
        <f t="array" ref="C241">IF($O241="","",_xlfn.TEXTJOIN(", ",TRUE,IF(EXACT('Дані_зв''язок'!$J$4:$J$1012,$O241)*('Дані_зв''язок'!$C$4:$C$1012=C$4),'Дані_зв''язок'!$D$4:$D$1012,"")))</f>
        <v>11:30</v>
      </c>
      <c r="D241" s="27" t="str" cm="1">
        <f t="array" ref="D241">IF($O241="","",_xlfn.TEXTJOIN(", ",TRUE,IF(EXACT('Дані_зв''язок'!$J$4:$J$1012,$O241)*('Дані_зв''язок'!$C$4:$C$1012=D$4),'Дані_зв''язок'!$D$4:$D$1012,"")))</f>
        <v/>
      </c>
      <c r="E241" s="27" t="str" cm="1">
        <f t="array" ref="E241">IF($O241="","",_xlfn.TEXTJOIN(", ",TRUE,IF(EXACT('Дані_зв''язок'!$J$4:$J$1012,$O241)*('Дані_зв''язок'!$C$4:$C$1012=E$4),'Дані_зв''язок'!$D$4:$D$1012,"")))</f>
        <v/>
      </c>
      <c r="F241" s="27" t="str" cm="1">
        <f t="array" ref="F241">IF($O241="","",_xlfn.TEXTJOIN(", ",TRUE,IF(EXACT('Дані_зв''язок'!$J$4:$J$1012,$O241)*('Дані_зв''язок'!$C$4:$C$1012=F$4),'Дані_зв''язок'!$D$4:$D$1012,"")))</f>
        <v/>
      </c>
      <c r="G241" s="27" t="str" cm="1">
        <f t="array" ref="G241">IF($O241="","",_xlfn.TEXTJOIN(", ",TRUE,IF(EXACT('Дані_зв''язок'!$J$4:$J$1012,$O241)*('Дані_зв''язок'!$C$4:$C$1012=G$4),'Дані_зв''язок'!$D$4:$D$1012,"")))</f>
        <v/>
      </c>
      <c r="H241" s="27" t="str" cm="1">
        <f t="array" ref="H241">IF($O241="","",_xlfn.TEXTJOIN(", ",TRUE,IF(EXACT('Дані_зв''язок'!$J$4:$J$1012,$O241)*('Дані_зв''язок'!$C$4:$C$1012=H$4),'Дані_зв''язок'!$D$4:$D$1012,"")))</f>
        <v/>
      </c>
      <c r="I241" s="27" t="str" cm="1">
        <f t="array" ref="I241">IF($O241="","",_xlfn.TEXTJOIN(", ",TRUE,IF(EXACT('Дані_зв''язок'!$J$4:$J$1012,$O241)*('Дані_зв''язок'!$C$4:$C$1012=I$4),'Дані_зв''язок'!$D$4:$D$1012,"")))</f>
        <v/>
      </c>
      <c r="J241" s="27" cm="1">
        <f t="array" ref="J241">IF($O241="","",COUNTIF(C241:I241,"?*")+SUMPRODUCT(LEN(C241:I241)-LEN(SUBSTITUTE(C241:I241,",",""))))</f>
        <v>1</v>
      </c>
      <c r="K241" s="28" t="str" cm="1">
        <f t="array" ref="K241">IF($O241="","",_xlfn.TEXTJOIN(", ",TRUE,IF(EXACT('Дані_зв''язок'!$J$4:$J$1012,$O241),'Дані_зв''язок'!$L$4:$L$1012,"")))</f>
        <v>№3</v>
      </c>
      <c r="L241" s="28" t="str" cm="1">
        <f t="array" ref="L241">IF($O241="","",_xlfn.TEXTJOIN(", ",TRUE,IF(EXACT('Дані_зв''язок'!$J$4:$J$1012,$O241),'Дані_зв''язок'!$M$4:$M$1012,"")))</f>
        <v>ГАЗ 3309</v>
      </c>
      <c r="M241" s="27" cm="1">
        <f t="array" ref="M241">IF($O241="","",IF(SUMPRODUCT(MAX(EXACT('Дані_зв''язок'!$J$4:$J$1012,$O241)*IFERROR('Дані_зв''язок'!$H$4:$H$1012,0)))=0,"",SUMPRODUCT(MAX(EXACT('Дані_зв''язок'!$J$4:$J$1012,$O241)*IFERROR('Дані_зв''язок'!$H$4:$H$1012,0)))))</f>
        <v>2</v>
      </c>
      <c r="O241" s="30" t="s">
        <v>1358</v>
      </c>
      <c r="P241" s="24" t="str" cm="1">
        <f t="array" ref="P241">IF($O241="","",IF($B241="","",IFERROR(IF(MIN(IFERROR(VALUE(TRIM(MID(SUBSTITUTE(SUBSTITUTE($B241,","," ")," ",REPT(" ",30)),{1;31;61;91;121;151;181},30))),""))=0,"",MIN(IFERROR(VALUE(TRIM(MID(SUBSTITUTE(SUBSTITUTE($B241,","," ")," ",REPT(" ",30)),{1;31;61;91;121;151;181},30))),""))),"")))</f>
        <v/>
      </c>
      <c r="Q241" s="23" t="str">
        <f t="shared" si="11"/>
        <v>Прилуки, Чернігівська обл., вул. Київська</v>
      </c>
      <c r="R241" s="35">
        <f>IF($O241="","",IFERROR(INDEX('Координати майданчиків'!$H$4:$H$64,MATCH($T241,'Координати майданчиків'!$B$4:$B$64,0)),IFERROR(IF(ABS(INDEX(Геокодування!$C$2:$C$361,MATCH($Q241,Геокодування!$B$2:$B$361,0))-50.5884)+ABS(INDEX(Геокодування!$D$2:$D$361,MATCH($Q241,Геокодування!$B$2:$B$361,0))-32.3876)&gt;0.15,"",INDEX(Геокодування!$C$2:$C$361,MATCH($Q241,Геокодування!$B$2:$B$361,0))),IFERROR(IF(ABS(INDEX(Геокодування!$C$2:$C$361,MATCH("Прилуки, Чернігівська обл., "&amp;$A241,Геокодування!$B$2:$B$361,0))-50.5884)+ABS(INDEX(Геокодування!$D$2:$D$361,MATCH("Прилуки, Чернігівська обл., "&amp;$A241,Геокодування!$B$2:$B$361,0))-32.3876)&gt;0.15,"",INDEX(Геокодування!$C$2:$C$361,MATCH("Прилуки, Чернігівська обл., "&amp;$A241,Геокодування!$B$2:$B$361,0))),""))))</f>
        <v>50.595413999999998</v>
      </c>
      <c r="S241" s="43">
        <f>IF($O241="","",IFERROR(INDEX('Координати майданчиків'!$I$4:$I$64,MATCH($T241,'Координати майданчиків'!$B$4:$B$64,0)),IFERROR(IF(ABS(INDEX(Геокодування!$C$2:$C$361,MATCH($Q241,Геокодування!$B$2:$B$361,0))-50.5884)+ABS(INDEX(Геокодування!$D$2:$D$361,MATCH($Q241,Геокодування!$B$2:$B$361,0))-32.3876)&gt;0.15,"",INDEX(Геокодування!$D$2:$D$361,MATCH($Q241,Геокодування!$B$2:$B$361,0))),IFERROR(IF(ABS(INDEX(Геокодування!$C$2:$C$361,MATCH("Прилуки, Чернігівська обл., "&amp;$A241,Геокодування!$B$2:$B$361,0))-50.5884)+ABS(INDEX(Геокодування!$D$2:$D$361,MATCH("Прилуки, Чернігівська обл., "&amp;$A241,Геокодування!$B$2:$B$361,0))-32.3876)&gt;0.15,"",INDEX(Геокодування!$D$2:$D$361,MATCH("Прилуки, Чернігівська обл., "&amp;$A241,Геокодування!$B$2:$B$361,0))),""))))</f>
        <v>32.381410000000002</v>
      </c>
      <c r="T241" s="44" t="str">
        <f>IF($O241="","",IFERROR(INDEX('Координати майданчиків'!$B$4:$B$64,MATCH($A241&amp;IF($P241="","",", "&amp;$P241),'Координати майданчиків'!$B$4:$B$64,0)),IFERROR(INDEX('Координати майданчиків'!$B$4:$B$64,MATCH($A241,'Координати майданчиків'!$B$4:$B$64,0)),"")))</f>
        <v/>
      </c>
    </row>
    <row r="242" spans="1:20" x14ac:dyDescent="0.35">
      <c r="A242" s="26" t="str">
        <f t="shared" si="9"/>
        <v>вул. Климачівська</v>
      </c>
      <c r="B242" s="26" t="str">
        <f t="shared" si="10"/>
        <v/>
      </c>
      <c r="C242" s="27" t="str" cm="1">
        <f t="array" ref="C242">IF($O242="","",_xlfn.TEXTJOIN(", ",TRUE,IF(EXACT('Дані_зв''язок'!$J$4:$J$1012,$O242)*('Дані_зв''язок'!$C$4:$C$1012=C$4),'Дані_зв''язок'!$D$4:$D$1012,"")))</f>
        <v>11:00</v>
      </c>
      <c r="D242" s="27" t="str" cm="1">
        <f t="array" ref="D242">IF($O242="","",_xlfn.TEXTJOIN(", ",TRUE,IF(EXACT('Дані_зв''язок'!$J$4:$J$1012,$O242)*('Дані_зв''язок'!$C$4:$C$1012=D$4),'Дані_зв''язок'!$D$4:$D$1012,"")))</f>
        <v/>
      </c>
      <c r="E242" s="27" t="str" cm="1">
        <f t="array" ref="E242">IF($O242="","",_xlfn.TEXTJOIN(", ",TRUE,IF(EXACT('Дані_зв''язок'!$J$4:$J$1012,$O242)*('Дані_зв''язок'!$C$4:$C$1012=E$4),'Дані_зв''язок'!$D$4:$D$1012,"")))</f>
        <v/>
      </c>
      <c r="F242" s="27" t="str" cm="1">
        <f t="array" ref="F242">IF($O242="","",_xlfn.TEXTJOIN(", ",TRUE,IF(EXACT('Дані_зв''язок'!$J$4:$J$1012,$O242)*('Дані_зв''язок'!$C$4:$C$1012=F$4),'Дані_зв''язок'!$D$4:$D$1012,"")))</f>
        <v/>
      </c>
      <c r="G242" s="27" t="str" cm="1">
        <f t="array" ref="G242">IF($O242="","",_xlfn.TEXTJOIN(", ",TRUE,IF(EXACT('Дані_зв''язок'!$J$4:$J$1012,$O242)*('Дані_зв''язок'!$C$4:$C$1012=G$4),'Дані_зв''язок'!$D$4:$D$1012,"")))</f>
        <v/>
      </c>
      <c r="H242" s="27" t="str" cm="1">
        <f t="array" ref="H242">IF($O242="","",_xlfn.TEXTJOIN(", ",TRUE,IF(EXACT('Дані_зв''язок'!$J$4:$J$1012,$O242)*('Дані_зв''язок'!$C$4:$C$1012=H$4),'Дані_зв''язок'!$D$4:$D$1012,"")))</f>
        <v/>
      </c>
      <c r="I242" s="27" t="str" cm="1">
        <f t="array" ref="I242">IF($O242="","",_xlfn.TEXTJOIN(", ",TRUE,IF(EXACT('Дані_зв''язок'!$J$4:$J$1012,$O242)*('Дані_зв''язок'!$C$4:$C$1012=I$4),'Дані_зв''язок'!$D$4:$D$1012,"")))</f>
        <v/>
      </c>
      <c r="J242" s="27" cm="1">
        <f t="array" ref="J242">IF($O242="","",COUNTIF(C242:I242,"?*")+SUMPRODUCT(LEN(C242:I242)-LEN(SUBSTITUTE(C242:I242,",",""))))</f>
        <v>1</v>
      </c>
      <c r="K242" s="28" t="str" cm="1">
        <f t="array" ref="K242">IF($O242="","",_xlfn.TEXTJOIN(", ",TRUE,IF(EXACT('Дані_зв''язок'!$J$4:$J$1012,$O242),'Дані_зв''язок'!$L$4:$L$1012,"")))</f>
        <v>№5</v>
      </c>
      <c r="L242" s="28" t="str" cm="1">
        <f t="array" ref="L242">IF($O242="","",_xlfn.TEXTJOIN(", ",TRUE,IF(EXACT('Дані_зв''язок'!$J$4:$J$1012,$O242),'Дані_зв''язок'!$M$4:$M$1012,"")))</f>
        <v>МАЗ 4381</v>
      </c>
      <c r="M242" s="27" t="str" cm="1">
        <f t="array" ref="M242">IF($O242="","",IF(SUMPRODUCT(MAX(EXACT('Дані_зв''язок'!$J$4:$J$1012,$O242)*IFERROR('Дані_зв''язок'!$H$4:$H$1012,0)))=0,"",SUMPRODUCT(MAX(EXACT('Дані_зв''язок'!$J$4:$J$1012,$O242)*IFERROR('Дані_зв''язок'!$H$4:$H$1012,0)))))</f>
        <v/>
      </c>
      <c r="O242" s="30" t="s">
        <v>1363</v>
      </c>
      <c r="P242" s="24" t="str" cm="1">
        <f t="array" ref="P242">IF($O242="","",IF($B242="","",IFERROR(IF(MIN(IFERROR(VALUE(TRIM(MID(SUBSTITUTE(SUBSTITUTE($B242,","," ")," ",REPT(" ",30)),{1;31;61;91;121;151;181},30))),""))=0,"",MIN(IFERROR(VALUE(TRIM(MID(SUBSTITUTE(SUBSTITUTE($B242,","," ")," ",REPT(" ",30)),{1;31;61;91;121;151;181},30))),""))),"")))</f>
        <v/>
      </c>
      <c r="Q242" s="23" t="str">
        <f t="shared" si="11"/>
        <v>Прилуки, Чернігівська обл., вул. Климачівська</v>
      </c>
      <c r="R242" s="35">
        <f>IF($O242="","",IFERROR(INDEX('Координати майданчиків'!$H$4:$H$64,MATCH($T242,'Координати майданчиків'!$B$4:$B$64,0)),IFERROR(IF(ABS(INDEX(Геокодування!$C$2:$C$361,MATCH($Q242,Геокодування!$B$2:$B$361,0))-50.5884)+ABS(INDEX(Геокодування!$D$2:$D$361,MATCH($Q242,Геокодування!$B$2:$B$361,0))-32.3876)&gt;0.15,"",INDEX(Геокодування!$C$2:$C$361,MATCH($Q242,Геокодування!$B$2:$B$361,0))),IFERROR(IF(ABS(INDEX(Геокодування!$C$2:$C$361,MATCH("Прилуки, Чернігівська обл., "&amp;$A242,Геокодування!$B$2:$B$361,0))-50.5884)+ABS(INDEX(Геокодування!$D$2:$D$361,MATCH("Прилуки, Чернігівська обл., "&amp;$A242,Геокодування!$B$2:$B$361,0))-32.3876)&gt;0.15,"",INDEX(Геокодування!$C$2:$C$361,MATCH("Прилуки, Чернігівська обл., "&amp;$A242,Геокодування!$B$2:$B$361,0))),""))))</f>
        <v>50.573315000000001</v>
      </c>
      <c r="S242" s="43">
        <f>IF($O242="","",IFERROR(INDEX('Координати майданчиків'!$I$4:$I$64,MATCH($T242,'Координати майданчиків'!$B$4:$B$64,0)),IFERROR(IF(ABS(INDEX(Геокодування!$C$2:$C$361,MATCH($Q242,Геокодування!$B$2:$B$361,0))-50.5884)+ABS(INDEX(Геокодування!$D$2:$D$361,MATCH($Q242,Геокодування!$B$2:$B$361,0))-32.3876)&gt;0.15,"",INDEX(Геокодування!$D$2:$D$361,MATCH($Q242,Геокодування!$B$2:$B$361,0))),IFERROR(IF(ABS(INDEX(Геокодування!$C$2:$C$361,MATCH("Прилуки, Чернігівська обл., "&amp;$A242,Геокодування!$B$2:$B$361,0))-50.5884)+ABS(INDEX(Геокодування!$D$2:$D$361,MATCH("Прилуки, Чернігівська обл., "&amp;$A242,Геокодування!$B$2:$B$361,0))-32.3876)&gt;0.15,"",INDEX(Геокодування!$D$2:$D$361,MATCH("Прилуки, Чернігівська обл., "&amp;$A242,Геокодування!$B$2:$B$361,0))),""))))</f>
        <v>32.377521999999999</v>
      </c>
      <c r="T242" s="44" t="str">
        <f>IF($O242="","",IFERROR(INDEX('Координати майданчиків'!$B$4:$B$64,MATCH($A242&amp;IF($P242="","",", "&amp;$P242),'Координати майданчиків'!$B$4:$B$64,0)),IFERROR(INDEX('Координати майданчиків'!$B$4:$B$64,MATCH($A242,'Координати майданчиків'!$B$4:$B$64,0)),"")))</f>
        <v/>
      </c>
    </row>
    <row r="243" spans="1:20" x14ac:dyDescent="0.35">
      <c r="A243" s="26" t="str">
        <f t="shared" si="9"/>
        <v>вул. Ковалівська</v>
      </c>
      <c r="B243" s="26" t="str">
        <f t="shared" si="10"/>
        <v>Лижна база</v>
      </c>
      <c r="C243" s="27" t="str" cm="1">
        <f t="array" ref="C243">IF($O243="","",_xlfn.TEXTJOIN(", ",TRUE,IF(EXACT('Дані_зв''язок'!$J$4:$J$1012,$O243)*('Дані_зв''язок'!$C$4:$C$1012=C$4),'Дані_зв''язок'!$D$4:$D$1012,"")))</f>
        <v>9:25</v>
      </c>
      <c r="D243" s="27" t="str" cm="1">
        <f t="array" ref="D243">IF($O243="","",_xlfn.TEXTJOIN(", ",TRUE,IF(EXACT('Дані_зв''язок'!$J$4:$J$1012,$O243)*('Дані_зв''язок'!$C$4:$C$1012=D$4),'Дані_зв''язок'!$D$4:$D$1012,"")))</f>
        <v>9:25</v>
      </c>
      <c r="E243" s="27" t="str" cm="1">
        <f t="array" ref="E243">IF($O243="","",_xlfn.TEXTJOIN(", ",TRUE,IF(EXACT('Дані_зв''язок'!$J$4:$J$1012,$O243)*('Дані_зв''язок'!$C$4:$C$1012=E$4),'Дані_зв''язок'!$D$4:$D$1012,"")))</f>
        <v>9:40</v>
      </c>
      <c r="F243" s="27" t="str" cm="1">
        <f t="array" ref="F243">IF($O243="","",_xlfn.TEXTJOIN(", ",TRUE,IF(EXACT('Дані_зв''язок'!$J$4:$J$1012,$O243)*('Дані_зв''язок'!$C$4:$C$1012=F$4),'Дані_зв''язок'!$D$4:$D$1012,"")))</f>
        <v>9:25</v>
      </c>
      <c r="G243" s="27" t="str" cm="1">
        <f t="array" ref="G243">IF($O243="","",_xlfn.TEXTJOIN(", ",TRUE,IF(EXACT('Дані_зв''язок'!$J$4:$J$1012,$O243)*('Дані_зв''язок'!$C$4:$C$1012=G$4),'Дані_зв''язок'!$D$4:$D$1012,"")))</f>
        <v>9:25</v>
      </c>
      <c r="H243" s="27" t="str" cm="1">
        <f t="array" ref="H243">IF($O243="","",_xlfn.TEXTJOIN(", ",TRUE,IF(EXACT('Дані_зв''язок'!$J$4:$J$1012,$O243)*('Дані_зв''язок'!$C$4:$C$1012=H$4),'Дані_зв''язок'!$D$4:$D$1012,"")))</f>
        <v>9:40</v>
      </c>
      <c r="I243" s="27" t="str" cm="1">
        <f t="array" ref="I243">IF($O243="","",_xlfn.TEXTJOIN(", ",TRUE,IF(EXACT('Дані_зв''язок'!$J$4:$J$1012,$O243)*('Дані_зв''язок'!$C$4:$C$1012=I$4),'Дані_зв''язок'!$D$4:$D$1012,"")))</f>
        <v>9:25</v>
      </c>
      <c r="J243" s="27" cm="1">
        <f t="array" ref="J243">IF($O243="","",COUNTIF(C243:I243,"?*")+SUMPRODUCT(LEN(C243:I243)-LEN(SUBSTITUTE(C243:I243,",",""))))</f>
        <v>7</v>
      </c>
      <c r="K243" s="28" t="str" cm="1">
        <f t="array" ref="K243">IF($O243="","",_xlfn.TEXTJOIN(", ",TRUE,IF(EXACT('Дані_зв''язок'!$J$4:$J$1012,$O243),'Дані_зв''язок'!$L$4:$L$1012,"")))</f>
        <v>№2</v>
      </c>
      <c r="L243" s="28" t="str" cm="1">
        <f t="array" ref="L243">IF($O243="","",_xlfn.TEXTJOIN(", ",TRUE,IF(EXACT('Дані_зв''язок'!$J$4:$J$1012,$O243),'Дані_зв''язок'!$M$4:$M$1012,"")))</f>
        <v>АТ 4021/1120, АТ-4021/1120</v>
      </c>
      <c r="M243" s="27" cm="1">
        <f t="array" ref="M243">IF($O243="","",IF(SUMPRODUCT(MAX(EXACT('Дані_зв''язок'!$J$4:$J$1012,$O243)*IFERROR('Дані_зв''язок'!$H$4:$H$1012,0)))=0,"",SUMPRODUCT(MAX(EXACT('Дані_зв''язок'!$J$4:$J$1012,$O243)*IFERROR('Дані_зв''язок'!$H$4:$H$1012,0)))))</f>
        <v>5</v>
      </c>
      <c r="O243" s="30" t="s">
        <v>1364</v>
      </c>
      <c r="P243" s="24" t="str" cm="1">
        <f t="array" ref="P243">IF($O243="","",IF($B243="","",IFERROR(IF(MIN(IFERROR(VALUE(TRIM(MID(SUBSTITUTE(SUBSTITUTE($B243,","," ")," ",REPT(" ",30)),{1;31;61;91;121;151;181},30))),""))=0,"",MIN(IFERROR(VALUE(TRIM(MID(SUBSTITUTE(SUBSTITUTE($B243,","," ")," ",REPT(" ",30)),{1;31;61;91;121;151;181},30))),""))),"")))</f>
        <v/>
      </c>
      <c r="Q243" s="23" t="str">
        <f t="shared" si="11"/>
        <v>Прилуки, Чернігівська обл., вул. Ковалівська</v>
      </c>
      <c r="R243" s="35">
        <f>IF($O243="","",IFERROR(INDEX('Координати майданчиків'!$H$4:$H$64,MATCH($T243,'Координати майданчиків'!$B$4:$B$64,0)),IFERROR(IF(ABS(INDEX(Геокодування!$C$2:$C$361,MATCH($Q243,Геокодування!$B$2:$B$361,0))-50.5884)+ABS(INDEX(Геокодування!$D$2:$D$361,MATCH($Q243,Геокодування!$B$2:$B$361,0))-32.3876)&gt;0.15,"",INDEX(Геокодування!$C$2:$C$361,MATCH($Q243,Геокодування!$B$2:$B$361,0))),IFERROR(IF(ABS(INDEX(Геокодування!$C$2:$C$361,MATCH("Прилуки, Чернігівська обл., "&amp;$A243,Геокодування!$B$2:$B$361,0))-50.5884)+ABS(INDEX(Геокодування!$D$2:$D$361,MATCH("Прилуки, Чернігівська обл., "&amp;$A243,Геокодування!$B$2:$B$361,0))-32.3876)&gt;0.15,"",INDEX(Геокодування!$C$2:$C$361,MATCH("Прилуки, Чернігівська обл., "&amp;$A243,Геокодування!$B$2:$B$361,0))),""))))</f>
        <v>50.581904999999999</v>
      </c>
      <c r="S243" s="43">
        <f>IF($O243="","",IFERROR(INDEX('Координати майданчиків'!$I$4:$I$64,MATCH($T243,'Координати майданчиків'!$B$4:$B$64,0)),IFERROR(IF(ABS(INDEX(Геокодування!$C$2:$C$361,MATCH($Q243,Геокодування!$B$2:$B$361,0))-50.5884)+ABS(INDEX(Геокодування!$D$2:$D$361,MATCH($Q243,Геокодування!$B$2:$B$361,0))-32.3876)&gt;0.15,"",INDEX(Геокодування!$D$2:$D$361,MATCH($Q243,Геокодування!$B$2:$B$361,0))),IFERROR(IF(ABS(INDEX(Геокодування!$C$2:$C$361,MATCH("Прилуки, Чернігівська обл., "&amp;$A243,Геокодування!$B$2:$B$361,0))-50.5884)+ABS(INDEX(Геокодування!$D$2:$D$361,MATCH("Прилуки, Чернігівська обл., "&amp;$A243,Геокодування!$B$2:$B$361,0))-32.3876)&gt;0.15,"",INDEX(Геокодування!$D$2:$D$361,MATCH("Прилуки, Чернігівська обл., "&amp;$A243,Геокодування!$B$2:$B$361,0))),""))))</f>
        <v>32.383752999999999</v>
      </c>
      <c r="T243" s="44" t="str">
        <f>IF($O243="","",IFERROR(INDEX('Координати майданчиків'!$B$4:$B$64,MATCH($A243&amp;IF($P243="","",", "&amp;$P243),'Координати майданчиків'!$B$4:$B$64,0)),IFERROR(INDEX('Координати майданчиків'!$B$4:$B$64,MATCH($A243,'Координати майданчиків'!$B$4:$B$64,0)),"")))</f>
        <v/>
      </c>
    </row>
    <row r="244" spans="1:20" x14ac:dyDescent="0.35">
      <c r="A244" s="26" t="str">
        <f t="shared" si="9"/>
        <v>вул. Козача</v>
      </c>
      <c r="B244" s="26" t="str">
        <f t="shared" si="10"/>
        <v/>
      </c>
      <c r="C244" s="27" t="str" cm="1">
        <f t="array" ref="C244">IF($O244="","",_xlfn.TEXTJOIN(", ",TRUE,IF(EXACT('Дані_зв''язок'!$J$4:$J$1012,$O244)*('Дані_зв''язок'!$C$4:$C$1012=C$4),'Дані_зв''язок'!$D$4:$D$1012,"")))</f>
        <v/>
      </c>
      <c r="D244" s="27" t="str" cm="1">
        <f t="array" ref="D244">IF($O244="","",_xlfn.TEXTJOIN(", ",TRUE,IF(EXACT('Дані_зв''язок'!$J$4:$J$1012,$O244)*('Дані_зв''язок'!$C$4:$C$1012=D$4),'Дані_зв''язок'!$D$4:$D$1012,"")))</f>
        <v/>
      </c>
      <c r="E244" s="27" t="str" cm="1">
        <f t="array" ref="E244">IF($O244="","",_xlfn.TEXTJOIN(", ",TRUE,IF(EXACT('Дані_зв''язок'!$J$4:$J$1012,$O244)*('Дані_зв''язок'!$C$4:$C$1012=E$4),'Дані_зв''язок'!$D$4:$D$1012,"")))</f>
        <v/>
      </c>
      <c r="F244" s="27" t="str" cm="1">
        <f t="array" ref="F244">IF($O244="","",_xlfn.TEXTJOIN(", ",TRUE,IF(EXACT('Дані_зв''язок'!$J$4:$J$1012,$O244)*('Дані_зв''язок'!$C$4:$C$1012=F$4),'Дані_зв''язок'!$D$4:$D$1012,"")))</f>
        <v>8:45</v>
      </c>
      <c r="G244" s="27" t="str" cm="1">
        <f t="array" ref="G244">IF($O244="","",_xlfn.TEXTJOIN(", ",TRUE,IF(EXACT('Дані_зв''язок'!$J$4:$J$1012,$O244)*('Дані_зв''язок'!$C$4:$C$1012=G$4),'Дані_зв''язок'!$D$4:$D$1012,"")))</f>
        <v/>
      </c>
      <c r="H244" s="27" t="str" cm="1">
        <f t="array" ref="H244">IF($O244="","",_xlfn.TEXTJOIN(", ",TRUE,IF(EXACT('Дані_зв''язок'!$J$4:$J$1012,$O244)*('Дані_зв''язок'!$C$4:$C$1012=H$4),'Дані_зв''язок'!$D$4:$D$1012,"")))</f>
        <v/>
      </c>
      <c r="I244" s="27" t="str" cm="1">
        <f t="array" ref="I244">IF($O244="","",_xlfn.TEXTJOIN(", ",TRUE,IF(EXACT('Дані_зв''язок'!$J$4:$J$1012,$O244)*('Дані_зв''язок'!$C$4:$C$1012=I$4),'Дані_зв''язок'!$D$4:$D$1012,"")))</f>
        <v/>
      </c>
      <c r="J244" s="27" cm="1">
        <f t="array" ref="J244">IF($O244="","",COUNTIF(C244:I244,"?*")+SUMPRODUCT(LEN(C244:I244)-LEN(SUBSTITUTE(C244:I244,",",""))))</f>
        <v>1</v>
      </c>
      <c r="K244" s="28" t="str" cm="1">
        <f t="array" ref="K244">IF($O244="","",_xlfn.TEXTJOIN(", ",TRUE,IF(EXACT('Дані_зв''язок'!$J$4:$J$1012,$O244),'Дані_зв''язок'!$L$4:$L$1012,"")))</f>
        <v>№5</v>
      </c>
      <c r="L244" s="28" t="str" cm="1">
        <f t="array" ref="L244">IF($O244="","",_xlfn.TEXTJOIN(", ",TRUE,IF(EXACT('Дані_зв''язок'!$J$4:$J$1012,$O244),'Дані_зв''язок'!$M$4:$M$1012,"")))</f>
        <v>МАЗ 4381</v>
      </c>
      <c r="M244" s="27" t="str" cm="1">
        <f t="array" ref="M244">IF($O244="","",IF(SUMPRODUCT(MAX(EXACT('Дані_зв''язок'!$J$4:$J$1012,$O244)*IFERROR('Дані_зв''язок'!$H$4:$H$1012,0)))=0,"",SUMPRODUCT(MAX(EXACT('Дані_зв''язок'!$J$4:$J$1012,$O244)*IFERROR('Дані_зв''язок'!$H$4:$H$1012,0)))))</f>
        <v/>
      </c>
      <c r="O244" s="30" t="s">
        <v>1365</v>
      </c>
      <c r="P244" s="24" t="str" cm="1">
        <f t="array" ref="P244">IF($O244="","",IF($B244="","",IFERROR(IF(MIN(IFERROR(VALUE(TRIM(MID(SUBSTITUTE(SUBSTITUTE($B244,","," ")," ",REPT(" ",30)),{1;31;61;91;121;151;181},30))),""))=0,"",MIN(IFERROR(VALUE(TRIM(MID(SUBSTITUTE(SUBSTITUTE($B244,","," ")," ",REPT(" ",30)),{1;31;61;91;121;151;181},30))),""))),"")))</f>
        <v/>
      </c>
      <c r="Q244" s="23" t="str">
        <f t="shared" si="11"/>
        <v>Прилуки, Чернігівська обл., вул. Козача</v>
      </c>
      <c r="R244" s="35">
        <f>IF($O244="","",IFERROR(INDEX('Координати майданчиків'!$H$4:$H$64,MATCH($T244,'Координати майданчиків'!$B$4:$B$64,0)),IFERROR(IF(ABS(INDEX(Геокодування!$C$2:$C$361,MATCH($Q244,Геокодування!$B$2:$B$361,0))-50.5884)+ABS(INDEX(Геокодування!$D$2:$D$361,MATCH($Q244,Геокодування!$B$2:$B$361,0))-32.3876)&gt;0.15,"",INDEX(Геокодування!$C$2:$C$361,MATCH($Q244,Геокодування!$B$2:$B$361,0))),IFERROR(IF(ABS(INDEX(Геокодування!$C$2:$C$361,MATCH("Прилуки, Чернігівська обл., "&amp;$A244,Геокодування!$B$2:$B$361,0))-50.5884)+ABS(INDEX(Геокодування!$D$2:$D$361,MATCH("Прилуки, Чернігівська обл., "&amp;$A244,Геокодування!$B$2:$B$361,0))-32.3876)&gt;0.15,"",INDEX(Геокодування!$C$2:$C$361,MATCH("Прилуки, Чернігівська обл., "&amp;$A244,Геокодування!$B$2:$B$361,0))),""))))</f>
        <v>50.597375</v>
      </c>
      <c r="S244" s="43">
        <f>IF($O244="","",IFERROR(INDEX('Координати майданчиків'!$I$4:$I$64,MATCH($T244,'Координати майданчиків'!$B$4:$B$64,0)),IFERROR(IF(ABS(INDEX(Геокодування!$C$2:$C$361,MATCH($Q244,Геокодування!$B$2:$B$361,0))-50.5884)+ABS(INDEX(Геокодування!$D$2:$D$361,MATCH($Q244,Геокодування!$B$2:$B$361,0))-32.3876)&gt;0.15,"",INDEX(Геокодування!$D$2:$D$361,MATCH($Q244,Геокодування!$B$2:$B$361,0))),IFERROR(IF(ABS(INDEX(Геокодування!$C$2:$C$361,MATCH("Прилуки, Чернігівська обл., "&amp;$A244,Геокодування!$B$2:$B$361,0))-50.5884)+ABS(INDEX(Геокодування!$D$2:$D$361,MATCH("Прилуки, Чернігівська обл., "&amp;$A244,Геокодування!$B$2:$B$361,0))-32.3876)&gt;0.15,"",INDEX(Геокодування!$D$2:$D$361,MATCH("Прилуки, Чернігівська обл., "&amp;$A244,Геокодування!$B$2:$B$361,0))),""))))</f>
        <v>32.369256999999998</v>
      </c>
      <c r="T244" s="44" t="str">
        <f>IF($O244="","",IFERROR(INDEX('Координати майданчиків'!$B$4:$B$64,MATCH($A244&amp;IF($P244="","",", "&amp;$P244),'Координати майданчиків'!$B$4:$B$64,0)),IFERROR(INDEX('Координати майданчиків'!$B$4:$B$64,MATCH($A244,'Координати майданчиків'!$B$4:$B$64,0)),"")))</f>
        <v/>
      </c>
    </row>
    <row r="245" spans="1:20" x14ac:dyDescent="0.35">
      <c r="A245" s="26" t="str">
        <f t="shared" si="9"/>
        <v>вул. Козача</v>
      </c>
      <c r="B245" s="26" t="str">
        <f t="shared" si="10"/>
        <v>Д/с</v>
      </c>
      <c r="C245" s="27" t="str" cm="1">
        <f t="array" ref="C245">IF($O245="","",_xlfn.TEXTJOIN(", ",TRUE,IF(EXACT('Дані_зв''язок'!$J$4:$J$1012,$O245)*('Дані_зв''язок'!$C$4:$C$1012=C$4),'Дані_зв''язок'!$D$4:$D$1012,"")))</f>
        <v/>
      </c>
      <c r="D245" s="27" t="str" cm="1">
        <f t="array" ref="D245">IF($O245="","",_xlfn.TEXTJOIN(", ",TRUE,IF(EXACT('Дані_зв''язок'!$J$4:$J$1012,$O245)*('Дані_зв''язок'!$C$4:$C$1012=D$4),'Дані_зв''язок'!$D$4:$D$1012,"")))</f>
        <v>10:35</v>
      </c>
      <c r="E245" s="27" t="str" cm="1">
        <f t="array" ref="E245">IF($O245="","",_xlfn.TEXTJOIN(", ",TRUE,IF(EXACT('Дані_зв''язок'!$J$4:$J$1012,$O245)*('Дані_зв''язок'!$C$4:$C$1012=E$4),'Дані_зв''язок'!$D$4:$D$1012,"")))</f>
        <v/>
      </c>
      <c r="F245" s="27" t="str" cm="1">
        <f t="array" ref="F245">IF($O245="","",_xlfn.TEXTJOIN(", ",TRUE,IF(EXACT('Дані_зв''язок'!$J$4:$J$1012,$O245)*('Дані_зв''язок'!$C$4:$C$1012=F$4),'Дані_зв''язок'!$D$4:$D$1012,"")))</f>
        <v/>
      </c>
      <c r="G245" s="27" t="str" cm="1">
        <f t="array" ref="G245">IF($O245="","",_xlfn.TEXTJOIN(", ",TRUE,IF(EXACT('Дані_зв''язок'!$J$4:$J$1012,$O245)*('Дані_зв''язок'!$C$4:$C$1012=G$4),'Дані_зв''язок'!$D$4:$D$1012,"")))</f>
        <v/>
      </c>
      <c r="H245" s="27" t="str" cm="1">
        <f t="array" ref="H245">IF($O245="","",_xlfn.TEXTJOIN(", ",TRUE,IF(EXACT('Дані_зв''язок'!$J$4:$J$1012,$O245)*('Дані_зв''язок'!$C$4:$C$1012=H$4),'Дані_зв''язок'!$D$4:$D$1012,"")))</f>
        <v>10:35</v>
      </c>
      <c r="I245" s="27" t="str" cm="1">
        <f t="array" ref="I245">IF($O245="","",_xlfn.TEXTJOIN(", ",TRUE,IF(EXACT('Дані_зв''язок'!$J$4:$J$1012,$O245)*('Дані_зв''язок'!$C$4:$C$1012=I$4),'Дані_зв''язок'!$D$4:$D$1012,"")))</f>
        <v/>
      </c>
      <c r="J245" s="27" cm="1">
        <f t="array" ref="J245">IF($O245="","",COUNTIF(C245:I245,"?*")+SUMPRODUCT(LEN(C245:I245)-LEN(SUBSTITUTE(C245:I245,",",""))))</f>
        <v>2</v>
      </c>
      <c r="K245" s="28" t="str" cm="1">
        <f t="array" ref="K245">IF($O245="","",_xlfn.TEXTJOIN(", ",TRUE,IF(EXACT('Дані_зв''язок'!$J$4:$J$1012,$O245),'Дані_зв''язок'!$L$4:$L$1012,"")))</f>
        <v>№1</v>
      </c>
      <c r="L245" s="28" t="str" cm="1">
        <f t="array" ref="L245">IF($O245="","",_xlfn.TEXTJOIN(", ",TRUE,IF(EXACT('Дані_зв''язок'!$J$4:$J$1012,$O245),'Дані_зв''язок'!$M$4:$M$1012,"")))</f>
        <v>КАМАЗ 55111</v>
      </c>
      <c r="M245" s="27" cm="1">
        <f t="array" ref="M245">IF($O245="","",IF(SUMPRODUCT(MAX(EXACT('Дані_зв''язок'!$J$4:$J$1012,$O245)*IFERROR('Дані_зв''язок'!$H$4:$H$1012,0)))=0,"",SUMPRODUCT(MAX(EXACT('Дані_зв''язок'!$J$4:$J$1012,$O245)*IFERROR('Дані_зв''язок'!$H$4:$H$1012,0)))))</f>
        <v>2</v>
      </c>
      <c r="O245" s="30" t="s">
        <v>1366</v>
      </c>
      <c r="P245" s="24" t="str" cm="1">
        <f t="array" ref="P245">IF($O245="","",IF($B245="","",IFERROR(IF(MIN(IFERROR(VALUE(TRIM(MID(SUBSTITUTE(SUBSTITUTE($B245,","," ")," ",REPT(" ",30)),{1;31;61;91;121;151;181},30))),""))=0,"",MIN(IFERROR(VALUE(TRIM(MID(SUBSTITUTE(SUBSTITUTE($B245,","," ")," ",REPT(" ",30)),{1;31;61;91;121;151;181},30))),""))),"")))</f>
        <v/>
      </c>
      <c r="Q245" s="23" t="str">
        <f t="shared" si="11"/>
        <v>Прилуки, Чернігівська обл., вул. Козача</v>
      </c>
      <c r="R245" s="35">
        <f>IF($O245="","",IFERROR(INDEX('Координати майданчиків'!$H$4:$H$64,MATCH($T245,'Координати майданчиків'!$B$4:$B$64,0)),IFERROR(IF(ABS(INDEX(Геокодування!$C$2:$C$361,MATCH($Q245,Геокодування!$B$2:$B$361,0))-50.5884)+ABS(INDEX(Геокодування!$D$2:$D$361,MATCH($Q245,Геокодування!$B$2:$B$361,0))-32.3876)&gt;0.15,"",INDEX(Геокодування!$C$2:$C$361,MATCH($Q245,Геокодування!$B$2:$B$361,0))),IFERROR(IF(ABS(INDEX(Геокодування!$C$2:$C$361,MATCH("Прилуки, Чернігівська обл., "&amp;$A245,Геокодування!$B$2:$B$361,0))-50.5884)+ABS(INDEX(Геокодування!$D$2:$D$361,MATCH("Прилуки, Чернігівська обл., "&amp;$A245,Геокодування!$B$2:$B$361,0))-32.3876)&gt;0.15,"",INDEX(Геокодування!$C$2:$C$361,MATCH("Прилуки, Чернігівська обл., "&amp;$A245,Геокодування!$B$2:$B$361,0))),""))))</f>
        <v>50.597375</v>
      </c>
      <c r="S245" s="43">
        <f>IF($O245="","",IFERROR(INDEX('Координати майданчиків'!$I$4:$I$64,MATCH($T245,'Координати майданчиків'!$B$4:$B$64,0)),IFERROR(IF(ABS(INDEX(Геокодування!$C$2:$C$361,MATCH($Q245,Геокодування!$B$2:$B$361,0))-50.5884)+ABS(INDEX(Геокодування!$D$2:$D$361,MATCH($Q245,Геокодування!$B$2:$B$361,0))-32.3876)&gt;0.15,"",INDEX(Геокодування!$D$2:$D$361,MATCH($Q245,Геокодування!$B$2:$B$361,0))),IFERROR(IF(ABS(INDEX(Геокодування!$C$2:$C$361,MATCH("Прилуки, Чернігівська обл., "&amp;$A245,Геокодування!$B$2:$B$361,0))-50.5884)+ABS(INDEX(Геокодування!$D$2:$D$361,MATCH("Прилуки, Чернігівська обл., "&amp;$A245,Геокодування!$B$2:$B$361,0))-32.3876)&gt;0.15,"",INDEX(Геокодування!$D$2:$D$361,MATCH("Прилуки, Чернігівська обл., "&amp;$A245,Геокодування!$B$2:$B$361,0))),""))))</f>
        <v>32.369256999999998</v>
      </c>
      <c r="T245" s="44" t="str">
        <f>IF($O245="","",IFERROR(INDEX('Координати майданчиків'!$B$4:$B$64,MATCH($A245&amp;IF($P245="","",", "&amp;$P245),'Координати майданчиків'!$B$4:$B$64,0)),IFERROR(INDEX('Координати майданчиків'!$B$4:$B$64,MATCH($A245,'Координати майданчиків'!$B$4:$B$64,0)),"")))</f>
        <v/>
      </c>
    </row>
    <row r="246" spans="1:20" x14ac:dyDescent="0.35">
      <c r="A246" s="26" t="str">
        <f t="shared" si="9"/>
        <v>вул. Козача</v>
      </c>
      <c r="B246" s="26" t="str">
        <f t="shared" si="10"/>
        <v>перехрестя</v>
      </c>
      <c r="C246" s="27" t="str" cm="1">
        <f t="array" ref="C246">IF($O246="","",_xlfn.TEXTJOIN(", ",TRUE,IF(EXACT('Дані_зв''язок'!$J$4:$J$1012,$O246)*('Дані_зв''язок'!$C$4:$C$1012=C$4),'Дані_зв''язок'!$D$4:$D$1012,"")))</f>
        <v>14:15</v>
      </c>
      <c r="D246" s="27" t="str" cm="1">
        <f t="array" ref="D246">IF($O246="","",_xlfn.TEXTJOIN(", ",TRUE,IF(EXACT('Дані_зв''язок'!$J$4:$J$1012,$O246)*('Дані_зв''язок'!$C$4:$C$1012=D$4),'Дані_зв''язок'!$D$4:$D$1012,"")))</f>
        <v>13:55</v>
      </c>
      <c r="E246" s="27" t="str" cm="1">
        <f t="array" ref="E246">IF($O246="","",_xlfn.TEXTJOIN(", ",TRUE,IF(EXACT('Дані_зв''язок'!$J$4:$J$1012,$O246)*('Дані_зв''язок'!$C$4:$C$1012=E$4),'Дані_зв''язок'!$D$4:$D$1012,"")))</f>
        <v>14:25</v>
      </c>
      <c r="F246" s="27" t="str" cm="1">
        <f t="array" ref="F246">IF($O246="","",_xlfn.TEXTJOIN(", ",TRUE,IF(EXACT('Дані_зв''язок'!$J$4:$J$1012,$O246)*('Дані_зв''язок'!$C$4:$C$1012=F$4),'Дані_зв''язок'!$D$4:$D$1012,"")))</f>
        <v>13:55</v>
      </c>
      <c r="G246" s="27" t="str" cm="1">
        <f t="array" ref="G246">IF($O246="","",_xlfn.TEXTJOIN(", ",TRUE,IF(EXACT('Дані_зв''язок'!$J$4:$J$1012,$O246)*('Дані_зв''язок'!$C$4:$C$1012=G$4),'Дані_зв''язок'!$D$4:$D$1012,"")))</f>
        <v>14:15</v>
      </c>
      <c r="H246" s="27" t="str" cm="1">
        <f t="array" ref="H246">IF($O246="","",_xlfn.TEXTJOIN(", ",TRUE,IF(EXACT('Дані_зв''язок'!$J$4:$J$1012,$O246)*('Дані_зв''язок'!$C$4:$C$1012=H$4),'Дані_зв''язок'!$D$4:$D$1012,"")))</f>
        <v>14:25</v>
      </c>
      <c r="I246" s="27" t="str" cm="1">
        <f t="array" ref="I246">IF($O246="","",_xlfn.TEXTJOIN(", ",TRUE,IF(EXACT('Дані_зв''язок'!$J$4:$J$1012,$O246)*('Дані_зв''язок'!$C$4:$C$1012=I$4),'Дані_зв''язок'!$D$4:$D$1012,"")))</f>
        <v>14:40</v>
      </c>
      <c r="J246" s="27" cm="1">
        <f t="array" ref="J246">IF($O246="","",COUNTIF(C246:I246,"?*")+SUMPRODUCT(LEN(C246:I246)-LEN(SUBSTITUTE(C246:I246,",",""))))</f>
        <v>7</v>
      </c>
      <c r="K246" s="28" t="str" cm="1">
        <f t="array" ref="K246">IF($O246="","",_xlfn.TEXTJOIN(", ",TRUE,IF(EXACT('Дані_зв''язок'!$J$4:$J$1012,$O246),'Дані_зв''язок'!$L$4:$L$1012,"")))</f>
        <v>№4</v>
      </c>
      <c r="L246" s="28" t="str" cm="1">
        <f t="array" ref="L246">IF($O246="","",_xlfn.TEXTJOIN(", ",TRUE,IF(EXACT('Дані_зв''язок'!$J$4:$J$1012,$O246),'Дані_зв''язок'!$M$4:$M$1012,"")))</f>
        <v>АТ 40-42/ROD21003, ГАЗ 3309</v>
      </c>
      <c r="M246" s="27" cm="1">
        <f t="array" ref="M246">IF($O246="","",IF(SUMPRODUCT(MAX(EXACT('Дані_зв''язок'!$J$4:$J$1012,$O246)*IFERROR('Дані_зв''язок'!$H$4:$H$1012,0)))=0,"",SUMPRODUCT(MAX(EXACT('Дані_зв''язок'!$J$4:$J$1012,$O246)*IFERROR('Дані_зв''язок'!$H$4:$H$1012,0)))))</f>
        <v>3</v>
      </c>
      <c r="O246" s="30" t="s">
        <v>1367</v>
      </c>
      <c r="P246" s="24" t="str" cm="1">
        <f t="array" ref="P246">IF($O246="","",IF($B246="","",IFERROR(IF(MIN(IFERROR(VALUE(TRIM(MID(SUBSTITUTE(SUBSTITUTE($B246,","," ")," ",REPT(" ",30)),{1;31;61;91;121;151;181},30))),""))=0,"",MIN(IFERROR(VALUE(TRIM(MID(SUBSTITUTE(SUBSTITUTE($B246,","," ")," ",REPT(" ",30)),{1;31;61;91;121;151;181},30))),""))),"")))</f>
        <v/>
      </c>
      <c r="Q246" s="23" t="str">
        <f t="shared" si="11"/>
        <v>Прилуки, Чернігівська обл., вул. Козача</v>
      </c>
      <c r="R246" s="35">
        <f>IF($O246="","",IFERROR(INDEX('Координати майданчиків'!$H$4:$H$64,MATCH($T246,'Координати майданчиків'!$B$4:$B$64,0)),IFERROR(IF(ABS(INDEX(Геокодування!$C$2:$C$361,MATCH($Q246,Геокодування!$B$2:$B$361,0))-50.5884)+ABS(INDEX(Геокодування!$D$2:$D$361,MATCH($Q246,Геокодування!$B$2:$B$361,0))-32.3876)&gt;0.15,"",INDEX(Геокодування!$C$2:$C$361,MATCH($Q246,Геокодування!$B$2:$B$361,0))),IFERROR(IF(ABS(INDEX(Геокодування!$C$2:$C$361,MATCH("Прилуки, Чернігівська обл., "&amp;$A246,Геокодування!$B$2:$B$361,0))-50.5884)+ABS(INDEX(Геокодування!$D$2:$D$361,MATCH("Прилуки, Чернігівська обл., "&amp;$A246,Геокодування!$B$2:$B$361,0))-32.3876)&gt;0.15,"",INDEX(Геокодування!$C$2:$C$361,MATCH("Прилуки, Чернігівська обл., "&amp;$A246,Геокодування!$B$2:$B$361,0))),""))))</f>
        <v>50.597375</v>
      </c>
      <c r="S246" s="43">
        <f>IF($O246="","",IFERROR(INDEX('Координати майданчиків'!$I$4:$I$64,MATCH($T246,'Координати майданчиків'!$B$4:$B$64,0)),IFERROR(IF(ABS(INDEX(Геокодування!$C$2:$C$361,MATCH($Q246,Геокодування!$B$2:$B$361,0))-50.5884)+ABS(INDEX(Геокодування!$D$2:$D$361,MATCH($Q246,Геокодування!$B$2:$B$361,0))-32.3876)&gt;0.15,"",INDEX(Геокодування!$D$2:$D$361,MATCH($Q246,Геокодування!$B$2:$B$361,0))),IFERROR(IF(ABS(INDEX(Геокодування!$C$2:$C$361,MATCH("Прилуки, Чернігівська обл., "&amp;$A246,Геокодування!$B$2:$B$361,0))-50.5884)+ABS(INDEX(Геокодування!$D$2:$D$361,MATCH("Прилуки, Чернігівська обл., "&amp;$A246,Геокодування!$B$2:$B$361,0))-32.3876)&gt;0.15,"",INDEX(Геокодування!$D$2:$D$361,MATCH("Прилуки, Чернігівська обл., "&amp;$A246,Геокодування!$B$2:$B$361,0))),""))))</f>
        <v>32.369256999999998</v>
      </c>
      <c r="T246" s="44" t="str">
        <f>IF($O246="","",IFERROR(INDEX('Координати майданчиків'!$B$4:$B$64,MATCH($A246&amp;IF($P246="","",", "&amp;$P246),'Координати майданчиків'!$B$4:$B$64,0)),IFERROR(INDEX('Координати майданчиків'!$B$4:$B$64,MATCH($A246,'Координати майданчиків'!$B$4:$B$64,0)),"")))</f>
        <v/>
      </c>
    </row>
    <row r="247" spans="1:20" x14ac:dyDescent="0.35">
      <c r="A247" s="26" t="str">
        <f t="shared" si="9"/>
        <v>вул. Козача</v>
      </c>
      <c r="B247" s="26" t="str">
        <f t="shared" si="10"/>
        <v>ямщик</v>
      </c>
      <c r="C247" s="27" t="str" cm="1">
        <f t="array" ref="C247">IF($O247="","",_xlfn.TEXTJOIN(", ",TRUE,IF(EXACT('Дані_зв''язок'!$J$4:$J$1012,$O247)*('Дані_зв''язок'!$C$4:$C$1012=C$4),'Дані_зв''язок'!$D$4:$D$1012,"")))</f>
        <v/>
      </c>
      <c r="D247" s="27" t="str" cm="1">
        <f t="array" ref="D247">IF($O247="","",_xlfn.TEXTJOIN(", ",TRUE,IF(EXACT('Дані_зв''язок'!$J$4:$J$1012,$O247)*('Дані_зв''язок'!$C$4:$C$1012=D$4),'Дані_зв''язок'!$D$4:$D$1012,"")))</f>
        <v>14:15</v>
      </c>
      <c r="E247" s="27" t="str" cm="1">
        <f t="array" ref="E247">IF($O247="","",_xlfn.TEXTJOIN(", ",TRUE,IF(EXACT('Дані_зв''язок'!$J$4:$J$1012,$O247)*('Дані_зв''язок'!$C$4:$C$1012=E$4),'Дані_зв''язок'!$D$4:$D$1012,"")))</f>
        <v/>
      </c>
      <c r="F247" s="27" t="str" cm="1">
        <f t="array" ref="F247">IF($O247="","",_xlfn.TEXTJOIN(", ",TRUE,IF(EXACT('Дані_зв''язок'!$J$4:$J$1012,$O247)*('Дані_зв''язок'!$C$4:$C$1012=F$4),'Дані_зв''язок'!$D$4:$D$1012,"")))</f>
        <v>14:15</v>
      </c>
      <c r="G247" s="27" t="str" cm="1">
        <f t="array" ref="G247">IF($O247="","",_xlfn.TEXTJOIN(", ",TRUE,IF(EXACT('Дані_зв''язок'!$J$4:$J$1012,$O247)*('Дані_зв''язок'!$C$4:$C$1012=G$4),'Дані_зв''язок'!$D$4:$D$1012,"")))</f>
        <v/>
      </c>
      <c r="H247" s="27" t="str" cm="1">
        <f t="array" ref="H247">IF($O247="","",_xlfn.TEXTJOIN(", ",TRUE,IF(EXACT('Дані_зв''язок'!$J$4:$J$1012,$O247)*('Дані_зв''язок'!$C$4:$C$1012=H$4),'Дані_зв''язок'!$D$4:$D$1012,"")))</f>
        <v/>
      </c>
      <c r="I247" s="27" t="str" cm="1">
        <f t="array" ref="I247">IF($O247="","",_xlfn.TEXTJOIN(", ",TRUE,IF(EXACT('Дані_зв''язок'!$J$4:$J$1012,$O247)*('Дані_зв''язок'!$C$4:$C$1012=I$4),'Дані_зв''язок'!$D$4:$D$1012,"")))</f>
        <v/>
      </c>
      <c r="J247" s="27" cm="1">
        <f t="array" ref="J247">IF($O247="","",COUNTIF(C247:I247,"?*")+SUMPRODUCT(LEN(C247:I247)-LEN(SUBSTITUTE(C247:I247,",",""))))</f>
        <v>2</v>
      </c>
      <c r="K247" s="28" t="str" cm="1">
        <f t="array" ref="K247">IF($O247="","",_xlfn.TEXTJOIN(", ",TRUE,IF(EXACT('Дані_зв''язок'!$J$4:$J$1012,$O247),'Дані_зв''язок'!$L$4:$L$1012,"")))</f>
        <v>№4</v>
      </c>
      <c r="L247" s="28" t="str" cm="1">
        <f t="array" ref="L247">IF($O247="","",_xlfn.TEXTJOIN(", ",TRUE,IF(EXACT('Дані_зв''язок'!$J$4:$J$1012,$O247),'Дані_зв''язок'!$M$4:$M$1012,"")))</f>
        <v>АТ 40-42/ROD21003</v>
      </c>
      <c r="M247" s="27" cm="1">
        <f t="array" ref="M247">IF($O247="","",IF(SUMPRODUCT(MAX(EXACT('Дані_зв''язок'!$J$4:$J$1012,$O247)*IFERROR('Дані_зв''язок'!$H$4:$H$1012,0)))=0,"",SUMPRODUCT(MAX(EXACT('Дані_зв''язок'!$J$4:$J$1012,$O247)*IFERROR('Дані_зв''язок'!$H$4:$H$1012,0)))))</f>
        <v>1</v>
      </c>
      <c r="O247" s="30" t="s">
        <v>1368</v>
      </c>
      <c r="P247" s="24" t="str" cm="1">
        <f t="array" ref="P247">IF($O247="","",IF($B247="","",IFERROR(IF(MIN(IFERROR(VALUE(TRIM(MID(SUBSTITUTE(SUBSTITUTE($B247,","," ")," ",REPT(" ",30)),{1;31;61;91;121;151;181},30))),""))=0,"",MIN(IFERROR(VALUE(TRIM(MID(SUBSTITUTE(SUBSTITUTE($B247,","," ")," ",REPT(" ",30)),{1;31;61;91;121;151;181},30))),""))),"")))</f>
        <v/>
      </c>
      <c r="Q247" s="23" t="str">
        <f t="shared" si="11"/>
        <v>Прилуки, Чернігівська обл., вул. Козача</v>
      </c>
      <c r="R247" s="35">
        <f>IF($O247="","",IFERROR(INDEX('Координати майданчиків'!$H$4:$H$64,MATCH($T247,'Координати майданчиків'!$B$4:$B$64,0)),IFERROR(IF(ABS(INDEX(Геокодування!$C$2:$C$361,MATCH($Q247,Геокодування!$B$2:$B$361,0))-50.5884)+ABS(INDEX(Геокодування!$D$2:$D$361,MATCH($Q247,Геокодування!$B$2:$B$361,0))-32.3876)&gt;0.15,"",INDEX(Геокодування!$C$2:$C$361,MATCH($Q247,Геокодування!$B$2:$B$361,0))),IFERROR(IF(ABS(INDEX(Геокодування!$C$2:$C$361,MATCH("Прилуки, Чернігівська обл., "&amp;$A247,Геокодування!$B$2:$B$361,0))-50.5884)+ABS(INDEX(Геокодування!$D$2:$D$361,MATCH("Прилуки, Чернігівська обл., "&amp;$A247,Геокодування!$B$2:$B$361,0))-32.3876)&gt;0.15,"",INDEX(Геокодування!$C$2:$C$361,MATCH("Прилуки, Чернігівська обл., "&amp;$A247,Геокодування!$B$2:$B$361,0))),""))))</f>
        <v>50.597375</v>
      </c>
      <c r="S247" s="43">
        <f>IF($O247="","",IFERROR(INDEX('Координати майданчиків'!$I$4:$I$64,MATCH($T247,'Координати майданчиків'!$B$4:$B$64,0)),IFERROR(IF(ABS(INDEX(Геокодування!$C$2:$C$361,MATCH($Q247,Геокодування!$B$2:$B$361,0))-50.5884)+ABS(INDEX(Геокодування!$D$2:$D$361,MATCH($Q247,Геокодування!$B$2:$B$361,0))-32.3876)&gt;0.15,"",INDEX(Геокодування!$D$2:$D$361,MATCH($Q247,Геокодування!$B$2:$B$361,0))),IFERROR(IF(ABS(INDEX(Геокодування!$C$2:$C$361,MATCH("Прилуки, Чернігівська обл., "&amp;$A247,Геокодування!$B$2:$B$361,0))-50.5884)+ABS(INDEX(Геокодування!$D$2:$D$361,MATCH("Прилуки, Чернігівська обл., "&amp;$A247,Геокодування!$B$2:$B$361,0))-32.3876)&gt;0.15,"",INDEX(Геокодування!$D$2:$D$361,MATCH("Прилуки, Чернігівська обл., "&amp;$A247,Геокодування!$B$2:$B$361,0))),""))))</f>
        <v>32.369256999999998</v>
      </c>
      <c r="T247" s="44" t="str">
        <f>IF($O247="","",IFERROR(INDEX('Координати майданчиків'!$B$4:$B$64,MATCH($A247&amp;IF($P247="","",", "&amp;$P247),'Координати майданчиків'!$B$4:$B$64,0)),IFERROR(INDEX('Координати майданчиків'!$B$4:$B$64,MATCH($A247,'Координати майданчиків'!$B$4:$B$64,0)),"")))</f>
        <v/>
      </c>
    </row>
    <row r="248" spans="1:20" x14ac:dyDescent="0.35">
      <c r="A248" s="26" t="str">
        <f t="shared" si="9"/>
        <v>вул. Коновальця</v>
      </c>
      <c r="B248" s="26" t="str">
        <f t="shared" si="10"/>
        <v>"Барвінок"</v>
      </c>
      <c r="C248" s="27" t="str" cm="1">
        <f t="array" ref="C248">IF($O248="","",_xlfn.TEXTJOIN(", ",TRUE,IF(EXACT('Дані_зв''язок'!$J$4:$J$1012,$O248)*('Дані_зв''язок'!$C$4:$C$1012=C$4),'Дані_зв''язок'!$D$4:$D$1012,"")))</f>
        <v>15:00</v>
      </c>
      <c r="D248" s="27" t="str" cm="1">
        <f t="array" ref="D248">IF($O248="","",_xlfn.TEXTJOIN(", ",TRUE,IF(EXACT('Дані_зв''язок'!$J$4:$J$1012,$O248)*('Дані_зв''язок'!$C$4:$C$1012=D$4),'Дані_зв''язок'!$D$4:$D$1012,"")))</f>
        <v/>
      </c>
      <c r="E248" s="27" t="str" cm="1">
        <f t="array" ref="E248">IF($O248="","",_xlfn.TEXTJOIN(", ",TRUE,IF(EXACT('Дані_зв''язок'!$J$4:$J$1012,$O248)*('Дані_зв''язок'!$C$4:$C$1012=E$4),'Дані_зв''язок'!$D$4:$D$1012,"")))</f>
        <v/>
      </c>
      <c r="F248" s="27" t="str" cm="1">
        <f t="array" ref="F248">IF($O248="","",_xlfn.TEXTJOIN(", ",TRUE,IF(EXACT('Дані_зв''язок'!$J$4:$J$1012,$O248)*('Дані_зв''язок'!$C$4:$C$1012=F$4),'Дані_зв''язок'!$D$4:$D$1012,"")))</f>
        <v/>
      </c>
      <c r="G248" s="27" t="str" cm="1">
        <f t="array" ref="G248">IF($O248="","",_xlfn.TEXTJOIN(", ",TRUE,IF(EXACT('Дані_зв''язок'!$J$4:$J$1012,$O248)*('Дані_зв''язок'!$C$4:$C$1012=G$4),'Дані_зв''язок'!$D$4:$D$1012,"")))</f>
        <v/>
      </c>
      <c r="H248" s="27" t="str" cm="1">
        <f t="array" ref="H248">IF($O248="","",_xlfn.TEXTJOIN(", ",TRUE,IF(EXACT('Дані_зв''язок'!$J$4:$J$1012,$O248)*('Дані_зв''язок'!$C$4:$C$1012=H$4),'Дані_зв''язок'!$D$4:$D$1012,"")))</f>
        <v/>
      </c>
      <c r="I248" s="27" t="str" cm="1">
        <f t="array" ref="I248">IF($O248="","",_xlfn.TEXTJOIN(", ",TRUE,IF(EXACT('Дані_зв''язок'!$J$4:$J$1012,$O248)*('Дані_зв''язок'!$C$4:$C$1012=I$4),'Дані_зв''язок'!$D$4:$D$1012,"")))</f>
        <v/>
      </c>
      <c r="J248" s="27" cm="1">
        <f t="array" ref="J248">IF($O248="","",COUNTIF(C248:I248,"?*")+SUMPRODUCT(LEN(C248:I248)-LEN(SUBSTITUTE(C248:I248,",",""))))</f>
        <v>1</v>
      </c>
      <c r="K248" s="28" t="str" cm="1">
        <f t="array" ref="K248">IF($O248="","",_xlfn.TEXTJOIN(", ",TRUE,IF(EXACT('Дані_зв''язок'!$J$4:$J$1012,$O248),'Дані_зв''язок'!$L$4:$L$1012,"")))</f>
        <v>№1</v>
      </c>
      <c r="L248" s="28" t="str" cm="1">
        <f t="array" ref="L248">IF($O248="","",_xlfn.TEXTJOIN(", ",TRUE,IF(EXACT('Дані_зв''язок'!$J$4:$J$1012,$O248),'Дані_зв''язок'!$M$4:$M$1012,"")))</f>
        <v>АТ-4021/1120</v>
      </c>
      <c r="M248" s="27" cm="1">
        <f t="array" ref="M248">IF($O248="","",IF(SUMPRODUCT(MAX(EXACT('Дані_зв''язок'!$J$4:$J$1012,$O248)*IFERROR('Дані_зв''язок'!$H$4:$H$1012,0)))=0,"",SUMPRODUCT(MAX(EXACT('Дані_зв''язок'!$J$4:$J$1012,$O248)*IFERROR('Дані_зв''язок'!$H$4:$H$1012,0)))))</f>
        <v>2</v>
      </c>
      <c r="O248" s="30" t="s">
        <v>1369</v>
      </c>
      <c r="P248" s="24" t="str" cm="1">
        <f t="array" ref="P248">IF($O248="","",IF($B248="","",IFERROR(IF(MIN(IFERROR(VALUE(TRIM(MID(SUBSTITUTE(SUBSTITUTE($B248,","," ")," ",REPT(" ",30)),{1;31;61;91;121;151;181},30))),""))=0,"",MIN(IFERROR(VALUE(TRIM(MID(SUBSTITUTE(SUBSTITUTE($B248,","," ")," ",REPT(" ",30)),{1;31;61;91;121;151;181},30))),""))),"")))</f>
        <v/>
      </c>
      <c r="Q248" s="23" t="str">
        <f t="shared" si="11"/>
        <v>Прилуки, Чернігівська обл., вул. Коновальця</v>
      </c>
      <c r="R248" s="35">
        <f>IF($O248="","",IFERROR(INDEX('Координати майданчиків'!$H$4:$H$64,MATCH($T248,'Координати майданчиків'!$B$4:$B$64,0)),IFERROR(IF(ABS(INDEX(Геокодування!$C$2:$C$361,MATCH($Q248,Геокодування!$B$2:$B$361,0))-50.5884)+ABS(INDEX(Геокодування!$D$2:$D$361,MATCH($Q248,Геокодування!$B$2:$B$361,0))-32.3876)&gt;0.15,"",INDEX(Геокодування!$C$2:$C$361,MATCH($Q248,Геокодування!$B$2:$B$361,0))),IFERROR(IF(ABS(INDEX(Геокодування!$C$2:$C$361,MATCH("Прилуки, Чернігівська обл., "&amp;$A248,Геокодування!$B$2:$B$361,0))-50.5884)+ABS(INDEX(Геокодування!$D$2:$D$361,MATCH("Прилуки, Чернігівська обл., "&amp;$A248,Геокодування!$B$2:$B$361,0))-32.3876)&gt;0.15,"",INDEX(Геокодування!$C$2:$C$361,MATCH("Прилуки, Чернігівська обл., "&amp;$A248,Геокодування!$B$2:$B$361,0))),""))))</f>
        <v>50.576813000000001</v>
      </c>
      <c r="S248" s="43">
        <f>IF($O248="","",IFERROR(INDEX('Координати майданчиків'!$I$4:$I$64,MATCH($T248,'Координати майданчиків'!$B$4:$B$64,0)),IFERROR(IF(ABS(INDEX(Геокодування!$C$2:$C$361,MATCH($Q248,Геокодування!$B$2:$B$361,0))-50.5884)+ABS(INDEX(Геокодування!$D$2:$D$361,MATCH($Q248,Геокодування!$B$2:$B$361,0))-32.3876)&gt;0.15,"",INDEX(Геокодування!$D$2:$D$361,MATCH($Q248,Геокодування!$B$2:$B$361,0))),IFERROR(IF(ABS(INDEX(Геокодування!$C$2:$C$361,MATCH("Прилуки, Чернігівська обл., "&amp;$A248,Геокодування!$B$2:$B$361,0))-50.5884)+ABS(INDEX(Геокодування!$D$2:$D$361,MATCH("Прилуки, Чернігівська обл., "&amp;$A248,Геокодування!$B$2:$B$361,0))-32.3876)&gt;0.15,"",INDEX(Геокодування!$D$2:$D$361,MATCH("Прилуки, Чернігівська обл., "&amp;$A248,Геокодування!$B$2:$B$361,0))),""))))</f>
        <v>32.410488000000001</v>
      </c>
      <c r="T248" s="44" t="str">
        <f>IF($O248="","",IFERROR(INDEX('Координати майданчиків'!$B$4:$B$64,MATCH($A248&amp;IF($P248="","",", "&amp;$P248),'Координати майданчиків'!$B$4:$B$64,0)),IFERROR(INDEX('Координати майданчиків'!$B$4:$B$64,MATCH($A248,'Координати майданчиків'!$B$4:$B$64,0)),"")))</f>
        <v/>
      </c>
    </row>
    <row r="249" spans="1:20" x14ac:dyDescent="0.35">
      <c r="A249" s="26" t="str">
        <f t="shared" si="9"/>
        <v>вул. Коновальця</v>
      </c>
      <c r="B249" s="26" t="str">
        <f t="shared" si="10"/>
        <v>"Скло"</v>
      </c>
      <c r="C249" s="27" t="str" cm="1">
        <f t="array" ref="C249">IF($O249="","",_xlfn.TEXTJOIN(", ",TRUE,IF(EXACT('Дані_зв''язок'!$J$4:$J$1012,$O249)*('Дані_зв''язок'!$C$4:$C$1012=C$4),'Дані_зв''язок'!$D$4:$D$1012,"")))</f>
        <v>14:55</v>
      </c>
      <c r="D249" s="27" t="str" cm="1">
        <f t="array" ref="D249">IF($O249="","",_xlfn.TEXTJOIN(", ",TRUE,IF(EXACT('Дані_зв''язок'!$J$4:$J$1012,$O249)*('Дані_зв''язок'!$C$4:$C$1012=D$4),'Дані_зв''язок'!$D$4:$D$1012,"")))</f>
        <v/>
      </c>
      <c r="E249" s="27" t="str" cm="1">
        <f t="array" ref="E249">IF($O249="","",_xlfn.TEXTJOIN(", ",TRUE,IF(EXACT('Дані_зв''язок'!$J$4:$J$1012,$O249)*('Дані_зв''язок'!$C$4:$C$1012=E$4),'Дані_зв''язок'!$D$4:$D$1012,"")))</f>
        <v/>
      </c>
      <c r="F249" s="27" t="str" cm="1">
        <f t="array" ref="F249">IF($O249="","",_xlfn.TEXTJOIN(", ",TRUE,IF(EXACT('Дані_зв''язок'!$J$4:$J$1012,$O249)*('Дані_зв''язок'!$C$4:$C$1012=F$4),'Дані_зв''язок'!$D$4:$D$1012,"")))</f>
        <v/>
      </c>
      <c r="G249" s="27" t="str" cm="1">
        <f t="array" ref="G249">IF($O249="","",_xlfn.TEXTJOIN(", ",TRUE,IF(EXACT('Дані_зв''язок'!$J$4:$J$1012,$O249)*('Дані_зв''язок'!$C$4:$C$1012=G$4),'Дані_зв''язок'!$D$4:$D$1012,"")))</f>
        <v/>
      </c>
      <c r="H249" s="27" t="str" cm="1">
        <f t="array" ref="H249">IF($O249="","",_xlfn.TEXTJOIN(", ",TRUE,IF(EXACT('Дані_зв''язок'!$J$4:$J$1012,$O249)*('Дані_зв''язок'!$C$4:$C$1012=H$4),'Дані_зв''язок'!$D$4:$D$1012,"")))</f>
        <v/>
      </c>
      <c r="I249" s="27" t="str" cm="1">
        <f t="array" ref="I249">IF($O249="","",_xlfn.TEXTJOIN(", ",TRUE,IF(EXACT('Дані_зв''язок'!$J$4:$J$1012,$O249)*('Дані_зв''язок'!$C$4:$C$1012=I$4),'Дані_зв''язок'!$D$4:$D$1012,"")))</f>
        <v/>
      </c>
      <c r="J249" s="27" cm="1">
        <f t="array" ref="J249">IF($O249="","",COUNTIF(C249:I249,"?*")+SUMPRODUCT(LEN(C249:I249)-LEN(SUBSTITUTE(C249:I249,",",""))))</f>
        <v>1</v>
      </c>
      <c r="K249" s="28" t="str" cm="1">
        <f t="array" ref="K249">IF($O249="","",_xlfn.TEXTJOIN(", ",TRUE,IF(EXACT('Дані_зв''язок'!$J$4:$J$1012,$O249),'Дані_зв''язок'!$L$4:$L$1012,"")))</f>
        <v>№1</v>
      </c>
      <c r="L249" s="28" t="str" cm="1">
        <f t="array" ref="L249">IF($O249="","",_xlfn.TEXTJOIN(", ",TRUE,IF(EXACT('Дані_зв''язок'!$J$4:$J$1012,$O249),'Дані_зв''язок'!$M$4:$M$1012,"")))</f>
        <v>АТ-4021/1120</v>
      </c>
      <c r="M249" s="27" cm="1">
        <f t="array" ref="M249">IF($O249="","",IF(SUMPRODUCT(MAX(EXACT('Дані_зв''язок'!$J$4:$J$1012,$O249)*IFERROR('Дані_зв''язок'!$H$4:$H$1012,0)))=0,"",SUMPRODUCT(MAX(EXACT('Дані_зв''язок'!$J$4:$J$1012,$O249)*IFERROR('Дані_зв''язок'!$H$4:$H$1012,0)))))</f>
        <v>1</v>
      </c>
      <c r="O249" s="30" t="s">
        <v>1370</v>
      </c>
      <c r="P249" s="24" t="str" cm="1">
        <f t="array" ref="P249">IF($O249="","",IF($B249="","",IFERROR(IF(MIN(IFERROR(VALUE(TRIM(MID(SUBSTITUTE(SUBSTITUTE($B249,","," ")," ",REPT(" ",30)),{1;31;61;91;121;151;181},30))),""))=0,"",MIN(IFERROR(VALUE(TRIM(MID(SUBSTITUTE(SUBSTITUTE($B249,","," ")," ",REPT(" ",30)),{1;31;61;91;121;151;181},30))),""))),"")))</f>
        <v/>
      </c>
      <c r="Q249" s="23" t="str">
        <f t="shared" si="11"/>
        <v>Прилуки, Чернігівська обл., вул. Коновальця</v>
      </c>
      <c r="R249" s="35">
        <f>IF($O249="","",IFERROR(INDEX('Координати майданчиків'!$H$4:$H$64,MATCH($T249,'Координати майданчиків'!$B$4:$B$64,0)),IFERROR(IF(ABS(INDEX(Геокодування!$C$2:$C$361,MATCH($Q249,Геокодування!$B$2:$B$361,0))-50.5884)+ABS(INDEX(Геокодування!$D$2:$D$361,MATCH($Q249,Геокодування!$B$2:$B$361,0))-32.3876)&gt;0.15,"",INDEX(Геокодування!$C$2:$C$361,MATCH($Q249,Геокодування!$B$2:$B$361,0))),IFERROR(IF(ABS(INDEX(Геокодування!$C$2:$C$361,MATCH("Прилуки, Чернігівська обл., "&amp;$A249,Геокодування!$B$2:$B$361,0))-50.5884)+ABS(INDEX(Геокодування!$D$2:$D$361,MATCH("Прилуки, Чернігівська обл., "&amp;$A249,Геокодування!$B$2:$B$361,0))-32.3876)&gt;0.15,"",INDEX(Геокодування!$C$2:$C$361,MATCH("Прилуки, Чернігівська обл., "&amp;$A249,Геокодування!$B$2:$B$361,0))),""))))</f>
        <v>50.576813000000001</v>
      </c>
      <c r="S249" s="43">
        <f>IF($O249="","",IFERROR(INDEX('Координати майданчиків'!$I$4:$I$64,MATCH($T249,'Координати майданчиків'!$B$4:$B$64,0)),IFERROR(IF(ABS(INDEX(Геокодування!$C$2:$C$361,MATCH($Q249,Геокодування!$B$2:$B$361,0))-50.5884)+ABS(INDEX(Геокодування!$D$2:$D$361,MATCH($Q249,Геокодування!$B$2:$B$361,0))-32.3876)&gt;0.15,"",INDEX(Геокодування!$D$2:$D$361,MATCH($Q249,Геокодування!$B$2:$B$361,0))),IFERROR(IF(ABS(INDEX(Геокодування!$C$2:$C$361,MATCH("Прилуки, Чернігівська обл., "&amp;$A249,Геокодування!$B$2:$B$361,0))-50.5884)+ABS(INDEX(Геокодування!$D$2:$D$361,MATCH("Прилуки, Чернігівська обл., "&amp;$A249,Геокодування!$B$2:$B$361,0))-32.3876)&gt;0.15,"",INDEX(Геокодування!$D$2:$D$361,MATCH("Прилуки, Чернігівська обл., "&amp;$A249,Геокодування!$B$2:$B$361,0))),""))))</f>
        <v>32.410488000000001</v>
      </c>
      <c r="T249" s="44" t="str">
        <f>IF($O249="","",IFERROR(INDEX('Координати майданчиків'!$B$4:$B$64,MATCH($A249&amp;IF($P249="","",", "&amp;$P249),'Координати майданчиків'!$B$4:$B$64,0)),IFERROR(INDEX('Координати майданчиків'!$B$4:$B$64,MATCH($A249,'Координати майданчиків'!$B$4:$B$64,0)),"")))</f>
        <v/>
      </c>
    </row>
    <row r="250" spans="1:20" x14ac:dyDescent="0.35">
      <c r="A250" s="26" t="str">
        <f t="shared" si="9"/>
        <v>вул. Коновальця</v>
      </c>
      <c r="B250" s="26" t="str">
        <f t="shared" si="10"/>
        <v>67 АЗС</v>
      </c>
      <c r="C250" s="27" t="str" cm="1">
        <f t="array" ref="C250">IF($O250="","",_xlfn.TEXTJOIN(", ",TRUE,IF(EXACT('Дані_зв''язок'!$J$4:$J$1012,$O250)*('Дані_зв''язок'!$C$4:$C$1012=C$4),'Дані_зв''язок'!$D$4:$D$1012,"")))</f>
        <v/>
      </c>
      <c r="D250" s="27" t="str" cm="1">
        <f t="array" ref="D250">IF($O250="","",_xlfn.TEXTJOIN(", ",TRUE,IF(EXACT('Дані_зв''язок'!$J$4:$J$1012,$O250)*('Дані_зв''язок'!$C$4:$C$1012=D$4),'Дані_зв''язок'!$D$4:$D$1012,"")))</f>
        <v/>
      </c>
      <c r="E250" s="27" t="str" cm="1">
        <f t="array" ref="E250">IF($O250="","",_xlfn.TEXTJOIN(", ",TRUE,IF(EXACT('Дані_зв''язок'!$J$4:$J$1012,$O250)*('Дані_зв''язок'!$C$4:$C$1012=E$4),'Дані_зв''язок'!$D$4:$D$1012,"")))</f>
        <v>15:35</v>
      </c>
      <c r="F250" s="27" t="str" cm="1">
        <f t="array" ref="F250">IF($O250="","",_xlfn.TEXTJOIN(", ",TRUE,IF(EXACT('Дані_зв''язок'!$J$4:$J$1012,$O250)*('Дані_зв''язок'!$C$4:$C$1012=F$4),'Дані_зв''язок'!$D$4:$D$1012,"")))</f>
        <v/>
      </c>
      <c r="G250" s="27" t="str" cm="1">
        <f t="array" ref="G250">IF($O250="","",_xlfn.TEXTJOIN(", ",TRUE,IF(EXACT('Дані_зв''язок'!$J$4:$J$1012,$O250)*('Дані_зв''язок'!$C$4:$C$1012=G$4),'Дані_зв''язок'!$D$4:$D$1012,"")))</f>
        <v/>
      </c>
      <c r="H250" s="27" t="str" cm="1">
        <f t="array" ref="H250">IF($O250="","",_xlfn.TEXTJOIN(", ",TRUE,IF(EXACT('Дані_зв''язок'!$J$4:$J$1012,$O250)*('Дані_зв''язок'!$C$4:$C$1012=H$4),'Дані_зв''язок'!$D$4:$D$1012,"")))</f>
        <v>15:35</v>
      </c>
      <c r="I250" s="27" t="str" cm="1">
        <f t="array" ref="I250">IF($O250="","",_xlfn.TEXTJOIN(", ",TRUE,IF(EXACT('Дані_зв''язок'!$J$4:$J$1012,$O250)*('Дані_зв''язок'!$C$4:$C$1012=I$4),'Дані_зв''язок'!$D$4:$D$1012,"")))</f>
        <v/>
      </c>
      <c r="J250" s="27" cm="1">
        <f t="array" ref="J250">IF($O250="","",COUNTIF(C250:I250,"?*")+SUMPRODUCT(LEN(C250:I250)-LEN(SUBSTITUTE(C250:I250,",",""))))</f>
        <v>2</v>
      </c>
      <c r="K250" s="28" t="str" cm="1">
        <f t="array" ref="K250">IF($O250="","",_xlfn.TEXTJOIN(", ",TRUE,IF(EXACT('Дані_зв''язок'!$J$4:$J$1012,$O250),'Дані_зв''язок'!$L$4:$L$1012,"")))</f>
        <v>№2</v>
      </c>
      <c r="L250" s="28" t="str" cm="1">
        <f t="array" ref="L250">IF($O250="","",_xlfn.TEXTJOIN(", ",TRUE,IF(EXACT('Дані_зв''язок'!$J$4:$J$1012,$O250),'Дані_зв''язок'!$M$4:$M$1012,"")))</f>
        <v>АТ-4021/1120</v>
      </c>
      <c r="M250" s="27" cm="1">
        <f t="array" ref="M250">IF($O250="","",IF(SUMPRODUCT(MAX(EXACT('Дані_зв''язок'!$J$4:$J$1012,$O250)*IFERROR('Дані_зв''язок'!$H$4:$H$1012,0)))=0,"",SUMPRODUCT(MAX(EXACT('Дані_зв''язок'!$J$4:$J$1012,$O250)*IFERROR('Дані_зв''язок'!$H$4:$H$1012,0)))))</f>
        <v>1</v>
      </c>
      <c r="O250" s="30" t="s">
        <v>1371</v>
      </c>
      <c r="P250" s="24" cm="1">
        <f t="array" ref="P250">IF($O250="","",IF($B250="","",IFERROR(IF(MIN(IFERROR(VALUE(TRIM(MID(SUBSTITUTE(SUBSTITUTE($B250,","," ")," ",REPT(" ",30)),{1;31;61;91;121;151;181},30))),""))=0,"",MIN(IFERROR(VALUE(TRIM(MID(SUBSTITUTE(SUBSTITUTE($B250,","," ")," ",REPT(" ",30)),{1;31;61;91;121;151;181},30))),""))),"")))</f>
        <v>67</v>
      </c>
      <c r="Q250" s="23" t="str">
        <f t="shared" si="11"/>
        <v>Прилуки, Чернігівська обл., вул. Коновальця, 67</v>
      </c>
      <c r="R250" s="35">
        <f>IF($O250="","",IFERROR(INDEX('Координати майданчиків'!$H$4:$H$64,MATCH($T250,'Координати майданчиків'!$B$4:$B$64,0)),IFERROR(IF(ABS(INDEX(Геокодування!$C$2:$C$361,MATCH($Q250,Геокодування!$B$2:$B$361,0))-50.5884)+ABS(INDEX(Геокодування!$D$2:$D$361,MATCH($Q250,Геокодування!$B$2:$B$361,0))-32.3876)&gt;0.15,"",INDEX(Геокодування!$C$2:$C$361,MATCH($Q250,Геокодування!$B$2:$B$361,0))),IFERROR(IF(ABS(INDEX(Геокодування!$C$2:$C$361,MATCH("Прилуки, Чернігівська обл., "&amp;$A250,Геокодування!$B$2:$B$361,0))-50.5884)+ABS(INDEX(Геокодування!$D$2:$D$361,MATCH("Прилуки, Чернігівська обл., "&amp;$A250,Геокодування!$B$2:$B$361,0))-32.3876)&gt;0.15,"",INDEX(Геокодування!$C$2:$C$361,MATCH("Прилуки, Чернігівська обл., "&amp;$A250,Геокодування!$B$2:$B$361,0))),""))))</f>
        <v>50.578600999999999</v>
      </c>
      <c r="S250" s="43">
        <f>IF($O250="","",IFERROR(INDEX('Координати майданчиків'!$I$4:$I$64,MATCH($T250,'Координати майданчиків'!$B$4:$B$64,0)),IFERROR(IF(ABS(INDEX(Геокодування!$C$2:$C$361,MATCH($Q250,Геокодування!$B$2:$B$361,0))-50.5884)+ABS(INDEX(Геокодування!$D$2:$D$361,MATCH($Q250,Геокодування!$B$2:$B$361,0))-32.3876)&gt;0.15,"",INDEX(Геокодування!$D$2:$D$361,MATCH($Q250,Геокодування!$B$2:$B$361,0))),IFERROR(IF(ABS(INDEX(Геокодування!$C$2:$C$361,MATCH("Прилуки, Чернігівська обл., "&amp;$A250,Геокодування!$B$2:$B$361,0))-50.5884)+ABS(INDEX(Геокодування!$D$2:$D$361,MATCH("Прилуки, Чернігівська обл., "&amp;$A250,Геокодування!$B$2:$B$361,0))-32.3876)&gt;0.15,"",INDEX(Геокодування!$D$2:$D$361,MATCH("Прилуки, Чернігівська обл., "&amp;$A250,Геокодування!$B$2:$B$361,0))),""))))</f>
        <v>32.408459000000001</v>
      </c>
      <c r="T250" s="44" t="str">
        <f>IF($O250="","",IFERROR(INDEX('Координати майданчиків'!$B$4:$B$64,MATCH($A250&amp;IF($P250="","",", "&amp;$P250),'Координати майданчиків'!$B$4:$B$64,0)),IFERROR(INDEX('Координати майданчиків'!$B$4:$B$64,MATCH($A250,'Координати майданчиків'!$B$4:$B$64,0)),"")))</f>
        <v/>
      </c>
    </row>
    <row r="251" spans="1:20" x14ac:dyDescent="0.35">
      <c r="A251" s="26" t="str">
        <f t="shared" si="9"/>
        <v>вул. Коновальця</v>
      </c>
      <c r="B251" s="26" t="str">
        <f t="shared" si="10"/>
        <v>АЗС</v>
      </c>
      <c r="C251" s="27" t="str" cm="1">
        <f t="array" ref="C251">IF($O251="","",_xlfn.TEXTJOIN(", ",TRUE,IF(EXACT('Дані_зв''язок'!$J$4:$J$1012,$O251)*('Дані_зв''язок'!$C$4:$C$1012=C$4),'Дані_зв''язок'!$D$4:$D$1012,"")))</f>
        <v>7:15</v>
      </c>
      <c r="D251" s="27" t="str" cm="1">
        <f t="array" ref="D251">IF($O251="","",_xlfn.TEXTJOIN(", ",TRUE,IF(EXACT('Дані_зв''язок'!$J$4:$J$1012,$O251)*('Дані_зв''язок'!$C$4:$C$1012=D$4),'Дані_зв''язок'!$D$4:$D$1012,"")))</f>
        <v/>
      </c>
      <c r="E251" s="27" t="str" cm="1">
        <f t="array" ref="E251">IF($O251="","",_xlfn.TEXTJOIN(", ",TRUE,IF(EXACT('Дані_зв''язок'!$J$4:$J$1012,$O251)*('Дані_зв''язок'!$C$4:$C$1012=E$4),'Дані_зв''язок'!$D$4:$D$1012,"")))</f>
        <v/>
      </c>
      <c r="F251" s="27" t="str" cm="1">
        <f t="array" ref="F251">IF($O251="","",_xlfn.TEXTJOIN(", ",TRUE,IF(EXACT('Дані_зв''язок'!$J$4:$J$1012,$O251)*('Дані_зв''язок'!$C$4:$C$1012=F$4),'Дані_зв''язок'!$D$4:$D$1012,"")))</f>
        <v/>
      </c>
      <c r="G251" s="27" t="str" cm="1">
        <f t="array" ref="G251">IF($O251="","",_xlfn.TEXTJOIN(", ",TRUE,IF(EXACT('Дані_зв''язок'!$J$4:$J$1012,$O251)*('Дані_зв''язок'!$C$4:$C$1012=G$4),'Дані_зв''язок'!$D$4:$D$1012,"")))</f>
        <v/>
      </c>
      <c r="H251" s="27" t="str" cm="1">
        <f t="array" ref="H251">IF($O251="","",_xlfn.TEXTJOIN(", ",TRUE,IF(EXACT('Дані_зв''язок'!$J$4:$J$1012,$O251)*('Дані_зв''язок'!$C$4:$C$1012=H$4),'Дані_зв''язок'!$D$4:$D$1012,"")))</f>
        <v/>
      </c>
      <c r="I251" s="27" t="str" cm="1">
        <f t="array" ref="I251">IF($O251="","",_xlfn.TEXTJOIN(", ",TRUE,IF(EXACT('Дані_зв''язок'!$J$4:$J$1012,$O251)*('Дані_зв''язок'!$C$4:$C$1012=I$4),'Дані_зв''язок'!$D$4:$D$1012,"")))</f>
        <v/>
      </c>
      <c r="J251" s="27" cm="1">
        <f t="array" ref="J251">IF($O251="","",COUNTIF(C251:I251,"?*")+SUMPRODUCT(LEN(C251:I251)-LEN(SUBSTITUTE(C251:I251,",",""))))</f>
        <v>1</v>
      </c>
      <c r="K251" s="28" t="str" cm="1">
        <f t="array" ref="K251">IF($O251="","",_xlfn.TEXTJOIN(", ",TRUE,IF(EXACT('Дані_зв''язок'!$J$4:$J$1012,$O251),'Дані_зв''язок'!$L$4:$L$1012,"")))</f>
        <v>№1</v>
      </c>
      <c r="L251" s="28" t="str" cm="1">
        <f t="array" ref="L251">IF($O251="","",_xlfn.TEXTJOIN(", ",TRUE,IF(EXACT('Дані_зв''язок'!$J$4:$J$1012,$O251),'Дані_зв''язок'!$M$4:$M$1012,"")))</f>
        <v>АТ-4021/1120</v>
      </c>
      <c r="M251" s="27" cm="1">
        <f t="array" ref="M251">IF($O251="","",IF(SUMPRODUCT(MAX(EXACT('Дані_зв''язок'!$J$4:$J$1012,$O251)*IFERROR('Дані_зв''язок'!$H$4:$H$1012,0)))=0,"",SUMPRODUCT(MAX(EXACT('Дані_зв''язок'!$J$4:$J$1012,$O251)*IFERROR('Дані_зв''язок'!$H$4:$H$1012,0)))))</f>
        <v>1</v>
      </c>
      <c r="O251" s="30" t="s">
        <v>1372</v>
      </c>
      <c r="P251" s="24" t="str" cm="1">
        <f t="array" ref="P251">IF($O251="","",IF($B251="","",IFERROR(IF(MIN(IFERROR(VALUE(TRIM(MID(SUBSTITUTE(SUBSTITUTE($B251,","," ")," ",REPT(" ",30)),{1;31;61;91;121;151;181},30))),""))=0,"",MIN(IFERROR(VALUE(TRIM(MID(SUBSTITUTE(SUBSTITUTE($B251,","," ")," ",REPT(" ",30)),{1;31;61;91;121;151;181},30))),""))),"")))</f>
        <v/>
      </c>
      <c r="Q251" s="23" t="str">
        <f t="shared" si="11"/>
        <v>Прилуки, Чернігівська обл., вул. Коновальця</v>
      </c>
      <c r="R251" s="35">
        <f>IF($O251="","",IFERROR(INDEX('Координати майданчиків'!$H$4:$H$64,MATCH($T251,'Координати майданчиків'!$B$4:$B$64,0)),IFERROR(IF(ABS(INDEX(Геокодування!$C$2:$C$361,MATCH($Q251,Геокодування!$B$2:$B$361,0))-50.5884)+ABS(INDEX(Геокодування!$D$2:$D$361,MATCH($Q251,Геокодування!$B$2:$B$361,0))-32.3876)&gt;0.15,"",INDEX(Геокодування!$C$2:$C$361,MATCH($Q251,Геокодування!$B$2:$B$361,0))),IFERROR(IF(ABS(INDEX(Геокодування!$C$2:$C$361,MATCH("Прилуки, Чернігівська обл., "&amp;$A251,Геокодування!$B$2:$B$361,0))-50.5884)+ABS(INDEX(Геокодування!$D$2:$D$361,MATCH("Прилуки, Чернігівська обл., "&amp;$A251,Геокодування!$B$2:$B$361,0))-32.3876)&gt;0.15,"",INDEX(Геокодування!$C$2:$C$361,MATCH("Прилуки, Чернігівська обл., "&amp;$A251,Геокодування!$B$2:$B$361,0))),""))))</f>
        <v>50.576813000000001</v>
      </c>
      <c r="S251" s="43">
        <f>IF($O251="","",IFERROR(INDEX('Координати майданчиків'!$I$4:$I$64,MATCH($T251,'Координати майданчиків'!$B$4:$B$64,0)),IFERROR(IF(ABS(INDEX(Геокодування!$C$2:$C$361,MATCH($Q251,Геокодування!$B$2:$B$361,0))-50.5884)+ABS(INDEX(Геокодування!$D$2:$D$361,MATCH($Q251,Геокодування!$B$2:$B$361,0))-32.3876)&gt;0.15,"",INDEX(Геокодування!$D$2:$D$361,MATCH($Q251,Геокодування!$B$2:$B$361,0))),IFERROR(IF(ABS(INDEX(Геокодування!$C$2:$C$361,MATCH("Прилуки, Чернігівська обл., "&amp;$A251,Геокодування!$B$2:$B$361,0))-50.5884)+ABS(INDEX(Геокодування!$D$2:$D$361,MATCH("Прилуки, Чернігівська обл., "&amp;$A251,Геокодування!$B$2:$B$361,0))-32.3876)&gt;0.15,"",INDEX(Геокодування!$D$2:$D$361,MATCH("Прилуки, Чернігівська обл., "&amp;$A251,Геокодування!$B$2:$B$361,0))),""))))</f>
        <v>32.410488000000001</v>
      </c>
      <c r="T251" s="44" t="str">
        <f>IF($O251="","",IFERROR(INDEX('Координати майданчиків'!$B$4:$B$64,MATCH($A251&amp;IF($P251="","",", "&amp;$P251),'Координати майданчиків'!$B$4:$B$64,0)),IFERROR(INDEX('Координати майданчиків'!$B$4:$B$64,MATCH($A251,'Координати майданчиків'!$B$4:$B$64,0)),"")))</f>
        <v/>
      </c>
    </row>
    <row r="252" spans="1:20" x14ac:dyDescent="0.35">
      <c r="A252" s="26" t="str">
        <f t="shared" si="9"/>
        <v>вул. Коновальця</v>
      </c>
      <c r="B252" s="26" t="str">
        <f t="shared" si="10"/>
        <v>Д/с 27</v>
      </c>
      <c r="C252" s="27" t="str" cm="1">
        <f t="array" ref="C252">IF($O252="","",_xlfn.TEXTJOIN(", ",TRUE,IF(EXACT('Дані_зв''язок'!$J$4:$J$1012,$O252)*('Дані_зв''язок'!$C$4:$C$1012=C$4),'Дані_зв''язок'!$D$4:$D$1012,"")))</f>
        <v>13:25</v>
      </c>
      <c r="D252" s="27" t="str" cm="1">
        <f t="array" ref="D252">IF($O252="","",_xlfn.TEXTJOIN(", ",TRUE,IF(EXACT('Дані_зв''язок'!$J$4:$J$1012,$O252)*('Дані_зв''язок'!$C$4:$C$1012=D$4),'Дані_зв''язок'!$D$4:$D$1012,"")))</f>
        <v/>
      </c>
      <c r="E252" s="27" t="str" cm="1">
        <f t="array" ref="E252">IF($O252="","",_xlfn.TEXTJOIN(", ",TRUE,IF(EXACT('Дані_зв''язок'!$J$4:$J$1012,$O252)*('Дані_зв''язок'!$C$4:$C$1012=E$4),'Дані_зв''язок'!$D$4:$D$1012,"")))</f>
        <v/>
      </c>
      <c r="F252" s="27" t="str" cm="1">
        <f t="array" ref="F252">IF($O252="","",_xlfn.TEXTJOIN(", ",TRUE,IF(EXACT('Дані_зв''язок'!$J$4:$J$1012,$O252)*('Дані_зв''язок'!$C$4:$C$1012=F$4),'Дані_зв''язок'!$D$4:$D$1012,"")))</f>
        <v/>
      </c>
      <c r="G252" s="27" t="str" cm="1">
        <f t="array" ref="G252">IF($O252="","",_xlfn.TEXTJOIN(", ",TRUE,IF(EXACT('Дані_зв''язок'!$J$4:$J$1012,$O252)*('Дані_зв''язок'!$C$4:$C$1012=G$4),'Дані_зв''язок'!$D$4:$D$1012,"")))</f>
        <v/>
      </c>
      <c r="H252" s="27" t="str" cm="1">
        <f t="array" ref="H252">IF($O252="","",_xlfn.TEXTJOIN(", ",TRUE,IF(EXACT('Дані_зв''язок'!$J$4:$J$1012,$O252)*('Дані_зв''язок'!$C$4:$C$1012=H$4),'Дані_зв''язок'!$D$4:$D$1012,"")))</f>
        <v/>
      </c>
      <c r="I252" s="27" t="str" cm="1">
        <f t="array" ref="I252">IF($O252="","",_xlfn.TEXTJOIN(", ",TRUE,IF(EXACT('Дані_зв''язок'!$J$4:$J$1012,$O252)*('Дані_зв''язок'!$C$4:$C$1012=I$4),'Дані_зв''язок'!$D$4:$D$1012,"")))</f>
        <v/>
      </c>
      <c r="J252" s="27" cm="1">
        <f t="array" ref="J252">IF($O252="","",COUNTIF(C252:I252,"?*")+SUMPRODUCT(LEN(C252:I252)-LEN(SUBSTITUTE(C252:I252,",",""))))</f>
        <v>1</v>
      </c>
      <c r="K252" s="28" t="str" cm="1">
        <f t="array" ref="K252">IF($O252="","",_xlfn.TEXTJOIN(", ",TRUE,IF(EXACT('Дані_зв''язок'!$J$4:$J$1012,$O252),'Дані_зв''язок'!$L$4:$L$1012,"")))</f>
        <v>№3</v>
      </c>
      <c r="L252" s="28" t="str" cm="1">
        <f t="array" ref="L252">IF($O252="","",_xlfn.TEXTJOIN(", ",TRUE,IF(EXACT('Дані_зв''язок'!$J$4:$J$1012,$O252),'Дані_зв''язок'!$M$4:$M$1012,"")))</f>
        <v>ГАЗ 3309</v>
      </c>
      <c r="M252" s="27" cm="1">
        <f t="array" ref="M252">IF($O252="","",IF(SUMPRODUCT(MAX(EXACT('Дані_зв''язок'!$J$4:$J$1012,$O252)*IFERROR('Дані_зв''язок'!$H$4:$H$1012,0)))=0,"",SUMPRODUCT(MAX(EXACT('Дані_зв''язок'!$J$4:$J$1012,$O252)*IFERROR('Дані_зв''язок'!$H$4:$H$1012,0)))))</f>
        <v>1</v>
      </c>
      <c r="O252" s="30" t="s">
        <v>1373</v>
      </c>
      <c r="P252" s="24" cm="1">
        <f t="array" ref="P252">IF($O252="","",IF($B252="","",IFERROR(IF(MIN(IFERROR(VALUE(TRIM(MID(SUBSTITUTE(SUBSTITUTE($B252,","," ")," ",REPT(" ",30)),{1;31;61;91;121;151;181},30))),""))=0,"",MIN(IFERROR(VALUE(TRIM(MID(SUBSTITUTE(SUBSTITUTE($B252,","," ")," ",REPT(" ",30)),{1;31;61;91;121;151;181},30))),""))),"")))</f>
        <v>27</v>
      </c>
      <c r="Q252" s="23" t="str">
        <f t="shared" si="11"/>
        <v>Прилуки, Чернігівська обл., вул. Коновальця, 27</v>
      </c>
      <c r="R252" s="35">
        <f>IF($O252="","",IFERROR(INDEX('Координати майданчиків'!$H$4:$H$64,MATCH($T252,'Координати майданчиків'!$B$4:$B$64,0)),IFERROR(IF(ABS(INDEX(Геокодування!$C$2:$C$361,MATCH($Q252,Геокодування!$B$2:$B$361,0))-50.5884)+ABS(INDEX(Геокодування!$D$2:$D$361,MATCH($Q252,Геокодування!$B$2:$B$361,0))-32.3876)&gt;0.15,"",INDEX(Геокодування!$C$2:$C$361,MATCH($Q252,Геокодування!$B$2:$B$361,0))),IFERROR(IF(ABS(INDEX(Геокодування!$C$2:$C$361,MATCH("Прилуки, Чернігівська обл., "&amp;$A252,Геокодування!$B$2:$B$361,0))-50.5884)+ABS(INDEX(Геокодування!$D$2:$D$361,MATCH("Прилуки, Чернігівська обл., "&amp;$A252,Геокодування!$B$2:$B$361,0))-32.3876)&gt;0.15,"",INDEX(Геокодування!$C$2:$C$361,MATCH("Прилуки, Чернігівська обл., "&amp;$A252,Геокодування!$B$2:$B$361,0))),""))))</f>
        <v>50.576813000000001</v>
      </c>
      <c r="S252" s="43">
        <f>IF($O252="","",IFERROR(INDEX('Координати майданчиків'!$I$4:$I$64,MATCH($T252,'Координати майданчиків'!$B$4:$B$64,0)),IFERROR(IF(ABS(INDEX(Геокодування!$C$2:$C$361,MATCH($Q252,Геокодування!$B$2:$B$361,0))-50.5884)+ABS(INDEX(Геокодування!$D$2:$D$361,MATCH($Q252,Геокодування!$B$2:$B$361,0))-32.3876)&gt;0.15,"",INDEX(Геокодування!$D$2:$D$361,MATCH($Q252,Геокодування!$B$2:$B$361,0))),IFERROR(IF(ABS(INDEX(Геокодування!$C$2:$C$361,MATCH("Прилуки, Чернігівська обл., "&amp;$A252,Геокодування!$B$2:$B$361,0))-50.5884)+ABS(INDEX(Геокодування!$D$2:$D$361,MATCH("Прилуки, Чернігівська обл., "&amp;$A252,Геокодування!$B$2:$B$361,0))-32.3876)&gt;0.15,"",INDEX(Геокодування!$D$2:$D$361,MATCH("Прилуки, Чернігівська обл., "&amp;$A252,Геокодування!$B$2:$B$361,0))),""))))</f>
        <v>32.410488000000001</v>
      </c>
      <c r="T252" s="44" t="str">
        <f>IF($O252="","",IFERROR(INDEX('Координати майданчиків'!$B$4:$B$64,MATCH($A252&amp;IF($P252="","",", "&amp;$P252),'Координати майданчиків'!$B$4:$B$64,0)),IFERROR(INDEX('Координати майданчиків'!$B$4:$B$64,MATCH($A252,'Координати майданчиків'!$B$4:$B$64,0)),"")))</f>
        <v/>
      </c>
    </row>
    <row r="253" spans="1:20" x14ac:dyDescent="0.35">
      <c r="A253" s="26" t="str">
        <f t="shared" si="9"/>
        <v>вул. Короленка</v>
      </c>
      <c r="B253" s="26" t="str">
        <f t="shared" si="10"/>
        <v/>
      </c>
      <c r="C253" s="27" t="str" cm="1">
        <f t="array" ref="C253">IF($O253="","",_xlfn.TEXTJOIN(", ",TRUE,IF(EXACT('Дані_зв''язок'!$J$4:$J$1012,$O253)*('Дані_зв''язок'!$C$4:$C$1012=C$4),'Дані_зв''язок'!$D$4:$D$1012,"")))</f>
        <v/>
      </c>
      <c r="D253" s="27" t="str" cm="1">
        <f t="array" ref="D253">IF($O253="","",_xlfn.TEXTJOIN(", ",TRUE,IF(EXACT('Дані_зв''язок'!$J$4:$J$1012,$O253)*('Дані_зв''язок'!$C$4:$C$1012=D$4),'Дані_зв''язок'!$D$4:$D$1012,"")))</f>
        <v>7:40</v>
      </c>
      <c r="E253" s="27" t="str" cm="1">
        <f t="array" ref="E253">IF($O253="","",_xlfn.TEXTJOIN(", ",TRUE,IF(EXACT('Дані_зв''язок'!$J$4:$J$1012,$O253)*('Дані_зв''язок'!$C$4:$C$1012=E$4),'Дані_зв''язок'!$D$4:$D$1012,"")))</f>
        <v/>
      </c>
      <c r="F253" s="27" t="str" cm="1">
        <f t="array" ref="F253">IF($O253="","",_xlfn.TEXTJOIN(", ",TRUE,IF(EXACT('Дані_зв''язок'!$J$4:$J$1012,$O253)*('Дані_зв''язок'!$C$4:$C$1012=F$4),'Дані_зв''язок'!$D$4:$D$1012,"")))</f>
        <v/>
      </c>
      <c r="G253" s="27" t="str" cm="1">
        <f t="array" ref="G253">IF($O253="","",_xlfn.TEXTJOIN(", ",TRUE,IF(EXACT('Дані_зв''язок'!$J$4:$J$1012,$O253)*('Дані_зв''язок'!$C$4:$C$1012=G$4),'Дані_зв''язок'!$D$4:$D$1012,"")))</f>
        <v/>
      </c>
      <c r="H253" s="27" t="str" cm="1">
        <f t="array" ref="H253">IF($O253="","",_xlfn.TEXTJOIN(", ",TRUE,IF(EXACT('Дані_зв''язок'!$J$4:$J$1012,$O253)*('Дані_зв''язок'!$C$4:$C$1012=H$4),'Дані_зв''язок'!$D$4:$D$1012,"")))</f>
        <v/>
      </c>
      <c r="I253" s="27" t="str" cm="1">
        <f t="array" ref="I253">IF($O253="","",_xlfn.TEXTJOIN(", ",TRUE,IF(EXACT('Дані_зв''язок'!$J$4:$J$1012,$O253)*('Дані_зв''язок'!$C$4:$C$1012=I$4),'Дані_зв''язок'!$D$4:$D$1012,"")))</f>
        <v/>
      </c>
      <c r="J253" s="27" cm="1">
        <f t="array" ref="J253">IF($O253="","",COUNTIF(C253:I253,"?*")+SUMPRODUCT(LEN(C253:I253)-LEN(SUBSTITUTE(C253:I253,",",""))))</f>
        <v>1</v>
      </c>
      <c r="K253" s="28" t="str" cm="1">
        <f t="array" ref="K253">IF($O253="","",_xlfn.TEXTJOIN(", ",TRUE,IF(EXACT('Дані_зв''язок'!$J$4:$J$1012,$O253),'Дані_зв''язок'!$L$4:$L$1012,"")))</f>
        <v>№5</v>
      </c>
      <c r="L253" s="28" t="str" cm="1">
        <f t="array" ref="L253">IF($O253="","",_xlfn.TEXTJOIN(", ",TRUE,IF(EXACT('Дані_зв''язок'!$J$4:$J$1012,$O253),'Дані_зв''язок'!$M$4:$M$1012,"")))</f>
        <v>МАЗ 4381</v>
      </c>
      <c r="M253" s="27" t="str" cm="1">
        <f t="array" ref="M253">IF($O253="","",IF(SUMPRODUCT(MAX(EXACT('Дані_зв''язок'!$J$4:$J$1012,$O253)*IFERROR('Дані_зв''язок'!$H$4:$H$1012,0)))=0,"",SUMPRODUCT(MAX(EXACT('Дані_зв''язок'!$J$4:$J$1012,$O253)*IFERROR('Дані_зв''язок'!$H$4:$H$1012,0)))))</f>
        <v/>
      </c>
      <c r="O253" s="30" t="s">
        <v>1374</v>
      </c>
      <c r="P253" s="24" t="str" cm="1">
        <f t="array" ref="P253">IF($O253="","",IF($B253="","",IFERROR(IF(MIN(IFERROR(VALUE(TRIM(MID(SUBSTITUTE(SUBSTITUTE($B253,","," ")," ",REPT(" ",30)),{1;31;61;91;121;151;181},30))),""))=0,"",MIN(IFERROR(VALUE(TRIM(MID(SUBSTITUTE(SUBSTITUTE($B253,","," ")," ",REPT(" ",30)),{1;31;61;91;121;151;181},30))),""))),"")))</f>
        <v/>
      </c>
      <c r="Q253" s="23" t="str">
        <f t="shared" si="11"/>
        <v>Прилуки, Чернігівська обл., вул. Короленка</v>
      </c>
      <c r="R253" s="35">
        <f>IF($O253="","",IFERROR(INDEX('Координати майданчиків'!$H$4:$H$64,MATCH($T253,'Координати майданчиків'!$B$4:$B$64,0)),IFERROR(IF(ABS(INDEX(Геокодування!$C$2:$C$361,MATCH($Q253,Геокодування!$B$2:$B$361,0))-50.5884)+ABS(INDEX(Геокодування!$D$2:$D$361,MATCH($Q253,Геокодування!$B$2:$B$361,0))-32.3876)&gt;0.15,"",INDEX(Геокодування!$C$2:$C$361,MATCH($Q253,Геокодування!$B$2:$B$361,0))),IFERROR(IF(ABS(INDEX(Геокодування!$C$2:$C$361,MATCH("Прилуки, Чернігівська обл., "&amp;$A253,Геокодування!$B$2:$B$361,0))-50.5884)+ABS(INDEX(Геокодування!$D$2:$D$361,MATCH("Прилуки, Чернігівська обл., "&amp;$A253,Геокодування!$B$2:$B$361,0))-32.3876)&gt;0.15,"",INDEX(Геокодування!$C$2:$C$361,MATCH("Прилуки, Чернігівська обл., "&amp;$A253,Геокодування!$B$2:$B$361,0))),""))))</f>
        <v>50.581454000000001</v>
      </c>
      <c r="S253" s="43">
        <f>IF($O253="","",IFERROR(INDEX('Координати майданчиків'!$I$4:$I$64,MATCH($T253,'Координати майданчиків'!$B$4:$B$64,0)),IFERROR(IF(ABS(INDEX(Геокодування!$C$2:$C$361,MATCH($Q253,Геокодування!$B$2:$B$361,0))-50.5884)+ABS(INDEX(Геокодування!$D$2:$D$361,MATCH($Q253,Геокодування!$B$2:$B$361,0))-32.3876)&gt;0.15,"",INDEX(Геокодування!$D$2:$D$361,MATCH($Q253,Геокодування!$B$2:$B$361,0))),IFERROR(IF(ABS(INDEX(Геокодування!$C$2:$C$361,MATCH("Прилуки, Чернігівська обл., "&amp;$A253,Геокодування!$B$2:$B$361,0))-50.5884)+ABS(INDEX(Геокодування!$D$2:$D$361,MATCH("Прилуки, Чернігівська обл., "&amp;$A253,Геокодування!$B$2:$B$361,0))-32.3876)&gt;0.15,"",INDEX(Геокодування!$D$2:$D$361,MATCH("Прилуки, Чернігівська обл., "&amp;$A253,Геокодування!$B$2:$B$361,0))),""))))</f>
        <v>32.392141000000002</v>
      </c>
      <c r="T253" s="44" t="str">
        <f>IF($O253="","",IFERROR(INDEX('Координати майданчиків'!$B$4:$B$64,MATCH($A253&amp;IF($P253="","",", "&amp;$P253),'Координати майданчиків'!$B$4:$B$64,0)),IFERROR(INDEX('Координати майданчиків'!$B$4:$B$64,MATCH($A253,'Координати майданчиків'!$B$4:$B$64,0)),"")))</f>
        <v/>
      </c>
    </row>
    <row r="254" spans="1:20" x14ac:dyDescent="0.35">
      <c r="A254" s="26" t="str">
        <f t="shared" si="9"/>
        <v>вул. Котляревського</v>
      </c>
      <c r="B254" s="26" t="str">
        <f t="shared" si="10"/>
        <v>1,21</v>
      </c>
      <c r="C254" s="27" t="str" cm="1">
        <f t="array" ref="C254">IF($O254="","",_xlfn.TEXTJOIN(", ",TRUE,IF(EXACT('Дані_зв''язок'!$J$4:$J$1012,$O254)*('Дані_зв''язок'!$C$4:$C$1012=C$4),'Дані_зв''язок'!$D$4:$D$1012,"")))</f>
        <v/>
      </c>
      <c r="D254" s="27" t="str" cm="1">
        <f t="array" ref="D254">IF($O254="","",_xlfn.TEXTJOIN(", ",TRUE,IF(EXACT('Дані_зв''язок'!$J$4:$J$1012,$O254)*('Дані_зв''язок'!$C$4:$C$1012=D$4),'Дані_зв''язок'!$D$4:$D$1012,"")))</f>
        <v/>
      </c>
      <c r="E254" s="27" t="str" cm="1">
        <f t="array" ref="E254">IF($O254="","",_xlfn.TEXTJOIN(", ",TRUE,IF(EXACT('Дані_зв''язок'!$J$4:$J$1012,$O254)*('Дані_зв''язок'!$C$4:$C$1012=E$4),'Дані_зв''язок'!$D$4:$D$1012,"")))</f>
        <v/>
      </c>
      <c r="F254" s="27" t="str" cm="1">
        <f t="array" ref="F254">IF($O254="","",_xlfn.TEXTJOIN(", ",TRUE,IF(EXACT('Дані_зв''язок'!$J$4:$J$1012,$O254)*('Дані_зв''язок'!$C$4:$C$1012=F$4),'Дані_зв''язок'!$D$4:$D$1012,"")))</f>
        <v>10:45</v>
      </c>
      <c r="G254" s="27" t="str" cm="1">
        <f t="array" ref="G254">IF($O254="","",_xlfn.TEXTJOIN(", ",TRUE,IF(EXACT('Дані_зв''язок'!$J$4:$J$1012,$O254)*('Дані_зв''язок'!$C$4:$C$1012=G$4),'Дані_зв''язок'!$D$4:$D$1012,"")))</f>
        <v/>
      </c>
      <c r="H254" s="27" t="str" cm="1">
        <f t="array" ref="H254">IF($O254="","",_xlfn.TEXTJOIN(", ",TRUE,IF(EXACT('Дані_зв''язок'!$J$4:$J$1012,$O254)*('Дані_зв''язок'!$C$4:$C$1012=H$4),'Дані_зв''язок'!$D$4:$D$1012,"")))</f>
        <v/>
      </c>
      <c r="I254" s="27" t="str" cm="1">
        <f t="array" ref="I254">IF($O254="","",_xlfn.TEXTJOIN(", ",TRUE,IF(EXACT('Дані_зв''язок'!$J$4:$J$1012,$O254)*('Дані_зв''язок'!$C$4:$C$1012=I$4),'Дані_зв''язок'!$D$4:$D$1012,"")))</f>
        <v/>
      </c>
      <c r="J254" s="27" cm="1">
        <f t="array" ref="J254">IF($O254="","",COUNTIF(C254:I254,"?*")+SUMPRODUCT(LEN(C254:I254)-LEN(SUBSTITUTE(C254:I254,",",""))))</f>
        <v>1</v>
      </c>
      <c r="K254" s="28" t="str" cm="1">
        <f t="array" ref="K254">IF($O254="","",_xlfn.TEXTJOIN(", ",TRUE,IF(EXACT('Дані_зв''язок'!$J$4:$J$1012,$O254),'Дані_зв''язок'!$L$4:$L$1012,"")))</f>
        <v>№6</v>
      </c>
      <c r="L254" s="28" t="str" cm="1">
        <f t="array" ref="L254">IF($O254="","",_xlfn.TEXTJOIN(", ",TRUE,IF(EXACT('Дані_зв''язок'!$J$4:$J$1012,$O254),'Дані_зв''язок'!$M$4:$M$1012,"")))</f>
        <v>АТ 4021</v>
      </c>
      <c r="M254" s="27" t="str" cm="1">
        <f t="array" ref="M254">IF($O254="","",IF(SUMPRODUCT(MAX(EXACT('Дані_зв''язок'!$J$4:$J$1012,$O254)*IFERROR('Дані_зв''язок'!$H$4:$H$1012,0)))=0,"",SUMPRODUCT(MAX(EXACT('Дані_зв''язок'!$J$4:$J$1012,$O254)*IFERROR('Дані_зв''язок'!$H$4:$H$1012,0)))))</f>
        <v/>
      </c>
      <c r="O254" s="30" t="s">
        <v>1375</v>
      </c>
      <c r="P254" s="24" cm="1">
        <f t="array" ref="P254">IF($O254="","",IF($B254="","",IFERROR(IF(MIN(IFERROR(VALUE(TRIM(MID(SUBSTITUTE(SUBSTITUTE($B254,","," ")," ",REPT(" ",30)),{1;31;61;91;121;151;181},30))),""))=0,"",MIN(IFERROR(VALUE(TRIM(MID(SUBSTITUTE(SUBSTITUTE($B254,","," ")," ",REPT(" ",30)),{1;31;61;91;121;151;181},30))),""))),"")))</f>
        <v>1</v>
      </c>
      <c r="Q254" s="23" t="str">
        <f t="shared" si="11"/>
        <v>Прилуки, Чернігівська обл., вул. Котляревського, 1</v>
      </c>
      <c r="R254" s="35">
        <f>IF($O254="","",IFERROR(INDEX('Координати майданчиків'!$H$4:$H$64,MATCH($T254,'Координати майданчиків'!$B$4:$B$64,0)),IFERROR(IF(ABS(INDEX(Геокодування!$C$2:$C$361,MATCH($Q254,Геокодування!$B$2:$B$361,0))-50.5884)+ABS(INDEX(Геокодування!$D$2:$D$361,MATCH($Q254,Геокодування!$B$2:$B$361,0))-32.3876)&gt;0.15,"",INDEX(Геокодування!$C$2:$C$361,MATCH($Q254,Геокодування!$B$2:$B$361,0))),IFERROR(IF(ABS(INDEX(Геокодування!$C$2:$C$361,MATCH("Прилуки, Чернігівська обл., "&amp;$A254,Геокодування!$B$2:$B$361,0))-50.5884)+ABS(INDEX(Геокодування!$D$2:$D$361,MATCH("Прилуки, Чернігівська обл., "&amp;$A254,Геокодування!$B$2:$B$361,0))-32.3876)&gt;0.15,"",INDEX(Геокодування!$C$2:$C$361,MATCH("Прилуки, Чернігівська обл., "&amp;$A254,Геокодування!$B$2:$B$361,0))),""))))</f>
        <v>50.608271999999999</v>
      </c>
      <c r="S254" s="43">
        <f>IF($O254="","",IFERROR(INDEX('Координати майданчиків'!$I$4:$I$64,MATCH($T254,'Координати майданчиків'!$B$4:$B$64,0)),IFERROR(IF(ABS(INDEX(Геокодування!$C$2:$C$361,MATCH($Q254,Геокодування!$B$2:$B$361,0))-50.5884)+ABS(INDEX(Геокодування!$D$2:$D$361,MATCH($Q254,Геокодування!$B$2:$B$361,0))-32.3876)&gt;0.15,"",INDEX(Геокодування!$D$2:$D$361,MATCH($Q254,Геокодування!$B$2:$B$361,0))),IFERROR(IF(ABS(INDEX(Геокодування!$C$2:$C$361,MATCH("Прилуки, Чернігівська обл., "&amp;$A254,Геокодування!$B$2:$B$361,0))-50.5884)+ABS(INDEX(Геокодування!$D$2:$D$361,MATCH("Прилуки, Чернігівська обл., "&amp;$A254,Геокодування!$B$2:$B$361,0))-32.3876)&gt;0.15,"",INDEX(Геокодування!$D$2:$D$361,MATCH("Прилуки, Чернігівська обл., "&amp;$A254,Геокодування!$B$2:$B$361,0))),""))))</f>
        <v>32.395910000000001</v>
      </c>
      <c r="T254" s="44" t="str">
        <f>IF($O254="","",IFERROR(INDEX('Координати майданчиків'!$B$4:$B$64,MATCH($A254&amp;IF($P254="","",", "&amp;$P254),'Координати майданчиків'!$B$4:$B$64,0)),IFERROR(INDEX('Координати майданчиків'!$B$4:$B$64,MATCH($A254,'Координати майданчиків'!$B$4:$B$64,0)),"")))</f>
        <v/>
      </c>
    </row>
    <row r="255" spans="1:20" x14ac:dyDescent="0.35">
      <c r="A255" s="26" t="str">
        <f t="shared" si="9"/>
        <v>вул. Котляревського</v>
      </c>
      <c r="B255" s="26" t="str">
        <f t="shared" si="10"/>
        <v>18,29</v>
      </c>
      <c r="C255" s="27" t="str" cm="1">
        <f t="array" ref="C255">IF($O255="","",_xlfn.TEXTJOIN(", ",TRUE,IF(EXACT('Дані_зв''язок'!$J$4:$J$1012,$O255)*('Дані_зв''язок'!$C$4:$C$1012=C$4),'Дані_зв''язок'!$D$4:$D$1012,"")))</f>
        <v/>
      </c>
      <c r="D255" s="27" t="str" cm="1">
        <f t="array" ref="D255">IF($O255="","",_xlfn.TEXTJOIN(", ",TRUE,IF(EXACT('Дані_зв''язок'!$J$4:$J$1012,$O255)*('Дані_зв''язок'!$C$4:$C$1012=D$4),'Дані_зв''язок'!$D$4:$D$1012,"")))</f>
        <v>9:20</v>
      </c>
      <c r="E255" s="27" t="str" cm="1">
        <f t="array" ref="E255">IF($O255="","",_xlfn.TEXTJOIN(", ",TRUE,IF(EXACT('Дані_зв''язок'!$J$4:$J$1012,$O255)*('Дані_зв''язок'!$C$4:$C$1012=E$4),'Дані_зв''язок'!$D$4:$D$1012,"")))</f>
        <v/>
      </c>
      <c r="F255" s="27" t="str" cm="1">
        <f t="array" ref="F255">IF($O255="","",_xlfn.TEXTJOIN(", ",TRUE,IF(EXACT('Дані_зв''язок'!$J$4:$J$1012,$O255)*('Дані_зв''язок'!$C$4:$C$1012=F$4),'Дані_зв''язок'!$D$4:$D$1012,"")))</f>
        <v/>
      </c>
      <c r="G255" s="27" t="str" cm="1">
        <f t="array" ref="G255">IF($O255="","",_xlfn.TEXTJOIN(", ",TRUE,IF(EXACT('Дані_зв''язок'!$J$4:$J$1012,$O255)*('Дані_зв''язок'!$C$4:$C$1012=G$4),'Дані_зв''язок'!$D$4:$D$1012,"")))</f>
        <v/>
      </c>
      <c r="H255" s="27" t="str" cm="1">
        <f t="array" ref="H255">IF($O255="","",_xlfn.TEXTJOIN(", ",TRUE,IF(EXACT('Дані_зв''язок'!$J$4:$J$1012,$O255)*('Дані_зв''язок'!$C$4:$C$1012=H$4),'Дані_зв''язок'!$D$4:$D$1012,"")))</f>
        <v/>
      </c>
      <c r="I255" s="27" t="str" cm="1">
        <f t="array" ref="I255">IF($O255="","",_xlfn.TEXTJOIN(", ",TRUE,IF(EXACT('Дані_зв''язок'!$J$4:$J$1012,$O255)*('Дані_зв''язок'!$C$4:$C$1012=I$4),'Дані_зв''язок'!$D$4:$D$1012,"")))</f>
        <v/>
      </c>
      <c r="J255" s="27" cm="1">
        <f t="array" ref="J255">IF($O255="","",COUNTIF(C255:I255,"?*")+SUMPRODUCT(LEN(C255:I255)-LEN(SUBSTITUTE(C255:I255,",",""))))</f>
        <v>1</v>
      </c>
      <c r="K255" s="28" t="str" cm="1">
        <f t="array" ref="K255">IF($O255="","",_xlfn.TEXTJOIN(", ",TRUE,IF(EXACT('Дані_зв''язок'!$J$4:$J$1012,$O255),'Дані_зв''язок'!$L$4:$L$1012,"")))</f>
        <v>№6</v>
      </c>
      <c r="L255" s="28" t="str" cm="1">
        <f t="array" ref="L255">IF($O255="","",_xlfn.TEXTJOIN(", ",TRUE,IF(EXACT('Дані_зв''язок'!$J$4:$J$1012,$O255),'Дані_зв''язок'!$M$4:$M$1012,"")))</f>
        <v>АТ 4021</v>
      </c>
      <c r="M255" s="27" t="str" cm="1">
        <f t="array" ref="M255">IF($O255="","",IF(SUMPRODUCT(MAX(EXACT('Дані_зв''язок'!$J$4:$J$1012,$O255)*IFERROR('Дані_зв''язок'!$H$4:$H$1012,0)))=0,"",SUMPRODUCT(MAX(EXACT('Дані_зв''язок'!$J$4:$J$1012,$O255)*IFERROR('Дані_зв''язок'!$H$4:$H$1012,0)))))</f>
        <v/>
      </c>
      <c r="O255" s="30" t="s">
        <v>1376</v>
      </c>
      <c r="P255" s="24" cm="1">
        <f t="array" ref="P255">IF($O255="","",IF($B255="","",IFERROR(IF(MIN(IFERROR(VALUE(TRIM(MID(SUBSTITUTE(SUBSTITUTE($B255,","," ")," ",REPT(" ",30)),{1;31;61;91;121;151;181},30))),""))=0,"",MIN(IFERROR(VALUE(TRIM(MID(SUBSTITUTE(SUBSTITUTE($B255,","," ")," ",REPT(" ",30)),{1;31;61;91;121;151;181},30))),""))),"")))</f>
        <v>18</v>
      </c>
      <c r="Q255" s="23" t="str">
        <f t="shared" si="11"/>
        <v>Прилуки, Чернігівська обл., вул. Котляревського, 18</v>
      </c>
      <c r="R255" s="35">
        <f>IF($O255="","",IFERROR(INDEX('Координати майданчиків'!$H$4:$H$64,MATCH($T255,'Координати майданчиків'!$B$4:$B$64,0)),IFERROR(IF(ABS(INDEX(Геокодування!$C$2:$C$361,MATCH($Q255,Геокодування!$B$2:$B$361,0))-50.5884)+ABS(INDEX(Геокодування!$D$2:$D$361,MATCH($Q255,Геокодування!$B$2:$B$361,0))-32.3876)&gt;0.15,"",INDEX(Геокодування!$C$2:$C$361,MATCH($Q255,Геокодування!$B$2:$B$361,0))),IFERROR(IF(ABS(INDEX(Геокодування!$C$2:$C$361,MATCH("Прилуки, Чернігівська обл., "&amp;$A255,Геокодування!$B$2:$B$361,0))-50.5884)+ABS(INDEX(Геокодування!$D$2:$D$361,MATCH("Прилуки, Чернігівська обл., "&amp;$A255,Геокодування!$B$2:$B$361,0))-32.3876)&gt;0.15,"",INDEX(Геокодування!$C$2:$C$361,MATCH("Прилуки, Чернігівська обл., "&amp;$A255,Геокодування!$B$2:$B$361,0))),""))))</f>
        <v>50.608271999999999</v>
      </c>
      <c r="S255" s="43">
        <f>IF($O255="","",IFERROR(INDEX('Координати майданчиків'!$I$4:$I$64,MATCH($T255,'Координати майданчиків'!$B$4:$B$64,0)),IFERROR(IF(ABS(INDEX(Геокодування!$C$2:$C$361,MATCH($Q255,Геокодування!$B$2:$B$361,0))-50.5884)+ABS(INDEX(Геокодування!$D$2:$D$361,MATCH($Q255,Геокодування!$B$2:$B$361,0))-32.3876)&gt;0.15,"",INDEX(Геокодування!$D$2:$D$361,MATCH($Q255,Геокодування!$B$2:$B$361,0))),IFERROR(IF(ABS(INDEX(Геокодування!$C$2:$C$361,MATCH("Прилуки, Чернігівська обл., "&amp;$A255,Геокодування!$B$2:$B$361,0))-50.5884)+ABS(INDEX(Геокодування!$D$2:$D$361,MATCH("Прилуки, Чернігівська обл., "&amp;$A255,Геокодування!$B$2:$B$361,0))-32.3876)&gt;0.15,"",INDEX(Геокодування!$D$2:$D$361,MATCH("Прилуки, Чернігівська обл., "&amp;$A255,Геокодування!$B$2:$B$361,0))),""))))</f>
        <v>32.395910000000001</v>
      </c>
      <c r="T255" s="44" t="str">
        <f>IF($O255="","",IFERROR(INDEX('Координати майданчиків'!$B$4:$B$64,MATCH($A255&amp;IF($P255="","",", "&amp;$P255),'Координати майданчиків'!$B$4:$B$64,0)),IFERROR(INDEX('Координати майданчиків'!$B$4:$B$64,MATCH($A255,'Координати майданчиків'!$B$4:$B$64,0)),"")))</f>
        <v/>
      </c>
    </row>
    <row r="256" spans="1:20" x14ac:dyDescent="0.35">
      <c r="A256" s="26" t="str">
        <f t="shared" si="9"/>
        <v>вул. Котляревського</v>
      </c>
      <c r="B256" s="26" t="str">
        <f t="shared" si="10"/>
        <v>ВОГ</v>
      </c>
      <c r="C256" s="27" t="str" cm="1">
        <f t="array" ref="C256">IF($O256="","",_xlfn.TEXTJOIN(", ",TRUE,IF(EXACT('Дані_зв''язок'!$J$4:$J$1012,$O256)*('Дані_зв''язок'!$C$4:$C$1012=C$4),'Дані_зв''язок'!$D$4:$D$1012,"")))</f>
        <v>9:45</v>
      </c>
      <c r="D256" s="27" t="str" cm="1">
        <f t="array" ref="D256">IF($O256="","",_xlfn.TEXTJOIN(", ",TRUE,IF(EXACT('Дані_зв''язок'!$J$4:$J$1012,$O256)*('Дані_зв''язок'!$C$4:$C$1012=D$4),'Дані_зв''язок'!$D$4:$D$1012,"")))</f>
        <v/>
      </c>
      <c r="E256" s="27" t="str" cm="1">
        <f t="array" ref="E256">IF($O256="","",_xlfn.TEXTJOIN(", ",TRUE,IF(EXACT('Дані_зв''язок'!$J$4:$J$1012,$O256)*('Дані_зв''язок'!$C$4:$C$1012=E$4),'Дані_зв''язок'!$D$4:$D$1012,"")))</f>
        <v/>
      </c>
      <c r="F256" s="27" t="str" cm="1">
        <f t="array" ref="F256">IF($O256="","",_xlfn.TEXTJOIN(", ",TRUE,IF(EXACT('Дані_зв''язок'!$J$4:$J$1012,$O256)*('Дані_зв''язок'!$C$4:$C$1012=F$4),'Дані_зв''язок'!$D$4:$D$1012,"")))</f>
        <v/>
      </c>
      <c r="G256" s="27" t="str" cm="1">
        <f t="array" ref="G256">IF($O256="","",_xlfn.TEXTJOIN(", ",TRUE,IF(EXACT('Дані_зв''язок'!$J$4:$J$1012,$O256)*('Дані_зв''язок'!$C$4:$C$1012=G$4),'Дані_зв''язок'!$D$4:$D$1012,"")))</f>
        <v/>
      </c>
      <c r="H256" s="27" t="str" cm="1">
        <f t="array" ref="H256">IF($O256="","",_xlfn.TEXTJOIN(", ",TRUE,IF(EXACT('Дані_зв''язок'!$J$4:$J$1012,$O256)*('Дані_зв''язок'!$C$4:$C$1012=H$4),'Дані_зв''язок'!$D$4:$D$1012,"")))</f>
        <v/>
      </c>
      <c r="I256" s="27" t="str" cm="1">
        <f t="array" ref="I256">IF($O256="","",_xlfn.TEXTJOIN(", ",TRUE,IF(EXACT('Дані_зв''язок'!$J$4:$J$1012,$O256)*('Дані_зв''язок'!$C$4:$C$1012=I$4),'Дані_зв''язок'!$D$4:$D$1012,"")))</f>
        <v/>
      </c>
      <c r="J256" s="27" cm="1">
        <f t="array" ref="J256">IF($O256="","",COUNTIF(C256:I256,"?*")+SUMPRODUCT(LEN(C256:I256)-LEN(SUBSTITUTE(C256:I256,",",""))))</f>
        <v>1</v>
      </c>
      <c r="K256" s="28" t="str" cm="1">
        <f t="array" ref="K256">IF($O256="","",_xlfn.TEXTJOIN(", ",TRUE,IF(EXACT('Дані_зв''язок'!$J$4:$J$1012,$O256),'Дані_зв''язок'!$L$4:$L$1012,"")))</f>
        <v>№1</v>
      </c>
      <c r="L256" s="28" t="str" cm="1">
        <f t="array" ref="L256">IF($O256="","",_xlfn.TEXTJOIN(", ",TRUE,IF(EXACT('Дані_зв''язок'!$J$4:$J$1012,$O256),'Дані_зв''язок'!$M$4:$M$1012,"")))</f>
        <v>КАМАЗ 55111</v>
      </c>
      <c r="M256" s="27" cm="1">
        <f t="array" ref="M256">IF($O256="","",IF(SUMPRODUCT(MAX(EXACT('Дані_зв''язок'!$J$4:$J$1012,$O256)*IFERROR('Дані_зв''язок'!$H$4:$H$1012,0)))=0,"",SUMPRODUCT(MAX(EXACT('Дані_зв''язок'!$J$4:$J$1012,$O256)*IFERROR('Дані_зв''язок'!$H$4:$H$1012,0)))))</f>
        <v>1</v>
      </c>
      <c r="O256" s="30" t="s">
        <v>1377</v>
      </c>
      <c r="P256" s="24" t="str" cm="1">
        <f t="array" ref="P256">IF($O256="","",IF($B256="","",IFERROR(IF(MIN(IFERROR(VALUE(TRIM(MID(SUBSTITUTE(SUBSTITUTE($B256,","," ")," ",REPT(" ",30)),{1;31;61;91;121;151;181},30))),""))=0,"",MIN(IFERROR(VALUE(TRIM(MID(SUBSTITUTE(SUBSTITUTE($B256,","," ")," ",REPT(" ",30)),{1;31;61;91;121;151;181},30))),""))),"")))</f>
        <v/>
      </c>
      <c r="Q256" s="23" t="str">
        <f t="shared" si="11"/>
        <v>Прилуки, Чернігівська обл., вул. Котляревського</v>
      </c>
      <c r="R256" s="35">
        <f>IF($O256="","",IFERROR(INDEX('Координати майданчиків'!$H$4:$H$64,MATCH($T256,'Координати майданчиків'!$B$4:$B$64,0)),IFERROR(IF(ABS(INDEX(Геокодування!$C$2:$C$361,MATCH($Q256,Геокодування!$B$2:$B$361,0))-50.5884)+ABS(INDEX(Геокодування!$D$2:$D$361,MATCH($Q256,Геокодування!$B$2:$B$361,0))-32.3876)&gt;0.15,"",INDEX(Геокодування!$C$2:$C$361,MATCH($Q256,Геокодування!$B$2:$B$361,0))),IFERROR(IF(ABS(INDEX(Геокодування!$C$2:$C$361,MATCH("Прилуки, Чернігівська обл., "&amp;$A256,Геокодування!$B$2:$B$361,0))-50.5884)+ABS(INDEX(Геокодування!$D$2:$D$361,MATCH("Прилуки, Чернігівська обл., "&amp;$A256,Геокодування!$B$2:$B$361,0))-32.3876)&gt;0.15,"",INDEX(Геокодування!$C$2:$C$361,MATCH("Прилуки, Чернігівська обл., "&amp;$A256,Геокодування!$B$2:$B$361,0))),""))))</f>
        <v>50.596922999999997</v>
      </c>
      <c r="S256" s="43">
        <f>IF($O256="","",IFERROR(INDEX('Координати майданчиків'!$I$4:$I$64,MATCH($T256,'Координати майданчиків'!$B$4:$B$64,0)),IFERROR(IF(ABS(INDEX(Геокодування!$C$2:$C$361,MATCH($Q256,Геокодування!$B$2:$B$361,0))-50.5884)+ABS(INDEX(Геокодування!$D$2:$D$361,MATCH($Q256,Геокодування!$B$2:$B$361,0))-32.3876)&gt;0.15,"",INDEX(Геокодування!$D$2:$D$361,MATCH($Q256,Геокодування!$B$2:$B$361,0))),IFERROR(IF(ABS(INDEX(Геокодування!$C$2:$C$361,MATCH("Прилуки, Чернігівська обл., "&amp;$A256,Геокодування!$B$2:$B$361,0))-50.5884)+ABS(INDEX(Геокодування!$D$2:$D$361,MATCH("Прилуки, Чернігівська обл., "&amp;$A256,Геокодування!$B$2:$B$361,0))-32.3876)&gt;0.15,"",INDEX(Геокодування!$D$2:$D$361,MATCH("Прилуки, Чернігівська обл., "&amp;$A256,Геокодування!$B$2:$B$361,0))),""))))</f>
        <v>32.397727000000003</v>
      </c>
      <c r="T256" s="44" t="str">
        <f>IF($O256="","",IFERROR(INDEX('Координати майданчиків'!$B$4:$B$64,MATCH($A256&amp;IF($P256="","",", "&amp;$P256),'Координати майданчиків'!$B$4:$B$64,0)),IFERROR(INDEX('Координати майданчиків'!$B$4:$B$64,MATCH($A256,'Координати майданчиків'!$B$4:$B$64,0)),"")))</f>
        <v/>
      </c>
    </row>
    <row r="257" spans="1:20" x14ac:dyDescent="0.35">
      <c r="A257" s="26" t="str">
        <f t="shared" si="9"/>
        <v>вул. Котляревського</v>
      </c>
      <c r="B257" s="26" t="str">
        <f t="shared" si="10"/>
        <v>СТО</v>
      </c>
      <c r="C257" s="27" t="str" cm="1">
        <f t="array" ref="C257">IF($O257="","",_xlfn.TEXTJOIN(", ",TRUE,IF(EXACT('Дані_зв''язок'!$J$4:$J$1012,$O257)*('Дані_зв''язок'!$C$4:$C$1012=C$4),'Дані_зв''язок'!$D$4:$D$1012,"")))</f>
        <v>13:20</v>
      </c>
      <c r="D257" s="27" t="str" cm="1">
        <f t="array" ref="D257">IF($O257="","",_xlfn.TEXTJOIN(", ",TRUE,IF(EXACT('Дані_зв''язок'!$J$4:$J$1012,$O257)*('Дані_зв''язок'!$C$4:$C$1012=D$4),'Дані_зв''язок'!$D$4:$D$1012,"")))</f>
        <v/>
      </c>
      <c r="E257" s="27" t="str" cm="1">
        <f t="array" ref="E257">IF($O257="","",_xlfn.TEXTJOIN(", ",TRUE,IF(EXACT('Дані_зв''язок'!$J$4:$J$1012,$O257)*('Дані_зв''язок'!$C$4:$C$1012=E$4),'Дані_зв''язок'!$D$4:$D$1012,"")))</f>
        <v/>
      </c>
      <c r="F257" s="27" t="str" cm="1">
        <f t="array" ref="F257">IF($O257="","",_xlfn.TEXTJOIN(", ",TRUE,IF(EXACT('Дані_зв''язок'!$J$4:$J$1012,$O257)*('Дані_зв''язок'!$C$4:$C$1012=F$4),'Дані_зв''язок'!$D$4:$D$1012,"")))</f>
        <v/>
      </c>
      <c r="G257" s="27" t="str" cm="1">
        <f t="array" ref="G257">IF($O257="","",_xlfn.TEXTJOIN(", ",TRUE,IF(EXACT('Дані_зв''язок'!$J$4:$J$1012,$O257)*('Дані_зв''язок'!$C$4:$C$1012=G$4),'Дані_зв''язок'!$D$4:$D$1012,"")))</f>
        <v/>
      </c>
      <c r="H257" s="27" t="str" cm="1">
        <f t="array" ref="H257">IF($O257="","",_xlfn.TEXTJOIN(", ",TRUE,IF(EXACT('Дані_зв''язок'!$J$4:$J$1012,$O257)*('Дані_зв''язок'!$C$4:$C$1012=H$4),'Дані_зв''язок'!$D$4:$D$1012,"")))</f>
        <v/>
      </c>
      <c r="I257" s="27" t="str" cm="1">
        <f t="array" ref="I257">IF($O257="","",_xlfn.TEXTJOIN(", ",TRUE,IF(EXACT('Дані_зв''язок'!$J$4:$J$1012,$O257)*('Дані_зв''язок'!$C$4:$C$1012=I$4),'Дані_зв''язок'!$D$4:$D$1012,"")))</f>
        <v/>
      </c>
      <c r="J257" s="27" cm="1">
        <f t="array" ref="J257">IF($O257="","",COUNTIF(C257:I257,"?*")+SUMPRODUCT(LEN(C257:I257)-LEN(SUBSTITUTE(C257:I257,",",""))))</f>
        <v>1</v>
      </c>
      <c r="K257" s="28" t="str" cm="1">
        <f t="array" ref="K257">IF($O257="","",_xlfn.TEXTJOIN(", ",TRUE,IF(EXACT('Дані_зв''язок'!$J$4:$J$1012,$O257),'Дані_зв''язок'!$L$4:$L$1012,"")))</f>
        <v>№1</v>
      </c>
      <c r="L257" s="28" t="str" cm="1">
        <f t="array" ref="L257">IF($O257="","",_xlfn.TEXTJOIN(", ",TRUE,IF(EXACT('Дані_зв''язок'!$J$4:$J$1012,$O257),'Дані_зв''язок'!$M$4:$M$1012,"")))</f>
        <v>АТ-4021/1120</v>
      </c>
      <c r="M257" s="27" cm="1">
        <f t="array" ref="M257">IF($O257="","",IF(SUMPRODUCT(MAX(EXACT('Дані_зв''язок'!$J$4:$J$1012,$O257)*IFERROR('Дані_зв''язок'!$H$4:$H$1012,0)))=0,"",SUMPRODUCT(MAX(EXACT('Дані_зв''язок'!$J$4:$J$1012,$O257)*IFERROR('Дані_зв''язок'!$H$4:$H$1012,0)))))</f>
        <v>1</v>
      </c>
      <c r="O257" s="30" t="s">
        <v>1379</v>
      </c>
      <c r="P257" s="24" t="str" cm="1">
        <f t="array" ref="P257">IF($O257="","",IF($B257="","",IFERROR(IF(MIN(IFERROR(VALUE(TRIM(MID(SUBSTITUTE(SUBSTITUTE($B257,","," ")," ",REPT(" ",30)),{1;31;61;91;121;151;181},30))),""))=0,"",MIN(IFERROR(VALUE(TRIM(MID(SUBSTITUTE(SUBSTITUTE($B257,","," ")," ",REPT(" ",30)),{1;31;61;91;121;151;181},30))),""))),"")))</f>
        <v/>
      </c>
      <c r="Q257" s="23" t="str">
        <f t="shared" si="11"/>
        <v>Прилуки, Чернігівська обл., вул. Котляревського</v>
      </c>
      <c r="R257" s="35">
        <f>IF($O257="","",IFERROR(INDEX('Координати майданчиків'!$H$4:$H$64,MATCH($T257,'Координати майданчиків'!$B$4:$B$64,0)),IFERROR(IF(ABS(INDEX(Геокодування!$C$2:$C$361,MATCH($Q257,Геокодування!$B$2:$B$361,0))-50.5884)+ABS(INDEX(Геокодування!$D$2:$D$361,MATCH($Q257,Геокодування!$B$2:$B$361,0))-32.3876)&gt;0.15,"",INDEX(Геокодування!$C$2:$C$361,MATCH($Q257,Геокодування!$B$2:$B$361,0))),IFERROR(IF(ABS(INDEX(Геокодування!$C$2:$C$361,MATCH("Прилуки, Чернігівська обл., "&amp;$A257,Геокодування!$B$2:$B$361,0))-50.5884)+ABS(INDEX(Геокодування!$D$2:$D$361,MATCH("Прилуки, Чернігівська обл., "&amp;$A257,Геокодування!$B$2:$B$361,0))-32.3876)&gt;0.15,"",INDEX(Геокодування!$C$2:$C$361,MATCH("Прилуки, Чернігівська обл., "&amp;$A257,Геокодування!$B$2:$B$361,0))),""))))</f>
        <v>50.596922999999997</v>
      </c>
      <c r="S257" s="43">
        <f>IF($O257="","",IFERROR(INDEX('Координати майданчиків'!$I$4:$I$64,MATCH($T257,'Координати майданчиків'!$B$4:$B$64,0)),IFERROR(IF(ABS(INDEX(Геокодування!$C$2:$C$361,MATCH($Q257,Геокодування!$B$2:$B$361,0))-50.5884)+ABS(INDEX(Геокодування!$D$2:$D$361,MATCH($Q257,Геокодування!$B$2:$B$361,0))-32.3876)&gt;0.15,"",INDEX(Геокодування!$D$2:$D$361,MATCH($Q257,Геокодування!$B$2:$B$361,0))),IFERROR(IF(ABS(INDEX(Геокодування!$C$2:$C$361,MATCH("Прилуки, Чернігівська обл., "&amp;$A257,Геокодування!$B$2:$B$361,0))-50.5884)+ABS(INDEX(Геокодування!$D$2:$D$361,MATCH("Прилуки, Чернігівська обл., "&amp;$A257,Геокодування!$B$2:$B$361,0))-32.3876)&gt;0.15,"",INDEX(Геокодування!$D$2:$D$361,MATCH("Прилуки, Чернігівська обл., "&amp;$A257,Геокодування!$B$2:$B$361,0))),""))))</f>
        <v>32.397727000000003</v>
      </c>
      <c r="T257" s="44" t="str">
        <f>IF($O257="","",IFERROR(INDEX('Координати майданчиків'!$B$4:$B$64,MATCH($A257&amp;IF($P257="","",", "&amp;$P257),'Координати майданчиків'!$B$4:$B$64,0)),IFERROR(INDEX('Координати майданчиків'!$B$4:$B$64,MATCH($A257,'Координати майданчиків'!$B$4:$B$64,0)),"")))</f>
        <v/>
      </c>
    </row>
    <row r="258" spans="1:20" x14ac:dyDescent="0.35">
      <c r="A258" s="26" t="str">
        <f t="shared" si="9"/>
        <v>вул. Котляревського</v>
      </c>
      <c r="B258" s="26" t="str">
        <f t="shared" si="10"/>
        <v>Суд</v>
      </c>
      <c r="C258" s="27" t="str" cm="1">
        <f t="array" ref="C258">IF($O258="","",_xlfn.TEXTJOIN(", ",TRUE,IF(EXACT('Дані_зв''язок'!$J$4:$J$1012,$O258)*('Дані_зв''язок'!$C$4:$C$1012=C$4),'Дані_зв''язок'!$D$4:$D$1012,"")))</f>
        <v/>
      </c>
      <c r="D258" s="27" t="str" cm="1">
        <f t="array" ref="D258">IF($O258="","",_xlfn.TEXTJOIN(", ",TRUE,IF(EXACT('Дані_зв''язок'!$J$4:$J$1012,$O258)*('Дані_зв''язок'!$C$4:$C$1012=D$4),'Дані_зв''язок'!$D$4:$D$1012,"")))</f>
        <v/>
      </c>
      <c r="E258" s="27" t="str" cm="1">
        <f t="array" ref="E258">IF($O258="","",_xlfn.TEXTJOIN(", ",TRUE,IF(EXACT('Дані_зв''язок'!$J$4:$J$1012,$O258)*('Дані_зв''язок'!$C$4:$C$1012=E$4),'Дані_зв''язок'!$D$4:$D$1012,"")))</f>
        <v/>
      </c>
      <c r="F258" s="27" t="str" cm="1">
        <f t="array" ref="F258">IF($O258="","",_xlfn.TEXTJOIN(", ",TRUE,IF(EXACT('Дані_зв''язок'!$J$4:$J$1012,$O258)*('Дані_зв''язок'!$C$4:$C$1012=F$4),'Дані_зв''язок'!$D$4:$D$1012,"")))</f>
        <v>15:50</v>
      </c>
      <c r="G258" s="27" t="str" cm="1">
        <f t="array" ref="G258">IF($O258="","",_xlfn.TEXTJOIN(", ",TRUE,IF(EXACT('Дані_зв''язок'!$J$4:$J$1012,$O258)*('Дані_зв''язок'!$C$4:$C$1012=G$4),'Дані_зв''язок'!$D$4:$D$1012,"")))</f>
        <v/>
      </c>
      <c r="H258" s="27" t="str" cm="1">
        <f t="array" ref="H258">IF($O258="","",_xlfn.TEXTJOIN(", ",TRUE,IF(EXACT('Дані_зв''язок'!$J$4:$J$1012,$O258)*('Дані_зв''язок'!$C$4:$C$1012=H$4),'Дані_зв''язок'!$D$4:$D$1012,"")))</f>
        <v/>
      </c>
      <c r="I258" s="27" t="str" cm="1">
        <f t="array" ref="I258">IF($O258="","",_xlfn.TEXTJOIN(", ",TRUE,IF(EXACT('Дані_зв''язок'!$J$4:$J$1012,$O258)*('Дані_зв''язок'!$C$4:$C$1012=I$4),'Дані_зв''язок'!$D$4:$D$1012,"")))</f>
        <v/>
      </c>
      <c r="J258" s="27" cm="1">
        <f t="array" ref="J258">IF($O258="","",COUNTIF(C258:I258,"?*")+SUMPRODUCT(LEN(C258:I258)-LEN(SUBSTITUTE(C258:I258,",",""))))</f>
        <v>1</v>
      </c>
      <c r="K258" s="28" t="str" cm="1">
        <f t="array" ref="K258">IF($O258="","",_xlfn.TEXTJOIN(", ",TRUE,IF(EXACT('Дані_зв''язок'!$J$4:$J$1012,$O258),'Дані_зв''язок'!$L$4:$L$1012,"")))</f>
        <v>№1</v>
      </c>
      <c r="L258" s="28" t="str" cm="1">
        <f t="array" ref="L258">IF($O258="","",_xlfn.TEXTJOIN(", ",TRUE,IF(EXACT('Дані_зв''язок'!$J$4:$J$1012,$O258),'Дані_зв''язок'!$M$4:$M$1012,"")))</f>
        <v>АТ-4021/1120</v>
      </c>
      <c r="M258" s="27" cm="1">
        <f t="array" ref="M258">IF($O258="","",IF(SUMPRODUCT(MAX(EXACT('Дані_зв''язок'!$J$4:$J$1012,$O258)*IFERROR('Дані_зв''язок'!$H$4:$H$1012,0)))=0,"",SUMPRODUCT(MAX(EXACT('Дані_зв''язок'!$J$4:$J$1012,$O258)*IFERROR('Дані_зв''язок'!$H$4:$H$1012,0)))))</f>
        <v>1</v>
      </c>
      <c r="O258" s="30" t="s">
        <v>1380</v>
      </c>
      <c r="P258" s="24" t="str" cm="1">
        <f t="array" ref="P258">IF($O258="","",IF($B258="","",IFERROR(IF(MIN(IFERROR(VALUE(TRIM(MID(SUBSTITUTE(SUBSTITUTE($B258,","," ")," ",REPT(" ",30)),{1;31;61;91;121;151;181},30))),""))=0,"",MIN(IFERROR(VALUE(TRIM(MID(SUBSTITUTE(SUBSTITUTE($B258,","," ")," ",REPT(" ",30)),{1;31;61;91;121;151;181},30))),""))),"")))</f>
        <v/>
      </c>
      <c r="Q258" s="23" t="str">
        <f t="shared" si="11"/>
        <v>Прилуки, Чернігівська обл., вул. Котляревського</v>
      </c>
      <c r="R258" s="35">
        <f>IF($O258="","",IFERROR(INDEX('Координати майданчиків'!$H$4:$H$64,MATCH($T258,'Координати майданчиків'!$B$4:$B$64,0)),IFERROR(IF(ABS(INDEX(Геокодування!$C$2:$C$361,MATCH($Q258,Геокодування!$B$2:$B$361,0))-50.5884)+ABS(INDEX(Геокодування!$D$2:$D$361,MATCH($Q258,Геокодування!$B$2:$B$361,0))-32.3876)&gt;0.15,"",INDEX(Геокодування!$C$2:$C$361,MATCH($Q258,Геокодування!$B$2:$B$361,0))),IFERROR(IF(ABS(INDEX(Геокодування!$C$2:$C$361,MATCH("Прилуки, Чернігівська обл., "&amp;$A258,Геокодування!$B$2:$B$361,0))-50.5884)+ABS(INDEX(Геокодування!$D$2:$D$361,MATCH("Прилуки, Чернігівська обл., "&amp;$A258,Геокодування!$B$2:$B$361,0))-32.3876)&gt;0.15,"",INDEX(Геокодування!$C$2:$C$361,MATCH("Прилуки, Чернігівська обл., "&amp;$A258,Геокодування!$B$2:$B$361,0))),""))))</f>
        <v>50.596922999999997</v>
      </c>
      <c r="S258" s="43">
        <f>IF($O258="","",IFERROR(INDEX('Координати майданчиків'!$I$4:$I$64,MATCH($T258,'Координати майданчиків'!$B$4:$B$64,0)),IFERROR(IF(ABS(INDEX(Геокодування!$C$2:$C$361,MATCH($Q258,Геокодування!$B$2:$B$361,0))-50.5884)+ABS(INDEX(Геокодування!$D$2:$D$361,MATCH($Q258,Геокодування!$B$2:$B$361,0))-32.3876)&gt;0.15,"",INDEX(Геокодування!$D$2:$D$361,MATCH($Q258,Геокодування!$B$2:$B$361,0))),IFERROR(IF(ABS(INDEX(Геокодування!$C$2:$C$361,MATCH("Прилуки, Чернігівська обл., "&amp;$A258,Геокодування!$B$2:$B$361,0))-50.5884)+ABS(INDEX(Геокодування!$D$2:$D$361,MATCH("Прилуки, Чернігівська обл., "&amp;$A258,Геокодування!$B$2:$B$361,0))-32.3876)&gt;0.15,"",INDEX(Геокодування!$D$2:$D$361,MATCH("Прилуки, Чернігівська обл., "&amp;$A258,Геокодування!$B$2:$B$361,0))),""))))</f>
        <v>32.397727000000003</v>
      </c>
      <c r="T258" s="44" t="str">
        <f>IF($O258="","",IFERROR(INDEX('Координати майданчиків'!$B$4:$B$64,MATCH($A258&amp;IF($P258="","",", "&amp;$P258),'Координати майданчиків'!$B$4:$B$64,0)),IFERROR(INDEX('Координати майданчиків'!$B$4:$B$64,MATCH($A258,'Координати майданчиків'!$B$4:$B$64,0)),"")))</f>
        <v/>
      </c>
    </row>
    <row r="259" spans="1:20" x14ac:dyDescent="0.35">
      <c r="A259" s="26" t="str">
        <f t="shared" si="9"/>
        <v>вул. Котляревського</v>
      </c>
      <c r="B259" s="26" t="str">
        <f t="shared" si="10"/>
        <v>поліція</v>
      </c>
      <c r="C259" s="27" t="str" cm="1">
        <f t="array" ref="C259">IF($O259="","",_xlfn.TEXTJOIN(", ",TRUE,IF(EXACT('Дані_зв''язок'!$J$4:$J$1012,$O259)*('Дані_зв''язок'!$C$4:$C$1012=C$4),'Дані_зв''язок'!$D$4:$D$1012,"")))</f>
        <v>11:05</v>
      </c>
      <c r="D259" s="27" t="str" cm="1">
        <f t="array" ref="D259">IF($O259="","",_xlfn.TEXTJOIN(", ",TRUE,IF(EXACT('Дані_зв''язок'!$J$4:$J$1012,$O259)*('Дані_зв''язок'!$C$4:$C$1012=D$4),'Дані_зв''язок'!$D$4:$D$1012,"")))</f>
        <v/>
      </c>
      <c r="E259" s="27" t="str" cm="1">
        <f t="array" ref="E259">IF($O259="","",_xlfn.TEXTJOIN(", ",TRUE,IF(EXACT('Дані_зв''язок'!$J$4:$J$1012,$O259)*('Дані_зв''язок'!$C$4:$C$1012=E$4),'Дані_зв''язок'!$D$4:$D$1012,"")))</f>
        <v/>
      </c>
      <c r="F259" s="27" t="str" cm="1">
        <f t="array" ref="F259">IF($O259="","",_xlfn.TEXTJOIN(", ",TRUE,IF(EXACT('Дані_зв''язок'!$J$4:$J$1012,$O259)*('Дані_зв''язок'!$C$4:$C$1012=F$4),'Дані_зв''язок'!$D$4:$D$1012,"")))</f>
        <v/>
      </c>
      <c r="G259" s="27" t="str" cm="1">
        <f t="array" ref="G259">IF($O259="","",_xlfn.TEXTJOIN(", ",TRUE,IF(EXACT('Дані_зв''язок'!$J$4:$J$1012,$O259)*('Дані_зв''язок'!$C$4:$C$1012=G$4),'Дані_зв''язок'!$D$4:$D$1012,"")))</f>
        <v/>
      </c>
      <c r="H259" s="27" t="str" cm="1">
        <f t="array" ref="H259">IF($O259="","",_xlfn.TEXTJOIN(", ",TRUE,IF(EXACT('Дані_зв''язок'!$J$4:$J$1012,$O259)*('Дані_зв''язок'!$C$4:$C$1012=H$4),'Дані_зв''язок'!$D$4:$D$1012,"")))</f>
        <v/>
      </c>
      <c r="I259" s="27" t="str" cm="1">
        <f t="array" ref="I259">IF($O259="","",_xlfn.TEXTJOIN(", ",TRUE,IF(EXACT('Дані_зв''язок'!$J$4:$J$1012,$O259)*('Дані_зв''язок'!$C$4:$C$1012=I$4),'Дані_зв''язок'!$D$4:$D$1012,"")))</f>
        <v/>
      </c>
      <c r="J259" s="27" cm="1">
        <f t="array" ref="J259">IF($O259="","",COUNTIF(C259:I259,"?*")+SUMPRODUCT(LEN(C259:I259)-LEN(SUBSTITUTE(C259:I259,",",""))))</f>
        <v>1</v>
      </c>
      <c r="K259" s="28" t="str" cm="1">
        <f t="array" ref="K259">IF($O259="","",_xlfn.TEXTJOIN(", ",TRUE,IF(EXACT('Дані_зв''язок'!$J$4:$J$1012,$O259),'Дані_зв''язок'!$L$4:$L$1012,"")))</f>
        <v>№3</v>
      </c>
      <c r="L259" s="28" t="str" cm="1">
        <f t="array" ref="L259">IF($O259="","",_xlfn.TEXTJOIN(", ",TRUE,IF(EXACT('Дані_зв''язок'!$J$4:$J$1012,$O259),'Дані_зв''язок'!$M$4:$M$1012,"")))</f>
        <v>ГАЗ 3309</v>
      </c>
      <c r="M259" s="27" cm="1">
        <f t="array" ref="M259">IF($O259="","",IF(SUMPRODUCT(MAX(EXACT('Дані_зв''язок'!$J$4:$J$1012,$O259)*IFERROR('Дані_зв''язок'!$H$4:$H$1012,0)))=0,"",SUMPRODUCT(MAX(EXACT('Дані_зв''язок'!$J$4:$J$1012,$O259)*IFERROR('Дані_зв''язок'!$H$4:$H$1012,0)))))</f>
        <v>3</v>
      </c>
      <c r="O259" s="30" t="s">
        <v>1378</v>
      </c>
      <c r="P259" s="24" t="str" cm="1">
        <f t="array" ref="P259">IF($O259="","",IF($B259="","",IFERROR(IF(MIN(IFERROR(VALUE(TRIM(MID(SUBSTITUTE(SUBSTITUTE($B259,","," ")," ",REPT(" ",30)),{1;31;61;91;121;151;181},30))),""))=0,"",MIN(IFERROR(VALUE(TRIM(MID(SUBSTITUTE(SUBSTITUTE($B259,","," ")," ",REPT(" ",30)),{1;31;61;91;121;151;181},30))),""))),"")))</f>
        <v/>
      </c>
      <c r="Q259" s="23" t="str">
        <f t="shared" si="11"/>
        <v>Прилуки, Чернігівська обл., вул. Котляревського</v>
      </c>
      <c r="R259" s="35">
        <f>IF($O259="","",IFERROR(INDEX('Координати майданчиків'!$H$4:$H$64,MATCH($T259,'Координати майданчиків'!$B$4:$B$64,0)),IFERROR(IF(ABS(INDEX(Геокодування!$C$2:$C$361,MATCH($Q259,Геокодування!$B$2:$B$361,0))-50.5884)+ABS(INDEX(Геокодування!$D$2:$D$361,MATCH($Q259,Геокодування!$B$2:$B$361,0))-32.3876)&gt;0.15,"",INDEX(Геокодування!$C$2:$C$361,MATCH($Q259,Геокодування!$B$2:$B$361,0))),IFERROR(IF(ABS(INDEX(Геокодування!$C$2:$C$361,MATCH("Прилуки, Чернігівська обл., "&amp;$A259,Геокодування!$B$2:$B$361,0))-50.5884)+ABS(INDEX(Геокодування!$D$2:$D$361,MATCH("Прилуки, Чернігівська обл., "&amp;$A259,Геокодування!$B$2:$B$361,0))-32.3876)&gt;0.15,"",INDEX(Геокодування!$C$2:$C$361,MATCH("Прилуки, Чернігівська обл., "&amp;$A259,Геокодування!$B$2:$B$361,0))),""))))</f>
        <v>50.596922999999997</v>
      </c>
      <c r="S259" s="43">
        <f>IF($O259="","",IFERROR(INDEX('Координати майданчиків'!$I$4:$I$64,MATCH($T259,'Координати майданчиків'!$B$4:$B$64,0)),IFERROR(IF(ABS(INDEX(Геокодування!$C$2:$C$361,MATCH($Q259,Геокодування!$B$2:$B$361,0))-50.5884)+ABS(INDEX(Геокодування!$D$2:$D$361,MATCH($Q259,Геокодування!$B$2:$B$361,0))-32.3876)&gt;0.15,"",INDEX(Геокодування!$D$2:$D$361,MATCH($Q259,Геокодування!$B$2:$B$361,0))),IFERROR(IF(ABS(INDEX(Геокодування!$C$2:$C$361,MATCH("Прилуки, Чернігівська обл., "&amp;$A259,Геокодування!$B$2:$B$361,0))-50.5884)+ABS(INDEX(Геокодування!$D$2:$D$361,MATCH("Прилуки, Чернігівська обл., "&amp;$A259,Геокодування!$B$2:$B$361,0))-32.3876)&gt;0.15,"",INDEX(Геокодування!$D$2:$D$361,MATCH("Прилуки, Чернігівська обл., "&amp;$A259,Геокодування!$B$2:$B$361,0))),""))))</f>
        <v>32.397727000000003</v>
      </c>
      <c r="T259" s="44" t="str">
        <f>IF($O259="","",IFERROR(INDEX('Координати майданчиків'!$B$4:$B$64,MATCH($A259&amp;IF($P259="","",", "&amp;$P259),'Координати майданчиків'!$B$4:$B$64,0)),IFERROR(INDEX('Координати майданчиків'!$B$4:$B$64,MATCH($A259,'Координати майданчиків'!$B$4:$B$64,0)),"")))</f>
        <v/>
      </c>
    </row>
    <row r="260" spans="1:20" x14ac:dyDescent="0.35">
      <c r="A260" s="26" t="str">
        <f t="shared" si="9"/>
        <v>вул. Кощюбинського</v>
      </c>
      <c r="B260" s="26" t="str">
        <f t="shared" si="10"/>
        <v/>
      </c>
      <c r="C260" s="27" t="str" cm="1">
        <f t="array" ref="C260">IF($O260="","",_xlfn.TEXTJOIN(", ",TRUE,IF(EXACT('Дані_зв''язок'!$J$4:$J$1012,$O260)*('Дані_зв''язок'!$C$4:$C$1012=C$4),'Дані_зв''язок'!$D$4:$D$1012,"")))</f>
        <v/>
      </c>
      <c r="D260" s="27" t="str" cm="1">
        <f t="array" ref="D260">IF($O260="","",_xlfn.TEXTJOIN(", ",TRUE,IF(EXACT('Дані_зв''язок'!$J$4:$J$1012,$O260)*('Дані_зв''язок'!$C$4:$C$1012=D$4),'Дані_зв''язок'!$D$4:$D$1012,"")))</f>
        <v/>
      </c>
      <c r="E260" s="27" t="str" cm="1">
        <f t="array" ref="E260">IF($O260="","",_xlfn.TEXTJOIN(", ",TRUE,IF(EXACT('Дані_зв''язок'!$J$4:$J$1012,$O260)*('Дані_зв''язок'!$C$4:$C$1012=E$4),'Дані_зв''язок'!$D$4:$D$1012,"")))</f>
        <v/>
      </c>
      <c r="F260" s="27" t="str" cm="1">
        <f t="array" ref="F260">IF($O260="","",_xlfn.TEXTJOIN(", ",TRUE,IF(EXACT('Дані_зв''язок'!$J$4:$J$1012,$O260)*('Дані_зв''язок'!$C$4:$C$1012=F$4),'Дані_зв''язок'!$D$4:$D$1012,"")))</f>
        <v/>
      </c>
      <c r="G260" s="27" t="str" cm="1">
        <f t="array" ref="G260">IF($O260="","",_xlfn.TEXTJOIN(", ",TRUE,IF(EXACT('Дані_зв''язок'!$J$4:$J$1012,$O260)*('Дані_зв''язок'!$C$4:$C$1012=G$4),'Дані_зв''язок'!$D$4:$D$1012,"")))</f>
        <v>12:30</v>
      </c>
      <c r="H260" s="27" t="str" cm="1">
        <f t="array" ref="H260">IF($O260="","",_xlfn.TEXTJOIN(", ",TRUE,IF(EXACT('Дані_зв''язок'!$J$4:$J$1012,$O260)*('Дані_зв''язок'!$C$4:$C$1012=H$4),'Дані_зв''язок'!$D$4:$D$1012,"")))</f>
        <v/>
      </c>
      <c r="I260" s="27" t="str" cm="1">
        <f t="array" ref="I260">IF($O260="","",_xlfn.TEXTJOIN(", ",TRUE,IF(EXACT('Дані_зв''язок'!$J$4:$J$1012,$O260)*('Дані_зв''язок'!$C$4:$C$1012=I$4),'Дані_зв''язок'!$D$4:$D$1012,"")))</f>
        <v/>
      </c>
      <c r="J260" s="27" cm="1">
        <f t="array" ref="J260">IF($O260="","",COUNTIF(C260:I260,"?*")+SUMPRODUCT(LEN(C260:I260)-LEN(SUBSTITUTE(C260:I260,",",""))))</f>
        <v>1</v>
      </c>
      <c r="K260" s="28" t="str" cm="1">
        <f t="array" ref="K260">IF($O260="","",_xlfn.TEXTJOIN(", ",TRUE,IF(EXACT('Дані_зв''язок'!$J$4:$J$1012,$O260),'Дані_зв''язок'!$L$4:$L$1012,"")))</f>
        <v>№6</v>
      </c>
      <c r="L260" s="28" t="str" cm="1">
        <f t="array" ref="L260">IF($O260="","",_xlfn.TEXTJOIN(", ",TRUE,IF(EXACT('Дані_зв''язок'!$J$4:$J$1012,$O260),'Дані_зв''язок'!$M$4:$M$1012,"")))</f>
        <v>АТ 4021</v>
      </c>
      <c r="M260" s="27" t="str" cm="1">
        <f t="array" ref="M260">IF($O260="","",IF(SUMPRODUCT(MAX(EXACT('Дані_зв''язок'!$J$4:$J$1012,$O260)*IFERROR('Дані_зв''язок'!$H$4:$H$1012,0)))=0,"",SUMPRODUCT(MAX(EXACT('Дані_зв''язок'!$J$4:$J$1012,$O260)*IFERROR('Дані_зв''язок'!$H$4:$H$1012,0)))))</f>
        <v/>
      </c>
      <c r="O260" s="30" t="s">
        <v>1381</v>
      </c>
      <c r="P260" s="24" t="str" cm="1">
        <f t="array" ref="P260">IF($O260="","",IF($B260="","",IFERROR(IF(MIN(IFERROR(VALUE(TRIM(MID(SUBSTITUTE(SUBSTITUTE($B260,","," ")," ",REPT(" ",30)),{1;31;61;91;121;151;181},30))),""))=0,"",MIN(IFERROR(VALUE(TRIM(MID(SUBSTITUTE(SUBSTITUTE($B260,","," ")," ",REPT(" ",30)),{1;31;61;91;121;151;181},30))),""))),"")))</f>
        <v/>
      </c>
      <c r="Q260" s="23" t="str">
        <f t="shared" si="11"/>
        <v>Прилуки, Чернігівська обл., вул. Кощюбинського</v>
      </c>
      <c r="R260" s="35">
        <f>IF($O260="","",IFERROR(INDEX('Координати майданчиків'!$H$4:$H$64,MATCH($T260,'Координати майданчиків'!$B$4:$B$64,0)),IFERROR(IF(ABS(INDEX(Геокодування!$C$2:$C$361,MATCH($Q260,Геокодування!$B$2:$B$361,0))-50.5884)+ABS(INDEX(Геокодування!$D$2:$D$361,MATCH($Q260,Геокодування!$B$2:$B$361,0))-32.3876)&gt;0.15,"",INDEX(Геокодування!$C$2:$C$361,MATCH($Q260,Геокодування!$B$2:$B$361,0))),IFERROR(IF(ABS(INDEX(Геокодування!$C$2:$C$361,MATCH("Прилуки, Чернігівська обл., "&amp;$A260,Геокодування!$B$2:$B$361,0))-50.5884)+ABS(INDEX(Геокодування!$D$2:$D$361,MATCH("Прилуки, Чернігівська обл., "&amp;$A260,Геокодування!$B$2:$B$361,0))-32.3876)&gt;0.15,"",INDEX(Геокодування!$C$2:$C$361,MATCH("Прилуки, Чернігівська обл., "&amp;$A260,Геокодування!$B$2:$B$361,0))),""))))</f>
        <v>50.581904999999999</v>
      </c>
      <c r="S260" s="43">
        <f>IF($O260="","",IFERROR(INDEX('Координати майданчиків'!$I$4:$I$64,MATCH($T260,'Координати майданчиків'!$B$4:$B$64,0)),IFERROR(IF(ABS(INDEX(Геокодування!$C$2:$C$361,MATCH($Q260,Геокодування!$B$2:$B$361,0))-50.5884)+ABS(INDEX(Геокодування!$D$2:$D$361,MATCH($Q260,Геокодування!$B$2:$B$361,0))-32.3876)&gt;0.15,"",INDEX(Геокодування!$D$2:$D$361,MATCH($Q260,Геокодування!$B$2:$B$361,0))),IFERROR(IF(ABS(INDEX(Геокодування!$C$2:$C$361,MATCH("Прилуки, Чернігівська обл., "&amp;$A260,Геокодування!$B$2:$B$361,0))-50.5884)+ABS(INDEX(Геокодування!$D$2:$D$361,MATCH("Прилуки, Чернігівська обл., "&amp;$A260,Геокодування!$B$2:$B$361,0))-32.3876)&gt;0.15,"",INDEX(Геокодування!$D$2:$D$361,MATCH("Прилуки, Чернігівська обл., "&amp;$A260,Геокодування!$B$2:$B$361,0))),""))))</f>
        <v>32.383752999999999</v>
      </c>
      <c r="T260" s="44" t="str">
        <f>IF($O260="","",IFERROR(INDEX('Координати майданчиків'!$B$4:$B$64,MATCH($A260&amp;IF($P260="","",", "&amp;$P260),'Координати майданчиків'!$B$4:$B$64,0)),IFERROR(INDEX('Координати майданчиків'!$B$4:$B$64,MATCH($A260,'Координати майданчиків'!$B$4:$B$64,0)),"")))</f>
        <v/>
      </c>
    </row>
    <row r="261" spans="1:20" x14ac:dyDescent="0.35">
      <c r="A261" s="26" t="str">
        <f t="shared" si="9"/>
        <v>вул. Кощюбинського</v>
      </c>
      <c r="B261" s="26" t="str">
        <f t="shared" si="10"/>
        <v>1,4  10,20</v>
      </c>
      <c r="C261" s="27" t="str" cm="1">
        <f t="array" ref="C261">IF($O261="","",_xlfn.TEXTJOIN(", ",TRUE,IF(EXACT('Дані_зв''язок'!$J$4:$J$1012,$O261)*('Дані_зв''язок'!$C$4:$C$1012=C$4),'Дані_зв''язок'!$D$4:$D$1012,"")))</f>
        <v/>
      </c>
      <c r="D261" s="27" t="str" cm="1">
        <f t="array" ref="D261">IF($O261="","",_xlfn.TEXTJOIN(", ",TRUE,IF(EXACT('Дані_зв''язок'!$J$4:$J$1012,$O261)*('Дані_зв''язок'!$C$4:$C$1012=D$4),'Дані_зв''язок'!$D$4:$D$1012,"")))</f>
        <v/>
      </c>
      <c r="E261" s="27" t="str" cm="1">
        <f t="array" ref="E261">IF($O261="","",_xlfn.TEXTJOIN(", ",TRUE,IF(EXACT('Дані_зв''язок'!$J$4:$J$1012,$O261)*('Дані_зв''язок'!$C$4:$C$1012=E$4),'Дані_зв''язок'!$D$4:$D$1012,"")))</f>
        <v>10:50</v>
      </c>
      <c r="F261" s="27" t="str" cm="1">
        <f t="array" ref="F261">IF($O261="","",_xlfn.TEXTJOIN(", ",TRUE,IF(EXACT('Дані_зв''язок'!$J$4:$J$1012,$O261)*('Дані_зв''язок'!$C$4:$C$1012=F$4),'Дані_зв''язок'!$D$4:$D$1012,"")))</f>
        <v/>
      </c>
      <c r="G261" s="27" t="str" cm="1">
        <f t="array" ref="G261">IF($O261="","",_xlfn.TEXTJOIN(", ",TRUE,IF(EXACT('Дані_зв''язок'!$J$4:$J$1012,$O261)*('Дані_зв''язок'!$C$4:$C$1012=G$4),'Дані_зв''язок'!$D$4:$D$1012,"")))</f>
        <v/>
      </c>
      <c r="H261" s="27" t="str" cm="1">
        <f t="array" ref="H261">IF($O261="","",_xlfn.TEXTJOIN(", ",TRUE,IF(EXACT('Дані_зв''язок'!$J$4:$J$1012,$O261)*('Дані_зв''язок'!$C$4:$C$1012=H$4),'Дані_зв''язок'!$D$4:$D$1012,"")))</f>
        <v/>
      </c>
      <c r="I261" s="27" t="str" cm="1">
        <f t="array" ref="I261">IF($O261="","",_xlfn.TEXTJOIN(", ",TRUE,IF(EXACT('Дані_зв''язок'!$J$4:$J$1012,$O261)*('Дані_зв''язок'!$C$4:$C$1012=I$4),'Дані_зв''язок'!$D$4:$D$1012,"")))</f>
        <v/>
      </c>
      <c r="J261" s="27" cm="1">
        <f t="array" ref="J261">IF($O261="","",COUNTIF(C261:I261,"?*")+SUMPRODUCT(LEN(C261:I261)-LEN(SUBSTITUTE(C261:I261,",",""))))</f>
        <v>1</v>
      </c>
      <c r="K261" s="28" t="str" cm="1">
        <f t="array" ref="K261">IF($O261="","",_xlfn.TEXTJOIN(", ",TRUE,IF(EXACT('Дані_зв''язок'!$J$4:$J$1012,$O261),'Дані_зв''язок'!$L$4:$L$1012,"")))</f>
        <v>№6</v>
      </c>
      <c r="L261" s="28" t="str" cm="1">
        <f t="array" ref="L261">IF($O261="","",_xlfn.TEXTJOIN(", ",TRUE,IF(EXACT('Дані_зв''язок'!$J$4:$J$1012,$O261),'Дані_зв''язок'!$M$4:$M$1012,"")))</f>
        <v>АТ 4021</v>
      </c>
      <c r="M261" s="27" t="str" cm="1">
        <f t="array" ref="M261">IF($O261="","",IF(SUMPRODUCT(MAX(EXACT('Дані_зв''язок'!$J$4:$J$1012,$O261)*IFERROR('Дані_зв''язок'!$H$4:$H$1012,0)))=0,"",SUMPRODUCT(MAX(EXACT('Дані_зв''язок'!$J$4:$J$1012,$O261)*IFERROR('Дані_зв''язок'!$H$4:$H$1012,0)))))</f>
        <v/>
      </c>
      <c r="O261" s="30" t="s">
        <v>1382</v>
      </c>
      <c r="P261" s="24" cm="1">
        <f t="array" ref="P261">IF($O261="","",IF($B261="","",IFERROR(IF(MIN(IFERROR(VALUE(TRIM(MID(SUBSTITUTE(SUBSTITUTE($B261,","," ")," ",REPT(" ",30)),{1;31;61;91;121;151;181},30))),""))=0,"",MIN(IFERROR(VALUE(TRIM(MID(SUBSTITUTE(SUBSTITUTE($B261,","," ")," ",REPT(" ",30)),{1;31;61;91;121;151;181},30))),""))),"")))</f>
        <v>1</v>
      </c>
      <c r="Q261" s="23" t="str">
        <f t="shared" si="11"/>
        <v>Прилуки, Чернігівська обл., вул. Кощюбинського, 1</v>
      </c>
      <c r="R261" s="35">
        <f>IF($O261="","",IFERROR(INDEX('Координати майданчиків'!$H$4:$H$64,MATCH($T261,'Координати майданчиків'!$B$4:$B$64,0)),IFERROR(IF(ABS(INDEX(Геокодування!$C$2:$C$361,MATCH($Q261,Геокодування!$B$2:$B$361,0))-50.5884)+ABS(INDEX(Геокодування!$D$2:$D$361,MATCH($Q261,Геокодування!$B$2:$B$361,0))-32.3876)&gt;0.15,"",INDEX(Геокодування!$C$2:$C$361,MATCH($Q261,Геокодування!$B$2:$B$361,0))),IFERROR(IF(ABS(INDEX(Геокодування!$C$2:$C$361,MATCH("Прилуки, Чернігівська обл., "&amp;$A261,Геокодування!$B$2:$B$361,0))-50.5884)+ABS(INDEX(Геокодування!$D$2:$D$361,MATCH("Прилуки, Чернігівська обл., "&amp;$A261,Геокодування!$B$2:$B$361,0))-32.3876)&gt;0.15,"",INDEX(Геокодування!$C$2:$C$361,MATCH("Прилуки, Чернігівська обл., "&amp;$A261,Геокодування!$B$2:$B$361,0))),""))))</f>
        <v>50.581904999999999</v>
      </c>
      <c r="S261" s="43">
        <f>IF($O261="","",IFERROR(INDEX('Координати майданчиків'!$I$4:$I$64,MATCH($T261,'Координати майданчиків'!$B$4:$B$64,0)),IFERROR(IF(ABS(INDEX(Геокодування!$C$2:$C$361,MATCH($Q261,Геокодування!$B$2:$B$361,0))-50.5884)+ABS(INDEX(Геокодування!$D$2:$D$361,MATCH($Q261,Геокодування!$B$2:$B$361,0))-32.3876)&gt;0.15,"",INDEX(Геокодування!$D$2:$D$361,MATCH($Q261,Геокодування!$B$2:$B$361,0))),IFERROR(IF(ABS(INDEX(Геокодування!$C$2:$C$361,MATCH("Прилуки, Чернігівська обл., "&amp;$A261,Геокодування!$B$2:$B$361,0))-50.5884)+ABS(INDEX(Геокодування!$D$2:$D$361,MATCH("Прилуки, Чернігівська обл., "&amp;$A261,Геокодування!$B$2:$B$361,0))-32.3876)&gt;0.15,"",INDEX(Геокодування!$D$2:$D$361,MATCH("Прилуки, Чернігівська обл., "&amp;$A261,Геокодування!$B$2:$B$361,0))),""))))</f>
        <v>32.383752999999999</v>
      </c>
      <c r="T261" s="44" t="str">
        <f>IF($O261="","",IFERROR(INDEX('Координати майданчиків'!$B$4:$B$64,MATCH($A261&amp;IF($P261="","",", "&amp;$P261),'Координати майданчиків'!$B$4:$B$64,0)),IFERROR(INDEX('Координати майданчиків'!$B$4:$B$64,MATCH($A261,'Координати майданчиків'!$B$4:$B$64,0)),"")))</f>
        <v/>
      </c>
    </row>
    <row r="262" spans="1:20" x14ac:dyDescent="0.35">
      <c r="A262" s="26" t="str">
        <f t="shared" ref="A262:A325" si="12">IF($O262="","",LEFT($O262,FIND("|",$O262)-1))</f>
        <v>вул. Кругова</v>
      </c>
      <c r="B262" s="26" t="str">
        <f t="shared" ref="B262:B325" si="13">IF($O262="","",MID($O262,FIND("|",$O262)+1,999))</f>
        <v/>
      </c>
      <c r="C262" s="27" t="str" cm="1">
        <f t="array" ref="C262">IF($O262="","",_xlfn.TEXTJOIN(", ",TRUE,IF(EXACT('Дані_зв''язок'!$J$4:$J$1012,$O262)*('Дані_зв''язок'!$C$4:$C$1012=C$4),'Дані_зв''язок'!$D$4:$D$1012,"")))</f>
        <v/>
      </c>
      <c r="D262" s="27" t="str" cm="1">
        <f t="array" ref="D262">IF($O262="","",_xlfn.TEXTJOIN(", ",TRUE,IF(EXACT('Дані_зв''язок'!$J$4:$J$1012,$O262)*('Дані_зв''язок'!$C$4:$C$1012=D$4),'Дані_зв''язок'!$D$4:$D$1012,"")))</f>
        <v/>
      </c>
      <c r="E262" s="27" t="str" cm="1">
        <f t="array" ref="E262">IF($O262="","",_xlfn.TEXTJOIN(", ",TRUE,IF(EXACT('Дані_зв''язок'!$J$4:$J$1012,$O262)*('Дані_зв''язок'!$C$4:$C$1012=E$4),'Дані_зв''язок'!$D$4:$D$1012,"")))</f>
        <v>13:00</v>
      </c>
      <c r="F262" s="27" t="str" cm="1">
        <f t="array" ref="F262">IF($O262="","",_xlfn.TEXTJOIN(", ",TRUE,IF(EXACT('Дані_зв''язок'!$J$4:$J$1012,$O262)*('Дані_зв''язок'!$C$4:$C$1012=F$4),'Дані_зв''язок'!$D$4:$D$1012,"")))</f>
        <v/>
      </c>
      <c r="G262" s="27" t="str" cm="1">
        <f t="array" ref="G262">IF($O262="","",_xlfn.TEXTJOIN(", ",TRUE,IF(EXACT('Дані_зв''язок'!$J$4:$J$1012,$O262)*('Дані_зв''язок'!$C$4:$C$1012=G$4),'Дані_зв''язок'!$D$4:$D$1012,"")))</f>
        <v/>
      </c>
      <c r="H262" s="27" t="str" cm="1">
        <f t="array" ref="H262">IF($O262="","",_xlfn.TEXTJOIN(", ",TRUE,IF(EXACT('Дані_зв''язок'!$J$4:$J$1012,$O262)*('Дані_зв''язок'!$C$4:$C$1012=H$4),'Дані_зв''язок'!$D$4:$D$1012,"")))</f>
        <v/>
      </c>
      <c r="I262" s="27" t="str" cm="1">
        <f t="array" ref="I262">IF($O262="","",_xlfn.TEXTJOIN(", ",TRUE,IF(EXACT('Дані_зв''язок'!$J$4:$J$1012,$O262)*('Дані_зв''язок'!$C$4:$C$1012=I$4),'Дані_зв''язок'!$D$4:$D$1012,"")))</f>
        <v/>
      </c>
      <c r="J262" s="27" cm="1">
        <f t="array" ref="J262">IF($O262="","",COUNTIF(C262:I262,"?*")+SUMPRODUCT(LEN(C262:I262)-LEN(SUBSTITUTE(C262:I262,",",""))))</f>
        <v>1</v>
      </c>
      <c r="K262" s="28" t="str" cm="1">
        <f t="array" ref="K262">IF($O262="","",_xlfn.TEXTJOIN(", ",TRUE,IF(EXACT('Дані_зв''язок'!$J$4:$J$1012,$O262),'Дані_зв''язок'!$L$4:$L$1012,"")))</f>
        <v>№5</v>
      </c>
      <c r="L262" s="28" t="str" cm="1">
        <f t="array" ref="L262">IF($O262="","",_xlfn.TEXTJOIN(", ",TRUE,IF(EXACT('Дані_зв''язок'!$J$4:$J$1012,$O262),'Дані_зв''язок'!$M$4:$M$1012,"")))</f>
        <v>МАЗ 4381</v>
      </c>
      <c r="M262" s="27" t="str" cm="1">
        <f t="array" ref="M262">IF($O262="","",IF(SUMPRODUCT(MAX(EXACT('Дані_зв''язок'!$J$4:$J$1012,$O262)*IFERROR('Дані_зв''язок'!$H$4:$H$1012,0)))=0,"",SUMPRODUCT(MAX(EXACT('Дані_зв''язок'!$J$4:$J$1012,$O262)*IFERROR('Дані_зв''язок'!$H$4:$H$1012,0)))))</f>
        <v/>
      </c>
      <c r="O262" s="30" t="s">
        <v>1383</v>
      </c>
      <c r="P262" s="24" t="str" cm="1">
        <f t="array" ref="P262">IF($O262="","",IF($B262="","",IFERROR(IF(MIN(IFERROR(VALUE(TRIM(MID(SUBSTITUTE(SUBSTITUTE($B262,","," ")," ",REPT(" ",30)),{1;31;61;91;121;151;181},30))),""))=0,"",MIN(IFERROR(VALUE(TRIM(MID(SUBSTITUTE(SUBSTITUTE($B262,","," ")," ",REPT(" ",30)),{1;31;61;91;121;151;181},30))),""))),"")))</f>
        <v/>
      </c>
      <c r="Q262" s="23" t="str">
        <f t="shared" ref="Q262:Q325" si="14">IF($O262="","","Прилуки, Чернігівська обл., "&amp;$A262&amp;IF($P262="","",", "&amp;$P262))</f>
        <v>Прилуки, Чернігівська обл., вул. Кругова</v>
      </c>
      <c r="R262" s="35">
        <f>IF($O262="","",IFERROR(INDEX('Координати майданчиків'!$H$4:$H$64,MATCH($T262,'Координати майданчиків'!$B$4:$B$64,0)),IFERROR(IF(ABS(INDEX(Геокодування!$C$2:$C$361,MATCH($Q262,Геокодування!$B$2:$B$361,0))-50.5884)+ABS(INDEX(Геокодування!$D$2:$D$361,MATCH($Q262,Геокодування!$B$2:$B$361,0))-32.3876)&gt;0.15,"",INDEX(Геокодування!$C$2:$C$361,MATCH($Q262,Геокодування!$B$2:$B$361,0))),IFERROR(IF(ABS(INDEX(Геокодування!$C$2:$C$361,MATCH("Прилуки, Чернігівська обл., "&amp;$A262,Геокодування!$B$2:$B$361,0))-50.5884)+ABS(INDEX(Геокодування!$D$2:$D$361,MATCH("Прилуки, Чернігівська обл., "&amp;$A262,Геокодування!$B$2:$B$361,0))-32.3876)&gt;0.15,"",INDEX(Геокодування!$C$2:$C$361,MATCH("Прилуки, Чернігівська обл., "&amp;$A262,Геокодування!$B$2:$B$361,0))),""))))</f>
        <v>50.599716999999998</v>
      </c>
      <c r="S262" s="43">
        <f>IF($O262="","",IFERROR(INDEX('Координати майданчиків'!$I$4:$I$64,MATCH($T262,'Координати майданчиків'!$B$4:$B$64,0)),IFERROR(IF(ABS(INDEX(Геокодування!$C$2:$C$361,MATCH($Q262,Геокодування!$B$2:$B$361,0))-50.5884)+ABS(INDEX(Геокодування!$D$2:$D$361,MATCH($Q262,Геокодування!$B$2:$B$361,0))-32.3876)&gt;0.15,"",INDEX(Геокодування!$D$2:$D$361,MATCH($Q262,Геокодування!$B$2:$B$361,0))),IFERROR(IF(ABS(INDEX(Геокодування!$C$2:$C$361,MATCH("Прилуки, Чернігівська обл., "&amp;$A262,Геокодування!$B$2:$B$361,0))-50.5884)+ABS(INDEX(Геокодування!$D$2:$D$361,MATCH("Прилуки, Чернігівська обл., "&amp;$A262,Геокодування!$B$2:$B$361,0))-32.3876)&gt;0.15,"",INDEX(Геокодування!$D$2:$D$361,MATCH("Прилуки, Чернігівська обл., "&amp;$A262,Геокодування!$B$2:$B$361,0))),""))))</f>
        <v>32.359506000000003</v>
      </c>
      <c r="T262" s="44" t="str">
        <f>IF($O262="","",IFERROR(INDEX('Координати майданчиків'!$B$4:$B$64,MATCH($A262&amp;IF($P262="","",", "&amp;$P262),'Координати майданчиків'!$B$4:$B$64,0)),IFERROR(INDEX('Координати майданчиків'!$B$4:$B$64,MATCH($A262,'Координати майданчиків'!$B$4:$B$64,0)),"")))</f>
        <v/>
      </c>
    </row>
    <row r="263" spans="1:20" x14ac:dyDescent="0.35">
      <c r="A263" s="26" t="str">
        <f t="shared" si="12"/>
        <v>вул. Кустівська</v>
      </c>
      <c r="B263" s="26" t="str">
        <f t="shared" si="13"/>
        <v>5,37  47,61</v>
      </c>
      <c r="C263" s="27" t="str" cm="1">
        <f t="array" ref="C263">IF($O263="","",_xlfn.TEXTJOIN(", ",TRUE,IF(EXACT('Дані_зв''язок'!$J$4:$J$1012,$O263)*('Дані_зв''язок'!$C$4:$C$1012=C$4),'Дані_зв''язок'!$D$4:$D$1012,"")))</f>
        <v/>
      </c>
      <c r="D263" s="27" t="str" cm="1">
        <f t="array" ref="D263">IF($O263="","",_xlfn.TEXTJOIN(", ",TRUE,IF(EXACT('Дані_зв''язок'!$J$4:$J$1012,$O263)*('Дані_зв''язок'!$C$4:$C$1012=D$4),'Дані_зв''язок'!$D$4:$D$1012,"")))</f>
        <v>11:05</v>
      </c>
      <c r="E263" s="27" t="str" cm="1">
        <f t="array" ref="E263">IF($O263="","",_xlfn.TEXTJOIN(", ",TRUE,IF(EXACT('Дані_зв''язок'!$J$4:$J$1012,$O263)*('Дані_зв''язок'!$C$4:$C$1012=E$4),'Дані_зв''язок'!$D$4:$D$1012,"")))</f>
        <v/>
      </c>
      <c r="F263" s="27" t="str" cm="1">
        <f t="array" ref="F263">IF($O263="","",_xlfn.TEXTJOIN(", ",TRUE,IF(EXACT('Дані_зв''язок'!$J$4:$J$1012,$O263)*('Дані_зв''язок'!$C$4:$C$1012=F$4),'Дані_зв''язок'!$D$4:$D$1012,"")))</f>
        <v/>
      </c>
      <c r="G263" s="27" t="str" cm="1">
        <f t="array" ref="G263">IF($O263="","",_xlfn.TEXTJOIN(", ",TRUE,IF(EXACT('Дані_зв''язок'!$J$4:$J$1012,$O263)*('Дані_зв''язок'!$C$4:$C$1012=G$4),'Дані_зв''язок'!$D$4:$D$1012,"")))</f>
        <v/>
      </c>
      <c r="H263" s="27" t="str" cm="1">
        <f t="array" ref="H263">IF($O263="","",_xlfn.TEXTJOIN(", ",TRUE,IF(EXACT('Дані_зв''язок'!$J$4:$J$1012,$O263)*('Дані_зв''язок'!$C$4:$C$1012=H$4),'Дані_зв''язок'!$D$4:$D$1012,"")))</f>
        <v/>
      </c>
      <c r="I263" s="27" t="str" cm="1">
        <f t="array" ref="I263">IF($O263="","",_xlfn.TEXTJOIN(", ",TRUE,IF(EXACT('Дані_зв''язок'!$J$4:$J$1012,$O263)*('Дані_зв''язок'!$C$4:$C$1012=I$4),'Дані_зв''язок'!$D$4:$D$1012,"")))</f>
        <v/>
      </c>
      <c r="J263" s="27" cm="1">
        <f t="array" ref="J263">IF($O263="","",COUNTIF(C263:I263,"?*")+SUMPRODUCT(LEN(C263:I263)-LEN(SUBSTITUTE(C263:I263,",",""))))</f>
        <v>1</v>
      </c>
      <c r="K263" s="28" t="str" cm="1">
        <f t="array" ref="K263">IF($O263="","",_xlfn.TEXTJOIN(", ",TRUE,IF(EXACT('Дані_зв''язок'!$J$4:$J$1012,$O263),'Дані_зв''язок'!$L$4:$L$1012,"")))</f>
        <v>№6</v>
      </c>
      <c r="L263" s="28" t="str" cm="1">
        <f t="array" ref="L263">IF($O263="","",_xlfn.TEXTJOIN(", ",TRUE,IF(EXACT('Дані_зв''язок'!$J$4:$J$1012,$O263),'Дані_зв''язок'!$M$4:$M$1012,"")))</f>
        <v>АТ 4021</v>
      </c>
      <c r="M263" s="27" t="str" cm="1">
        <f t="array" ref="M263">IF($O263="","",IF(SUMPRODUCT(MAX(EXACT('Дані_зв''язок'!$J$4:$J$1012,$O263)*IFERROR('Дані_зв''язок'!$H$4:$H$1012,0)))=0,"",SUMPRODUCT(MAX(EXACT('Дані_зв''язок'!$J$4:$J$1012,$O263)*IFERROR('Дані_зв''язок'!$H$4:$H$1012,0)))))</f>
        <v/>
      </c>
      <c r="O263" s="30" t="s">
        <v>1384</v>
      </c>
      <c r="P263" s="24" cm="1">
        <f t="array" ref="P263">IF($O263="","",IF($B263="","",IFERROR(IF(MIN(IFERROR(VALUE(TRIM(MID(SUBSTITUTE(SUBSTITUTE($B263,","," ")," ",REPT(" ",30)),{1;31;61;91;121;151;181},30))),""))=0,"",MIN(IFERROR(VALUE(TRIM(MID(SUBSTITUTE(SUBSTITUTE($B263,","," ")," ",REPT(" ",30)),{1;31;61;91;121;151;181},30))),""))),"")))</f>
        <v>5</v>
      </c>
      <c r="Q263" s="23" t="str">
        <f t="shared" si="14"/>
        <v>Прилуки, Чернігівська обл., вул. Кустівська, 5</v>
      </c>
      <c r="R263" s="35">
        <f>IF($O263="","",IFERROR(INDEX('Координати майданчиків'!$H$4:$H$64,MATCH($T263,'Координати майданчиків'!$B$4:$B$64,0)),IFERROR(IF(ABS(INDEX(Геокодування!$C$2:$C$361,MATCH($Q263,Геокодування!$B$2:$B$361,0))-50.5884)+ABS(INDEX(Геокодування!$D$2:$D$361,MATCH($Q263,Геокодування!$B$2:$B$361,0))-32.3876)&gt;0.15,"",INDEX(Геокодування!$C$2:$C$361,MATCH($Q263,Геокодування!$B$2:$B$361,0))),IFERROR(IF(ABS(INDEX(Геокодування!$C$2:$C$361,MATCH("Прилуки, Чернігівська обл., "&amp;$A263,Геокодування!$B$2:$B$361,0))-50.5884)+ABS(INDEX(Геокодування!$D$2:$D$361,MATCH("Прилуки, Чернігівська обл., "&amp;$A263,Геокодування!$B$2:$B$361,0))-32.3876)&gt;0.15,"",INDEX(Геокодування!$C$2:$C$361,MATCH("Прилуки, Чернігівська обл., "&amp;$A263,Геокодування!$B$2:$B$361,0))),""))))</f>
        <v>50.595502000000003</v>
      </c>
      <c r="S263" s="43">
        <f>IF($O263="","",IFERROR(INDEX('Координати майданчиків'!$I$4:$I$64,MATCH($T263,'Координати майданчиків'!$B$4:$B$64,0)),IFERROR(IF(ABS(INDEX(Геокодування!$C$2:$C$361,MATCH($Q263,Геокодування!$B$2:$B$361,0))-50.5884)+ABS(INDEX(Геокодування!$D$2:$D$361,MATCH($Q263,Геокодування!$B$2:$B$361,0))-32.3876)&gt;0.15,"",INDEX(Геокодування!$D$2:$D$361,MATCH($Q263,Геокодування!$B$2:$B$361,0))),IFERROR(IF(ABS(INDEX(Геокодування!$C$2:$C$361,MATCH("Прилуки, Чернігівська обл., "&amp;$A263,Геокодування!$B$2:$B$361,0))-50.5884)+ABS(INDEX(Геокодування!$D$2:$D$361,MATCH("Прилуки, Чернігівська обл., "&amp;$A263,Геокодування!$B$2:$B$361,0))-32.3876)&gt;0.15,"",INDEX(Геокодування!$D$2:$D$361,MATCH("Прилуки, Чернігівська обл., "&amp;$A263,Геокодування!$B$2:$B$361,0))),""))))</f>
        <v>32.407558000000002</v>
      </c>
      <c r="T263" s="44" t="str">
        <f>IF($O263="","",IFERROR(INDEX('Координати майданчиків'!$B$4:$B$64,MATCH($A263&amp;IF($P263="","",", "&amp;$P263),'Координати майданчиків'!$B$4:$B$64,0)),IFERROR(INDEX('Координати майданчиків'!$B$4:$B$64,MATCH($A263,'Координати майданчиків'!$B$4:$B$64,0)),"")))</f>
        <v/>
      </c>
    </row>
    <row r="264" spans="1:20" x14ac:dyDescent="0.35">
      <c r="A264" s="26" t="str">
        <f t="shared" si="12"/>
        <v>вул. Кільцева</v>
      </c>
      <c r="B264" s="26" t="str">
        <f t="shared" si="13"/>
        <v>Виробнича</v>
      </c>
      <c r="C264" s="27" t="str" cm="1">
        <f t="array" ref="C264">IF($O264="","",_xlfn.TEXTJOIN(", ",TRUE,IF(EXACT('Дані_зв''язок'!$J$4:$J$1012,$O264)*('Дані_зв''язок'!$C$4:$C$1012=C$4),'Дані_зв''язок'!$D$4:$D$1012,"")))</f>
        <v>15:35</v>
      </c>
      <c r="D264" s="27" t="str" cm="1">
        <f t="array" ref="D264">IF($O264="","",_xlfn.TEXTJOIN(", ",TRUE,IF(EXACT('Дані_зв''язок'!$J$4:$J$1012,$O264)*('Дані_зв''язок'!$C$4:$C$1012=D$4),'Дані_зв''язок'!$D$4:$D$1012,"")))</f>
        <v/>
      </c>
      <c r="E264" s="27" t="str" cm="1">
        <f t="array" ref="E264">IF($O264="","",_xlfn.TEXTJOIN(", ",TRUE,IF(EXACT('Дані_зв''язок'!$J$4:$J$1012,$O264)*('Дані_зв''язок'!$C$4:$C$1012=E$4),'Дані_зв''язок'!$D$4:$D$1012,"")))</f>
        <v/>
      </c>
      <c r="F264" s="27" t="str" cm="1">
        <f t="array" ref="F264">IF($O264="","",_xlfn.TEXTJOIN(", ",TRUE,IF(EXACT('Дані_зв''язок'!$J$4:$J$1012,$O264)*('Дані_зв''язок'!$C$4:$C$1012=F$4),'Дані_зв''язок'!$D$4:$D$1012,"")))</f>
        <v/>
      </c>
      <c r="G264" s="27" t="str" cm="1">
        <f t="array" ref="G264">IF($O264="","",_xlfn.TEXTJOIN(", ",TRUE,IF(EXACT('Дані_зв''язок'!$J$4:$J$1012,$O264)*('Дані_зв''язок'!$C$4:$C$1012=G$4),'Дані_зв''язок'!$D$4:$D$1012,"")))</f>
        <v/>
      </c>
      <c r="H264" s="27" t="str" cm="1">
        <f t="array" ref="H264">IF($O264="","",_xlfn.TEXTJOIN(", ",TRUE,IF(EXACT('Дані_зв''язок'!$J$4:$J$1012,$O264)*('Дані_зв''язок'!$C$4:$C$1012=H$4),'Дані_зв''язок'!$D$4:$D$1012,"")))</f>
        <v/>
      </c>
      <c r="I264" s="27" t="str" cm="1">
        <f t="array" ref="I264">IF($O264="","",_xlfn.TEXTJOIN(", ",TRUE,IF(EXACT('Дані_зв''язок'!$J$4:$J$1012,$O264)*('Дані_зв''язок'!$C$4:$C$1012=I$4),'Дані_зв''язок'!$D$4:$D$1012,"")))</f>
        <v/>
      </c>
      <c r="J264" s="27" cm="1">
        <f t="array" ref="J264">IF($O264="","",COUNTIF(C264:I264,"?*")+SUMPRODUCT(LEN(C264:I264)-LEN(SUBSTITUTE(C264:I264,",",""))))</f>
        <v>1</v>
      </c>
      <c r="K264" s="28" t="str" cm="1">
        <f t="array" ref="K264">IF($O264="","",_xlfn.TEXTJOIN(", ",TRUE,IF(EXACT('Дані_зв''язок'!$J$4:$J$1012,$O264),'Дані_зв''язок'!$L$4:$L$1012,"")))</f>
        <v>№3</v>
      </c>
      <c r="L264" s="28" t="str" cm="1">
        <f t="array" ref="L264">IF($O264="","",_xlfn.TEXTJOIN(", ",TRUE,IF(EXACT('Дані_зв''язок'!$J$4:$J$1012,$O264),'Дані_зв''язок'!$M$4:$M$1012,"")))</f>
        <v>ГАЗ 3309</v>
      </c>
      <c r="M264" s="27" cm="1">
        <f t="array" ref="M264">IF($O264="","",IF(SUMPRODUCT(MAX(EXACT('Дані_зв''язок'!$J$4:$J$1012,$O264)*IFERROR('Дані_зв''язок'!$H$4:$H$1012,0)))=0,"",SUMPRODUCT(MAX(EXACT('Дані_зв''язок'!$J$4:$J$1012,$O264)*IFERROR('Дані_зв''язок'!$H$4:$H$1012,0)))))</f>
        <v>2</v>
      </c>
      <c r="O264" s="30" t="s">
        <v>1361</v>
      </c>
      <c r="P264" s="24" t="str" cm="1">
        <f t="array" ref="P264">IF($O264="","",IF($B264="","",IFERROR(IF(MIN(IFERROR(VALUE(TRIM(MID(SUBSTITUTE(SUBSTITUTE($B264,","," ")," ",REPT(" ",30)),{1;31;61;91;121;151;181},30))),""))=0,"",MIN(IFERROR(VALUE(TRIM(MID(SUBSTITUTE(SUBSTITUTE($B264,","," ")," ",REPT(" ",30)),{1;31;61;91;121;151;181},30))),""))),"")))</f>
        <v/>
      </c>
      <c r="Q264" s="23" t="str">
        <f t="shared" si="14"/>
        <v>Прилуки, Чернігівська обл., вул. Кільцева</v>
      </c>
      <c r="R264" s="35">
        <f>IF($O264="","",IFERROR(INDEX('Координати майданчиків'!$H$4:$H$64,MATCH($T264,'Координати майданчиків'!$B$4:$B$64,0)),IFERROR(IF(ABS(INDEX(Геокодування!$C$2:$C$361,MATCH($Q264,Геокодування!$B$2:$B$361,0))-50.5884)+ABS(INDEX(Геокодування!$D$2:$D$361,MATCH($Q264,Геокодування!$B$2:$B$361,0))-32.3876)&gt;0.15,"",INDEX(Геокодування!$C$2:$C$361,MATCH($Q264,Геокодування!$B$2:$B$361,0))),IFERROR(IF(ABS(INDEX(Геокодування!$C$2:$C$361,MATCH("Прилуки, Чернігівська обл., "&amp;$A264,Геокодування!$B$2:$B$361,0))-50.5884)+ABS(INDEX(Геокодування!$D$2:$D$361,MATCH("Прилуки, Чернігівська обл., "&amp;$A264,Геокодування!$B$2:$B$361,0))-32.3876)&gt;0.15,"",INDEX(Геокодування!$C$2:$C$361,MATCH("Прилуки, Чернігівська обл., "&amp;$A264,Геокодування!$B$2:$B$361,0))),""))))</f>
        <v>50.555501999999997</v>
      </c>
      <c r="S264" s="43">
        <f>IF($O264="","",IFERROR(INDEX('Координати майданчиків'!$I$4:$I$64,MATCH($T264,'Координати майданчиків'!$B$4:$B$64,0)),IFERROR(IF(ABS(INDEX(Геокодування!$C$2:$C$361,MATCH($Q264,Геокодування!$B$2:$B$361,0))-50.5884)+ABS(INDEX(Геокодування!$D$2:$D$361,MATCH($Q264,Геокодування!$B$2:$B$361,0))-32.3876)&gt;0.15,"",INDEX(Геокодування!$D$2:$D$361,MATCH($Q264,Геокодування!$B$2:$B$361,0))),IFERROR(IF(ABS(INDEX(Геокодування!$C$2:$C$361,MATCH("Прилуки, Чернігівська обл., "&amp;$A264,Геокодування!$B$2:$B$361,0))-50.5884)+ABS(INDEX(Геокодування!$D$2:$D$361,MATCH("Прилуки, Чернігівська обл., "&amp;$A264,Геокодування!$B$2:$B$361,0))-32.3876)&gt;0.15,"",INDEX(Геокодування!$D$2:$D$361,MATCH("Прилуки, Чернігівська обл., "&amp;$A264,Геокодування!$B$2:$B$361,0))),""))))</f>
        <v>32.390351000000003</v>
      </c>
      <c r="T264" s="44" t="str">
        <f>IF($O264="","",IFERROR(INDEX('Координати майданчиків'!$B$4:$B$64,MATCH($A264&amp;IF($P264="","",", "&amp;$P264),'Координати майданчиків'!$B$4:$B$64,0)),IFERROR(INDEX('Координати майданчиків'!$B$4:$B$64,MATCH($A264,'Координати майданчиків'!$B$4:$B$64,0)),"")))</f>
        <v/>
      </c>
    </row>
    <row r="265" spans="1:20" x14ac:dyDescent="0.35">
      <c r="A265" s="26" t="str">
        <f t="shared" si="12"/>
        <v>вул. Кільцева</v>
      </c>
      <c r="B265" s="26" t="str">
        <f t="shared" si="13"/>
        <v>трубна база</v>
      </c>
      <c r="C265" s="27" t="str" cm="1">
        <f t="array" ref="C265">IF($O265="","",_xlfn.TEXTJOIN(", ",TRUE,IF(EXACT('Дані_зв''язок'!$J$4:$J$1012,$O265)*('Дані_зв''язок'!$C$4:$C$1012=C$4),'Дані_зв''язок'!$D$4:$D$1012,"")))</f>
        <v/>
      </c>
      <c r="D265" s="27" t="str" cm="1">
        <f t="array" ref="D265">IF($O265="","",_xlfn.TEXTJOIN(", ",TRUE,IF(EXACT('Дані_зв''язок'!$J$4:$J$1012,$O265)*('Дані_зв''язок'!$C$4:$C$1012=D$4),'Дані_зв''язок'!$D$4:$D$1012,"")))</f>
        <v/>
      </c>
      <c r="E265" s="27" t="str" cm="1">
        <f t="array" ref="E265">IF($O265="","",_xlfn.TEXTJOIN(", ",TRUE,IF(EXACT('Дані_зв''язок'!$J$4:$J$1012,$O265)*('Дані_зв''язок'!$C$4:$C$1012=E$4),'Дані_зв''язок'!$D$4:$D$1012,"")))</f>
        <v/>
      </c>
      <c r="F265" s="27" t="str" cm="1">
        <f t="array" ref="F265">IF($O265="","",_xlfn.TEXTJOIN(", ",TRUE,IF(EXACT('Дані_зв''язок'!$J$4:$J$1012,$O265)*('Дані_зв''язок'!$C$4:$C$1012=F$4),'Дані_зв''язок'!$D$4:$D$1012,"")))</f>
        <v>10:45</v>
      </c>
      <c r="G265" s="27" t="str" cm="1">
        <f t="array" ref="G265">IF($O265="","",_xlfn.TEXTJOIN(", ",TRUE,IF(EXACT('Дані_зв''язок'!$J$4:$J$1012,$O265)*('Дані_зв''язок'!$C$4:$C$1012=G$4),'Дані_зв''язок'!$D$4:$D$1012,"")))</f>
        <v/>
      </c>
      <c r="H265" s="27" t="str" cm="1">
        <f t="array" ref="H265">IF($O265="","",_xlfn.TEXTJOIN(", ",TRUE,IF(EXACT('Дані_зв''язок'!$J$4:$J$1012,$O265)*('Дані_зв''язок'!$C$4:$C$1012=H$4),'Дані_зв''язок'!$D$4:$D$1012,"")))</f>
        <v/>
      </c>
      <c r="I265" s="27" t="str" cm="1">
        <f t="array" ref="I265">IF($O265="","",_xlfn.TEXTJOIN(", ",TRUE,IF(EXACT('Дані_зв''язок'!$J$4:$J$1012,$O265)*('Дані_зв''язок'!$C$4:$C$1012=I$4),'Дані_зв''язок'!$D$4:$D$1012,"")))</f>
        <v/>
      </c>
      <c r="J265" s="27" cm="1">
        <f t="array" ref="J265">IF($O265="","",COUNTIF(C265:I265,"?*")+SUMPRODUCT(LEN(C265:I265)-LEN(SUBSTITUTE(C265:I265,",",""))))</f>
        <v>1</v>
      </c>
      <c r="K265" s="28" t="str" cm="1">
        <f t="array" ref="K265">IF($O265="","",_xlfn.TEXTJOIN(", ",TRUE,IF(EXACT('Дані_зв''язок'!$J$4:$J$1012,$O265),'Дані_зв''язок'!$L$4:$L$1012,"")))</f>
        <v>№4</v>
      </c>
      <c r="L265" s="28" t="str" cm="1">
        <f t="array" ref="L265">IF($O265="","",_xlfn.TEXTJOIN(", ",TRUE,IF(EXACT('Дані_зв''язок'!$J$4:$J$1012,$O265),'Дані_зв''язок'!$M$4:$M$1012,"")))</f>
        <v>АТ 40-42/ROD21003</v>
      </c>
      <c r="M265" s="27" cm="1">
        <f t="array" ref="M265">IF($O265="","",IF(SUMPRODUCT(MAX(EXACT('Дані_зв''язок'!$J$4:$J$1012,$O265)*IFERROR('Дані_зв''язок'!$H$4:$H$1012,0)))=0,"",SUMPRODUCT(MAX(EXACT('Дані_зв''язок'!$J$4:$J$1012,$O265)*IFERROR('Дані_зв''язок'!$H$4:$H$1012,0)))))</f>
        <v>1</v>
      </c>
      <c r="O265" s="30" t="s">
        <v>1362</v>
      </c>
      <c r="P265" s="24" t="str" cm="1">
        <f t="array" ref="P265">IF($O265="","",IF($B265="","",IFERROR(IF(MIN(IFERROR(VALUE(TRIM(MID(SUBSTITUTE(SUBSTITUTE($B265,","," ")," ",REPT(" ",30)),{1;31;61;91;121;151;181},30))),""))=0,"",MIN(IFERROR(VALUE(TRIM(MID(SUBSTITUTE(SUBSTITUTE($B265,","," ")," ",REPT(" ",30)),{1;31;61;91;121;151;181},30))),""))),"")))</f>
        <v/>
      </c>
      <c r="Q265" s="23" t="str">
        <f t="shared" si="14"/>
        <v>Прилуки, Чернігівська обл., вул. Кільцева</v>
      </c>
      <c r="R265" s="35">
        <f>IF($O265="","",IFERROR(INDEX('Координати майданчиків'!$H$4:$H$64,MATCH($T265,'Координати майданчиків'!$B$4:$B$64,0)),IFERROR(IF(ABS(INDEX(Геокодування!$C$2:$C$361,MATCH($Q265,Геокодування!$B$2:$B$361,0))-50.5884)+ABS(INDEX(Геокодування!$D$2:$D$361,MATCH($Q265,Геокодування!$B$2:$B$361,0))-32.3876)&gt;0.15,"",INDEX(Геокодування!$C$2:$C$361,MATCH($Q265,Геокодування!$B$2:$B$361,0))),IFERROR(IF(ABS(INDEX(Геокодування!$C$2:$C$361,MATCH("Прилуки, Чернігівська обл., "&amp;$A265,Геокодування!$B$2:$B$361,0))-50.5884)+ABS(INDEX(Геокодування!$D$2:$D$361,MATCH("Прилуки, Чернігівська обл., "&amp;$A265,Геокодування!$B$2:$B$361,0))-32.3876)&gt;0.15,"",INDEX(Геокодування!$C$2:$C$361,MATCH("Прилуки, Чернігівська обл., "&amp;$A265,Геокодування!$B$2:$B$361,0))),""))))</f>
        <v>50.555501999999997</v>
      </c>
      <c r="S265" s="43">
        <f>IF($O265="","",IFERROR(INDEX('Координати майданчиків'!$I$4:$I$64,MATCH($T265,'Координати майданчиків'!$B$4:$B$64,0)),IFERROR(IF(ABS(INDEX(Геокодування!$C$2:$C$361,MATCH($Q265,Геокодування!$B$2:$B$361,0))-50.5884)+ABS(INDEX(Геокодування!$D$2:$D$361,MATCH($Q265,Геокодування!$B$2:$B$361,0))-32.3876)&gt;0.15,"",INDEX(Геокодування!$D$2:$D$361,MATCH($Q265,Геокодування!$B$2:$B$361,0))),IFERROR(IF(ABS(INDEX(Геокодування!$C$2:$C$361,MATCH("Прилуки, Чернігівська обл., "&amp;$A265,Геокодування!$B$2:$B$361,0))-50.5884)+ABS(INDEX(Геокодування!$D$2:$D$361,MATCH("Прилуки, Чернігівська обл., "&amp;$A265,Геокодування!$B$2:$B$361,0))-32.3876)&gt;0.15,"",INDEX(Геокодування!$D$2:$D$361,MATCH("Прилуки, Чернігівська обл., "&amp;$A265,Геокодування!$B$2:$B$361,0))),""))))</f>
        <v>32.390351000000003</v>
      </c>
      <c r="T265" s="44" t="str">
        <f>IF($O265="","",IFERROR(INDEX('Координати майданчиків'!$B$4:$B$64,MATCH($A265&amp;IF($P265="","",", "&amp;$P265),'Координати майданчиків'!$B$4:$B$64,0)),IFERROR(INDEX('Координати майданчиків'!$B$4:$B$64,MATCH($A265,'Координати майданчиків'!$B$4:$B$64,0)),"")))</f>
        <v/>
      </c>
    </row>
    <row r="266" spans="1:20" x14ac:dyDescent="0.35">
      <c r="A266" s="26" t="str">
        <f t="shared" si="12"/>
        <v>вул. Л. Забашти</v>
      </c>
      <c r="B266" s="26" t="str">
        <f t="shared" si="13"/>
        <v>3,10  16,23</v>
      </c>
      <c r="C266" s="27" t="str" cm="1">
        <f t="array" ref="C266">IF($O266="","",_xlfn.TEXTJOIN(", ",TRUE,IF(EXACT('Дані_зв''язок'!$J$4:$J$1012,$O266)*('Дані_зв''язок'!$C$4:$C$1012=C$4),'Дані_зв''язок'!$D$4:$D$1012,"")))</f>
        <v/>
      </c>
      <c r="D266" s="27" t="str" cm="1">
        <f t="array" ref="D266">IF($O266="","",_xlfn.TEXTJOIN(", ",TRUE,IF(EXACT('Дані_зв''язок'!$J$4:$J$1012,$O266)*('Дані_зв''язок'!$C$4:$C$1012=D$4),'Дані_зв''язок'!$D$4:$D$1012,"")))</f>
        <v/>
      </c>
      <c r="E266" s="27" t="str" cm="1">
        <f t="array" ref="E266">IF($O266="","",_xlfn.TEXTJOIN(", ",TRUE,IF(EXACT('Дані_зв''язок'!$J$4:$J$1012,$O266)*('Дані_зв''язок'!$C$4:$C$1012=E$4),'Дані_зв''язок'!$D$4:$D$1012,"")))</f>
        <v>13:20</v>
      </c>
      <c r="F266" s="27" t="str" cm="1">
        <f t="array" ref="F266">IF($O266="","",_xlfn.TEXTJOIN(", ",TRUE,IF(EXACT('Дані_зв''язок'!$J$4:$J$1012,$O266)*('Дані_зв''язок'!$C$4:$C$1012=F$4),'Дані_зв''язок'!$D$4:$D$1012,"")))</f>
        <v/>
      </c>
      <c r="G266" s="27" t="str" cm="1">
        <f t="array" ref="G266">IF($O266="","",_xlfn.TEXTJOIN(", ",TRUE,IF(EXACT('Дані_зв''язок'!$J$4:$J$1012,$O266)*('Дані_зв''язок'!$C$4:$C$1012=G$4),'Дані_зв''язок'!$D$4:$D$1012,"")))</f>
        <v/>
      </c>
      <c r="H266" s="27" t="str" cm="1">
        <f t="array" ref="H266">IF($O266="","",_xlfn.TEXTJOIN(", ",TRUE,IF(EXACT('Дані_зв''язок'!$J$4:$J$1012,$O266)*('Дані_зв''язок'!$C$4:$C$1012=H$4),'Дані_зв''язок'!$D$4:$D$1012,"")))</f>
        <v/>
      </c>
      <c r="I266" s="27" t="str" cm="1">
        <f t="array" ref="I266">IF($O266="","",_xlfn.TEXTJOIN(", ",TRUE,IF(EXACT('Дані_зв''язок'!$J$4:$J$1012,$O266)*('Дані_зв''язок'!$C$4:$C$1012=I$4),'Дані_зв''язок'!$D$4:$D$1012,"")))</f>
        <v/>
      </c>
      <c r="J266" s="27" cm="1">
        <f t="array" ref="J266">IF($O266="","",COUNTIF(C266:I266,"?*")+SUMPRODUCT(LEN(C266:I266)-LEN(SUBSTITUTE(C266:I266,",",""))))</f>
        <v>1</v>
      </c>
      <c r="K266" s="28" t="str" cm="1">
        <f t="array" ref="K266">IF($O266="","",_xlfn.TEXTJOIN(", ",TRUE,IF(EXACT('Дані_зв''язок'!$J$4:$J$1012,$O266),'Дані_зв''язок'!$L$4:$L$1012,"")))</f>
        <v>№6</v>
      </c>
      <c r="L266" s="28" t="str" cm="1">
        <f t="array" ref="L266">IF($O266="","",_xlfn.TEXTJOIN(", ",TRUE,IF(EXACT('Дані_зв''язок'!$J$4:$J$1012,$O266),'Дані_зв''язок'!$M$4:$M$1012,"")))</f>
        <v>АТ 4021</v>
      </c>
      <c r="M266" s="27" t="str" cm="1">
        <f t="array" ref="M266">IF($O266="","",IF(SUMPRODUCT(MAX(EXACT('Дані_зв''язок'!$J$4:$J$1012,$O266)*IFERROR('Дані_зв''язок'!$H$4:$H$1012,0)))=0,"",SUMPRODUCT(MAX(EXACT('Дані_зв''язок'!$J$4:$J$1012,$O266)*IFERROR('Дані_зв''язок'!$H$4:$H$1012,0)))))</f>
        <v/>
      </c>
      <c r="O266" s="30" t="s">
        <v>1385</v>
      </c>
      <c r="P266" s="24" cm="1">
        <f t="array" ref="P266">IF($O266="","",IF($B266="","",IFERROR(IF(MIN(IFERROR(VALUE(TRIM(MID(SUBSTITUTE(SUBSTITUTE($B266,","," ")," ",REPT(" ",30)),{1;31;61;91;121;151;181},30))),""))=0,"",MIN(IFERROR(VALUE(TRIM(MID(SUBSTITUTE(SUBSTITUTE($B266,","," ")," ",REPT(" ",30)),{1;31;61;91;121;151;181},30))),""))),"")))</f>
        <v>3</v>
      </c>
      <c r="Q266" s="23" t="str">
        <f t="shared" si="14"/>
        <v>Прилуки, Чернігівська обл., вул. Л. Забашти, 3</v>
      </c>
      <c r="R266" s="35">
        <f>IF($O266="","",IFERROR(INDEX('Координати майданчиків'!$H$4:$H$64,MATCH($T266,'Координати майданчиків'!$B$4:$B$64,0)),IFERROR(IF(ABS(INDEX(Геокодування!$C$2:$C$361,MATCH($Q266,Геокодування!$B$2:$B$361,0))-50.5884)+ABS(INDEX(Геокодування!$D$2:$D$361,MATCH($Q266,Геокодування!$B$2:$B$361,0))-32.3876)&gt;0.15,"",INDEX(Геокодування!$C$2:$C$361,MATCH($Q266,Геокодування!$B$2:$B$361,0))),IFERROR(IF(ABS(INDEX(Геокодування!$C$2:$C$361,MATCH("Прилуки, Чернігівська обл., "&amp;$A266,Геокодування!$B$2:$B$361,0))-50.5884)+ABS(INDEX(Геокодування!$D$2:$D$361,MATCH("Прилуки, Чернігівська обл., "&amp;$A266,Геокодування!$B$2:$B$361,0))-32.3876)&gt;0.15,"",INDEX(Геокодування!$C$2:$C$361,MATCH("Прилуки, Чернігівська обл., "&amp;$A266,Геокодування!$B$2:$B$361,0))),""))))</f>
        <v>50.579580999999997</v>
      </c>
      <c r="S266" s="43">
        <f>IF($O266="","",IFERROR(INDEX('Координати майданчиків'!$I$4:$I$64,MATCH($T266,'Координати майданчиків'!$B$4:$B$64,0)),IFERROR(IF(ABS(INDEX(Геокодування!$C$2:$C$361,MATCH($Q266,Геокодування!$B$2:$B$361,0))-50.5884)+ABS(INDEX(Геокодування!$D$2:$D$361,MATCH($Q266,Геокодування!$B$2:$B$361,0))-32.3876)&gt;0.15,"",INDEX(Геокодування!$D$2:$D$361,MATCH($Q266,Геокодування!$B$2:$B$361,0))),IFERROR(IF(ABS(INDEX(Геокодування!$C$2:$C$361,MATCH("Прилуки, Чернігівська обл., "&amp;$A266,Геокодування!$B$2:$B$361,0))-50.5884)+ABS(INDEX(Геокодування!$D$2:$D$361,MATCH("Прилуки, Чернігівська обл., "&amp;$A266,Геокодування!$B$2:$B$361,0))-32.3876)&gt;0.15,"",INDEX(Геокодування!$D$2:$D$361,MATCH("Прилуки, Чернігівська обл., "&amp;$A266,Геокодування!$B$2:$B$361,0))),""))))</f>
        <v>32.418981000000002</v>
      </c>
      <c r="T266" s="44" t="str">
        <f>IF($O266="","",IFERROR(INDEX('Координати майданчиків'!$B$4:$B$64,MATCH($A266&amp;IF($P266="","",", "&amp;$P266),'Координати майданчиків'!$B$4:$B$64,0)),IFERROR(INDEX('Координати майданчиків'!$B$4:$B$64,MATCH($A266,'Координати майданчиків'!$B$4:$B$64,0)),"")))</f>
        <v/>
      </c>
    </row>
    <row r="267" spans="1:20" x14ac:dyDescent="0.35">
      <c r="A267" s="26" t="str">
        <f t="shared" si="12"/>
        <v>вул. Л. Лук'яненка</v>
      </c>
      <c r="B267" s="26" t="str">
        <f t="shared" si="13"/>
        <v/>
      </c>
      <c r="C267" s="27" t="str" cm="1">
        <f t="array" ref="C267">IF($O267="","",_xlfn.TEXTJOIN(", ",TRUE,IF(EXACT('Дані_зв''язок'!$J$4:$J$1012,$O267)*('Дані_зв''язок'!$C$4:$C$1012=C$4),'Дані_зв''язок'!$D$4:$D$1012,"")))</f>
        <v/>
      </c>
      <c r="D267" s="27" t="str" cm="1">
        <f t="array" ref="D267">IF($O267="","",_xlfn.TEXTJOIN(", ",TRUE,IF(EXACT('Дані_зв''язок'!$J$4:$J$1012,$O267)*('Дані_зв''язок'!$C$4:$C$1012=D$4),'Дані_зв''язок'!$D$4:$D$1012,"")))</f>
        <v/>
      </c>
      <c r="E267" s="27" t="str" cm="1">
        <f t="array" ref="E267">IF($O267="","",_xlfn.TEXTJOIN(", ",TRUE,IF(EXACT('Дані_зв''язок'!$J$4:$J$1012,$O267)*('Дані_зв''язок'!$C$4:$C$1012=E$4),'Дані_зв''язок'!$D$4:$D$1012,"")))</f>
        <v/>
      </c>
      <c r="F267" s="27" t="str" cm="1">
        <f t="array" ref="F267">IF($O267="","",_xlfn.TEXTJOIN(", ",TRUE,IF(EXACT('Дані_зв''язок'!$J$4:$J$1012,$O267)*('Дані_зв''язок'!$C$4:$C$1012=F$4),'Дані_зв''язок'!$D$4:$D$1012,"")))</f>
        <v/>
      </c>
      <c r="G267" s="27" t="str" cm="1">
        <f t="array" ref="G267">IF($O267="","",_xlfn.TEXTJOIN(", ",TRUE,IF(EXACT('Дані_зв''язок'!$J$4:$J$1012,$O267)*('Дані_зв''язок'!$C$4:$C$1012=G$4),'Дані_зв''язок'!$D$4:$D$1012,"")))</f>
        <v>8:00</v>
      </c>
      <c r="H267" s="27" t="str" cm="1">
        <f t="array" ref="H267">IF($O267="","",_xlfn.TEXTJOIN(", ",TRUE,IF(EXACT('Дані_зв''язок'!$J$4:$J$1012,$O267)*('Дані_зв''язок'!$C$4:$C$1012=H$4),'Дані_зв''язок'!$D$4:$D$1012,"")))</f>
        <v/>
      </c>
      <c r="I267" s="27" t="str" cm="1">
        <f t="array" ref="I267">IF($O267="","",_xlfn.TEXTJOIN(", ",TRUE,IF(EXACT('Дані_зв''язок'!$J$4:$J$1012,$O267)*('Дані_зв''язок'!$C$4:$C$1012=I$4),'Дані_зв''язок'!$D$4:$D$1012,"")))</f>
        <v/>
      </c>
      <c r="J267" s="27" cm="1">
        <f t="array" ref="J267">IF($O267="","",COUNTIF(C267:I267,"?*")+SUMPRODUCT(LEN(C267:I267)-LEN(SUBSTITUTE(C267:I267,",",""))))</f>
        <v>1</v>
      </c>
      <c r="K267" s="28" t="str" cm="1">
        <f t="array" ref="K267">IF($O267="","",_xlfn.TEXTJOIN(", ",TRUE,IF(EXACT('Дані_зв''язок'!$J$4:$J$1012,$O267),'Дані_зв''язок'!$L$4:$L$1012,"")))</f>
        <v>№5</v>
      </c>
      <c r="L267" s="28" t="str" cm="1">
        <f t="array" ref="L267">IF($O267="","",_xlfn.TEXTJOIN(", ",TRUE,IF(EXACT('Дані_зв''язок'!$J$4:$J$1012,$O267),'Дані_зв''язок'!$M$4:$M$1012,"")))</f>
        <v>МАЗ 4381</v>
      </c>
      <c r="M267" s="27" t="str" cm="1">
        <f t="array" ref="M267">IF($O267="","",IF(SUMPRODUCT(MAX(EXACT('Дані_зв''язок'!$J$4:$J$1012,$O267)*IFERROR('Дані_зв''язок'!$H$4:$H$1012,0)))=0,"",SUMPRODUCT(MAX(EXACT('Дані_зв''язок'!$J$4:$J$1012,$O267)*IFERROR('Дані_зв''язок'!$H$4:$H$1012,0)))))</f>
        <v/>
      </c>
      <c r="O267" s="30" t="s">
        <v>1386</v>
      </c>
      <c r="P267" s="24" t="str" cm="1">
        <f t="array" ref="P267">IF($O267="","",IF($B267="","",IFERROR(IF(MIN(IFERROR(VALUE(TRIM(MID(SUBSTITUTE(SUBSTITUTE($B267,","," ")," ",REPT(" ",30)),{1;31;61;91;121;151;181},30))),""))=0,"",MIN(IFERROR(VALUE(TRIM(MID(SUBSTITUTE(SUBSTITUTE($B267,","," ")," ",REPT(" ",30)),{1;31;61;91;121;151;181},30))),""))),"")))</f>
        <v/>
      </c>
      <c r="Q267" s="23" t="str">
        <f t="shared" si="14"/>
        <v>Прилуки, Чернігівська обл., вул. Л. Лук'яненка</v>
      </c>
      <c r="R267" s="35">
        <f>IF($O267="","",IFERROR(INDEX('Координати майданчиків'!$H$4:$H$64,MATCH($T267,'Координати майданчиків'!$B$4:$B$64,0)),IFERROR(IF(ABS(INDEX(Геокодування!$C$2:$C$361,MATCH($Q267,Геокодування!$B$2:$B$361,0))-50.5884)+ABS(INDEX(Геокодування!$D$2:$D$361,MATCH($Q267,Геокодування!$B$2:$B$361,0))-32.3876)&gt;0.15,"",INDEX(Геокодування!$C$2:$C$361,MATCH($Q267,Геокодування!$B$2:$B$361,0))),IFERROR(IF(ABS(INDEX(Геокодування!$C$2:$C$361,MATCH("Прилуки, Чернігівська обл., "&amp;$A267,Геокодування!$B$2:$B$361,0))-50.5884)+ABS(INDEX(Геокодування!$D$2:$D$361,MATCH("Прилуки, Чернігівська обл., "&amp;$A267,Геокодування!$B$2:$B$361,0))-32.3876)&gt;0.15,"",INDEX(Геокодування!$C$2:$C$361,MATCH("Прилуки, Чернігівська обл., "&amp;$A267,Геокодування!$B$2:$B$361,0))),""))))</f>
        <v>50.596057000000002</v>
      </c>
      <c r="S267" s="43">
        <f>IF($O267="","",IFERROR(INDEX('Координати майданчиків'!$I$4:$I$64,MATCH($T267,'Координати майданчиків'!$B$4:$B$64,0)),IFERROR(IF(ABS(INDEX(Геокодування!$C$2:$C$361,MATCH($Q267,Геокодування!$B$2:$B$361,0))-50.5884)+ABS(INDEX(Геокодування!$D$2:$D$361,MATCH($Q267,Геокодування!$B$2:$B$361,0))-32.3876)&gt;0.15,"",INDEX(Геокодування!$D$2:$D$361,MATCH($Q267,Геокодування!$B$2:$B$361,0))),IFERROR(IF(ABS(INDEX(Геокодування!$C$2:$C$361,MATCH("Прилуки, Чернігівська обл., "&amp;$A267,Геокодування!$B$2:$B$361,0))-50.5884)+ABS(INDEX(Геокодування!$D$2:$D$361,MATCH("Прилуки, Чернігівська обл., "&amp;$A267,Геокодування!$B$2:$B$361,0))-32.3876)&gt;0.15,"",INDEX(Геокодування!$D$2:$D$361,MATCH("Прилуки, Чернігівська обл., "&amp;$A267,Геокодування!$B$2:$B$361,0))),""))))</f>
        <v>32.346097</v>
      </c>
      <c r="T267" s="44" t="str">
        <f>IF($O267="","",IFERROR(INDEX('Координати майданчиків'!$B$4:$B$64,MATCH($A267&amp;IF($P267="","",", "&amp;$P267),'Координати майданчиків'!$B$4:$B$64,0)),IFERROR(INDEX('Координати майданчиків'!$B$4:$B$64,MATCH($A267,'Координати майданчиків'!$B$4:$B$64,0)),"")))</f>
        <v/>
      </c>
    </row>
    <row r="268" spans="1:20" x14ac:dyDescent="0.35">
      <c r="A268" s="26" t="str">
        <f t="shared" si="12"/>
        <v>вул. Л. Лук'яненка</v>
      </c>
      <c r="B268" s="26" t="str">
        <f t="shared" si="13"/>
        <v>буд. 31 а</v>
      </c>
      <c r="C268" s="27" t="str" cm="1">
        <f t="array" ref="C268">IF($O268="","",_xlfn.TEXTJOIN(", ",TRUE,IF(EXACT('Дані_зв''язок'!$J$4:$J$1012,$O268)*('Дані_зв''язок'!$C$4:$C$1012=C$4),'Дані_зв''язок'!$D$4:$D$1012,"")))</f>
        <v/>
      </c>
      <c r="D268" s="27" t="str" cm="1">
        <f t="array" ref="D268">IF($O268="","",_xlfn.TEXTJOIN(", ",TRUE,IF(EXACT('Дані_зв''язок'!$J$4:$J$1012,$O268)*('Дані_зв''язок'!$C$4:$C$1012=D$4),'Дані_зв''язок'!$D$4:$D$1012,"")))</f>
        <v/>
      </c>
      <c r="E268" s="27" t="str" cm="1">
        <f t="array" ref="E268">IF($O268="","",_xlfn.TEXTJOIN(", ",TRUE,IF(EXACT('Дані_зв''язок'!$J$4:$J$1012,$O268)*('Дані_зв''язок'!$C$4:$C$1012=E$4),'Дані_зв''язок'!$D$4:$D$1012,"")))</f>
        <v>12:05</v>
      </c>
      <c r="F268" s="27" t="str" cm="1">
        <f t="array" ref="F268">IF($O268="","",_xlfn.TEXTJOIN(", ",TRUE,IF(EXACT('Дані_зв''язок'!$J$4:$J$1012,$O268)*('Дані_зв''язок'!$C$4:$C$1012=F$4),'Дані_зв''язок'!$D$4:$D$1012,"")))</f>
        <v/>
      </c>
      <c r="G268" s="27" t="str" cm="1">
        <f t="array" ref="G268">IF($O268="","",_xlfn.TEXTJOIN(", ",TRUE,IF(EXACT('Дані_зв''язок'!$J$4:$J$1012,$O268)*('Дані_зв''язок'!$C$4:$C$1012=G$4),'Дані_зв''язок'!$D$4:$D$1012,"")))</f>
        <v/>
      </c>
      <c r="H268" s="27" t="str" cm="1">
        <f t="array" ref="H268">IF($O268="","",_xlfn.TEXTJOIN(", ",TRUE,IF(EXACT('Дані_зв''язок'!$J$4:$J$1012,$O268)*('Дані_зв''язок'!$C$4:$C$1012=H$4),'Дані_зв''язок'!$D$4:$D$1012,"")))</f>
        <v>12:05</v>
      </c>
      <c r="I268" s="27" t="str" cm="1">
        <f t="array" ref="I268">IF($O268="","",_xlfn.TEXTJOIN(", ",TRUE,IF(EXACT('Дані_зв''язок'!$J$4:$J$1012,$O268)*('Дані_зв''язок'!$C$4:$C$1012=I$4),'Дані_зв''язок'!$D$4:$D$1012,"")))</f>
        <v/>
      </c>
      <c r="J268" s="27" cm="1">
        <f t="array" ref="J268">IF($O268="","",COUNTIF(C268:I268,"?*")+SUMPRODUCT(LEN(C268:I268)-LEN(SUBSTITUTE(C268:I268,",",""))))</f>
        <v>2</v>
      </c>
      <c r="K268" s="28" t="str" cm="1">
        <f t="array" ref="K268">IF($O268="","",_xlfn.TEXTJOIN(", ",TRUE,IF(EXACT('Дані_зв''язок'!$J$4:$J$1012,$O268),'Дані_зв''язок'!$L$4:$L$1012,"")))</f>
        <v>№4</v>
      </c>
      <c r="L268" s="28" t="str" cm="1">
        <f t="array" ref="L268">IF($O268="","",_xlfn.TEXTJOIN(", ",TRUE,IF(EXACT('Дані_зв''язок'!$J$4:$J$1012,$O268),'Дані_зв''язок'!$M$4:$M$1012,"")))</f>
        <v>ГАЗ 3309</v>
      </c>
      <c r="M268" s="27" cm="1">
        <f t="array" ref="M268">IF($O268="","",IF(SUMPRODUCT(MAX(EXACT('Дані_зв''язок'!$J$4:$J$1012,$O268)*IFERROR('Дані_зв''язок'!$H$4:$H$1012,0)))=0,"",SUMPRODUCT(MAX(EXACT('Дані_зв''язок'!$J$4:$J$1012,$O268)*IFERROR('Дані_зв''язок'!$H$4:$H$1012,0)))))</f>
        <v>2</v>
      </c>
      <c r="O268" s="30" t="s">
        <v>1387</v>
      </c>
      <c r="P268" s="24" cm="1">
        <f t="array" ref="P268">IF($O268="","",IF($B268="","",IFERROR(IF(MIN(IFERROR(VALUE(TRIM(MID(SUBSTITUTE(SUBSTITUTE($B268,","," ")," ",REPT(" ",30)),{1;31;61;91;121;151;181},30))),""))=0,"",MIN(IFERROR(VALUE(TRIM(MID(SUBSTITUTE(SUBSTITUTE($B268,","," ")," ",REPT(" ",30)),{1;31;61;91;121;151;181},30))),""))),"")))</f>
        <v>31</v>
      </c>
      <c r="Q268" s="23" t="str">
        <f t="shared" si="14"/>
        <v>Прилуки, Чернігівська обл., вул. Л. Лук'яненка, 31</v>
      </c>
      <c r="R268" s="35">
        <f>IF($O268="","",IFERROR(INDEX('Координати майданчиків'!$H$4:$H$64,MATCH($T268,'Координати майданчиків'!$B$4:$B$64,0)),IFERROR(IF(ABS(INDEX(Геокодування!$C$2:$C$361,MATCH($Q268,Геокодування!$B$2:$B$361,0))-50.5884)+ABS(INDEX(Геокодування!$D$2:$D$361,MATCH($Q268,Геокодування!$B$2:$B$361,0))-32.3876)&gt;0.15,"",INDEX(Геокодування!$C$2:$C$361,MATCH($Q268,Геокодування!$B$2:$B$361,0))),IFERROR(IF(ABS(INDEX(Геокодування!$C$2:$C$361,MATCH("Прилуки, Чернігівська обл., "&amp;$A268,Геокодування!$B$2:$B$361,0))-50.5884)+ABS(INDEX(Геокодування!$D$2:$D$361,MATCH("Прилуки, Чернігівська обл., "&amp;$A268,Геокодування!$B$2:$B$361,0))-32.3876)&gt;0.15,"",INDEX(Геокодування!$C$2:$C$361,MATCH("Прилуки, Чернігівська обл., "&amp;$A268,Геокодування!$B$2:$B$361,0))),""))))</f>
        <v>50.596077999999999</v>
      </c>
      <c r="S268" s="43">
        <f>IF($O268="","",IFERROR(INDEX('Координати майданчиків'!$I$4:$I$64,MATCH($T268,'Координати майданчиків'!$B$4:$B$64,0)),IFERROR(IF(ABS(INDEX(Геокодування!$C$2:$C$361,MATCH($Q268,Геокодування!$B$2:$B$361,0))-50.5884)+ABS(INDEX(Геокодування!$D$2:$D$361,MATCH($Q268,Геокодування!$B$2:$B$361,0))-32.3876)&gt;0.15,"",INDEX(Геокодування!$D$2:$D$361,MATCH($Q268,Геокодування!$B$2:$B$361,0))),IFERROR(IF(ABS(INDEX(Геокодування!$C$2:$C$361,MATCH("Прилуки, Чернігівська обл., "&amp;$A268,Геокодування!$B$2:$B$361,0))-50.5884)+ABS(INDEX(Геокодування!$D$2:$D$361,MATCH("Прилуки, Чернігівська обл., "&amp;$A268,Геокодування!$B$2:$B$361,0))-32.3876)&gt;0.15,"",INDEX(Геокодування!$D$2:$D$361,MATCH("Прилуки, Чернігівська обл., "&amp;$A268,Геокодування!$B$2:$B$361,0))),""))))</f>
        <v>32.347054999999997</v>
      </c>
      <c r="T268" s="44" t="str">
        <f>IF($O268="","",IFERROR(INDEX('Координати майданчиків'!$B$4:$B$64,MATCH($A268&amp;IF($P268="","",", "&amp;$P268),'Координати майданчиків'!$B$4:$B$64,0)),IFERROR(INDEX('Координати майданчиків'!$B$4:$B$64,MATCH($A268,'Координати майданчиків'!$B$4:$B$64,0)),"")))</f>
        <v/>
      </c>
    </row>
    <row r="269" spans="1:20" x14ac:dyDescent="0.35">
      <c r="A269" s="26" t="str">
        <f t="shared" si="12"/>
        <v>вул. Л. Лук'яненка</v>
      </c>
      <c r="B269" s="26" t="str">
        <f t="shared" si="13"/>
        <v>буд. 31а</v>
      </c>
      <c r="C269" s="27" t="str" cm="1">
        <f t="array" ref="C269">IF($O269="","",_xlfn.TEXTJOIN(", ",TRUE,IF(EXACT('Дані_зв''язок'!$J$4:$J$1012,$O269)*('Дані_зв''язок'!$C$4:$C$1012=C$4),'Дані_зв''язок'!$D$4:$D$1012,"")))</f>
        <v>13:25</v>
      </c>
      <c r="D269" s="27" t="str" cm="1">
        <f t="array" ref="D269">IF($O269="","",_xlfn.TEXTJOIN(", ",TRUE,IF(EXACT('Дані_зв''язок'!$J$4:$J$1012,$O269)*('Дані_зв''язок'!$C$4:$C$1012=D$4),'Дані_зв''язок'!$D$4:$D$1012,"")))</f>
        <v>13:10</v>
      </c>
      <c r="E269" s="27" t="str" cm="1">
        <f t="array" ref="E269">IF($O269="","",_xlfn.TEXTJOIN(", ",TRUE,IF(EXACT('Дані_зв''язок'!$J$4:$J$1012,$O269)*('Дані_зв''язок'!$C$4:$C$1012=E$4),'Дані_зв''язок'!$D$4:$D$1012,"")))</f>
        <v/>
      </c>
      <c r="F269" s="27" t="str" cm="1">
        <f t="array" ref="F269">IF($O269="","",_xlfn.TEXTJOIN(", ",TRUE,IF(EXACT('Дані_зв''язок'!$J$4:$J$1012,$O269)*('Дані_зв''язок'!$C$4:$C$1012=F$4),'Дані_зв''язок'!$D$4:$D$1012,"")))</f>
        <v>13:10</v>
      </c>
      <c r="G269" s="27" t="str" cm="1">
        <f t="array" ref="G269">IF($O269="","",_xlfn.TEXTJOIN(", ",TRUE,IF(EXACT('Дані_зв''язок'!$J$4:$J$1012,$O269)*('Дані_зв''язок'!$C$4:$C$1012=G$4),'Дані_зв''язок'!$D$4:$D$1012,"")))</f>
        <v>13:25</v>
      </c>
      <c r="H269" s="27" t="str" cm="1">
        <f t="array" ref="H269">IF($O269="","",_xlfn.TEXTJOIN(", ",TRUE,IF(EXACT('Дані_зв''язок'!$J$4:$J$1012,$O269)*('Дані_зв''язок'!$C$4:$C$1012=H$4),'Дані_зв''язок'!$D$4:$D$1012,"")))</f>
        <v/>
      </c>
      <c r="I269" s="27" t="str" cm="1">
        <f t="array" ref="I269">IF($O269="","",_xlfn.TEXTJOIN(", ",TRUE,IF(EXACT('Дані_зв''язок'!$J$4:$J$1012,$O269)*('Дані_зв''язок'!$C$4:$C$1012=I$4),'Дані_зв''язок'!$D$4:$D$1012,"")))</f>
        <v>13:45</v>
      </c>
      <c r="J269" s="27" cm="1">
        <f t="array" ref="J269">IF($O269="","",COUNTIF(C269:I269,"?*")+SUMPRODUCT(LEN(C269:I269)-LEN(SUBSTITUTE(C269:I269,",",""))))</f>
        <v>5</v>
      </c>
      <c r="K269" s="28" t="str" cm="1">
        <f t="array" ref="K269">IF($O269="","",_xlfn.TEXTJOIN(", ",TRUE,IF(EXACT('Дані_зв''язок'!$J$4:$J$1012,$O269),'Дані_зв''язок'!$L$4:$L$1012,"")))</f>
        <v>№4</v>
      </c>
      <c r="L269" s="28" t="str" cm="1">
        <f t="array" ref="L269">IF($O269="","",_xlfn.TEXTJOIN(", ",TRUE,IF(EXACT('Дані_зв''язок'!$J$4:$J$1012,$O269),'Дані_зв''язок'!$M$4:$M$1012,"")))</f>
        <v>АТ 40-42/ROD21003</v>
      </c>
      <c r="M269" s="27" cm="1">
        <f t="array" ref="M269">IF($O269="","",IF(SUMPRODUCT(MAX(EXACT('Дані_зв''язок'!$J$4:$J$1012,$O269)*IFERROR('Дані_зв''язок'!$H$4:$H$1012,0)))=0,"",SUMPRODUCT(MAX(EXACT('Дані_зв''язок'!$J$4:$J$1012,$O269)*IFERROR('Дані_зв''язок'!$H$4:$H$1012,0)))))</f>
        <v>3</v>
      </c>
      <c r="O269" s="30" t="s">
        <v>1388</v>
      </c>
      <c r="P269" s="24" t="str" cm="1">
        <f t="array" ref="P269">IF($O269="","",IF($B269="","",IFERROR(IF(MIN(IFERROR(VALUE(TRIM(MID(SUBSTITUTE(SUBSTITUTE($B269,","," ")," ",REPT(" ",30)),{1;31;61;91;121;151;181},30))),""))=0,"",MIN(IFERROR(VALUE(TRIM(MID(SUBSTITUTE(SUBSTITUTE($B269,","," ")," ",REPT(" ",30)),{1;31;61;91;121;151;181},30))),""))),"")))</f>
        <v/>
      </c>
      <c r="Q269" s="23" t="str">
        <f t="shared" si="14"/>
        <v>Прилуки, Чернігівська обл., вул. Л. Лук'яненка</v>
      </c>
      <c r="R269" s="35">
        <f>IF($O269="","",IFERROR(INDEX('Координати майданчиків'!$H$4:$H$64,MATCH($T269,'Координати майданчиків'!$B$4:$B$64,0)),IFERROR(IF(ABS(INDEX(Геокодування!$C$2:$C$361,MATCH($Q269,Геокодування!$B$2:$B$361,0))-50.5884)+ABS(INDEX(Геокодування!$D$2:$D$361,MATCH($Q269,Геокодування!$B$2:$B$361,0))-32.3876)&gt;0.15,"",INDEX(Геокодування!$C$2:$C$361,MATCH($Q269,Геокодування!$B$2:$B$361,0))),IFERROR(IF(ABS(INDEX(Геокодування!$C$2:$C$361,MATCH("Прилуки, Чернігівська обл., "&amp;$A269,Геокодування!$B$2:$B$361,0))-50.5884)+ABS(INDEX(Геокодування!$D$2:$D$361,MATCH("Прилуки, Чернігівська обл., "&amp;$A269,Геокодування!$B$2:$B$361,0))-32.3876)&gt;0.15,"",INDEX(Геокодування!$C$2:$C$361,MATCH("Прилуки, Чернігівська обл., "&amp;$A269,Геокодування!$B$2:$B$361,0))),""))))</f>
        <v>50.596057000000002</v>
      </c>
      <c r="S269" s="43">
        <f>IF($O269="","",IFERROR(INDEX('Координати майданчиків'!$I$4:$I$64,MATCH($T269,'Координати майданчиків'!$B$4:$B$64,0)),IFERROR(IF(ABS(INDEX(Геокодування!$C$2:$C$361,MATCH($Q269,Геокодування!$B$2:$B$361,0))-50.5884)+ABS(INDEX(Геокодування!$D$2:$D$361,MATCH($Q269,Геокодування!$B$2:$B$361,0))-32.3876)&gt;0.15,"",INDEX(Геокодування!$D$2:$D$361,MATCH($Q269,Геокодування!$B$2:$B$361,0))),IFERROR(IF(ABS(INDEX(Геокодування!$C$2:$C$361,MATCH("Прилуки, Чернігівська обл., "&amp;$A269,Геокодування!$B$2:$B$361,0))-50.5884)+ABS(INDEX(Геокодування!$D$2:$D$361,MATCH("Прилуки, Чернігівська обл., "&amp;$A269,Геокодування!$B$2:$B$361,0))-32.3876)&gt;0.15,"",INDEX(Геокодування!$D$2:$D$361,MATCH("Прилуки, Чернігівська обл., "&amp;$A269,Геокодування!$B$2:$B$361,0))),""))))</f>
        <v>32.346097</v>
      </c>
      <c r="T269" s="44" t="str">
        <f>IF($O269="","",IFERROR(INDEX('Координати майданчиків'!$B$4:$B$64,MATCH($A269&amp;IF($P269="","",", "&amp;$P269),'Координати майданчиків'!$B$4:$B$64,0)),IFERROR(INDEX('Координати майданчиків'!$B$4:$B$64,MATCH($A269,'Координати майданчиків'!$B$4:$B$64,0)),"")))</f>
        <v/>
      </c>
    </row>
    <row r="270" spans="1:20" x14ac:dyDescent="0.35">
      <c r="A270" s="26" t="str">
        <f t="shared" si="12"/>
        <v>вул. Л. Українки</v>
      </c>
      <c r="B270" s="26" t="str">
        <f t="shared" si="13"/>
        <v/>
      </c>
      <c r="C270" s="27" t="str" cm="1">
        <f t="array" ref="C270">IF($O270="","",_xlfn.TEXTJOIN(", ",TRUE,IF(EXACT('Дані_зв''язок'!$J$4:$J$1012,$O270)*('Дані_зв''язок'!$C$4:$C$1012=C$4),'Дані_зв''язок'!$D$4:$D$1012,"")))</f>
        <v/>
      </c>
      <c r="D270" s="27" t="str" cm="1">
        <f t="array" ref="D270">IF($O270="","",_xlfn.TEXTJOIN(", ",TRUE,IF(EXACT('Дані_зв''язок'!$J$4:$J$1012,$O270)*('Дані_зв''язок'!$C$4:$C$1012=D$4),'Дані_зв''язок'!$D$4:$D$1012,"")))</f>
        <v>7:00</v>
      </c>
      <c r="E270" s="27" t="str" cm="1">
        <f t="array" ref="E270">IF($O270="","",_xlfn.TEXTJOIN(", ",TRUE,IF(EXACT('Дані_зв''язок'!$J$4:$J$1012,$O270)*('Дані_зв''язок'!$C$4:$C$1012=E$4),'Дані_зв''язок'!$D$4:$D$1012,"")))</f>
        <v/>
      </c>
      <c r="F270" s="27" t="str" cm="1">
        <f t="array" ref="F270">IF($O270="","",_xlfn.TEXTJOIN(", ",TRUE,IF(EXACT('Дані_зв''язок'!$J$4:$J$1012,$O270)*('Дані_зв''язок'!$C$4:$C$1012=F$4),'Дані_зв''язок'!$D$4:$D$1012,"")))</f>
        <v/>
      </c>
      <c r="G270" s="27" t="str" cm="1">
        <f t="array" ref="G270">IF($O270="","",_xlfn.TEXTJOIN(", ",TRUE,IF(EXACT('Дані_зв''язок'!$J$4:$J$1012,$O270)*('Дані_зв''язок'!$C$4:$C$1012=G$4),'Дані_зв''язок'!$D$4:$D$1012,"")))</f>
        <v/>
      </c>
      <c r="H270" s="27" t="str" cm="1">
        <f t="array" ref="H270">IF($O270="","",_xlfn.TEXTJOIN(", ",TRUE,IF(EXACT('Дані_зв''язок'!$J$4:$J$1012,$O270)*('Дані_зв''язок'!$C$4:$C$1012=H$4),'Дані_зв''язок'!$D$4:$D$1012,"")))</f>
        <v/>
      </c>
      <c r="I270" s="27" t="str" cm="1">
        <f t="array" ref="I270">IF($O270="","",_xlfn.TEXTJOIN(", ",TRUE,IF(EXACT('Дані_зв''язок'!$J$4:$J$1012,$O270)*('Дані_зв''язок'!$C$4:$C$1012=I$4),'Дані_зв''язок'!$D$4:$D$1012,"")))</f>
        <v/>
      </c>
      <c r="J270" s="27" cm="1">
        <f t="array" ref="J270">IF($O270="","",COUNTIF(C270:I270,"?*")+SUMPRODUCT(LEN(C270:I270)-LEN(SUBSTITUTE(C270:I270,",",""))))</f>
        <v>1</v>
      </c>
      <c r="K270" s="28" t="str" cm="1">
        <f t="array" ref="K270">IF($O270="","",_xlfn.TEXTJOIN(", ",TRUE,IF(EXACT('Дані_зв''язок'!$J$4:$J$1012,$O270),'Дані_зв''язок'!$L$4:$L$1012,"")))</f>
        <v>№5</v>
      </c>
      <c r="L270" s="28" t="str" cm="1">
        <f t="array" ref="L270">IF($O270="","",_xlfn.TEXTJOIN(", ",TRUE,IF(EXACT('Дані_зв''язок'!$J$4:$J$1012,$O270),'Дані_зв''язок'!$M$4:$M$1012,"")))</f>
        <v>МАЗ 4381</v>
      </c>
      <c r="M270" s="27" t="str" cm="1">
        <f t="array" ref="M270">IF($O270="","",IF(SUMPRODUCT(MAX(EXACT('Дані_зв''язок'!$J$4:$J$1012,$O270)*IFERROR('Дані_зв''язок'!$H$4:$H$1012,0)))=0,"",SUMPRODUCT(MAX(EXACT('Дані_зв''язок'!$J$4:$J$1012,$O270)*IFERROR('Дані_зв''язок'!$H$4:$H$1012,0)))))</f>
        <v/>
      </c>
      <c r="O270" s="30" t="s">
        <v>1389</v>
      </c>
      <c r="P270" s="24" t="str" cm="1">
        <f t="array" ref="P270">IF($O270="","",IF($B270="","",IFERROR(IF(MIN(IFERROR(VALUE(TRIM(MID(SUBSTITUTE(SUBSTITUTE($B270,","," ")," ",REPT(" ",30)),{1;31;61;91;121;151;181},30))),""))=0,"",MIN(IFERROR(VALUE(TRIM(MID(SUBSTITUTE(SUBSTITUTE($B270,","," ")," ",REPT(" ",30)),{1;31;61;91;121;151;181},30))),""))),"")))</f>
        <v/>
      </c>
      <c r="Q270" s="23" t="str">
        <f t="shared" si="14"/>
        <v>Прилуки, Чернігівська обл., вул. Л. Українки</v>
      </c>
      <c r="R270" s="35">
        <f>IF($O270="","",IFERROR(INDEX('Координати майданчиків'!$H$4:$H$64,MATCH($T270,'Координати майданчиків'!$B$4:$B$64,0)),IFERROR(IF(ABS(INDEX(Геокодування!$C$2:$C$361,MATCH($Q270,Геокодування!$B$2:$B$361,0))-50.5884)+ABS(INDEX(Геокодування!$D$2:$D$361,MATCH($Q270,Геокодування!$B$2:$B$361,0))-32.3876)&gt;0.15,"",INDEX(Геокодування!$C$2:$C$361,MATCH($Q270,Геокодування!$B$2:$B$361,0))),IFERROR(IF(ABS(INDEX(Геокодування!$C$2:$C$361,MATCH("Прилуки, Чернігівська обл., "&amp;$A270,Геокодування!$B$2:$B$361,0))-50.5884)+ABS(INDEX(Геокодування!$D$2:$D$361,MATCH("Прилуки, Чернігівська обл., "&amp;$A270,Геокодування!$B$2:$B$361,0))-32.3876)&gt;0.15,"",INDEX(Геокодування!$C$2:$C$361,MATCH("Прилуки, Чернігівська обл., "&amp;$A270,Геокодування!$B$2:$B$361,0))),""))))</f>
        <v>50.579371000000002</v>
      </c>
      <c r="S270" s="43">
        <f>IF($O270="","",IFERROR(INDEX('Координати майданчиків'!$I$4:$I$64,MATCH($T270,'Координати майданчиків'!$B$4:$B$64,0)),IFERROR(IF(ABS(INDEX(Геокодування!$C$2:$C$361,MATCH($Q270,Геокодування!$B$2:$B$361,0))-50.5884)+ABS(INDEX(Геокодування!$D$2:$D$361,MATCH($Q270,Геокодування!$B$2:$B$361,0))-32.3876)&gt;0.15,"",INDEX(Геокодування!$D$2:$D$361,MATCH($Q270,Геокодування!$B$2:$B$361,0))),IFERROR(IF(ABS(INDEX(Геокодування!$C$2:$C$361,MATCH("Прилуки, Чернігівська обл., "&amp;$A270,Геокодування!$B$2:$B$361,0))-50.5884)+ABS(INDEX(Геокодування!$D$2:$D$361,MATCH("Прилуки, Чернігівська обл., "&amp;$A270,Геокодування!$B$2:$B$361,0))-32.3876)&gt;0.15,"",INDEX(Геокодування!$D$2:$D$361,MATCH("Прилуки, Чернігівська обл., "&amp;$A270,Геокодування!$B$2:$B$361,0))),""))))</f>
        <v>32.404027999999997</v>
      </c>
      <c r="T270" s="44" t="str">
        <f>IF($O270="","",IFERROR(INDEX('Координати майданчиків'!$B$4:$B$64,MATCH($A270&amp;IF($P270="","",", "&amp;$P270),'Координати майданчиків'!$B$4:$B$64,0)),IFERROR(INDEX('Координати майданчиків'!$B$4:$B$64,MATCH($A270,'Координати майданчиків'!$B$4:$B$64,0)),"")))</f>
        <v/>
      </c>
    </row>
    <row r="271" spans="1:20" x14ac:dyDescent="0.35">
      <c r="A271" s="26" t="str">
        <f t="shared" si="12"/>
        <v>вул. Ладанська</v>
      </c>
      <c r="B271" s="26" t="str">
        <f t="shared" si="13"/>
        <v>4,28  30,35</v>
      </c>
      <c r="C271" s="27" t="str" cm="1">
        <f t="array" ref="C271">IF($O271="","",_xlfn.TEXTJOIN(", ",TRUE,IF(EXACT('Дані_зв''язок'!$J$4:$J$1012,$O271)*('Дані_зв''язок'!$C$4:$C$1012=C$4),'Дані_зв''язок'!$D$4:$D$1012,"")))</f>
        <v/>
      </c>
      <c r="D271" s="27" t="str" cm="1">
        <f t="array" ref="D271">IF($O271="","",_xlfn.TEXTJOIN(", ",TRUE,IF(EXACT('Дані_зв''язок'!$J$4:$J$1012,$O271)*('Дані_зв''язок'!$C$4:$C$1012=D$4),'Дані_зв''язок'!$D$4:$D$1012,"")))</f>
        <v/>
      </c>
      <c r="E271" s="27" t="str" cm="1">
        <f t="array" ref="E271">IF($O271="","",_xlfn.TEXTJOIN(", ",TRUE,IF(EXACT('Дані_зв''язок'!$J$4:$J$1012,$O271)*('Дані_зв''язок'!$C$4:$C$1012=E$4),'Дані_зв''язок'!$D$4:$D$1012,"")))</f>
        <v/>
      </c>
      <c r="F271" s="27" t="str" cm="1">
        <f t="array" ref="F271">IF($O271="","",_xlfn.TEXTJOIN(", ",TRUE,IF(EXACT('Дані_зв''язок'!$J$4:$J$1012,$O271)*('Дані_зв''язок'!$C$4:$C$1012=F$4),'Дані_зв''язок'!$D$4:$D$1012,"")))</f>
        <v/>
      </c>
      <c r="G271" s="27" t="str" cm="1">
        <f t="array" ref="G271">IF($O271="","",_xlfn.TEXTJOIN(", ",TRUE,IF(EXACT('Дані_зв''язок'!$J$4:$J$1012,$O271)*('Дані_зв''язок'!$C$4:$C$1012=G$4),'Дані_зв''язок'!$D$4:$D$1012,"")))</f>
        <v>14:00</v>
      </c>
      <c r="H271" s="27" t="str" cm="1">
        <f t="array" ref="H271">IF($O271="","",_xlfn.TEXTJOIN(", ",TRUE,IF(EXACT('Дані_зв''язок'!$J$4:$J$1012,$O271)*('Дані_зв''язок'!$C$4:$C$1012=H$4),'Дані_зв''язок'!$D$4:$D$1012,"")))</f>
        <v/>
      </c>
      <c r="I271" s="27" t="str" cm="1">
        <f t="array" ref="I271">IF($O271="","",_xlfn.TEXTJOIN(", ",TRUE,IF(EXACT('Дані_зв''язок'!$J$4:$J$1012,$O271)*('Дані_зв''язок'!$C$4:$C$1012=I$4),'Дані_зв''язок'!$D$4:$D$1012,"")))</f>
        <v/>
      </c>
      <c r="J271" s="27" cm="1">
        <f t="array" ref="J271">IF($O271="","",COUNTIF(C271:I271,"?*")+SUMPRODUCT(LEN(C271:I271)-LEN(SUBSTITUTE(C271:I271,",",""))))</f>
        <v>1</v>
      </c>
      <c r="K271" s="28" t="str" cm="1">
        <f t="array" ref="K271">IF($O271="","",_xlfn.TEXTJOIN(", ",TRUE,IF(EXACT('Дані_зв''язок'!$J$4:$J$1012,$O271),'Дані_зв''язок'!$L$4:$L$1012,"")))</f>
        <v>№6</v>
      </c>
      <c r="L271" s="28" t="str" cm="1">
        <f t="array" ref="L271">IF($O271="","",_xlfn.TEXTJOIN(", ",TRUE,IF(EXACT('Дані_зв''язок'!$J$4:$J$1012,$O271),'Дані_зв''язок'!$M$4:$M$1012,"")))</f>
        <v>АТ 4021</v>
      </c>
      <c r="M271" s="27" t="str" cm="1">
        <f t="array" ref="M271">IF($O271="","",IF(SUMPRODUCT(MAX(EXACT('Дані_зв''язок'!$J$4:$J$1012,$O271)*IFERROR('Дані_зв''язок'!$H$4:$H$1012,0)))=0,"",SUMPRODUCT(MAX(EXACT('Дані_зв''язок'!$J$4:$J$1012,$O271)*IFERROR('Дані_зв''язок'!$H$4:$H$1012,0)))))</f>
        <v/>
      </c>
      <c r="O271" s="30" t="s">
        <v>1390</v>
      </c>
      <c r="P271" s="24" cm="1">
        <f t="array" ref="P271">IF($O271="","",IF($B271="","",IFERROR(IF(MIN(IFERROR(VALUE(TRIM(MID(SUBSTITUTE(SUBSTITUTE($B271,","," ")," ",REPT(" ",30)),{1;31;61;91;121;151;181},30))),""))=0,"",MIN(IFERROR(VALUE(TRIM(MID(SUBSTITUTE(SUBSTITUTE($B271,","," ")," ",REPT(" ",30)),{1;31;61;91;121;151;181},30))),""))),"")))</f>
        <v>4</v>
      </c>
      <c r="Q271" s="23" t="str">
        <f t="shared" si="14"/>
        <v>Прилуки, Чернігівська обл., вул. Ладанська, 4</v>
      </c>
      <c r="R271" s="35">
        <f>IF($O271="","",IFERROR(INDEX('Координати майданчиків'!$H$4:$H$64,MATCH($T271,'Координати майданчиків'!$B$4:$B$64,0)),IFERROR(IF(ABS(INDEX(Геокодування!$C$2:$C$361,MATCH($Q271,Геокодування!$B$2:$B$361,0))-50.5884)+ABS(INDEX(Геокодування!$D$2:$D$361,MATCH($Q271,Геокодування!$B$2:$B$361,0))-32.3876)&gt;0.15,"",INDEX(Геокодування!$C$2:$C$361,MATCH($Q271,Геокодування!$B$2:$B$361,0))),IFERROR(IF(ABS(INDEX(Геокодування!$C$2:$C$361,MATCH("Прилуки, Чернігівська обл., "&amp;$A271,Геокодування!$B$2:$B$361,0))-50.5884)+ABS(INDEX(Геокодування!$D$2:$D$361,MATCH("Прилуки, Чернігівська обл., "&amp;$A271,Геокодування!$B$2:$B$361,0))-32.3876)&gt;0.15,"",INDEX(Геокодування!$C$2:$C$361,MATCH("Прилуки, Чернігівська обл., "&amp;$A271,Геокодування!$B$2:$B$361,0))),""))))</f>
        <v>50.567965999999998</v>
      </c>
      <c r="S271" s="43">
        <f>IF($O271="","",IFERROR(INDEX('Координати майданчиків'!$I$4:$I$64,MATCH($T271,'Координати майданчиків'!$B$4:$B$64,0)),IFERROR(IF(ABS(INDEX(Геокодування!$C$2:$C$361,MATCH($Q271,Геокодування!$B$2:$B$361,0))-50.5884)+ABS(INDEX(Геокодування!$D$2:$D$361,MATCH($Q271,Геокодування!$B$2:$B$361,0))-32.3876)&gt;0.15,"",INDEX(Геокодування!$D$2:$D$361,MATCH($Q271,Геокодування!$B$2:$B$361,0))),IFERROR(IF(ABS(INDEX(Геокодування!$C$2:$C$361,MATCH("Прилуки, Чернігівська обл., "&amp;$A271,Геокодування!$B$2:$B$361,0))-50.5884)+ABS(INDEX(Геокодування!$D$2:$D$361,MATCH("Прилуки, Чернігівська обл., "&amp;$A271,Геокодування!$B$2:$B$361,0))-32.3876)&gt;0.15,"",INDEX(Геокодування!$D$2:$D$361,MATCH("Прилуки, Чернігівська обл., "&amp;$A271,Геокодування!$B$2:$B$361,0))),""))))</f>
        <v>32.417555999999998</v>
      </c>
      <c r="T271" s="44" t="str">
        <f>IF($O271="","",IFERROR(INDEX('Координати майданчиків'!$B$4:$B$64,MATCH($A271&amp;IF($P271="","",", "&amp;$P271),'Координати майданчиків'!$B$4:$B$64,0)),IFERROR(INDEX('Координати майданчиків'!$B$4:$B$64,MATCH($A271,'Координати майданчиків'!$B$4:$B$64,0)),"")))</f>
        <v/>
      </c>
    </row>
    <row r="272" spans="1:20" x14ac:dyDescent="0.35">
      <c r="A272" s="26" t="str">
        <f t="shared" si="12"/>
        <v>вул. Леонтовича</v>
      </c>
      <c r="B272" s="26" t="str">
        <f t="shared" si="13"/>
        <v/>
      </c>
      <c r="C272" s="27" t="str" cm="1">
        <f t="array" ref="C272">IF($O272="","",_xlfn.TEXTJOIN(", ",TRUE,IF(EXACT('Дані_зв''язок'!$J$4:$J$1012,$O272)*('Дані_зв''язок'!$C$4:$C$1012=C$4),'Дані_зв''язок'!$D$4:$D$1012,"")))</f>
        <v/>
      </c>
      <c r="D272" s="27" t="str" cm="1">
        <f t="array" ref="D272">IF($O272="","",_xlfn.TEXTJOIN(", ",TRUE,IF(EXACT('Дані_зв''язок'!$J$4:$J$1012,$O272)*('Дані_зв''язок'!$C$4:$C$1012=D$4),'Дані_зв''язок'!$D$4:$D$1012,"")))</f>
        <v/>
      </c>
      <c r="E272" s="27" t="str" cm="1">
        <f t="array" ref="E272">IF($O272="","",_xlfn.TEXTJOIN(", ",TRUE,IF(EXACT('Дані_зв''язок'!$J$4:$J$1012,$O272)*('Дані_зв''язок'!$C$4:$C$1012=E$4),'Дані_зв''язок'!$D$4:$D$1012,"")))</f>
        <v/>
      </c>
      <c r="F272" s="27" t="str" cm="1">
        <f t="array" ref="F272">IF($O272="","",_xlfn.TEXTJOIN(", ",TRUE,IF(EXACT('Дані_зв''язок'!$J$4:$J$1012,$O272)*('Дані_зв''язок'!$C$4:$C$1012=F$4),'Дані_зв''язок'!$D$4:$D$1012,"")))</f>
        <v>7:20</v>
      </c>
      <c r="G272" s="27" t="str" cm="1">
        <f t="array" ref="G272">IF($O272="","",_xlfn.TEXTJOIN(", ",TRUE,IF(EXACT('Дані_зв''язок'!$J$4:$J$1012,$O272)*('Дані_зв''язок'!$C$4:$C$1012=G$4),'Дані_зв''язок'!$D$4:$D$1012,"")))</f>
        <v/>
      </c>
      <c r="H272" s="27" t="str" cm="1">
        <f t="array" ref="H272">IF($O272="","",_xlfn.TEXTJOIN(", ",TRUE,IF(EXACT('Дані_зв''язок'!$J$4:$J$1012,$O272)*('Дані_зв''язок'!$C$4:$C$1012=H$4),'Дані_зв''язок'!$D$4:$D$1012,"")))</f>
        <v/>
      </c>
      <c r="I272" s="27" t="str" cm="1">
        <f t="array" ref="I272">IF($O272="","",_xlfn.TEXTJOIN(", ",TRUE,IF(EXACT('Дані_зв''язок'!$J$4:$J$1012,$O272)*('Дані_зв''язок'!$C$4:$C$1012=I$4),'Дані_зв''язок'!$D$4:$D$1012,"")))</f>
        <v/>
      </c>
      <c r="J272" s="27" cm="1">
        <f t="array" ref="J272">IF($O272="","",COUNTIF(C272:I272,"?*")+SUMPRODUCT(LEN(C272:I272)-LEN(SUBSTITUTE(C272:I272,",",""))))</f>
        <v>1</v>
      </c>
      <c r="K272" s="28" t="str" cm="1">
        <f t="array" ref="K272">IF($O272="","",_xlfn.TEXTJOIN(", ",TRUE,IF(EXACT('Дані_зв''язок'!$J$4:$J$1012,$O272),'Дані_зв''язок'!$L$4:$L$1012,"")))</f>
        <v>№5</v>
      </c>
      <c r="L272" s="28" t="str" cm="1">
        <f t="array" ref="L272">IF($O272="","",_xlfn.TEXTJOIN(", ",TRUE,IF(EXACT('Дані_зв''язок'!$J$4:$J$1012,$O272),'Дані_зв''язок'!$M$4:$M$1012,"")))</f>
        <v>МАЗ 4381</v>
      </c>
      <c r="M272" s="27" t="str" cm="1">
        <f t="array" ref="M272">IF($O272="","",IF(SUMPRODUCT(MAX(EXACT('Дані_зв''язок'!$J$4:$J$1012,$O272)*IFERROR('Дані_зв''язок'!$H$4:$H$1012,0)))=0,"",SUMPRODUCT(MAX(EXACT('Дані_зв''язок'!$J$4:$J$1012,$O272)*IFERROR('Дані_зв''язок'!$H$4:$H$1012,0)))))</f>
        <v/>
      </c>
      <c r="O272" s="30" t="s">
        <v>1391</v>
      </c>
      <c r="P272" s="24" t="str" cm="1">
        <f t="array" ref="P272">IF($O272="","",IF($B272="","",IFERROR(IF(MIN(IFERROR(VALUE(TRIM(MID(SUBSTITUTE(SUBSTITUTE($B272,","," ")," ",REPT(" ",30)),{1;31;61;91;121;151;181},30))),""))=0,"",MIN(IFERROR(VALUE(TRIM(MID(SUBSTITUTE(SUBSTITUTE($B272,","," ")," ",REPT(" ",30)),{1;31;61;91;121;151;181},30))),""))),"")))</f>
        <v/>
      </c>
      <c r="Q272" s="23" t="str">
        <f t="shared" si="14"/>
        <v>Прилуки, Чернігівська обл., вул. Леонтовича</v>
      </c>
      <c r="R272" s="35">
        <f>IF($O272="","",IFERROR(INDEX('Координати майданчиків'!$H$4:$H$64,MATCH($T272,'Координати майданчиків'!$B$4:$B$64,0)),IFERROR(IF(ABS(INDEX(Геокодування!$C$2:$C$361,MATCH($Q272,Геокодування!$B$2:$B$361,0))-50.5884)+ABS(INDEX(Геокодування!$D$2:$D$361,MATCH($Q272,Геокодування!$B$2:$B$361,0))-32.3876)&gt;0.15,"",INDEX(Геокодування!$C$2:$C$361,MATCH($Q272,Геокодування!$B$2:$B$361,0))),IFERROR(IF(ABS(INDEX(Геокодування!$C$2:$C$361,MATCH("Прилуки, Чернігівська обл., "&amp;$A272,Геокодування!$B$2:$B$361,0))-50.5884)+ABS(INDEX(Геокодування!$D$2:$D$361,MATCH("Прилуки, Чернігівська обл., "&amp;$A272,Геокодування!$B$2:$B$361,0))-32.3876)&gt;0.15,"",INDEX(Геокодування!$C$2:$C$361,MATCH("Прилуки, Чернігівська обл., "&amp;$A272,Геокодування!$B$2:$B$361,0))),""))))</f>
        <v>50.592874000000002</v>
      </c>
      <c r="S272" s="43">
        <f>IF($O272="","",IFERROR(INDEX('Координати майданчиків'!$I$4:$I$64,MATCH($T272,'Координати майданчиків'!$B$4:$B$64,0)),IFERROR(IF(ABS(INDEX(Геокодування!$C$2:$C$361,MATCH($Q272,Геокодування!$B$2:$B$361,0))-50.5884)+ABS(INDEX(Геокодування!$D$2:$D$361,MATCH($Q272,Геокодування!$B$2:$B$361,0))-32.3876)&gt;0.15,"",INDEX(Геокодування!$D$2:$D$361,MATCH($Q272,Геокодування!$B$2:$B$361,0))),IFERROR(IF(ABS(INDEX(Геокодування!$C$2:$C$361,MATCH("Прилуки, Чернігівська обл., "&amp;$A272,Геокодування!$B$2:$B$361,0))-50.5884)+ABS(INDEX(Геокодування!$D$2:$D$361,MATCH("Прилуки, Чернігівська обл., "&amp;$A272,Геокодування!$B$2:$B$361,0))-32.3876)&gt;0.15,"",INDEX(Геокодування!$D$2:$D$361,MATCH("Прилуки, Чернігівська обл., "&amp;$A272,Геокодування!$B$2:$B$361,0))),""))))</f>
        <v>32.399804000000003</v>
      </c>
      <c r="T272" s="44" t="str">
        <f>IF($O272="","",IFERROR(INDEX('Координати майданчиків'!$B$4:$B$64,MATCH($A272&amp;IF($P272="","",", "&amp;$P272),'Координати майданчиків'!$B$4:$B$64,0)),IFERROR(INDEX('Координати майданчиків'!$B$4:$B$64,MATCH($A272,'Координати майданчиків'!$B$4:$B$64,0)),"")))</f>
        <v/>
      </c>
    </row>
    <row r="273" spans="1:20" x14ac:dyDescent="0.35">
      <c r="A273" s="26" t="str">
        <f t="shared" si="12"/>
        <v>вул. Леонтовича</v>
      </c>
      <c r="B273" s="26" t="str">
        <f t="shared" si="13"/>
        <v>1,5  11,20</v>
      </c>
      <c r="C273" s="27" t="str" cm="1">
        <f t="array" ref="C273">IF($O273="","",_xlfn.TEXTJOIN(", ",TRUE,IF(EXACT('Дані_зв''язок'!$J$4:$J$1012,$O273)*('Дані_зв''язок'!$C$4:$C$1012=C$4),'Дані_зв''язок'!$D$4:$D$1012,"")))</f>
        <v/>
      </c>
      <c r="D273" s="27" t="str" cm="1">
        <f t="array" ref="D273">IF($O273="","",_xlfn.TEXTJOIN(", ",TRUE,IF(EXACT('Дані_зв''язок'!$J$4:$J$1012,$O273)*('Дані_зв''язок'!$C$4:$C$1012=D$4),'Дані_зв''язок'!$D$4:$D$1012,"")))</f>
        <v/>
      </c>
      <c r="E273" s="27" t="str" cm="1">
        <f t="array" ref="E273">IF($O273="","",_xlfn.TEXTJOIN(", ",TRUE,IF(EXACT('Дані_зв''язок'!$J$4:$J$1012,$O273)*('Дані_зв''язок'!$C$4:$C$1012=E$4),'Дані_зв''язок'!$D$4:$D$1012,"")))</f>
        <v/>
      </c>
      <c r="F273" s="27" t="str" cm="1">
        <f t="array" ref="F273">IF($O273="","",_xlfn.TEXTJOIN(", ",TRUE,IF(EXACT('Дані_зв''язок'!$J$4:$J$1012,$O273)*('Дані_зв''язок'!$C$4:$C$1012=F$4),'Дані_зв''язок'!$D$4:$D$1012,"")))</f>
        <v/>
      </c>
      <c r="G273" s="27" t="str" cm="1">
        <f t="array" ref="G273">IF($O273="","",_xlfn.TEXTJOIN(", ",TRUE,IF(EXACT('Дані_зв''язок'!$J$4:$J$1012,$O273)*('Дані_зв''язок'!$C$4:$C$1012=G$4),'Дані_зв''язок'!$D$4:$D$1012,"")))</f>
        <v>9:45</v>
      </c>
      <c r="H273" s="27" t="str" cm="1">
        <f t="array" ref="H273">IF($O273="","",_xlfn.TEXTJOIN(", ",TRUE,IF(EXACT('Дані_зв''язок'!$J$4:$J$1012,$O273)*('Дані_зв''язок'!$C$4:$C$1012=H$4),'Дані_зв''язок'!$D$4:$D$1012,"")))</f>
        <v/>
      </c>
      <c r="I273" s="27" t="str" cm="1">
        <f t="array" ref="I273">IF($O273="","",_xlfn.TEXTJOIN(", ",TRUE,IF(EXACT('Дані_зв''язок'!$J$4:$J$1012,$O273)*('Дані_зв''язок'!$C$4:$C$1012=I$4),'Дані_зв''язок'!$D$4:$D$1012,"")))</f>
        <v/>
      </c>
      <c r="J273" s="27" cm="1">
        <f t="array" ref="J273">IF($O273="","",COUNTIF(C273:I273,"?*")+SUMPRODUCT(LEN(C273:I273)-LEN(SUBSTITUTE(C273:I273,",",""))))</f>
        <v>1</v>
      </c>
      <c r="K273" s="28" t="str" cm="1">
        <f t="array" ref="K273">IF($O273="","",_xlfn.TEXTJOIN(", ",TRUE,IF(EXACT('Дані_зв''язок'!$J$4:$J$1012,$O273),'Дані_зв''язок'!$L$4:$L$1012,"")))</f>
        <v>№6</v>
      </c>
      <c r="L273" s="28" t="str" cm="1">
        <f t="array" ref="L273">IF($O273="","",_xlfn.TEXTJOIN(", ",TRUE,IF(EXACT('Дані_зв''язок'!$J$4:$J$1012,$O273),'Дані_зв''язок'!$M$4:$M$1012,"")))</f>
        <v>АТ 4021</v>
      </c>
      <c r="M273" s="27" t="str" cm="1">
        <f t="array" ref="M273">IF($O273="","",IF(SUMPRODUCT(MAX(EXACT('Дані_зв''язок'!$J$4:$J$1012,$O273)*IFERROR('Дані_зв''язок'!$H$4:$H$1012,0)))=0,"",SUMPRODUCT(MAX(EXACT('Дані_зв''язок'!$J$4:$J$1012,$O273)*IFERROR('Дані_зв''язок'!$H$4:$H$1012,0)))))</f>
        <v/>
      </c>
      <c r="O273" s="30" t="s">
        <v>1392</v>
      </c>
      <c r="P273" s="24" cm="1">
        <f t="array" ref="P273">IF($O273="","",IF($B273="","",IFERROR(IF(MIN(IFERROR(VALUE(TRIM(MID(SUBSTITUTE(SUBSTITUTE($B273,","," ")," ",REPT(" ",30)),{1;31;61;91;121;151;181},30))),""))=0,"",MIN(IFERROR(VALUE(TRIM(MID(SUBSTITUTE(SUBSTITUTE($B273,","," ")," ",REPT(" ",30)),{1;31;61;91;121;151;181},30))),""))),"")))</f>
        <v>1</v>
      </c>
      <c r="Q273" s="23" t="str">
        <f t="shared" si="14"/>
        <v>Прилуки, Чернігівська обл., вул. Леонтовича, 1</v>
      </c>
      <c r="R273" s="35">
        <f>IF($O273="","",IFERROR(INDEX('Координати майданчиків'!$H$4:$H$64,MATCH($T273,'Координати майданчиків'!$B$4:$B$64,0)),IFERROR(IF(ABS(INDEX(Геокодування!$C$2:$C$361,MATCH($Q273,Геокодування!$B$2:$B$361,0))-50.5884)+ABS(INDEX(Геокодування!$D$2:$D$361,MATCH($Q273,Геокодування!$B$2:$B$361,0))-32.3876)&gt;0.15,"",INDEX(Геокодування!$C$2:$C$361,MATCH($Q273,Геокодування!$B$2:$B$361,0))),IFERROR(IF(ABS(INDEX(Геокодування!$C$2:$C$361,MATCH("Прилуки, Чернігівська обл., "&amp;$A273,Геокодування!$B$2:$B$361,0))-50.5884)+ABS(INDEX(Геокодування!$D$2:$D$361,MATCH("Прилуки, Чернігівська обл., "&amp;$A273,Геокодування!$B$2:$B$361,0))-32.3876)&gt;0.15,"",INDEX(Геокодування!$C$2:$C$361,MATCH("Прилуки, Чернігівська обл., "&amp;$A273,Геокодування!$B$2:$B$361,0))),""))))</f>
        <v>50.592874000000002</v>
      </c>
      <c r="S273" s="43">
        <f>IF($O273="","",IFERROR(INDEX('Координати майданчиків'!$I$4:$I$64,MATCH($T273,'Координати майданчиків'!$B$4:$B$64,0)),IFERROR(IF(ABS(INDEX(Геокодування!$C$2:$C$361,MATCH($Q273,Геокодування!$B$2:$B$361,0))-50.5884)+ABS(INDEX(Геокодування!$D$2:$D$361,MATCH($Q273,Геокодування!$B$2:$B$361,0))-32.3876)&gt;0.15,"",INDEX(Геокодування!$D$2:$D$361,MATCH($Q273,Геокодування!$B$2:$B$361,0))),IFERROR(IF(ABS(INDEX(Геокодування!$C$2:$C$361,MATCH("Прилуки, Чернігівська обл., "&amp;$A273,Геокодування!$B$2:$B$361,0))-50.5884)+ABS(INDEX(Геокодування!$D$2:$D$361,MATCH("Прилуки, Чернігівська обл., "&amp;$A273,Геокодування!$B$2:$B$361,0))-32.3876)&gt;0.15,"",INDEX(Геокодування!$D$2:$D$361,MATCH("Прилуки, Чернігівська обл., "&amp;$A273,Геокодування!$B$2:$B$361,0))),""))))</f>
        <v>32.399804000000003</v>
      </c>
      <c r="T273" s="44" t="str">
        <f>IF($O273="","",IFERROR(INDEX('Координати майданчиків'!$B$4:$B$64,MATCH($A273&amp;IF($P273="","",", "&amp;$P273),'Координати майданчиків'!$B$4:$B$64,0)),IFERROR(INDEX('Координати майданчиків'!$B$4:$B$64,MATCH($A273,'Координати майданчиків'!$B$4:$B$64,0)),"")))</f>
        <v/>
      </c>
    </row>
    <row r="274" spans="1:20" x14ac:dyDescent="0.35">
      <c r="A274" s="26" t="str">
        <f t="shared" si="12"/>
        <v>вул. Леонтовича</v>
      </c>
      <c r="B274" s="26" t="str">
        <f t="shared" si="13"/>
        <v>УГГ</v>
      </c>
      <c r="C274" s="27" t="str" cm="1">
        <f t="array" ref="C274">IF($O274="","",_xlfn.TEXTJOIN(", ",TRUE,IF(EXACT('Дані_зв''язок'!$J$4:$J$1012,$O274)*('Дані_зв''язок'!$C$4:$C$1012=C$4),'Дані_зв''язок'!$D$4:$D$1012,"")))</f>
        <v>14:00</v>
      </c>
      <c r="D274" s="27" t="str" cm="1">
        <f t="array" ref="D274">IF($O274="","",_xlfn.TEXTJOIN(", ",TRUE,IF(EXACT('Дані_зв''язок'!$J$4:$J$1012,$O274)*('Дані_зв''язок'!$C$4:$C$1012=D$4),'Дані_зв''язок'!$D$4:$D$1012,"")))</f>
        <v/>
      </c>
      <c r="E274" s="27" t="str" cm="1">
        <f t="array" ref="E274">IF($O274="","",_xlfn.TEXTJOIN(", ",TRUE,IF(EXACT('Дані_зв''язок'!$J$4:$J$1012,$O274)*('Дані_зв''язок'!$C$4:$C$1012=E$4),'Дані_зв''язок'!$D$4:$D$1012,"")))</f>
        <v/>
      </c>
      <c r="F274" s="27" t="str" cm="1">
        <f t="array" ref="F274">IF($O274="","",_xlfn.TEXTJOIN(", ",TRUE,IF(EXACT('Дані_зв''язок'!$J$4:$J$1012,$O274)*('Дані_зв''язок'!$C$4:$C$1012=F$4),'Дані_зв''язок'!$D$4:$D$1012,"")))</f>
        <v/>
      </c>
      <c r="G274" s="27" t="str" cm="1">
        <f t="array" ref="G274">IF($O274="","",_xlfn.TEXTJOIN(", ",TRUE,IF(EXACT('Дані_зв''язок'!$J$4:$J$1012,$O274)*('Дані_зв''язок'!$C$4:$C$1012=G$4),'Дані_зв''язок'!$D$4:$D$1012,"")))</f>
        <v/>
      </c>
      <c r="H274" s="27" t="str" cm="1">
        <f t="array" ref="H274">IF($O274="","",_xlfn.TEXTJOIN(", ",TRUE,IF(EXACT('Дані_зв''язок'!$J$4:$J$1012,$O274)*('Дані_зв''язок'!$C$4:$C$1012=H$4),'Дані_зв''язок'!$D$4:$D$1012,"")))</f>
        <v/>
      </c>
      <c r="I274" s="27" t="str" cm="1">
        <f t="array" ref="I274">IF($O274="","",_xlfn.TEXTJOIN(", ",TRUE,IF(EXACT('Дані_зв''язок'!$J$4:$J$1012,$O274)*('Дані_зв''язок'!$C$4:$C$1012=I$4),'Дані_зв''язок'!$D$4:$D$1012,"")))</f>
        <v/>
      </c>
      <c r="J274" s="27" cm="1">
        <f t="array" ref="J274">IF($O274="","",COUNTIF(C274:I274,"?*")+SUMPRODUCT(LEN(C274:I274)-LEN(SUBSTITUTE(C274:I274,",",""))))</f>
        <v>1</v>
      </c>
      <c r="K274" s="28" t="str" cm="1">
        <f t="array" ref="K274">IF($O274="","",_xlfn.TEXTJOIN(", ",TRUE,IF(EXACT('Дані_зв''язок'!$J$4:$J$1012,$O274),'Дані_зв''язок'!$L$4:$L$1012,"")))</f>
        <v>№3</v>
      </c>
      <c r="L274" s="28" t="str" cm="1">
        <f t="array" ref="L274">IF($O274="","",_xlfn.TEXTJOIN(", ",TRUE,IF(EXACT('Дані_зв''язок'!$J$4:$J$1012,$O274),'Дані_зв''язок'!$M$4:$M$1012,"")))</f>
        <v>ГАЗ 3309</v>
      </c>
      <c r="M274" s="27" cm="1">
        <f t="array" ref="M274">IF($O274="","",IF(SUMPRODUCT(MAX(EXACT('Дані_зв''язок'!$J$4:$J$1012,$O274)*IFERROR('Дані_зв''язок'!$H$4:$H$1012,0)))=0,"",SUMPRODUCT(MAX(EXACT('Дані_зв''язок'!$J$4:$J$1012,$O274)*IFERROR('Дані_зв''язок'!$H$4:$H$1012,0)))))</f>
        <v>1</v>
      </c>
      <c r="O274" s="30" t="s">
        <v>1394</v>
      </c>
      <c r="P274" s="24" t="str" cm="1">
        <f t="array" ref="P274">IF($O274="","",IF($B274="","",IFERROR(IF(MIN(IFERROR(VALUE(TRIM(MID(SUBSTITUTE(SUBSTITUTE($B274,","," ")," ",REPT(" ",30)),{1;31;61;91;121;151;181},30))),""))=0,"",MIN(IFERROR(VALUE(TRIM(MID(SUBSTITUTE(SUBSTITUTE($B274,","," ")," ",REPT(" ",30)),{1;31;61;91;121;151;181},30))),""))),"")))</f>
        <v/>
      </c>
      <c r="Q274" s="23" t="str">
        <f t="shared" si="14"/>
        <v>Прилуки, Чернігівська обл., вул. Леонтовича</v>
      </c>
      <c r="R274" s="35">
        <f>IF($O274="","",IFERROR(INDEX('Координати майданчиків'!$H$4:$H$64,MATCH($T274,'Координати майданчиків'!$B$4:$B$64,0)),IFERROR(IF(ABS(INDEX(Геокодування!$C$2:$C$361,MATCH($Q274,Геокодування!$B$2:$B$361,0))-50.5884)+ABS(INDEX(Геокодування!$D$2:$D$361,MATCH($Q274,Геокодування!$B$2:$B$361,0))-32.3876)&gt;0.15,"",INDEX(Геокодування!$C$2:$C$361,MATCH($Q274,Геокодування!$B$2:$B$361,0))),IFERROR(IF(ABS(INDEX(Геокодування!$C$2:$C$361,MATCH("Прилуки, Чернігівська обл., "&amp;$A274,Геокодування!$B$2:$B$361,0))-50.5884)+ABS(INDEX(Геокодування!$D$2:$D$361,MATCH("Прилуки, Чернігівська обл., "&amp;$A274,Геокодування!$B$2:$B$361,0))-32.3876)&gt;0.15,"",INDEX(Геокодування!$C$2:$C$361,MATCH("Прилуки, Чернігівська обл., "&amp;$A274,Геокодування!$B$2:$B$361,0))),""))))</f>
        <v>50.592874000000002</v>
      </c>
      <c r="S274" s="43">
        <f>IF($O274="","",IFERROR(INDEX('Координати майданчиків'!$I$4:$I$64,MATCH($T274,'Координати майданчиків'!$B$4:$B$64,0)),IFERROR(IF(ABS(INDEX(Геокодування!$C$2:$C$361,MATCH($Q274,Геокодування!$B$2:$B$361,0))-50.5884)+ABS(INDEX(Геокодування!$D$2:$D$361,MATCH($Q274,Геокодування!$B$2:$B$361,0))-32.3876)&gt;0.15,"",INDEX(Геокодування!$D$2:$D$361,MATCH($Q274,Геокодування!$B$2:$B$361,0))),IFERROR(IF(ABS(INDEX(Геокодування!$C$2:$C$361,MATCH("Прилуки, Чернігівська обл., "&amp;$A274,Геокодування!$B$2:$B$361,0))-50.5884)+ABS(INDEX(Геокодування!$D$2:$D$361,MATCH("Прилуки, Чернігівська обл., "&amp;$A274,Геокодування!$B$2:$B$361,0))-32.3876)&gt;0.15,"",INDEX(Геокодування!$D$2:$D$361,MATCH("Прилуки, Чернігівська обл., "&amp;$A274,Геокодування!$B$2:$B$361,0))),""))))</f>
        <v>32.399804000000003</v>
      </c>
      <c r="T274" s="44" t="str">
        <f>IF($O274="","",IFERROR(INDEX('Координати майданчиків'!$B$4:$B$64,MATCH($A274&amp;IF($P274="","",", "&amp;$P274),'Координати майданчиків'!$B$4:$B$64,0)),IFERROR(INDEX('Координати майданчиків'!$B$4:$B$64,MATCH($A274,'Координати майданчиків'!$B$4:$B$64,0)),"")))</f>
        <v/>
      </c>
    </row>
    <row r="275" spans="1:20" x14ac:dyDescent="0.35">
      <c r="A275" s="26" t="str">
        <f t="shared" si="12"/>
        <v>вул. Леонтовича</v>
      </c>
      <c r="B275" s="26" t="str">
        <f t="shared" si="13"/>
        <v>стадіон</v>
      </c>
      <c r="C275" s="27" t="str" cm="1">
        <f t="array" ref="C275">IF($O275="","",_xlfn.TEXTJOIN(", ",TRUE,IF(EXACT('Дані_зв''язок'!$J$4:$J$1012,$O275)*('Дані_зв''язок'!$C$4:$C$1012=C$4),'Дані_зв''язок'!$D$4:$D$1012,"")))</f>
        <v>13:45</v>
      </c>
      <c r="D275" s="27" t="str" cm="1">
        <f t="array" ref="D275">IF($O275="","",_xlfn.TEXTJOIN(", ",TRUE,IF(EXACT('Дані_зв''язок'!$J$4:$J$1012,$O275)*('Дані_зв''язок'!$C$4:$C$1012=D$4),'Дані_зв''язок'!$D$4:$D$1012,"")))</f>
        <v/>
      </c>
      <c r="E275" s="27" t="str" cm="1">
        <f t="array" ref="E275">IF($O275="","",_xlfn.TEXTJOIN(", ",TRUE,IF(EXACT('Дані_зв''язок'!$J$4:$J$1012,$O275)*('Дані_зв''язок'!$C$4:$C$1012=E$4),'Дані_зв''язок'!$D$4:$D$1012,"")))</f>
        <v/>
      </c>
      <c r="F275" s="27" t="str" cm="1">
        <f t="array" ref="F275">IF($O275="","",_xlfn.TEXTJOIN(", ",TRUE,IF(EXACT('Дані_зв''язок'!$J$4:$J$1012,$O275)*('Дані_зв''язок'!$C$4:$C$1012=F$4),'Дані_зв''язок'!$D$4:$D$1012,"")))</f>
        <v/>
      </c>
      <c r="G275" s="27" t="str" cm="1">
        <f t="array" ref="G275">IF($O275="","",_xlfn.TEXTJOIN(", ",TRUE,IF(EXACT('Дані_зв''язок'!$J$4:$J$1012,$O275)*('Дані_зв''язок'!$C$4:$C$1012=G$4),'Дані_зв''язок'!$D$4:$D$1012,"")))</f>
        <v/>
      </c>
      <c r="H275" s="27" t="str" cm="1">
        <f t="array" ref="H275">IF($O275="","",_xlfn.TEXTJOIN(", ",TRUE,IF(EXACT('Дані_зв''язок'!$J$4:$J$1012,$O275)*('Дані_зв''язок'!$C$4:$C$1012=H$4),'Дані_зв''язок'!$D$4:$D$1012,"")))</f>
        <v/>
      </c>
      <c r="I275" s="27" t="str" cm="1">
        <f t="array" ref="I275">IF($O275="","",_xlfn.TEXTJOIN(", ",TRUE,IF(EXACT('Дані_зв''язок'!$J$4:$J$1012,$O275)*('Дані_зв''язок'!$C$4:$C$1012=I$4),'Дані_зв''язок'!$D$4:$D$1012,"")))</f>
        <v/>
      </c>
      <c r="J275" s="27" cm="1">
        <f t="array" ref="J275">IF($O275="","",COUNTIF(C275:I275,"?*")+SUMPRODUCT(LEN(C275:I275)-LEN(SUBSTITUTE(C275:I275,",",""))))</f>
        <v>1</v>
      </c>
      <c r="K275" s="28" t="str" cm="1">
        <f t="array" ref="K275">IF($O275="","",_xlfn.TEXTJOIN(", ",TRUE,IF(EXACT('Дані_зв''язок'!$J$4:$J$1012,$O275),'Дані_зв''язок'!$L$4:$L$1012,"")))</f>
        <v>№3</v>
      </c>
      <c r="L275" s="28" t="str" cm="1">
        <f t="array" ref="L275">IF($O275="","",_xlfn.TEXTJOIN(", ",TRUE,IF(EXACT('Дані_зв''язок'!$J$4:$J$1012,$O275),'Дані_зв''язок'!$M$4:$M$1012,"")))</f>
        <v>ГАЗ 3309</v>
      </c>
      <c r="M275" s="27" cm="1">
        <f t="array" ref="M275">IF($O275="","",IF(SUMPRODUCT(MAX(EXACT('Дані_зв''язок'!$J$4:$J$1012,$O275)*IFERROR('Дані_зв''язок'!$H$4:$H$1012,0)))=0,"",SUMPRODUCT(MAX(EXACT('Дані_зв''язок'!$J$4:$J$1012,$O275)*IFERROR('Дані_зв''язок'!$H$4:$H$1012,0)))))</f>
        <v>1</v>
      </c>
      <c r="O275" s="30" t="s">
        <v>1393</v>
      </c>
      <c r="P275" s="24" t="str" cm="1">
        <f t="array" ref="P275">IF($O275="","",IF($B275="","",IFERROR(IF(MIN(IFERROR(VALUE(TRIM(MID(SUBSTITUTE(SUBSTITUTE($B275,","," ")," ",REPT(" ",30)),{1;31;61;91;121;151;181},30))),""))=0,"",MIN(IFERROR(VALUE(TRIM(MID(SUBSTITUTE(SUBSTITUTE($B275,","," ")," ",REPT(" ",30)),{1;31;61;91;121;151;181},30))),""))),"")))</f>
        <v/>
      </c>
      <c r="Q275" s="23" t="str">
        <f t="shared" si="14"/>
        <v>Прилуки, Чернігівська обл., вул. Леонтовича</v>
      </c>
      <c r="R275" s="35">
        <f>IF($O275="","",IFERROR(INDEX('Координати майданчиків'!$H$4:$H$64,MATCH($T275,'Координати майданчиків'!$B$4:$B$64,0)),IFERROR(IF(ABS(INDEX(Геокодування!$C$2:$C$361,MATCH($Q275,Геокодування!$B$2:$B$361,0))-50.5884)+ABS(INDEX(Геокодування!$D$2:$D$361,MATCH($Q275,Геокодування!$B$2:$B$361,0))-32.3876)&gt;0.15,"",INDEX(Геокодування!$C$2:$C$361,MATCH($Q275,Геокодування!$B$2:$B$361,0))),IFERROR(IF(ABS(INDEX(Геокодування!$C$2:$C$361,MATCH("Прилуки, Чернігівська обл., "&amp;$A275,Геокодування!$B$2:$B$361,0))-50.5884)+ABS(INDEX(Геокодування!$D$2:$D$361,MATCH("Прилуки, Чернігівська обл., "&amp;$A275,Геокодування!$B$2:$B$361,0))-32.3876)&gt;0.15,"",INDEX(Геокодування!$C$2:$C$361,MATCH("Прилуки, Чернігівська обл., "&amp;$A275,Геокодування!$B$2:$B$361,0))),""))))</f>
        <v>50.592874000000002</v>
      </c>
      <c r="S275" s="43">
        <f>IF($O275="","",IFERROR(INDEX('Координати майданчиків'!$I$4:$I$64,MATCH($T275,'Координати майданчиків'!$B$4:$B$64,0)),IFERROR(IF(ABS(INDEX(Геокодування!$C$2:$C$361,MATCH($Q275,Геокодування!$B$2:$B$361,0))-50.5884)+ABS(INDEX(Геокодування!$D$2:$D$361,MATCH($Q275,Геокодування!$B$2:$B$361,0))-32.3876)&gt;0.15,"",INDEX(Геокодування!$D$2:$D$361,MATCH($Q275,Геокодування!$B$2:$B$361,0))),IFERROR(IF(ABS(INDEX(Геокодування!$C$2:$C$361,MATCH("Прилуки, Чернігівська обл., "&amp;$A275,Геокодування!$B$2:$B$361,0))-50.5884)+ABS(INDEX(Геокодування!$D$2:$D$361,MATCH("Прилуки, Чернігівська обл., "&amp;$A275,Геокодування!$B$2:$B$361,0))-32.3876)&gt;0.15,"",INDEX(Геокодування!$D$2:$D$361,MATCH("Прилуки, Чернігівська обл., "&amp;$A275,Геокодування!$B$2:$B$361,0))),""))))</f>
        <v>32.399804000000003</v>
      </c>
      <c r="T275" s="44" t="str">
        <f>IF($O275="","",IFERROR(INDEX('Координати майданчиків'!$B$4:$B$64,MATCH($A275&amp;IF($P275="","",", "&amp;$P275),'Координати майданчиків'!$B$4:$B$64,0)),IFERROR(INDEX('Координати майданчиків'!$B$4:$B$64,MATCH($A275,'Координати майданчиків'!$B$4:$B$64,0)),"")))</f>
        <v/>
      </c>
    </row>
    <row r="276" spans="1:20" x14ac:dyDescent="0.35">
      <c r="A276" s="26" t="str">
        <f t="shared" si="12"/>
        <v>вул. Лохвицька</v>
      </c>
      <c r="B276" s="26" t="str">
        <f t="shared" si="13"/>
        <v>6,14  21,27</v>
      </c>
      <c r="C276" s="27" t="str" cm="1">
        <f t="array" ref="C276">IF($O276="","",_xlfn.TEXTJOIN(", ",TRUE,IF(EXACT('Дані_зв''язок'!$J$4:$J$1012,$O276)*('Дані_зв''язок'!$C$4:$C$1012=C$4),'Дані_зв''язок'!$D$4:$D$1012,"")))</f>
        <v/>
      </c>
      <c r="D276" s="27" t="str" cm="1">
        <f t="array" ref="D276">IF($O276="","",_xlfn.TEXTJOIN(", ",TRUE,IF(EXACT('Дані_зв''язок'!$J$4:$J$1012,$O276)*('Дані_зв''язок'!$C$4:$C$1012=D$4),'Дані_зв''язок'!$D$4:$D$1012,"")))</f>
        <v/>
      </c>
      <c r="E276" s="27" t="str" cm="1">
        <f t="array" ref="E276">IF($O276="","",_xlfn.TEXTJOIN(", ",TRUE,IF(EXACT('Дані_зв''язок'!$J$4:$J$1012,$O276)*('Дані_зв''язок'!$C$4:$C$1012=E$4),'Дані_зв''язок'!$D$4:$D$1012,"")))</f>
        <v/>
      </c>
      <c r="F276" s="27" t="str" cm="1">
        <f t="array" ref="F276">IF($O276="","",_xlfn.TEXTJOIN(", ",TRUE,IF(EXACT('Дані_зв''язок'!$J$4:$J$1012,$O276)*('Дані_зв''язок'!$C$4:$C$1012=F$4),'Дані_зв''язок'!$D$4:$D$1012,"")))</f>
        <v>14:50</v>
      </c>
      <c r="G276" s="27" t="str" cm="1">
        <f t="array" ref="G276">IF($O276="","",_xlfn.TEXTJOIN(", ",TRUE,IF(EXACT('Дані_зв''язок'!$J$4:$J$1012,$O276)*('Дані_зв''язок'!$C$4:$C$1012=G$4),'Дані_зв''язок'!$D$4:$D$1012,"")))</f>
        <v/>
      </c>
      <c r="H276" s="27" t="str" cm="1">
        <f t="array" ref="H276">IF($O276="","",_xlfn.TEXTJOIN(", ",TRUE,IF(EXACT('Дані_зв''язок'!$J$4:$J$1012,$O276)*('Дані_зв''язок'!$C$4:$C$1012=H$4),'Дані_зв''язок'!$D$4:$D$1012,"")))</f>
        <v/>
      </c>
      <c r="I276" s="27" t="str" cm="1">
        <f t="array" ref="I276">IF($O276="","",_xlfn.TEXTJOIN(", ",TRUE,IF(EXACT('Дані_зв''язок'!$J$4:$J$1012,$O276)*('Дані_зв''язок'!$C$4:$C$1012=I$4),'Дані_зв''язок'!$D$4:$D$1012,"")))</f>
        <v/>
      </c>
      <c r="J276" s="27" cm="1">
        <f t="array" ref="J276">IF($O276="","",COUNTIF(C276:I276,"?*")+SUMPRODUCT(LEN(C276:I276)-LEN(SUBSTITUTE(C276:I276,",",""))))</f>
        <v>1</v>
      </c>
      <c r="K276" s="28" t="str" cm="1">
        <f t="array" ref="K276">IF($O276="","",_xlfn.TEXTJOIN(", ",TRUE,IF(EXACT('Дані_зв''язок'!$J$4:$J$1012,$O276),'Дані_зв''язок'!$L$4:$L$1012,"")))</f>
        <v>№6</v>
      </c>
      <c r="L276" s="28" t="str" cm="1">
        <f t="array" ref="L276">IF($O276="","",_xlfn.TEXTJOIN(", ",TRUE,IF(EXACT('Дані_зв''язок'!$J$4:$J$1012,$O276),'Дані_зв''язок'!$M$4:$M$1012,"")))</f>
        <v>АТ 4021</v>
      </c>
      <c r="M276" s="27" t="str" cm="1">
        <f t="array" ref="M276">IF($O276="","",IF(SUMPRODUCT(MAX(EXACT('Дані_зв''язок'!$J$4:$J$1012,$O276)*IFERROR('Дані_зв''язок'!$H$4:$H$1012,0)))=0,"",SUMPRODUCT(MAX(EXACT('Дані_зв''язок'!$J$4:$J$1012,$O276)*IFERROR('Дані_зв''язок'!$H$4:$H$1012,0)))))</f>
        <v/>
      </c>
      <c r="O276" s="30" t="s">
        <v>1396</v>
      </c>
      <c r="P276" s="24" cm="1">
        <f t="array" ref="P276">IF($O276="","",IF($B276="","",IFERROR(IF(MIN(IFERROR(VALUE(TRIM(MID(SUBSTITUTE(SUBSTITUTE($B276,","," ")," ",REPT(" ",30)),{1;31;61;91;121;151;181},30))),""))=0,"",MIN(IFERROR(VALUE(TRIM(MID(SUBSTITUTE(SUBSTITUTE($B276,","," ")," ",REPT(" ",30)),{1;31;61;91;121;151;181},30))),""))),"")))</f>
        <v>6</v>
      </c>
      <c r="Q276" s="23" t="str">
        <f t="shared" si="14"/>
        <v>Прилуки, Чернігівська обл., вул. Лохвицька, 6</v>
      </c>
      <c r="R276" s="35">
        <f>IF($O276="","",IFERROR(INDEX('Координати майданчиків'!$H$4:$H$64,MATCH($T276,'Координати майданчиків'!$B$4:$B$64,0)),IFERROR(IF(ABS(INDEX(Геокодування!$C$2:$C$361,MATCH($Q276,Геокодування!$B$2:$B$361,0))-50.5884)+ABS(INDEX(Геокодування!$D$2:$D$361,MATCH($Q276,Геокодування!$B$2:$B$361,0))-32.3876)&gt;0.15,"",INDEX(Геокодування!$C$2:$C$361,MATCH($Q276,Геокодування!$B$2:$B$361,0))),IFERROR(IF(ABS(INDEX(Геокодування!$C$2:$C$361,MATCH("Прилуки, Чернігівська обл., "&amp;$A276,Геокодування!$B$2:$B$361,0))-50.5884)+ABS(INDEX(Геокодування!$D$2:$D$361,MATCH("Прилуки, Чернігівська обл., "&amp;$A276,Геокодування!$B$2:$B$361,0))-32.3876)&gt;0.15,"",INDEX(Геокодування!$C$2:$C$361,MATCH("Прилуки, Чернігівська обл., "&amp;$A276,Геокодування!$B$2:$B$361,0))),""))))</f>
        <v>50.570729</v>
      </c>
      <c r="S276" s="43">
        <f>IF($O276="","",IFERROR(INDEX('Координати майданчиків'!$I$4:$I$64,MATCH($T276,'Координати майданчиків'!$B$4:$B$64,0)),IFERROR(IF(ABS(INDEX(Геокодування!$C$2:$C$361,MATCH($Q276,Геокодування!$B$2:$B$361,0))-50.5884)+ABS(INDEX(Геокодування!$D$2:$D$361,MATCH($Q276,Геокодування!$B$2:$B$361,0))-32.3876)&gt;0.15,"",INDEX(Геокодування!$D$2:$D$361,MATCH($Q276,Геокодування!$B$2:$B$361,0))),IFERROR(IF(ABS(INDEX(Геокодування!$C$2:$C$361,MATCH("Прилуки, Чернігівська обл., "&amp;$A276,Геокодування!$B$2:$B$361,0))-50.5884)+ABS(INDEX(Геокодування!$D$2:$D$361,MATCH("Прилуки, Чернігівська обл., "&amp;$A276,Геокодування!$B$2:$B$361,0))-32.3876)&gt;0.15,"",INDEX(Геокодування!$D$2:$D$361,MATCH("Прилуки, Чернігівська обл., "&amp;$A276,Геокодування!$B$2:$B$361,0))),""))))</f>
        <v>32.425105000000002</v>
      </c>
      <c r="T276" s="44" t="str">
        <f>IF($O276="","",IFERROR(INDEX('Координати майданчиків'!$B$4:$B$64,MATCH($A276&amp;IF($P276="","",", "&amp;$P276),'Координати майданчиків'!$B$4:$B$64,0)),IFERROR(INDEX('Координати майданчиків'!$B$4:$B$64,MATCH($A276,'Координати майданчиків'!$B$4:$B$64,0)),"")))</f>
        <v/>
      </c>
    </row>
    <row r="277" spans="1:20" x14ac:dyDescent="0.35">
      <c r="A277" s="26" t="str">
        <f t="shared" si="12"/>
        <v>вул. Лохвицька</v>
      </c>
      <c r="B277" s="26" t="str">
        <f t="shared" si="13"/>
        <v>75</v>
      </c>
      <c r="C277" s="27" t="str" cm="1">
        <f t="array" ref="C277">IF($O277="","",_xlfn.TEXTJOIN(", ",TRUE,IF(EXACT('Дані_зв''язок'!$J$4:$J$1012,$O277)*('Дані_зв''язок'!$C$4:$C$1012=C$4),'Дані_зв''язок'!$D$4:$D$1012,"")))</f>
        <v/>
      </c>
      <c r="D277" s="27" t="str" cm="1">
        <f t="array" ref="D277">IF($O277="","",_xlfn.TEXTJOIN(", ",TRUE,IF(EXACT('Дані_зв''язок'!$J$4:$J$1012,$O277)*('Дані_зв''язок'!$C$4:$C$1012=D$4),'Дані_зв''язок'!$D$4:$D$1012,"")))</f>
        <v/>
      </c>
      <c r="E277" s="27" t="str" cm="1">
        <f t="array" ref="E277">IF($O277="","",_xlfn.TEXTJOIN(", ",TRUE,IF(EXACT('Дані_зв''язок'!$J$4:$J$1012,$O277)*('Дані_зв''язок'!$C$4:$C$1012=E$4),'Дані_зв''язок'!$D$4:$D$1012,"")))</f>
        <v>14:45</v>
      </c>
      <c r="F277" s="27" t="str" cm="1">
        <f t="array" ref="F277">IF($O277="","",_xlfn.TEXTJOIN(", ",TRUE,IF(EXACT('Дані_зв''язок'!$J$4:$J$1012,$O277)*('Дані_зв''язок'!$C$4:$C$1012=F$4),'Дані_зв''язок'!$D$4:$D$1012,"")))</f>
        <v/>
      </c>
      <c r="G277" s="27" t="str" cm="1">
        <f t="array" ref="G277">IF($O277="","",_xlfn.TEXTJOIN(", ",TRUE,IF(EXACT('Дані_зв''язок'!$J$4:$J$1012,$O277)*('Дані_зв''язок'!$C$4:$C$1012=G$4),'Дані_зв''язок'!$D$4:$D$1012,"")))</f>
        <v/>
      </c>
      <c r="H277" s="27" t="str" cm="1">
        <f t="array" ref="H277">IF($O277="","",_xlfn.TEXTJOIN(", ",TRUE,IF(EXACT('Дані_зв''язок'!$J$4:$J$1012,$O277)*('Дані_зв''язок'!$C$4:$C$1012=H$4),'Дані_зв''язок'!$D$4:$D$1012,"")))</f>
        <v/>
      </c>
      <c r="I277" s="27" t="str" cm="1">
        <f t="array" ref="I277">IF($O277="","",_xlfn.TEXTJOIN(", ",TRUE,IF(EXACT('Дані_зв''язок'!$J$4:$J$1012,$O277)*('Дані_зв''язок'!$C$4:$C$1012=I$4),'Дані_зв''язок'!$D$4:$D$1012,"")))</f>
        <v/>
      </c>
      <c r="J277" s="27" cm="1">
        <f t="array" ref="J277">IF($O277="","",COUNTIF(C277:I277,"?*")+SUMPRODUCT(LEN(C277:I277)-LEN(SUBSTITUTE(C277:I277,",",""))))</f>
        <v>1</v>
      </c>
      <c r="K277" s="28" t="str" cm="1">
        <f t="array" ref="K277">IF($O277="","",_xlfn.TEXTJOIN(", ",TRUE,IF(EXACT('Дані_зв''язок'!$J$4:$J$1012,$O277),'Дані_зв''язок'!$L$4:$L$1012,"")))</f>
        <v>№6</v>
      </c>
      <c r="L277" s="28" t="str" cm="1">
        <f t="array" ref="L277">IF($O277="","",_xlfn.TEXTJOIN(", ",TRUE,IF(EXACT('Дані_зв''язок'!$J$4:$J$1012,$O277),'Дані_зв''язок'!$M$4:$M$1012,"")))</f>
        <v>АТ 4021</v>
      </c>
      <c r="M277" s="27" t="str" cm="1">
        <f t="array" ref="M277">IF($O277="","",IF(SUMPRODUCT(MAX(EXACT('Дані_зв''язок'!$J$4:$J$1012,$O277)*IFERROR('Дані_зв''язок'!$H$4:$H$1012,0)))=0,"",SUMPRODUCT(MAX(EXACT('Дані_зв''язок'!$J$4:$J$1012,$O277)*IFERROR('Дані_зв''язок'!$H$4:$H$1012,0)))))</f>
        <v/>
      </c>
      <c r="O277" s="30" t="s">
        <v>1397</v>
      </c>
      <c r="P277" s="24" cm="1">
        <f t="array" ref="P277">IF($O277="","",IF($B277="","",IFERROR(IF(MIN(IFERROR(VALUE(TRIM(MID(SUBSTITUTE(SUBSTITUTE($B277,","," ")," ",REPT(" ",30)),{1;31;61;91;121;151;181},30))),""))=0,"",MIN(IFERROR(VALUE(TRIM(MID(SUBSTITUTE(SUBSTITUTE($B277,","," ")," ",REPT(" ",30)),{1;31;61;91;121;151;181},30))),""))),"")))</f>
        <v>75</v>
      </c>
      <c r="Q277" s="23" t="str">
        <f t="shared" si="14"/>
        <v>Прилуки, Чернігівська обл., вул. Лохвицька, 75</v>
      </c>
      <c r="R277" s="35">
        <f>IF($O277="","",IFERROR(INDEX('Координати майданчиків'!$H$4:$H$64,MATCH($T277,'Координати майданчиків'!$B$4:$B$64,0)),IFERROR(IF(ABS(INDEX(Геокодування!$C$2:$C$361,MATCH($Q277,Геокодування!$B$2:$B$361,0))-50.5884)+ABS(INDEX(Геокодування!$D$2:$D$361,MATCH($Q277,Геокодування!$B$2:$B$361,0))-32.3876)&gt;0.15,"",INDEX(Геокодування!$C$2:$C$361,MATCH($Q277,Геокодування!$B$2:$B$361,0))),IFERROR(IF(ABS(INDEX(Геокодування!$C$2:$C$361,MATCH("Прилуки, Чернігівська обл., "&amp;$A277,Геокодування!$B$2:$B$361,0))-50.5884)+ABS(INDEX(Геокодування!$D$2:$D$361,MATCH("Прилуки, Чернігівська обл., "&amp;$A277,Геокодування!$B$2:$B$361,0))-32.3876)&gt;0.15,"",INDEX(Геокодування!$C$2:$C$361,MATCH("Прилуки, Чернігівська обл., "&amp;$A277,Геокодування!$B$2:$B$361,0))),""))))</f>
        <v>50.570729</v>
      </c>
      <c r="S277" s="43">
        <f>IF($O277="","",IFERROR(INDEX('Координати майданчиків'!$I$4:$I$64,MATCH($T277,'Координати майданчиків'!$B$4:$B$64,0)),IFERROR(IF(ABS(INDEX(Геокодування!$C$2:$C$361,MATCH($Q277,Геокодування!$B$2:$B$361,0))-50.5884)+ABS(INDEX(Геокодування!$D$2:$D$361,MATCH($Q277,Геокодування!$B$2:$B$361,0))-32.3876)&gt;0.15,"",INDEX(Геокодування!$D$2:$D$361,MATCH($Q277,Геокодування!$B$2:$B$361,0))),IFERROR(IF(ABS(INDEX(Геокодування!$C$2:$C$361,MATCH("Прилуки, Чернігівська обл., "&amp;$A277,Геокодування!$B$2:$B$361,0))-50.5884)+ABS(INDEX(Геокодування!$D$2:$D$361,MATCH("Прилуки, Чернігівська обл., "&amp;$A277,Геокодування!$B$2:$B$361,0))-32.3876)&gt;0.15,"",INDEX(Геокодування!$D$2:$D$361,MATCH("Прилуки, Чернігівська обл., "&amp;$A277,Геокодування!$B$2:$B$361,0))),""))))</f>
        <v>32.425105000000002</v>
      </c>
      <c r="T277" s="44" t="str">
        <f>IF($O277="","",IFERROR(INDEX('Координати майданчиків'!$B$4:$B$64,MATCH($A277&amp;IF($P277="","",", "&amp;$P277),'Координати майданчиків'!$B$4:$B$64,0)),IFERROR(INDEX('Координати майданчиків'!$B$4:$B$64,MATCH($A277,'Координати майданчиків'!$B$4:$B$64,0)),"")))</f>
        <v/>
      </c>
    </row>
    <row r="278" spans="1:20" x14ac:dyDescent="0.35">
      <c r="A278" s="26" t="str">
        <f t="shared" si="12"/>
        <v>вул. Лісовська</v>
      </c>
      <c r="B278" s="26" t="str">
        <f t="shared" si="13"/>
        <v>6,28  30,35</v>
      </c>
      <c r="C278" s="27" t="str" cm="1">
        <f t="array" ref="C278">IF($O278="","",_xlfn.TEXTJOIN(", ",TRUE,IF(EXACT('Дані_зв''язок'!$J$4:$J$1012,$O278)*('Дані_зв''язок'!$C$4:$C$1012=C$4),'Дані_зв''язок'!$D$4:$D$1012,"")))</f>
        <v/>
      </c>
      <c r="D278" s="27" t="str" cm="1">
        <f t="array" ref="D278">IF($O278="","",_xlfn.TEXTJOIN(", ",TRUE,IF(EXACT('Дані_зв''язок'!$J$4:$J$1012,$O278)*('Дані_зв''язок'!$C$4:$C$1012=D$4),'Дані_зв''язок'!$D$4:$D$1012,"")))</f>
        <v/>
      </c>
      <c r="E278" s="27" t="str" cm="1">
        <f t="array" ref="E278">IF($O278="","",_xlfn.TEXTJOIN(", ",TRUE,IF(EXACT('Дані_зв''язок'!$J$4:$J$1012,$O278)*('Дані_зв''язок'!$C$4:$C$1012=E$4),'Дані_зв''язок'!$D$4:$D$1012,"")))</f>
        <v/>
      </c>
      <c r="F278" s="27" t="str" cm="1">
        <f t="array" ref="F278">IF($O278="","",_xlfn.TEXTJOIN(", ",TRUE,IF(EXACT('Дані_зв''язок'!$J$4:$J$1012,$O278)*('Дані_зв''язок'!$C$4:$C$1012=F$4),'Дані_зв''язок'!$D$4:$D$1012,"")))</f>
        <v/>
      </c>
      <c r="G278" s="27" t="str" cm="1">
        <f t="array" ref="G278">IF($O278="","",_xlfn.TEXTJOIN(", ",TRUE,IF(EXACT('Дані_зв''язок'!$J$4:$J$1012,$O278)*('Дані_зв''язок'!$C$4:$C$1012=G$4),'Дані_зв''язок'!$D$4:$D$1012,"")))</f>
        <v>10:15</v>
      </c>
      <c r="H278" s="27" t="str" cm="1">
        <f t="array" ref="H278">IF($O278="","",_xlfn.TEXTJOIN(", ",TRUE,IF(EXACT('Дані_зв''язок'!$J$4:$J$1012,$O278)*('Дані_зв''язок'!$C$4:$C$1012=H$4),'Дані_зв''язок'!$D$4:$D$1012,"")))</f>
        <v/>
      </c>
      <c r="I278" s="27" t="str" cm="1">
        <f t="array" ref="I278">IF($O278="","",_xlfn.TEXTJOIN(", ",TRUE,IF(EXACT('Дані_зв''язок'!$J$4:$J$1012,$O278)*('Дані_зв''язок'!$C$4:$C$1012=I$4),'Дані_зв''язок'!$D$4:$D$1012,"")))</f>
        <v/>
      </c>
      <c r="J278" s="27" cm="1">
        <f t="array" ref="J278">IF($O278="","",COUNTIF(C278:I278,"?*")+SUMPRODUCT(LEN(C278:I278)-LEN(SUBSTITUTE(C278:I278,",",""))))</f>
        <v>1</v>
      </c>
      <c r="K278" s="28" t="str" cm="1">
        <f t="array" ref="K278">IF($O278="","",_xlfn.TEXTJOIN(", ",TRUE,IF(EXACT('Дані_зв''язок'!$J$4:$J$1012,$O278),'Дані_зв''язок'!$L$4:$L$1012,"")))</f>
        <v>№6</v>
      </c>
      <c r="L278" s="28" t="str" cm="1">
        <f t="array" ref="L278">IF($O278="","",_xlfn.TEXTJOIN(", ",TRUE,IF(EXACT('Дані_зв''язок'!$J$4:$J$1012,$O278),'Дані_зв''язок'!$M$4:$M$1012,"")))</f>
        <v>АТ 4021</v>
      </c>
      <c r="M278" s="27" t="str" cm="1">
        <f t="array" ref="M278">IF($O278="","",IF(SUMPRODUCT(MAX(EXACT('Дані_зв''язок'!$J$4:$J$1012,$O278)*IFERROR('Дані_зв''язок'!$H$4:$H$1012,0)))=0,"",SUMPRODUCT(MAX(EXACT('Дані_зв''язок'!$J$4:$J$1012,$O278)*IFERROR('Дані_зв''язок'!$H$4:$H$1012,0)))))</f>
        <v/>
      </c>
      <c r="O278" s="30" t="s">
        <v>1395</v>
      </c>
      <c r="P278" s="24" cm="1">
        <f t="array" ref="P278">IF($O278="","",IF($B278="","",IFERROR(IF(MIN(IFERROR(VALUE(TRIM(MID(SUBSTITUTE(SUBSTITUTE($B278,","," ")," ",REPT(" ",30)),{1;31;61;91;121;151;181},30))),""))=0,"",MIN(IFERROR(VALUE(TRIM(MID(SUBSTITUTE(SUBSTITUTE($B278,","," ")," ",REPT(" ",30)),{1;31;61;91;121;151;181},30))),""))),"")))</f>
        <v>6</v>
      </c>
      <c r="Q278" s="23" t="str">
        <f t="shared" si="14"/>
        <v>Прилуки, Чернігівська обл., вул. Лісовська, 6</v>
      </c>
      <c r="R278" s="35">
        <f>IF($O278="","",IFERROR(INDEX('Координати майданчиків'!$H$4:$H$64,MATCH($T278,'Координати майданчиків'!$B$4:$B$64,0)),IFERROR(IF(ABS(INDEX(Геокодування!$C$2:$C$361,MATCH($Q278,Геокодування!$B$2:$B$361,0))-50.5884)+ABS(INDEX(Геокодування!$D$2:$D$361,MATCH($Q278,Геокодування!$B$2:$B$361,0))-32.3876)&gt;0.15,"",INDEX(Геокодування!$C$2:$C$361,MATCH($Q278,Геокодування!$B$2:$B$361,0))),IFERROR(IF(ABS(INDEX(Геокодування!$C$2:$C$361,MATCH("Прилуки, Чернігівська обл., "&amp;$A278,Геокодування!$B$2:$B$361,0))-50.5884)+ABS(INDEX(Геокодування!$D$2:$D$361,MATCH("Прилуки, Чернігівська обл., "&amp;$A278,Геокодування!$B$2:$B$361,0))-32.3876)&gt;0.15,"",INDEX(Геокодування!$C$2:$C$361,MATCH("Прилуки, Чернігівська обл., "&amp;$A278,Геокодування!$B$2:$B$361,0))),""))))</f>
        <v>50.568568999999997</v>
      </c>
      <c r="S278" s="43">
        <f>IF($O278="","",IFERROR(INDEX('Координати майданчиків'!$I$4:$I$64,MATCH($T278,'Координати майданчиків'!$B$4:$B$64,0)),IFERROR(IF(ABS(INDEX(Геокодування!$C$2:$C$361,MATCH($Q278,Геокодування!$B$2:$B$361,0))-50.5884)+ABS(INDEX(Геокодування!$D$2:$D$361,MATCH($Q278,Геокодування!$B$2:$B$361,0))-32.3876)&gt;0.15,"",INDEX(Геокодування!$D$2:$D$361,MATCH($Q278,Геокодування!$B$2:$B$361,0))),IFERROR(IF(ABS(INDEX(Геокодування!$C$2:$C$361,MATCH("Прилуки, Чернігівська обл., "&amp;$A278,Геокодування!$B$2:$B$361,0))-50.5884)+ABS(INDEX(Геокодування!$D$2:$D$361,MATCH("Прилуки, Чернігівська обл., "&amp;$A278,Геокодування!$B$2:$B$361,0))-32.3876)&gt;0.15,"",INDEX(Геокодування!$D$2:$D$361,MATCH("Прилуки, Чернігівська обл., "&amp;$A278,Геокодування!$B$2:$B$361,0))),""))))</f>
        <v>32.416643000000001</v>
      </c>
      <c r="T278" s="44" t="str">
        <f>IF($O278="","",IFERROR(INDEX('Координати майданчиків'!$B$4:$B$64,MATCH($A278&amp;IF($P278="","",", "&amp;$P278),'Координати майданчиків'!$B$4:$B$64,0)),IFERROR(INDEX('Координати майданчиків'!$B$4:$B$64,MATCH($A278,'Координати майданчиків'!$B$4:$B$64,0)),"")))</f>
        <v/>
      </c>
    </row>
    <row r="279" spans="1:20" x14ac:dyDescent="0.35">
      <c r="A279" s="26" t="str">
        <f t="shared" si="12"/>
        <v>вул. М. Андріяшева</v>
      </c>
      <c r="B279" s="26" t="str">
        <f t="shared" si="13"/>
        <v/>
      </c>
      <c r="C279" s="27" t="str" cm="1">
        <f t="array" ref="C279">IF($O279="","",_xlfn.TEXTJOIN(", ",TRUE,IF(EXACT('Дані_зв''язок'!$J$4:$J$1012,$O279)*('Дані_зв''язок'!$C$4:$C$1012=C$4),'Дані_зв''язок'!$D$4:$D$1012,"")))</f>
        <v/>
      </c>
      <c r="D279" s="27" t="str" cm="1">
        <f t="array" ref="D279">IF($O279="","",_xlfn.TEXTJOIN(", ",TRUE,IF(EXACT('Дані_зв''язок'!$J$4:$J$1012,$O279)*('Дані_зв''язок'!$C$4:$C$1012=D$4),'Дані_зв''язок'!$D$4:$D$1012,"")))</f>
        <v/>
      </c>
      <c r="E279" s="27" t="str" cm="1">
        <f t="array" ref="E279">IF($O279="","",_xlfn.TEXTJOIN(", ",TRUE,IF(EXACT('Дані_зв''язок'!$J$4:$J$1012,$O279)*('Дані_зв''язок'!$C$4:$C$1012=E$4),'Дані_зв''язок'!$D$4:$D$1012,"")))</f>
        <v/>
      </c>
      <c r="F279" s="27" t="str" cm="1">
        <f t="array" ref="F279">IF($O279="","",_xlfn.TEXTJOIN(", ",TRUE,IF(EXACT('Дані_зв''язок'!$J$4:$J$1012,$O279)*('Дані_зв''язок'!$C$4:$C$1012=F$4),'Дані_зв''язок'!$D$4:$D$1012,"")))</f>
        <v/>
      </c>
      <c r="G279" s="27" t="str" cm="1">
        <f t="array" ref="G279">IF($O279="","",_xlfn.TEXTJOIN(", ",TRUE,IF(EXACT('Дані_зв''язок'!$J$4:$J$1012,$O279)*('Дані_зв''язок'!$C$4:$C$1012=G$4),'Дані_зв''язок'!$D$4:$D$1012,"")))</f>
        <v>7:50</v>
      </c>
      <c r="H279" s="27" t="str" cm="1">
        <f t="array" ref="H279">IF($O279="","",_xlfn.TEXTJOIN(", ",TRUE,IF(EXACT('Дані_зв''язок'!$J$4:$J$1012,$O279)*('Дані_зв''язок'!$C$4:$C$1012=H$4),'Дані_зв''язок'!$D$4:$D$1012,"")))</f>
        <v/>
      </c>
      <c r="I279" s="27" t="str" cm="1">
        <f t="array" ref="I279">IF($O279="","",_xlfn.TEXTJOIN(", ",TRUE,IF(EXACT('Дані_зв''язок'!$J$4:$J$1012,$O279)*('Дані_зв''язок'!$C$4:$C$1012=I$4),'Дані_зв''язок'!$D$4:$D$1012,"")))</f>
        <v/>
      </c>
      <c r="J279" s="27" cm="1">
        <f t="array" ref="J279">IF($O279="","",COUNTIF(C279:I279,"?*")+SUMPRODUCT(LEN(C279:I279)-LEN(SUBSTITUTE(C279:I279,",",""))))</f>
        <v>1</v>
      </c>
      <c r="K279" s="28" t="str" cm="1">
        <f t="array" ref="K279">IF($O279="","",_xlfn.TEXTJOIN(", ",TRUE,IF(EXACT('Дані_зв''язок'!$J$4:$J$1012,$O279),'Дані_зв''язок'!$L$4:$L$1012,"")))</f>
        <v>№5</v>
      </c>
      <c r="L279" s="28" t="str" cm="1">
        <f t="array" ref="L279">IF($O279="","",_xlfn.TEXTJOIN(", ",TRUE,IF(EXACT('Дані_зв''язок'!$J$4:$J$1012,$O279),'Дані_зв''язок'!$M$4:$M$1012,"")))</f>
        <v>МАЗ 4381</v>
      </c>
      <c r="M279" s="27" t="str" cm="1">
        <f t="array" ref="M279">IF($O279="","",IF(SUMPRODUCT(MAX(EXACT('Дані_зв''язок'!$J$4:$J$1012,$O279)*IFERROR('Дані_зв''язок'!$H$4:$H$1012,0)))=0,"",SUMPRODUCT(MAX(EXACT('Дані_зв''язок'!$J$4:$J$1012,$O279)*IFERROR('Дані_зв''язок'!$H$4:$H$1012,0)))))</f>
        <v/>
      </c>
      <c r="O279" s="30" t="s">
        <v>1398</v>
      </c>
      <c r="P279" s="24" t="str" cm="1">
        <f t="array" ref="P279">IF($O279="","",IF($B279="","",IFERROR(IF(MIN(IFERROR(VALUE(TRIM(MID(SUBSTITUTE(SUBSTITUTE($B279,","," ")," ",REPT(" ",30)),{1;31;61;91;121;151;181},30))),""))=0,"",MIN(IFERROR(VALUE(TRIM(MID(SUBSTITUTE(SUBSTITUTE($B279,","," ")," ",REPT(" ",30)),{1;31;61;91;121;151;181},30))),""))),"")))</f>
        <v/>
      </c>
      <c r="Q279" s="23" t="str">
        <f t="shared" si="14"/>
        <v>Прилуки, Чернігівська обл., вул. М. Андріяшева</v>
      </c>
      <c r="R279" s="35">
        <f>IF($O279="","",IFERROR(INDEX('Координати майданчиків'!$H$4:$H$64,MATCH($T279,'Координати майданчиків'!$B$4:$B$64,0)),IFERROR(IF(ABS(INDEX(Геокодування!$C$2:$C$361,MATCH($Q279,Геокодування!$B$2:$B$361,0))-50.5884)+ABS(INDEX(Геокодування!$D$2:$D$361,MATCH($Q279,Геокодування!$B$2:$B$361,0))-32.3876)&gt;0.15,"",INDEX(Геокодування!$C$2:$C$361,MATCH($Q279,Геокодування!$B$2:$B$361,0))),IFERROR(IF(ABS(INDEX(Геокодування!$C$2:$C$361,MATCH("Прилуки, Чернігівська обл., "&amp;$A279,Геокодування!$B$2:$B$361,0))-50.5884)+ABS(INDEX(Геокодування!$D$2:$D$361,MATCH("Прилуки, Чернігівська обл., "&amp;$A279,Геокодування!$B$2:$B$361,0))-32.3876)&gt;0.15,"",INDEX(Геокодування!$C$2:$C$361,MATCH("Прилуки, Чернігівська обл., "&amp;$A279,Геокодування!$B$2:$B$361,0))),""))))</f>
        <v>50.591613000000002</v>
      </c>
      <c r="S279" s="43">
        <f>IF($O279="","",IFERROR(INDEX('Координати майданчиків'!$I$4:$I$64,MATCH($T279,'Координати майданчиків'!$B$4:$B$64,0)),IFERROR(IF(ABS(INDEX(Геокодування!$C$2:$C$361,MATCH($Q279,Геокодування!$B$2:$B$361,0))-50.5884)+ABS(INDEX(Геокодування!$D$2:$D$361,MATCH($Q279,Геокодування!$B$2:$B$361,0))-32.3876)&gt;0.15,"",INDEX(Геокодування!$D$2:$D$361,MATCH($Q279,Геокодування!$B$2:$B$361,0))),IFERROR(IF(ABS(INDEX(Геокодування!$C$2:$C$361,MATCH("Прилуки, Чернігівська обл., "&amp;$A279,Геокодування!$B$2:$B$361,0))-50.5884)+ABS(INDEX(Геокодування!$D$2:$D$361,MATCH("Прилуки, Чернігівська обл., "&amp;$A279,Геокодування!$B$2:$B$361,0))-32.3876)&gt;0.15,"",INDEX(Геокодування!$D$2:$D$361,MATCH("Прилуки, Чернігівська обл., "&amp;$A279,Геокодування!$B$2:$B$361,0))),""))))</f>
        <v>32.355347000000002</v>
      </c>
      <c r="T279" s="44" t="str">
        <f>IF($O279="","",IFERROR(INDEX('Координати майданчиків'!$B$4:$B$64,MATCH($A279&amp;IF($P279="","",", "&amp;$P279),'Координати майданчиків'!$B$4:$B$64,0)),IFERROR(INDEX('Координати майданчиків'!$B$4:$B$64,MATCH($A279,'Координати майданчиків'!$B$4:$B$64,0)),"")))</f>
        <v/>
      </c>
    </row>
    <row r="280" spans="1:20" x14ac:dyDescent="0.35">
      <c r="A280" s="26" t="str">
        <f t="shared" si="12"/>
        <v>вул. М. Леонтовича</v>
      </c>
      <c r="B280" s="26" t="str">
        <f t="shared" si="13"/>
        <v>169,167</v>
      </c>
      <c r="C280" s="27" t="str" cm="1">
        <f t="array" ref="C280">IF($O280="","",_xlfn.TEXTJOIN(", ",TRUE,IF(EXACT('Дані_зв''язок'!$J$4:$J$1012,$O280)*('Дані_зв''язок'!$C$4:$C$1012=C$4),'Дані_зв''язок'!$D$4:$D$1012,"")))</f>
        <v/>
      </c>
      <c r="D280" s="27" t="str" cm="1">
        <f t="array" ref="D280">IF($O280="","",_xlfn.TEXTJOIN(", ",TRUE,IF(EXACT('Дані_зв''язок'!$J$4:$J$1012,$O280)*('Дані_зв''язок'!$C$4:$C$1012=D$4),'Дані_зв''язок'!$D$4:$D$1012,"")))</f>
        <v/>
      </c>
      <c r="E280" s="27" t="str" cm="1">
        <f t="array" ref="E280">IF($O280="","",_xlfn.TEXTJOIN(", ",TRUE,IF(EXACT('Дані_зв''язок'!$J$4:$J$1012,$O280)*('Дані_зв''язок'!$C$4:$C$1012=E$4),'Дані_зв''язок'!$D$4:$D$1012,"")))</f>
        <v>9:00</v>
      </c>
      <c r="F280" s="27" t="str" cm="1">
        <f t="array" ref="F280">IF($O280="","",_xlfn.TEXTJOIN(", ",TRUE,IF(EXACT('Дані_зв''язок'!$J$4:$J$1012,$O280)*('Дані_зв''язок'!$C$4:$C$1012=F$4),'Дані_зв''язок'!$D$4:$D$1012,"")))</f>
        <v/>
      </c>
      <c r="G280" s="27" t="str" cm="1">
        <f t="array" ref="G280">IF($O280="","",_xlfn.TEXTJOIN(", ",TRUE,IF(EXACT('Дані_зв''язок'!$J$4:$J$1012,$O280)*('Дані_зв''язок'!$C$4:$C$1012=G$4),'Дані_зв''язок'!$D$4:$D$1012,"")))</f>
        <v/>
      </c>
      <c r="H280" s="27" t="str" cm="1">
        <f t="array" ref="H280">IF($O280="","",_xlfn.TEXTJOIN(", ",TRUE,IF(EXACT('Дані_зв''язок'!$J$4:$J$1012,$O280)*('Дані_зв''язок'!$C$4:$C$1012=H$4),'Дані_зв''язок'!$D$4:$D$1012,"")))</f>
        <v/>
      </c>
      <c r="I280" s="27" t="str" cm="1">
        <f t="array" ref="I280">IF($O280="","",_xlfn.TEXTJOIN(", ",TRUE,IF(EXACT('Дані_зв''язок'!$J$4:$J$1012,$O280)*('Дані_зв''язок'!$C$4:$C$1012=I$4),'Дані_зв''язок'!$D$4:$D$1012,"")))</f>
        <v/>
      </c>
      <c r="J280" s="27" cm="1">
        <f t="array" ref="J280">IF($O280="","",COUNTIF(C280:I280,"?*")+SUMPRODUCT(LEN(C280:I280)-LEN(SUBSTITUTE(C280:I280,",",""))))</f>
        <v>1</v>
      </c>
      <c r="K280" s="28" t="str" cm="1">
        <f t="array" ref="K280">IF($O280="","",_xlfn.TEXTJOIN(", ",TRUE,IF(EXACT('Дані_зв''язок'!$J$4:$J$1012,$O280),'Дані_зв''язок'!$L$4:$L$1012,"")))</f>
        <v>№6</v>
      </c>
      <c r="L280" s="28" t="str" cm="1">
        <f t="array" ref="L280">IF($O280="","",_xlfn.TEXTJOIN(", ",TRUE,IF(EXACT('Дані_зв''язок'!$J$4:$J$1012,$O280),'Дані_зв''язок'!$M$4:$M$1012,"")))</f>
        <v>АТ 4021</v>
      </c>
      <c r="M280" s="27" t="str" cm="1">
        <f t="array" ref="M280">IF($O280="","",IF(SUMPRODUCT(MAX(EXACT('Дані_зв''язок'!$J$4:$J$1012,$O280)*IFERROR('Дані_зв''язок'!$H$4:$H$1012,0)))=0,"",SUMPRODUCT(MAX(EXACT('Дані_зв''язок'!$J$4:$J$1012,$O280)*IFERROR('Дані_зв''язок'!$H$4:$H$1012,0)))))</f>
        <v/>
      </c>
      <c r="O280" s="30" t="s">
        <v>1399</v>
      </c>
      <c r="P280" s="24" cm="1">
        <f t="array" ref="P280">IF($O280="","",IF($B280="","",IFERROR(IF(MIN(IFERROR(VALUE(TRIM(MID(SUBSTITUTE(SUBSTITUTE($B280,","," ")," ",REPT(" ",30)),{1;31;61;91;121;151;181},30))),""))=0,"",MIN(IFERROR(VALUE(TRIM(MID(SUBSTITUTE(SUBSTITUTE($B280,","," ")," ",REPT(" ",30)),{1;31;61;91;121;151;181},30))),""))),"")))</f>
        <v>167</v>
      </c>
      <c r="Q280" s="23" t="str">
        <f t="shared" si="14"/>
        <v>Прилуки, Чернігівська обл., вул. М. Леонтовича, 167</v>
      </c>
      <c r="R280" s="35">
        <f>IF($O280="","",IFERROR(INDEX('Координати майданчиків'!$H$4:$H$64,MATCH($T280,'Координати майданчиків'!$B$4:$B$64,0)),IFERROR(IF(ABS(INDEX(Геокодування!$C$2:$C$361,MATCH($Q280,Геокодування!$B$2:$B$361,0))-50.5884)+ABS(INDEX(Геокодування!$D$2:$D$361,MATCH($Q280,Геокодування!$B$2:$B$361,0))-32.3876)&gt;0.15,"",INDEX(Геокодування!$C$2:$C$361,MATCH($Q280,Геокодування!$B$2:$B$361,0))),IFERROR(IF(ABS(INDEX(Геокодування!$C$2:$C$361,MATCH("Прилуки, Чернігівська обл., "&amp;$A280,Геокодування!$B$2:$B$361,0))-50.5884)+ABS(INDEX(Геокодування!$D$2:$D$361,MATCH("Прилуки, Чернігівська обл., "&amp;$A280,Геокодування!$B$2:$B$361,0))-32.3876)&gt;0.15,"",INDEX(Геокодування!$C$2:$C$361,MATCH("Прилуки, Чернігівська обл., "&amp;$A280,Геокодування!$B$2:$B$361,0))),""))))</f>
        <v>50.592874000000002</v>
      </c>
      <c r="S280" s="43">
        <f>IF($O280="","",IFERROR(INDEX('Координати майданчиків'!$I$4:$I$64,MATCH($T280,'Координати майданчиків'!$B$4:$B$64,0)),IFERROR(IF(ABS(INDEX(Геокодування!$C$2:$C$361,MATCH($Q280,Геокодування!$B$2:$B$361,0))-50.5884)+ABS(INDEX(Геокодування!$D$2:$D$361,MATCH($Q280,Геокодування!$B$2:$B$361,0))-32.3876)&gt;0.15,"",INDEX(Геокодування!$D$2:$D$361,MATCH($Q280,Геокодування!$B$2:$B$361,0))),IFERROR(IF(ABS(INDEX(Геокодування!$C$2:$C$361,MATCH("Прилуки, Чернігівська обл., "&amp;$A280,Геокодування!$B$2:$B$361,0))-50.5884)+ABS(INDEX(Геокодування!$D$2:$D$361,MATCH("Прилуки, Чернігівська обл., "&amp;$A280,Геокодування!$B$2:$B$361,0))-32.3876)&gt;0.15,"",INDEX(Геокодування!$D$2:$D$361,MATCH("Прилуки, Чернігівська обл., "&amp;$A280,Геокодування!$B$2:$B$361,0))),""))))</f>
        <v>32.399804000000003</v>
      </c>
      <c r="T280" s="44" t="str">
        <f>IF($O280="","",IFERROR(INDEX('Координати майданчиків'!$B$4:$B$64,MATCH($A280&amp;IF($P280="","",", "&amp;$P280),'Координати майданчиків'!$B$4:$B$64,0)),IFERROR(INDEX('Координати майданчиків'!$B$4:$B$64,MATCH($A280,'Координати майданчиків'!$B$4:$B$64,0)),"")))</f>
        <v/>
      </c>
    </row>
    <row r="281" spans="1:20" x14ac:dyDescent="0.35">
      <c r="A281" s="26" t="str">
        <f t="shared" si="12"/>
        <v>вул. М. Леонтовича</v>
      </c>
      <c r="B281" s="26" t="str">
        <f t="shared" si="13"/>
        <v>53,51  39</v>
      </c>
      <c r="C281" s="27" t="str" cm="1">
        <f t="array" ref="C281">IF($O281="","",_xlfn.TEXTJOIN(", ",TRUE,IF(EXACT('Дані_зв''язок'!$J$4:$J$1012,$O281)*('Дані_зв''язок'!$C$4:$C$1012=C$4),'Дані_зв''язок'!$D$4:$D$1012,"")))</f>
        <v/>
      </c>
      <c r="D281" s="27" t="str" cm="1">
        <f t="array" ref="D281">IF($O281="","",_xlfn.TEXTJOIN(", ",TRUE,IF(EXACT('Дані_зв''язок'!$J$4:$J$1012,$O281)*('Дані_зв''язок'!$C$4:$C$1012=D$4),'Дані_зв''язок'!$D$4:$D$1012,"")))</f>
        <v>11:55</v>
      </c>
      <c r="E281" s="27" t="str" cm="1">
        <f t="array" ref="E281">IF($O281="","",_xlfn.TEXTJOIN(", ",TRUE,IF(EXACT('Дані_зв''язок'!$J$4:$J$1012,$O281)*('Дані_зв''язок'!$C$4:$C$1012=E$4),'Дані_зв''язок'!$D$4:$D$1012,"")))</f>
        <v/>
      </c>
      <c r="F281" s="27" t="str" cm="1">
        <f t="array" ref="F281">IF($O281="","",_xlfn.TEXTJOIN(", ",TRUE,IF(EXACT('Дані_зв''язок'!$J$4:$J$1012,$O281)*('Дані_зв''язок'!$C$4:$C$1012=F$4),'Дані_зв''язок'!$D$4:$D$1012,"")))</f>
        <v/>
      </c>
      <c r="G281" s="27" t="str" cm="1">
        <f t="array" ref="G281">IF($O281="","",_xlfn.TEXTJOIN(", ",TRUE,IF(EXACT('Дані_зв''язок'!$J$4:$J$1012,$O281)*('Дані_зв''язок'!$C$4:$C$1012=G$4),'Дані_зв''язок'!$D$4:$D$1012,"")))</f>
        <v/>
      </c>
      <c r="H281" s="27" t="str" cm="1">
        <f t="array" ref="H281">IF($O281="","",_xlfn.TEXTJOIN(", ",TRUE,IF(EXACT('Дані_зв''язок'!$J$4:$J$1012,$O281)*('Дані_зв''язок'!$C$4:$C$1012=H$4),'Дані_зв''язок'!$D$4:$D$1012,"")))</f>
        <v/>
      </c>
      <c r="I281" s="27" t="str" cm="1">
        <f t="array" ref="I281">IF($O281="","",_xlfn.TEXTJOIN(", ",TRUE,IF(EXACT('Дані_зв''язок'!$J$4:$J$1012,$O281)*('Дані_зв''язок'!$C$4:$C$1012=I$4),'Дані_зв''язок'!$D$4:$D$1012,"")))</f>
        <v/>
      </c>
      <c r="J281" s="27" cm="1">
        <f t="array" ref="J281">IF($O281="","",COUNTIF(C281:I281,"?*")+SUMPRODUCT(LEN(C281:I281)-LEN(SUBSTITUTE(C281:I281,",",""))))</f>
        <v>1</v>
      </c>
      <c r="K281" s="28" t="str" cm="1">
        <f t="array" ref="K281">IF($O281="","",_xlfn.TEXTJOIN(", ",TRUE,IF(EXACT('Дані_зв''язок'!$J$4:$J$1012,$O281),'Дані_зв''язок'!$L$4:$L$1012,"")))</f>
        <v>№6</v>
      </c>
      <c r="L281" s="28" t="str" cm="1">
        <f t="array" ref="L281">IF($O281="","",_xlfn.TEXTJOIN(", ",TRUE,IF(EXACT('Дані_зв''язок'!$J$4:$J$1012,$O281),'Дані_зв''язок'!$M$4:$M$1012,"")))</f>
        <v>АТ 4021</v>
      </c>
      <c r="M281" s="27" t="str" cm="1">
        <f t="array" ref="M281">IF($O281="","",IF(SUMPRODUCT(MAX(EXACT('Дані_зв''язок'!$J$4:$J$1012,$O281)*IFERROR('Дані_зв''язок'!$H$4:$H$1012,0)))=0,"",SUMPRODUCT(MAX(EXACT('Дані_зв''язок'!$J$4:$J$1012,$O281)*IFERROR('Дані_зв''язок'!$H$4:$H$1012,0)))))</f>
        <v/>
      </c>
      <c r="O281" s="30" t="s">
        <v>1400</v>
      </c>
      <c r="P281" s="24" cm="1">
        <f t="array" ref="P281">IF($O281="","",IF($B281="","",IFERROR(IF(MIN(IFERROR(VALUE(TRIM(MID(SUBSTITUTE(SUBSTITUTE($B281,","," ")," ",REPT(" ",30)),{1;31;61;91;121;151;181},30))),""))=0,"",MIN(IFERROR(VALUE(TRIM(MID(SUBSTITUTE(SUBSTITUTE($B281,","," ")," ",REPT(" ",30)),{1;31;61;91;121;151;181},30))),""))),"")))</f>
        <v>39</v>
      </c>
      <c r="Q281" s="23" t="str">
        <f t="shared" si="14"/>
        <v>Прилуки, Чернігівська обл., вул. М. Леонтовича, 39</v>
      </c>
      <c r="R281" s="35">
        <f>IF($O281="","",IFERROR(INDEX('Координати майданчиків'!$H$4:$H$64,MATCH($T281,'Координати майданчиків'!$B$4:$B$64,0)),IFERROR(IF(ABS(INDEX(Геокодування!$C$2:$C$361,MATCH($Q281,Геокодування!$B$2:$B$361,0))-50.5884)+ABS(INDEX(Геокодування!$D$2:$D$361,MATCH($Q281,Геокодування!$B$2:$B$361,0))-32.3876)&gt;0.15,"",INDEX(Геокодування!$C$2:$C$361,MATCH($Q281,Геокодування!$B$2:$B$361,0))),IFERROR(IF(ABS(INDEX(Геокодування!$C$2:$C$361,MATCH("Прилуки, Чернігівська обл., "&amp;$A281,Геокодування!$B$2:$B$361,0))-50.5884)+ABS(INDEX(Геокодування!$D$2:$D$361,MATCH("Прилуки, Чернігівська обл., "&amp;$A281,Геокодування!$B$2:$B$361,0))-32.3876)&gt;0.15,"",INDEX(Геокодування!$C$2:$C$361,MATCH("Прилуки, Чернігівська обл., "&amp;$A281,Геокодування!$B$2:$B$361,0))),""))))</f>
        <v>50.592874000000002</v>
      </c>
      <c r="S281" s="43">
        <f>IF($O281="","",IFERROR(INDEX('Координати майданчиків'!$I$4:$I$64,MATCH($T281,'Координати майданчиків'!$B$4:$B$64,0)),IFERROR(IF(ABS(INDEX(Геокодування!$C$2:$C$361,MATCH($Q281,Геокодування!$B$2:$B$361,0))-50.5884)+ABS(INDEX(Геокодування!$D$2:$D$361,MATCH($Q281,Геокодування!$B$2:$B$361,0))-32.3876)&gt;0.15,"",INDEX(Геокодування!$D$2:$D$361,MATCH($Q281,Геокодування!$B$2:$B$361,0))),IFERROR(IF(ABS(INDEX(Геокодування!$C$2:$C$361,MATCH("Прилуки, Чернігівська обл., "&amp;$A281,Геокодування!$B$2:$B$361,0))-50.5884)+ABS(INDEX(Геокодування!$D$2:$D$361,MATCH("Прилуки, Чернігівська обл., "&amp;$A281,Геокодування!$B$2:$B$361,0))-32.3876)&gt;0.15,"",INDEX(Геокодування!$D$2:$D$361,MATCH("Прилуки, Чернігівська обл., "&amp;$A281,Геокодування!$B$2:$B$361,0))),""))))</f>
        <v>32.399804000000003</v>
      </c>
      <c r="T281" s="44" t="str">
        <f>IF($O281="","",IFERROR(INDEX('Координати майданчиків'!$B$4:$B$64,MATCH($A281&amp;IF($P281="","",", "&amp;$P281),'Координати майданчиків'!$B$4:$B$64,0)),IFERROR(INDEX('Координати майданчиків'!$B$4:$B$64,MATCH($A281,'Координати майданчиків'!$B$4:$B$64,0)),"")))</f>
        <v/>
      </c>
    </row>
    <row r="282" spans="1:20" x14ac:dyDescent="0.35">
      <c r="A282" s="26" t="str">
        <f t="shared" si="12"/>
        <v>вул. М. Леонтовича</v>
      </c>
      <c r="B282" s="26" t="str">
        <f t="shared" si="13"/>
        <v>СПТУ</v>
      </c>
      <c r="C282" s="27" t="str" cm="1">
        <f t="array" ref="C282">IF($O282="","",_xlfn.TEXTJOIN(", ",TRUE,IF(EXACT('Дані_зв''язок'!$J$4:$J$1012,$O282)*('Дані_зв''язок'!$C$4:$C$1012=C$4),'Дані_зв''язок'!$D$4:$D$1012,"")))</f>
        <v>14:25</v>
      </c>
      <c r="D282" s="27" t="str" cm="1">
        <f t="array" ref="D282">IF($O282="","",_xlfn.TEXTJOIN(", ",TRUE,IF(EXACT('Дані_зв''язок'!$J$4:$J$1012,$O282)*('Дані_зв''язок'!$C$4:$C$1012=D$4),'Дані_зв''язок'!$D$4:$D$1012,"")))</f>
        <v>14:25</v>
      </c>
      <c r="E282" s="27" t="str" cm="1">
        <f t="array" ref="E282">IF($O282="","",_xlfn.TEXTJOIN(", ",TRUE,IF(EXACT('Дані_зв''язок'!$J$4:$J$1012,$O282)*('Дані_зв''язок'!$C$4:$C$1012=E$4),'Дані_зв''язок'!$D$4:$D$1012,"")))</f>
        <v>9:25</v>
      </c>
      <c r="F282" s="27" t="str" cm="1">
        <f t="array" ref="F282">IF($O282="","",_xlfn.TEXTJOIN(", ",TRUE,IF(EXACT('Дані_зв''язок'!$J$4:$J$1012,$O282)*('Дані_зв''язок'!$C$4:$C$1012=F$4),'Дані_зв''язок'!$D$4:$D$1012,"")))</f>
        <v>14:45</v>
      </c>
      <c r="G282" s="27" t="str" cm="1">
        <f t="array" ref="G282">IF($O282="","",_xlfn.TEXTJOIN(", ",TRUE,IF(EXACT('Дані_зв''язок'!$J$4:$J$1012,$O282)*('Дані_зв''язок'!$C$4:$C$1012=G$4),'Дані_зв''язок'!$D$4:$D$1012,"")))</f>
        <v>14:25</v>
      </c>
      <c r="H282" s="27" t="str" cm="1">
        <f t="array" ref="H282">IF($O282="","",_xlfn.TEXTJOIN(", ",TRUE,IF(EXACT('Дані_зв''язок'!$J$4:$J$1012,$O282)*('Дані_зв''язок'!$C$4:$C$1012=H$4),'Дані_зв''язок'!$D$4:$D$1012,"")))</f>
        <v>9:25</v>
      </c>
      <c r="I282" s="27" t="str" cm="1">
        <f t="array" ref="I282">IF($O282="","",_xlfn.TEXTJOIN(", ",TRUE,IF(EXACT('Дані_зв''язок'!$J$4:$J$1012,$O282)*('Дані_зв''язок'!$C$4:$C$1012=I$4),'Дані_зв''язок'!$D$4:$D$1012,"")))</f>
        <v>14:25</v>
      </c>
      <c r="J282" s="27" cm="1">
        <f t="array" ref="J282">IF($O282="","",COUNTIF(C282:I282,"?*")+SUMPRODUCT(LEN(C282:I282)-LEN(SUBSTITUTE(C282:I282,",",""))))</f>
        <v>7</v>
      </c>
      <c r="K282" s="28" t="str" cm="1">
        <f t="array" ref="K282">IF($O282="","",_xlfn.TEXTJOIN(", ",TRUE,IF(EXACT('Дані_зв''язок'!$J$4:$J$1012,$O282),'Дані_зв''язок'!$L$4:$L$1012,"")))</f>
        <v>№2</v>
      </c>
      <c r="L282" s="28" t="str" cm="1">
        <f t="array" ref="L282">IF($O282="","",_xlfn.TEXTJOIN(", ",TRUE,IF(EXACT('Дані_зв''язок'!$J$4:$J$1012,$O282),'Дані_зв''язок'!$M$4:$M$1012,"")))</f>
        <v>АТ 4021/1120, АТ-4021/1120</v>
      </c>
      <c r="M282" s="27" cm="1">
        <f t="array" ref="M282">IF($O282="","",IF(SUMPRODUCT(MAX(EXACT('Дані_зв''язок'!$J$4:$J$1012,$O282)*IFERROR('Дані_зв''язок'!$H$4:$H$1012,0)))=0,"",SUMPRODUCT(MAX(EXACT('Дані_зв''язок'!$J$4:$J$1012,$O282)*IFERROR('Дані_зв''язок'!$H$4:$H$1012,0)))))</f>
        <v>5</v>
      </c>
      <c r="O282" s="30" t="s">
        <v>1402</v>
      </c>
      <c r="P282" s="24" t="str" cm="1">
        <f t="array" ref="P282">IF($O282="","",IF($B282="","",IFERROR(IF(MIN(IFERROR(VALUE(TRIM(MID(SUBSTITUTE(SUBSTITUTE($B282,","," ")," ",REPT(" ",30)),{1;31;61;91;121;151;181},30))),""))=0,"",MIN(IFERROR(VALUE(TRIM(MID(SUBSTITUTE(SUBSTITUTE($B282,","," ")," ",REPT(" ",30)),{1;31;61;91;121;151;181},30))),""))),"")))</f>
        <v/>
      </c>
      <c r="Q282" s="23" t="str">
        <f t="shared" si="14"/>
        <v>Прилуки, Чернігівська обл., вул. М. Леонтовича</v>
      </c>
      <c r="R282" s="35">
        <f>IF($O282="","",IFERROR(INDEX('Координати майданчиків'!$H$4:$H$64,MATCH($T282,'Координати майданчиків'!$B$4:$B$64,0)),IFERROR(IF(ABS(INDEX(Геокодування!$C$2:$C$361,MATCH($Q282,Геокодування!$B$2:$B$361,0))-50.5884)+ABS(INDEX(Геокодування!$D$2:$D$361,MATCH($Q282,Геокодування!$B$2:$B$361,0))-32.3876)&gt;0.15,"",INDEX(Геокодування!$C$2:$C$361,MATCH($Q282,Геокодування!$B$2:$B$361,0))),IFERROR(IF(ABS(INDEX(Геокодування!$C$2:$C$361,MATCH("Прилуки, Чернігівська обл., "&amp;$A282,Геокодування!$B$2:$B$361,0))-50.5884)+ABS(INDEX(Геокодування!$D$2:$D$361,MATCH("Прилуки, Чернігівська обл., "&amp;$A282,Геокодування!$B$2:$B$361,0))-32.3876)&gt;0.15,"",INDEX(Геокодування!$C$2:$C$361,MATCH("Прилуки, Чернігівська обл., "&amp;$A282,Геокодування!$B$2:$B$361,0))),""))))</f>
        <v>50.592874000000002</v>
      </c>
      <c r="S282" s="43">
        <f>IF($O282="","",IFERROR(INDEX('Координати майданчиків'!$I$4:$I$64,MATCH($T282,'Координати майданчиків'!$B$4:$B$64,0)),IFERROR(IF(ABS(INDEX(Геокодування!$C$2:$C$361,MATCH($Q282,Геокодування!$B$2:$B$361,0))-50.5884)+ABS(INDEX(Геокодування!$D$2:$D$361,MATCH($Q282,Геокодування!$B$2:$B$361,0))-32.3876)&gt;0.15,"",INDEX(Геокодування!$D$2:$D$361,MATCH($Q282,Геокодування!$B$2:$B$361,0))),IFERROR(IF(ABS(INDEX(Геокодування!$C$2:$C$361,MATCH("Прилуки, Чернігівська обл., "&amp;$A282,Геокодування!$B$2:$B$361,0))-50.5884)+ABS(INDEX(Геокодування!$D$2:$D$361,MATCH("Прилуки, Чернігівська обл., "&amp;$A282,Геокодування!$B$2:$B$361,0))-32.3876)&gt;0.15,"",INDEX(Геокодування!$D$2:$D$361,MATCH("Прилуки, Чернігівська обл., "&amp;$A282,Геокодування!$B$2:$B$361,0))),""))))</f>
        <v>32.399804000000003</v>
      </c>
      <c r="T282" s="44" t="str">
        <f>IF($O282="","",IFERROR(INDEX('Координати майданчиків'!$B$4:$B$64,MATCH($A282&amp;IF($P282="","",", "&amp;$P282),'Координати майданчиків'!$B$4:$B$64,0)),IFERROR(INDEX('Координати майданчиків'!$B$4:$B$64,MATCH($A282,'Координати майданчиків'!$B$4:$B$64,0)),"")))</f>
        <v/>
      </c>
    </row>
    <row r="283" spans="1:20" x14ac:dyDescent="0.35">
      <c r="A283" s="26" t="str">
        <f t="shared" si="12"/>
        <v>вул. М. Леонтовича</v>
      </c>
      <c r="B283" s="26" t="str">
        <f t="shared" si="13"/>
        <v>Флагман</v>
      </c>
      <c r="C283" s="27" t="str" cm="1">
        <f t="array" ref="C283">IF($O283="","",_xlfn.TEXTJOIN(", ",TRUE,IF(EXACT('Дані_зв''язок'!$J$4:$J$1012,$O283)*('Дані_зв''язок'!$C$4:$C$1012=C$4),'Дані_зв''язок'!$D$4:$D$1012,"")))</f>
        <v>7:30</v>
      </c>
      <c r="D283" s="27" t="str" cm="1">
        <f t="array" ref="D283">IF($O283="","",_xlfn.TEXTJOIN(", ",TRUE,IF(EXACT('Дані_зв''язок'!$J$4:$J$1012,$O283)*('Дані_зв''язок'!$C$4:$C$1012=D$4),'Дані_зв''язок'!$D$4:$D$1012,"")))</f>
        <v>7:30, 15:45</v>
      </c>
      <c r="E283" s="27" t="str" cm="1">
        <f t="array" ref="E283">IF($O283="","",_xlfn.TEXTJOIN(", ",TRUE,IF(EXACT('Дані_зв''язок'!$J$4:$J$1012,$O283)*('Дані_зв''язок'!$C$4:$C$1012=E$4),'Дані_зв''язок'!$D$4:$D$1012,"")))</f>
        <v>7:40</v>
      </c>
      <c r="F283" s="27" t="str" cm="1">
        <f t="array" ref="F283">IF($O283="","",_xlfn.TEXTJOIN(", ",TRUE,IF(EXACT('Дані_зв''язок'!$J$4:$J$1012,$O283)*('Дані_зв''язок'!$C$4:$C$1012=F$4),'Дані_зв''язок'!$D$4:$D$1012,"")))</f>
        <v>7:30</v>
      </c>
      <c r="G283" s="27" t="str" cm="1">
        <f t="array" ref="G283">IF($O283="","",_xlfn.TEXTJOIN(", ",TRUE,IF(EXACT('Дані_зв''язок'!$J$4:$J$1012,$O283)*('Дані_зв''язок'!$C$4:$C$1012=G$4),'Дані_зв''язок'!$D$4:$D$1012,"")))</f>
        <v>7:30</v>
      </c>
      <c r="H283" s="27" t="str" cm="1">
        <f t="array" ref="H283">IF($O283="","",_xlfn.TEXTJOIN(", ",TRUE,IF(EXACT('Дані_зв''язок'!$J$4:$J$1012,$O283)*('Дані_зв''язок'!$C$4:$C$1012=H$4),'Дані_зв''язок'!$D$4:$D$1012,"")))</f>
        <v>7:40</v>
      </c>
      <c r="I283" s="27" t="str" cm="1">
        <f t="array" ref="I283">IF($O283="","",_xlfn.TEXTJOIN(", ",TRUE,IF(EXACT('Дані_зв''язок'!$J$4:$J$1012,$O283)*('Дані_зв''язок'!$C$4:$C$1012=I$4),'Дані_зв''язок'!$D$4:$D$1012,"")))</f>
        <v>7:30, 15:35</v>
      </c>
      <c r="J283" s="27" cm="1">
        <f t="array" ref="J283">IF($O283="","",COUNTIF(C283:I283,"?*")+SUMPRODUCT(LEN(C283:I283)-LEN(SUBSTITUTE(C283:I283,",",""))))</f>
        <v>9</v>
      </c>
      <c r="K283" s="28" t="str" cm="1">
        <f t="array" ref="K283">IF($O283="","",_xlfn.TEXTJOIN(", ",TRUE,IF(EXACT('Дані_зв''язок'!$J$4:$J$1012,$O283),'Дані_зв''язок'!$L$4:$L$1012,"")))</f>
        <v>№2</v>
      </c>
      <c r="L283" s="28" t="str" cm="1">
        <f t="array" ref="L283">IF($O283="","",_xlfn.TEXTJOIN(", ",TRUE,IF(EXACT('Дані_зв''язок'!$J$4:$J$1012,$O283),'Дані_зв''язок'!$M$4:$M$1012,"")))</f>
        <v>АТ 4021/1120, АТ-4021/1120</v>
      </c>
      <c r="M283" s="27" cm="1">
        <f t="array" ref="M283">IF($O283="","",IF(SUMPRODUCT(MAX(EXACT('Дані_зв''язок'!$J$4:$J$1012,$O283)*IFERROR('Дані_зв''язок'!$H$4:$H$1012,0)))=0,"",SUMPRODUCT(MAX(EXACT('Дані_зв''язок'!$J$4:$J$1012,$O283)*IFERROR('Дані_зв''язок'!$H$4:$H$1012,0)))))</f>
        <v>3</v>
      </c>
      <c r="O283" s="30" t="s">
        <v>1403</v>
      </c>
      <c r="P283" s="24" t="str" cm="1">
        <f t="array" ref="P283">IF($O283="","",IF($B283="","",IFERROR(IF(MIN(IFERROR(VALUE(TRIM(MID(SUBSTITUTE(SUBSTITUTE($B283,","," ")," ",REPT(" ",30)),{1;31;61;91;121;151;181},30))),""))=0,"",MIN(IFERROR(VALUE(TRIM(MID(SUBSTITUTE(SUBSTITUTE($B283,","," ")," ",REPT(" ",30)),{1;31;61;91;121;151;181},30))),""))),"")))</f>
        <v/>
      </c>
      <c r="Q283" s="23" t="str">
        <f t="shared" si="14"/>
        <v>Прилуки, Чернігівська обл., вул. М. Леонтовича</v>
      </c>
      <c r="R283" s="35">
        <f>IF($O283="","",IFERROR(INDEX('Координати майданчиків'!$H$4:$H$64,MATCH($T283,'Координати майданчиків'!$B$4:$B$64,0)),IFERROR(IF(ABS(INDEX(Геокодування!$C$2:$C$361,MATCH($Q283,Геокодування!$B$2:$B$361,0))-50.5884)+ABS(INDEX(Геокодування!$D$2:$D$361,MATCH($Q283,Геокодування!$B$2:$B$361,0))-32.3876)&gt;0.15,"",INDEX(Геокодування!$C$2:$C$361,MATCH($Q283,Геокодування!$B$2:$B$361,0))),IFERROR(IF(ABS(INDEX(Геокодування!$C$2:$C$361,MATCH("Прилуки, Чернігівська обл., "&amp;$A283,Геокодування!$B$2:$B$361,0))-50.5884)+ABS(INDEX(Геокодування!$D$2:$D$361,MATCH("Прилуки, Чернігівська обл., "&amp;$A283,Геокодування!$B$2:$B$361,0))-32.3876)&gt;0.15,"",INDEX(Геокодування!$C$2:$C$361,MATCH("Прилуки, Чернігівська обл., "&amp;$A283,Геокодування!$B$2:$B$361,0))),""))))</f>
        <v>50.592874000000002</v>
      </c>
      <c r="S283" s="43">
        <f>IF($O283="","",IFERROR(INDEX('Координати майданчиків'!$I$4:$I$64,MATCH($T283,'Координати майданчиків'!$B$4:$B$64,0)),IFERROR(IF(ABS(INDEX(Геокодування!$C$2:$C$361,MATCH($Q283,Геокодування!$B$2:$B$361,0))-50.5884)+ABS(INDEX(Геокодування!$D$2:$D$361,MATCH($Q283,Геокодування!$B$2:$B$361,0))-32.3876)&gt;0.15,"",INDEX(Геокодування!$D$2:$D$361,MATCH($Q283,Геокодування!$B$2:$B$361,0))),IFERROR(IF(ABS(INDEX(Геокодування!$C$2:$C$361,MATCH("Прилуки, Чернігівська обл., "&amp;$A283,Геокодування!$B$2:$B$361,0))-50.5884)+ABS(INDEX(Геокодування!$D$2:$D$361,MATCH("Прилуки, Чернігівська обл., "&amp;$A283,Геокодування!$B$2:$B$361,0))-32.3876)&gt;0.15,"",INDEX(Геокодування!$D$2:$D$361,MATCH("Прилуки, Чернігівська обл., "&amp;$A283,Геокодування!$B$2:$B$361,0))),""))))</f>
        <v>32.399804000000003</v>
      </c>
      <c r="T283" s="44" t="str">
        <f>IF($O283="","",IFERROR(INDEX('Координати майданчиків'!$B$4:$B$64,MATCH($A283&amp;IF($P283="","",", "&amp;$P283),'Координати майданчиків'!$B$4:$B$64,0)),IFERROR(INDEX('Координати майданчиків'!$B$4:$B$64,MATCH($A283,'Координати майданчиків'!$B$4:$B$64,0)),"")))</f>
        <v/>
      </c>
    </row>
    <row r="284" spans="1:20" x14ac:dyDescent="0.35">
      <c r="A284" s="26" t="str">
        <f t="shared" si="12"/>
        <v>вул. М. Леонтовича</v>
      </c>
      <c r="B284" s="26" t="str">
        <f t="shared" si="13"/>
        <v>газове</v>
      </c>
      <c r="C284" s="27" t="str" cm="1">
        <f t="array" ref="C284">IF($O284="","",_xlfn.TEXTJOIN(", ",TRUE,IF(EXACT('Дані_зв''язок'!$J$4:$J$1012,$O284)*('Дані_зв''язок'!$C$4:$C$1012=C$4),'Дані_зв''язок'!$D$4:$D$1012,"")))</f>
        <v>9:25</v>
      </c>
      <c r="D284" s="27" t="str" cm="1">
        <f t="array" ref="D284">IF($O284="","",_xlfn.TEXTJOIN(", ",TRUE,IF(EXACT('Дані_зв''язок'!$J$4:$J$1012,$O284)*('Дані_зв''язок'!$C$4:$C$1012=D$4),'Дані_зв''язок'!$D$4:$D$1012,"")))</f>
        <v>9:25</v>
      </c>
      <c r="E284" s="27" t="str" cm="1">
        <f t="array" ref="E284">IF($O284="","",_xlfn.TEXTJOIN(", ",TRUE,IF(EXACT('Дані_зв''язок'!$J$4:$J$1012,$O284)*('Дані_зв''язок'!$C$4:$C$1012=E$4),'Дані_зв''язок'!$D$4:$D$1012,"")))</f>
        <v/>
      </c>
      <c r="F284" s="27" t="str" cm="1">
        <f t="array" ref="F284">IF($O284="","",_xlfn.TEXTJOIN(", ",TRUE,IF(EXACT('Дані_зв''язок'!$J$4:$J$1012,$O284)*('Дані_зв''язок'!$C$4:$C$1012=F$4),'Дані_зв''язок'!$D$4:$D$1012,"")))</f>
        <v>9:10</v>
      </c>
      <c r="G284" s="27" t="str" cm="1">
        <f t="array" ref="G284">IF($O284="","",_xlfn.TEXTJOIN(", ",TRUE,IF(EXACT('Дані_зв''язок'!$J$4:$J$1012,$O284)*('Дані_зв''язок'!$C$4:$C$1012=G$4),'Дані_зв''язок'!$D$4:$D$1012,"")))</f>
        <v>9:25</v>
      </c>
      <c r="H284" s="27" t="str" cm="1">
        <f t="array" ref="H284">IF($O284="","",_xlfn.TEXTJOIN(", ",TRUE,IF(EXACT('Дані_зв''язок'!$J$4:$J$1012,$O284)*('Дані_зв''язок'!$C$4:$C$1012=H$4),'Дані_зв''язок'!$D$4:$D$1012,"")))</f>
        <v/>
      </c>
      <c r="I284" s="27" t="str" cm="1">
        <f t="array" ref="I284">IF($O284="","",_xlfn.TEXTJOIN(", ",TRUE,IF(EXACT('Дані_зв''язок'!$J$4:$J$1012,$O284)*('Дані_зв''язок'!$C$4:$C$1012=I$4),'Дані_зв''язок'!$D$4:$D$1012,"")))</f>
        <v/>
      </c>
      <c r="J284" s="27" cm="1">
        <f t="array" ref="J284">IF($O284="","",COUNTIF(C284:I284,"?*")+SUMPRODUCT(LEN(C284:I284)-LEN(SUBSTITUTE(C284:I284,",",""))))</f>
        <v>4</v>
      </c>
      <c r="K284" s="28" t="str" cm="1">
        <f t="array" ref="K284">IF($O284="","",_xlfn.TEXTJOIN(", ",TRUE,IF(EXACT('Дані_зв''язок'!$J$4:$J$1012,$O284),'Дані_зв''язок'!$L$4:$L$1012,"")))</f>
        <v>№4</v>
      </c>
      <c r="L284" s="28" t="str" cm="1">
        <f t="array" ref="L284">IF($O284="","",_xlfn.TEXTJOIN(", ",TRUE,IF(EXACT('Дані_зв''язок'!$J$4:$J$1012,$O284),'Дані_зв''язок'!$M$4:$M$1012,"")))</f>
        <v>АТ 40-42/ROD21003</v>
      </c>
      <c r="M284" s="27" cm="1">
        <f t="array" ref="M284">IF($O284="","",IF(SUMPRODUCT(MAX(EXACT('Дані_зв''язок'!$J$4:$J$1012,$O284)*IFERROR('Дані_зв''язок'!$H$4:$H$1012,0)))=0,"",SUMPRODUCT(MAX(EXACT('Дані_зв''язок'!$J$4:$J$1012,$O284)*IFERROR('Дані_зв''язок'!$H$4:$H$1012,0)))))</f>
        <v>2</v>
      </c>
      <c r="O284" s="30" t="s">
        <v>1401</v>
      </c>
      <c r="P284" s="24" t="str" cm="1">
        <f t="array" ref="P284">IF($O284="","",IF($B284="","",IFERROR(IF(MIN(IFERROR(VALUE(TRIM(MID(SUBSTITUTE(SUBSTITUTE($B284,","," ")," ",REPT(" ",30)),{1;31;61;91;121;151;181},30))),""))=0,"",MIN(IFERROR(VALUE(TRIM(MID(SUBSTITUTE(SUBSTITUTE($B284,","," ")," ",REPT(" ",30)),{1;31;61;91;121;151;181},30))),""))),"")))</f>
        <v/>
      </c>
      <c r="Q284" s="23" t="str">
        <f t="shared" si="14"/>
        <v>Прилуки, Чернігівська обл., вул. М. Леонтовича</v>
      </c>
      <c r="R284" s="35">
        <f>IF($O284="","",IFERROR(INDEX('Координати майданчиків'!$H$4:$H$64,MATCH($T284,'Координати майданчиків'!$B$4:$B$64,0)),IFERROR(IF(ABS(INDEX(Геокодування!$C$2:$C$361,MATCH($Q284,Геокодування!$B$2:$B$361,0))-50.5884)+ABS(INDEX(Геокодування!$D$2:$D$361,MATCH($Q284,Геокодування!$B$2:$B$361,0))-32.3876)&gt;0.15,"",INDEX(Геокодування!$C$2:$C$361,MATCH($Q284,Геокодування!$B$2:$B$361,0))),IFERROR(IF(ABS(INDEX(Геокодування!$C$2:$C$361,MATCH("Прилуки, Чернігівська обл., "&amp;$A284,Геокодування!$B$2:$B$361,0))-50.5884)+ABS(INDEX(Геокодування!$D$2:$D$361,MATCH("Прилуки, Чернігівська обл., "&amp;$A284,Геокодування!$B$2:$B$361,0))-32.3876)&gt;0.15,"",INDEX(Геокодування!$C$2:$C$361,MATCH("Прилуки, Чернігівська обл., "&amp;$A284,Геокодування!$B$2:$B$361,0))),""))))</f>
        <v>50.592874000000002</v>
      </c>
      <c r="S284" s="43">
        <f>IF($O284="","",IFERROR(INDEX('Координати майданчиків'!$I$4:$I$64,MATCH($T284,'Координати майданчиків'!$B$4:$B$64,0)),IFERROR(IF(ABS(INDEX(Геокодування!$C$2:$C$361,MATCH($Q284,Геокодування!$B$2:$B$361,0))-50.5884)+ABS(INDEX(Геокодування!$D$2:$D$361,MATCH($Q284,Геокодування!$B$2:$B$361,0))-32.3876)&gt;0.15,"",INDEX(Геокодування!$D$2:$D$361,MATCH($Q284,Геокодування!$B$2:$B$361,0))),IFERROR(IF(ABS(INDEX(Геокодування!$C$2:$C$361,MATCH("Прилуки, Чернігівська обл., "&amp;$A284,Геокодування!$B$2:$B$361,0))-50.5884)+ABS(INDEX(Геокодування!$D$2:$D$361,MATCH("Прилуки, Чернігівська обл., "&amp;$A284,Геокодування!$B$2:$B$361,0))-32.3876)&gt;0.15,"",INDEX(Геокодування!$D$2:$D$361,MATCH("Прилуки, Чернігівська обл., "&amp;$A284,Геокодування!$B$2:$B$361,0))),""))))</f>
        <v>32.399804000000003</v>
      </c>
      <c r="T284" s="44" t="str">
        <f>IF($O284="","",IFERROR(INDEX('Координати майданчиків'!$B$4:$B$64,MATCH($A284&amp;IF($P284="","",", "&amp;$P284),'Координати майданчиків'!$B$4:$B$64,0)),IFERROR(INDEX('Координати майданчиків'!$B$4:$B$64,MATCH($A284,'Координати майданчиків'!$B$4:$B$64,0)),"")))</f>
        <v/>
      </c>
    </row>
    <row r="285" spans="1:20" x14ac:dyDescent="0.35">
      <c r="A285" s="26" t="str">
        <f t="shared" si="12"/>
        <v>вул. М. Лисенка</v>
      </c>
      <c r="B285" s="26" t="str">
        <f t="shared" si="13"/>
        <v>26,16  11,5</v>
      </c>
      <c r="C285" s="27" t="str" cm="1">
        <f t="array" ref="C285">IF($O285="","",_xlfn.TEXTJOIN(", ",TRUE,IF(EXACT('Дані_зв''язок'!$J$4:$J$1012,$O285)*('Дані_зв''язок'!$C$4:$C$1012=C$4),'Дані_зв''язок'!$D$4:$D$1012,"")))</f>
        <v>11:00</v>
      </c>
      <c r="D285" s="27" t="str" cm="1">
        <f t="array" ref="D285">IF($O285="","",_xlfn.TEXTJOIN(", ",TRUE,IF(EXACT('Дані_зв''язок'!$J$4:$J$1012,$O285)*('Дані_зв''язок'!$C$4:$C$1012=D$4),'Дані_зв''язок'!$D$4:$D$1012,"")))</f>
        <v/>
      </c>
      <c r="E285" s="27" t="str" cm="1">
        <f t="array" ref="E285">IF($O285="","",_xlfn.TEXTJOIN(", ",TRUE,IF(EXACT('Дані_зв''язок'!$J$4:$J$1012,$O285)*('Дані_зв''язок'!$C$4:$C$1012=E$4),'Дані_зв''язок'!$D$4:$D$1012,"")))</f>
        <v/>
      </c>
      <c r="F285" s="27" t="str" cm="1">
        <f t="array" ref="F285">IF($O285="","",_xlfn.TEXTJOIN(", ",TRUE,IF(EXACT('Дані_зв''язок'!$J$4:$J$1012,$O285)*('Дані_зв''язок'!$C$4:$C$1012=F$4),'Дані_зв''язок'!$D$4:$D$1012,"")))</f>
        <v/>
      </c>
      <c r="G285" s="27" t="str" cm="1">
        <f t="array" ref="G285">IF($O285="","",_xlfn.TEXTJOIN(", ",TRUE,IF(EXACT('Дані_зв''язок'!$J$4:$J$1012,$O285)*('Дані_зв''язок'!$C$4:$C$1012=G$4),'Дані_зв''язок'!$D$4:$D$1012,"")))</f>
        <v/>
      </c>
      <c r="H285" s="27" t="str" cm="1">
        <f t="array" ref="H285">IF($O285="","",_xlfn.TEXTJOIN(", ",TRUE,IF(EXACT('Дані_зв''язок'!$J$4:$J$1012,$O285)*('Дані_зв''язок'!$C$4:$C$1012=H$4),'Дані_зв''язок'!$D$4:$D$1012,"")))</f>
        <v/>
      </c>
      <c r="I285" s="27" t="str" cm="1">
        <f t="array" ref="I285">IF($O285="","",_xlfn.TEXTJOIN(", ",TRUE,IF(EXACT('Дані_зв''язок'!$J$4:$J$1012,$O285)*('Дані_зв''язок'!$C$4:$C$1012=I$4),'Дані_зв''язок'!$D$4:$D$1012,"")))</f>
        <v/>
      </c>
      <c r="J285" s="27" cm="1">
        <f t="array" ref="J285">IF($O285="","",COUNTIF(C285:I285,"?*")+SUMPRODUCT(LEN(C285:I285)-LEN(SUBSTITUTE(C285:I285,",",""))))</f>
        <v>1</v>
      </c>
      <c r="K285" s="28" t="str" cm="1">
        <f t="array" ref="K285">IF($O285="","",_xlfn.TEXTJOIN(", ",TRUE,IF(EXACT('Дані_зв''язок'!$J$4:$J$1012,$O285),'Дані_зв''язок'!$L$4:$L$1012,"")))</f>
        <v>№6</v>
      </c>
      <c r="L285" s="28" t="str" cm="1">
        <f t="array" ref="L285">IF($O285="","",_xlfn.TEXTJOIN(", ",TRUE,IF(EXACT('Дані_зв''язок'!$J$4:$J$1012,$O285),'Дані_зв''язок'!$M$4:$M$1012,"")))</f>
        <v>АТ 4021</v>
      </c>
      <c r="M285" s="27" t="str" cm="1">
        <f t="array" ref="M285">IF($O285="","",IF(SUMPRODUCT(MAX(EXACT('Дані_зв''язок'!$J$4:$J$1012,$O285)*IFERROR('Дані_зв''язок'!$H$4:$H$1012,0)))=0,"",SUMPRODUCT(MAX(EXACT('Дані_зв''язок'!$J$4:$J$1012,$O285)*IFERROR('Дані_зв''язок'!$H$4:$H$1012,0)))))</f>
        <v/>
      </c>
      <c r="O285" s="30" t="s">
        <v>1404</v>
      </c>
      <c r="P285" s="24" cm="1">
        <f t="array" ref="P285">IF($O285="","",IF($B285="","",IFERROR(IF(MIN(IFERROR(VALUE(TRIM(MID(SUBSTITUTE(SUBSTITUTE($B285,","," ")," ",REPT(" ",30)),{1;31;61;91;121;151;181},30))),""))=0,"",MIN(IFERROR(VALUE(TRIM(MID(SUBSTITUTE(SUBSTITUTE($B285,","," ")," ",REPT(" ",30)),{1;31;61;91;121;151;181},30))),""))),"")))</f>
        <v>5</v>
      </c>
      <c r="Q285" s="23" t="str">
        <f t="shared" si="14"/>
        <v>Прилуки, Чернігівська обл., вул. М. Лисенка, 5</v>
      </c>
      <c r="R285" s="35">
        <f>IF($O285="","",IFERROR(INDEX('Координати майданчиків'!$H$4:$H$64,MATCH($T285,'Координати майданчиків'!$B$4:$B$64,0)),IFERROR(IF(ABS(INDEX(Геокодування!$C$2:$C$361,MATCH($Q285,Геокодування!$B$2:$B$361,0))-50.5884)+ABS(INDEX(Геокодування!$D$2:$D$361,MATCH($Q285,Геокодування!$B$2:$B$361,0))-32.3876)&gt;0.15,"",INDEX(Геокодування!$C$2:$C$361,MATCH($Q285,Геокодування!$B$2:$B$361,0))),IFERROR(IF(ABS(INDEX(Геокодування!$C$2:$C$361,MATCH("Прилуки, Чернігівська обл., "&amp;$A285,Геокодування!$B$2:$B$361,0))-50.5884)+ABS(INDEX(Геокодування!$D$2:$D$361,MATCH("Прилуки, Чернігівська обл., "&amp;$A285,Геокодування!$B$2:$B$361,0))-32.3876)&gt;0.15,"",INDEX(Геокодування!$C$2:$C$361,MATCH("Прилуки, Чернігівська обл., "&amp;$A285,Геокодування!$B$2:$B$361,0))),""))))</f>
        <v>50.614274000000002</v>
      </c>
      <c r="S285" s="43">
        <f>IF($O285="","",IFERROR(INDEX('Координати майданчиків'!$I$4:$I$64,MATCH($T285,'Координати майданчиків'!$B$4:$B$64,0)),IFERROR(IF(ABS(INDEX(Геокодування!$C$2:$C$361,MATCH($Q285,Геокодування!$B$2:$B$361,0))-50.5884)+ABS(INDEX(Геокодування!$D$2:$D$361,MATCH($Q285,Геокодування!$B$2:$B$361,0))-32.3876)&gt;0.15,"",INDEX(Геокодування!$D$2:$D$361,MATCH($Q285,Геокодування!$B$2:$B$361,0))),IFERROR(IF(ABS(INDEX(Геокодування!$C$2:$C$361,MATCH("Прилуки, Чернігівська обл., "&amp;$A285,Геокодування!$B$2:$B$361,0))-50.5884)+ABS(INDEX(Геокодування!$D$2:$D$361,MATCH("Прилуки, Чернігівська обл., "&amp;$A285,Геокодування!$B$2:$B$361,0))-32.3876)&gt;0.15,"",INDEX(Геокодування!$D$2:$D$361,MATCH("Прилуки, Чернігівська обл., "&amp;$A285,Геокодування!$B$2:$B$361,0))),""))))</f>
        <v>32.371076000000002</v>
      </c>
      <c r="T285" s="44" t="str">
        <f>IF($O285="","",IFERROR(INDEX('Координати майданчиків'!$B$4:$B$64,MATCH($A285&amp;IF($P285="","",", "&amp;$P285),'Координати майданчиків'!$B$4:$B$64,0)),IFERROR(INDEX('Координати майданчиків'!$B$4:$B$64,MATCH($A285,'Координати майданчиків'!$B$4:$B$64,0)),"")))</f>
        <v/>
      </c>
    </row>
    <row r="286" spans="1:20" x14ac:dyDescent="0.35">
      <c r="A286" s="26" t="str">
        <f t="shared" si="12"/>
        <v>вул. М. Лисенка</v>
      </c>
      <c r="B286" s="26" t="str">
        <f t="shared" si="13"/>
        <v>5,12</v>
      </c>
      <c r="C286" s="27" t="str" cm="1">
        <f t="array" ref="C286">IF($O286="","",_xlfn.TEXTJOIN(", ",TRUE,IF(EXACT('Дані_зв''язок'!$J$4:$J$1012,$O286)*('Дані_зв''язок'!$C$4:$C$1012=C$4),'Дані_зв''язок'!$D$4:$D$1012,"")))</f>
        <v/>
      </c>
      <c r="D286" s="27" t="str" cm="1">
        <f t="array" ref="D286">IF($O286="","",_xlfn.TEXTJOIN(", ",TRUE,IF(EXACT('Дані_зв''язок'!$J$4:$J$1012,$O286)*('Дані_зв''язок'!$C$4:$C$1012=D$4),'Дані_зв''язок'!$D$4:$D$1012,"")))</f>
        <v/>
      </c>
      <c r="E286" s="27" t="str" cm="1">
        <f t="array" ref="E286">IF($O286="","",_xlfn.TEXTJOIN(", ",TRUE,IF(EXACT('Дані_зв''язок'!$J$4:$J$1012,$O286)*('Дані_зв''язок'!$C$4:$C$1012=E$4),'Дані_зв''язок'!$D$4:$D$1012,"")))</f>
        <v/>
      </c>
      <c r="F286" s="27" t="str" cm="1">
        <f t="array" ref="F286">IF($O286="","",_xlfn.TEXTJOIN(", ",TRUE,IF(EXACT('Дані_зв''язок'!$J$4:$J$1012,$O286)*('Дані_зв''язок'!$C$4:$C$1012=F$4),'Дані_зв''язок'!$D$4:$D$1012,"")))</f>
        <v>8:30</v>
      </c>
      <c r="G286" s="27" t="str" cm="1">
        <f t="array" ref="G286">IF($O286="","",_xlfn.TEXTJOIN(", ",TRUE,IF(EXACT('Дані_зв''язок'!$J$4:$J$1012,$O286)*('Дані_зв''язок'!$C$4:$C$1012=G$4),'Дані_зв''язок'!$D$4:$D$1012,"")))</f>
        <v/>
      </c>
      <c r="H286" s="27" t="str" cm="1">
        <f t="array" ref="H286">IF($O286="","",_xlfn.TEXTJOIN(", ",TRUE,IF(EXACT('Дані_зв''язок'!$J$4:$J$1012,$O286)*('Дані_зв''язок'!$C$4:$C$1012=H$4),'Дані_зв''язок'!$D$4:$D$1012,"")))</f>
        <v/>
      </c>
      <c r="I286" s="27" t="str" cm="1">
        <f t="array" ref="I286">IF($O286="","",_xlfn.TEXTJOIN(", ",TRUE,IF(EXACT('Дані_зв''язок'!$J$4:$J$1012,$O286)*('Дані_зв''язок'!$C$4:$C$1012=I$4),'Дані_зв''язок'!$D$4:$D$1012,"")))</f>
        <v/>
      </c>
      <c r="J286" s="27" cm="1">
        <f t="array" ref="J286">IF($O286="","",COUNTIF(C286:I286,"?*")+SUMPRODUCT(LEN(C286:I286)-LEN(SUBSTITUTE(C286:I286,",",""))))</f>
        <v>1</v>
      </c>
      <c r="K286" s="28" t="str" cm="1">
        <f t="array" ref="K286">IF($O286="","",_xlfn.TEXTJOIN(", ",TRUE,IF(EXACT('Дані_зв''язок'!$J$4:$J$1012,$O286),'Дані_зв''язок'!$L$4:$L$1012,"")))</f>
        <v>№6</v>
      </c>
      <c r="L286" s="28" t="str" cm="1">
        <f t="array" ref="L286">IF($O286="","",_xlfn.TEXTJOIN(", ",TRUE,IF(EXACT('Дані_зв''язок'!$J$4:$J$1012,$O286),'Дані_зв''язок'!$M$4:$M$1012,"")))</f>
        <v>АТ 4021</v>
      </c>
      <c r="M286" s="27" t="str" cm="1">
        <f t="array" ref="M286">IF($O286="","",IF(SUMPRODUCT(MAX(EXACT('Дані_зв''язок'!$J$4:$J$1012,$O286)*IFERROR('Дані_зв''язок'!$H$4:$H$1012,0)))=0,"",SUMPRODUCT(MAX(EXACT('Дані_зв''язок'!$J$4:$J$1012,$O286)*IFERROR('Дані_зв''язок'!$H$4:$H$1012,0)))))</f>
        <v/>
      </c>
      <c r="O286" s="30" t="s">
        <v>1405</v>
      </c>
      <c r="P286" s="24" cm="1">
        <f t="array" ref="P286">IF($O286="","",IF($B286="","",IFERROR(IF(MIN(IFERROR(VALUE(TRIM(MID(SUBSTITUTE(SUBSTITUTE($B286,","," ")," ",REPT(" ",30)),{1;31;61;91;121;151;181},30))),""))=0,"",MIN(IFERROR(VALUE(TRIM(MID(SUBSTITUTE(SUBSTITUTE($B286,","," ")," ",REPT(" ",30)),{1;31;61;91;121;151;181},30))),""))),"")))</f>
        <v>5</v>
      </c>
      <c r="Q286" s="23" t="str">
        <f t="shared" si="14"/>
        <v>Прилуки, Чернігівська обл., вул. М. Лисенка, 5</v>
      </c>
      <c r="R286" s="35">
        <f>IF($O286="","",IFERROR(INDEX('Координати майданчиків'!$H$4:$H$64,MATCH($T286,'Координати майданчиків'!$B$4:$B$64,0)),IFERROR(IF(ABS(INDEX(Геокодування!$C$2:$C$361,MATCH($Q286,Геокодування!$B$2:$B$361,0))-50.5884)+ABS(INDEX(Геокодування!$D$2:$D$361,MATCH($Q286,Геокодування!$B$2:$B$361,0))-32.3876)&gt;0.15,"",INDEX(Геокодування!$C$2:$C$361,MATCH($Q286,Геокодування!$B$2:$B$361,0))),IFERROR(IF(ABS(INDEX(Геокодування!$C$2:$C$361,MATCH("Прилуки, Чернігівська обл., "&amp;$A286,Геокодування!$B$2:$B$361,0))-50.5884)+ABS(INDEX(Геокодування!$D$2:$D$361,MATCH("Прилуки, Чернігівська обл., "&amp;$A286,Геокодування!$B$2:$B$361,0))-32.3876)&gt;0.15,"",INDEX(Геокодування!$C$2:$C$361,MATCH("Прилуки, Чернігівська обл., "&amp;$A286,Геокодування!$B$2:$B$361,0))),""))))</f>
        <v>50.614274000000002</v>
      </c>
      <c r="S286" s="43">
        <f>IF($O286="","",IFERROR(INDEX('Координати майданчиків'!$I$4:$I$64,MATCH($T286,'Координати майданчиків'!$B$4:$B$64,0)),IFERROR(IF(ABS(INDEX(Геокодування!$C$2:$C$361,MATCH($Q286,Геокодування!$B$2:$B$361,0))-50.5884)+ABS(INDEX(Геокодування!$D$2:$D$361,MATCH($Q286,Геокодування!$B$2:$B$361,0))-32.3876)&gt;0.15,"",INDEX(Геокодування!$D$2:$D$361,MATCH($Q286,Геокодування!$B$2:$B$361,0))),IFERROR(IF(ABS(INDEX(Геокодування!$C$2:$C$361,MATCH("Прилуки, Чернігівська обл., "&amp;$A286,Геокодування!$B$2:$B$361,0))-50.5884)+ABS(INDEX(Геокодування!$D$2:$D$361,MATCH("Прилуки, Чернігівська обл., "&amp;$A286,Геокодування!$B$2:$B$361,0))-32.3876)&gt;0.15,"",INDEX(Геокодування!$D$2:$D$361,MATCH("Прилуки, Чернігівська обл., "&amp;$A286,Геокодування!$B$2:$B$361,0))),""))))</f>
        <v>32.371076000000002</v>
      </c>
      <c r="T286" s="44" t="str">
        <f>IF($O286="","",IFERROR(INDEX('Координати майданчиків'!$B$4:$B$64,MATCH($A286&amp;IF($P286="","",", "&amp;$P286),'Координати майданчиків'!$B$4:$B$64,0)),IFERROR(INDEX('Координати майданчиків'!$B$4:$B$64,MATCH($A286,'Координати майданчиків'!$B$4:$B$64,0)),"")))</f>
        <v/>
      </c>
    </row>
    <row r="287" spans="1:20" x14ac:dyDescent="0.35">
      <c r="A287" s="26" t="str">
        <f t="shared" si="12"/>
        <v>вул. М. Маркевича</v>
      </c>
      <c r="B287" s="26" t="str">
        <f t="shared" si="13"/>
        <v/>
      </c>
      <c r="C287" s="27" t="str" cm="1">
        <f t="array" ref="C287">IF($O287="","",_xlfn.TEXTJOIN(", ",TRUE,IF(EXACT('Дані_зв''язок'!$J$4:$J$1012,$O287)*('Дані_зв''язок'!$C$4:$C$1012=C$4),'Дані_зв''язок'!$D$4:$D$1012,"")))</f>
        <v/>
      </c>
      <c r="D287" s="27" t="str" cm="1">
        <f t="array" ref="D287">IF($O287="","",_xlfn.TEXTJOIN(", ",TRUE,IF(EXACT('Дані_зв''язок'!$J$4:$J$1012,$O287)*('Дані_зв''язок'!$C$4:$C$1012=D$4),'Дані_зв''язок'!$D$4:$D$1012,"")))</f>
        <v>9:50</v>
      </c>
      <c r="E287" s="27" t="str" cm="1">
        <f t="array" ref="E287">IF($O287="","",_xlfn.TEXTJOIN(", ",TRUE,IF(EXACT('Дані_зв''язок'!$J$4:$J$1012,$O287)*('Дані_зв''язок'!$C$4:$C$1012=E$4),'Дані_зв''язок'!$D$4:$D$1012,"")))</f>
        <v/>
      </c>
      <c r="F287" s="27" t="str" cm="1">
        <f t="array" ref="F287">IF($O287="","",_xlfn.TEXTJOIN(", ",TRUE,IF(EXACT('Дані_зв''язок'!$J$4:$J$1012,$O287)*('Дані_зв''язок'!$C$4:$C$1012=F$4),'Дані_зв''язок'!$D$4:$D$1012,"")))</f>
        <v/>
      </c>
      <c r="G287" s="27" t="str" cm="1">
        <f t="array" ref="G287">IF($O287="","",_xlfn.TEXTJOIN(", ",TRUE,IF(EXACT('Дані_зв''язок'!$J$4:$J$1012,$O287)*('Дані_зв''язок'!$C$4:$C$1012=G$4),'Дані_зв''язок'!$D$4:$D$1012,"")))</f>
        <v/>
      </c>
      <c r="H287" s="27" t="str" cm="1">
        <f t="array" ref="H287">IF($O287="","",_xlfn.TEXTJOIN(", ",TRUE,IF(EXACT('Дані_зв''язок'!$J$4:$J$1012,$O287)*('Дані_зв''язок'!$C$4:$C$1012=H$4),'Дані_зв''язок'!$D$4:$D$1012,"")))</f>
        <v/>
      </c>
      <c r="I287" s="27" t="str" cm="1">
        <f t="array" ref="I287">IF($O287="","",_xlfn.TEXTJOIN(", ",TRUE,IF(EXACT('Дані_зв''язок'!$J$4:$J$1012,$O287)*('Дані_зв''язок'!$C$4:$C$1012=I$4),'Дані_зв''язок'!$D$4:$D$1012,"")))</f>
        <v/>
      </c>
      <c r="J287" s="27" cm="1">
        <f t="array" ref="J287">IF($O287="","",COUNTIF(C287:I287,"?*")+SUMPRODUCT(LEN(C287:I287)-LEN(SUBSTITUTE(C287:I287,",",""))))</f>
        <v>1</v>
      </c>
      <c r="K287" s="28" t="str" cm="1">
        <f t="array" ref="K287">IF($O287="","",_xlfn.TEXTJOIN(", ",TRUE,IF(EXACT('Дані_зв''язок'!$J$4:$J$1012,$O287),'Дані_зв''язок'!$L$4:$L$1012,"")))</f>
        <v>№5</v>
      </c>
      <c r="L287" s="28" t="str" cm="1">
        <f t="array" ref="L287">IF($O287="","",_xlfn.TEXTJOIN(", ",TRUE,IF(EXACT('Дані_зв''язок'!$J$4:$J$1012,$O287),'Дані_зв''язок'!$M$4:$M$1012,"")))</f>
        <v>МАЗ 4381</v>
      </c>
      <c r="M287" s="27" t="str" cm="1">
        <f t="array" ref="M287">IF($O287="","",IF(SUMPRODUCT(MAX(EXACT('Дані_зв''язок'!$J$4:$J$1012,$O287)*IFERROR('Дані_зв''язок'!$H$4:$H$1012,0)))=0,"",SUMPRODUCT(MAX(EXACT('Дані_зв''язок'!$J$4:$J$1012,$O287)*IFERROR('Дані_зв''язок'!$H$4:$H$1012,0)))))</f>
        <v/>
      </c>
      <c r="O287" s="30" t="s">
        <v>1406</v>
      </c>
      <c r="P287" s="24" t="str" cm="1">
        <f t="array" ref="P287">IF($O287="","",IF($B287="","",IFERROR(IF(MIN(IFERROR(VALUE(TRIM(MID(SUBSTITUTE(SUBSTITUTE($B287,","," ")," ",REPT(" ",30)),{1;31;61;91;121;151;181},30))),""))=0,"",MIN(IFERROR(VALUE(TRIM(MID(SUBSTITUTE(SUBSTITUTE($B287,","," ")," ",REPT(" ",30)),{1;31;61;91;121;151;181},30))),""))),"")))</f>
        <v/>
      </c>
      <c r="Q287" s="23" t="str">
        <f t="shared" si="14"/>
        <v>Прилуки, Чернігівська обл., вул. М. Маркевича</v>
      </c>
      <c r="R287" s="35">
        <f>IF($O287="","",IFERROR(INDEX('Координати майданчиків'!$H$4:$H$64,MATCH($T287,'Координати майданчиків'!$B$4:$B$64,0)),IFERROR(IF(ABS(INDEX(Геокодування!$C$2:$C$361,MATCH($Q287,Геокодування!$B$2:$B$361,0))-50.5884)+ABS(INDEX(Геокодування!$D$2:$D$361,MATCH($Q287,Геокодування!$B$2:$B$361,0))-32.3876)&gt;0.15,"",INDEX(Геокодування!$C$2:$C$361,MATCH($Q287,Геокодування!$B$2:$B$361,0))),IFERROR(IF(ABS(INDEX(Геокодування!$C$2:$C$361,MATCH("Прилуки, Чернігівська обл., "&amp;$A287,Геокодування!$B$2:$B$361,0))-50.5884)+ABS(INDEX(Геокодування!$D$2:$D$361,MATCH("Прилуки, Чернігівська обл., "&amp;$A287,Геокодування!$B$2:$B$361,0))-32.3876)&gt;0.15,"",INDEX(Геокодування!$C$2:$C$361,MATCH("Прилуки, Чернігівська обл., "&amp;$A287,Геокодування!$B$2:$B$361,0))),""))))</f>
        <v>50.581904999999999</v>
      </c>
      <c r="S287" s="43">
        <f>IF($O287="","",IFERROR(INDEX('Координати майданчиків'!$I$4:$I$64,MATCH($T287,'Координати майданчиків'!$B$4:$B$64,0)),IFERROR(IF(ABS(INDEX(Геокодування!$C$2:$C$361,MATCH($Q287,Геокодування!$B$2:$B$361,0))-50.5884)+ABS(INDEX(Геокодування!$D$2:$D$361,MATCH($Q287,Геокодування!$B$2:$B$361,0))-32.3876)&gt;0.15,"",INDEX(Геокодування!$D$2:$D$361,MATCH($Q287,Геокодування!$B$2:$B$361,0))),IFERROR(IF(ABS(INDEX(Геокодування!$C$2:$C$361,MATCH("Прилуки, Чернігівська обл., "&amp;$A287,Геокодування!$B$2:$B$361,0))-50.5884)+ABS(INDEX(Геокодування!$D$2:$D$361,MATCH("Прилуки, Чернігівська обл., "&amp;$A287,Геокодування!$B$2:$B$361,0))-32.3876)&gt;0.15,"",INDEX(Геокодування!$D$2:$D$361,MATCH("Прилуки, Чернігівська обл., "&amp;$A287,Геокодування!$B$2:$B$361,0))),""))))</f>
        <v>32.383752999999999</v>
      </c>
      <c r="T287" s="44" t="str">
        <f>IF($O287="","",IFERROR(INDEX('Координати майданчиків'!$B$4:$B$64,MATCH($A287&amp;IF($P287="","",", "&amp;$P287),'Координати майданчиків'!$B$4:$B$64,0)),IFERROR(INDEX('Координати майданчиків'!$B$4:$B$64,MATCH($A287,'Координати майданчиків'!$B$4:$B$64,0)),"")))</f>
        <v/>
      </c>
    </row>
    <row r="288" spans="1:20" x14ac:dyDescent="0.35">
      <c r="A288" s="26" t="str">
        <f t="shared" si="12"/>
        <v>вул. М. Міхновського</v>
      </c>
      <c r="B288" s="26" t="str">
        <f t="shared" si="13"/>
        <v/>
      </c>
      <c r="C288" s="27" t="str" cm="1">
        <f t="array" ref="C288">IF($O288="","",_xlfn.TEXTJOIN(", ",TRUE,IF(EXACT('Дані_зв''язок'!$J$4:$J$1012,$O288)*('Дані_зв''язок'!$C$4:$C$1012=C$4),'Дані_зв''язок'!$D$4:$D$1012,"")))</f>
        <v>8:55</v>
      </c>
      <c r="D288" s="27" t="str" cm="1">
        <f t="array" ref="D288">IF($O288="","",_xlfn.TEXTJOIN(", ",TRUE,IF(EXACT('Дані_зв''язок'!$J$4:$J$1012,$O288)*('Дані_зв''язок'!$C$4:$C$1012=D$4),'Дані_зв''язок'!$D$4:$D$1012,"")))</f>
        <v/>
      </c>
      <c r="E288" s="27" t="str" cm="1">
        <f t="array" ref="E288">IF($O288="","",_xlfn.TEXTJOIN(", ",TRUE,IF(EXACT('Дані_зв''язок'!$J$4:$J$1012,$O288)*('Дані_зв''язок'!$C$4:$C$1012=E$4),'Дані_зв''язок'!$D$4:$D$1012,"")))</f>
        <v/>
      </c>
      <c r="F288" s="27" t="str" cm="1">
        <f t="array" ref="F288">IF($O288="","",_xlfn.TEXTJOIN(", ",TRUE,IF(EXACT('Дані_зв''язок'!$J$4:$J$1012,$O288)*('Дані_зв''язок'!$C$4:$C$1012=F$4),'Дані_зв''язок'!$D$4:$D$1012,"")))</f>
        <v/>
      </c>
      <c r="G288" s="27" t="str" cm="1">
        <f t="array" ref="G288">IF($O288="","",_xlfn.TEXTJOIN(", ",TRUE,IF(EXACT('Дані_зв''язок'!$J$4:$J$1012,$O288)*('Дані_зв''язок'!$C$4:$C$1012=G$4),'Дані_зв''язок'!$D$4:$D$1012,"")))</f>
        <v/>
      </c>
      <c r="H288" s="27" t="str" cm="1">
        <f t="array" ref="H288">IF($O288="","",_xlfn.TEXTJOIN(", ",TRUE,IF(EXACT('Дані_зв''язок'!$J$4:$J$1012,$O288)*('Дані_зв''язок'!$C$4:$C$1012=H$4),'Дані_зв''язок'!$D$4:$D$1012,"")))</f>
        <v/>
      </c>
      <c r="I288" s="27" t="str" cm="1">
        <f t="array" ref="I288">IF($O288="","",_xlfn.TEXTJOIN(", ",TRUE,IF(EXACT('Дані_зв''язок'!$J$4:$J$1012,$O288)*('Дані_зв''язок'!$C$4:$C$1012=I$4),'Дані_зв''язок'!$D$4:$D$1012,"")))</f>
        <v/>
      </c>
      <c r="J288" s="27" cm="1">
        <f t="array" ref="J288">IF($O288="","",COUNTIF(C288:I288,"?*")+SUMPRODUCT(LEN(C288:I288)-LEN(SUBSTITUTE(C288:I288,",",""))))</f>
        <v>1</v>
      </c>
      <c r="K288" s="28" t="str" cm="1">
        <f t="array" ref="K288">IF($O288="","",_xlfn.TEXTJOIN(", ",TRUE,IF(EXACT('Дані_зв''язок'!$J$4:$J$1012,$O288),'Дані_зв''язок'!$L$4:$L$1012,"")))</f>
        <v>№5</v>
      </c>
      <c r="L288" s="28" t="str" cm="1">
        <f t="array" ref="L288">IF($O288="","",_xlfn.TEXTJOIN(", ",TRUE,IF(EXACT('Дані_зв''язок'!$J$4:$J$1012,$O288),'Дані_зв''язок'!$M$4:$M$1012,"")))</f>
        <v>МАЗ 4381</v>
      </c>
      <c r="M288" s="27" t="str" cm="1">
        <f t="array" ref="M288">IF($O288="","",IF(SUMPRODUCT(MAX(EXACT('Дані_зв''язок'!$J$4:$J$1012,$O288)*IFERROR('Дані_зв''язок'!$H$4:$H$1012,0)))=0,"",SUMPRODUCT(MAX(EXACT('Дані_зв''язок'!$J$4:$J$1012,$O288)*IFERROR('Дані_зв''язок'!$H$4:$H$1012,0)))))</f>
        <v/>
      </c>
      <c r="O288" s="30" t="s">
        <v>1407</v>
      </c>
      <c r="P288" s="24" t="str" cm="1">
        <f t="array" ref="P288">IF($O288="","",IF($B288="","",IFERROR(IF(MIN(IFERROR(VALUE(TRIM(MID(SUBSTITUTE(SUBSTITUTE($B288,","," ")," ",REPT(" ",30)),{1;31;61;91;121;151;181},30))),""))=0,"",MIN(IFERROR(VALUE(TRIM(MID(SUBSTITUTE(SUBSTITUTE($B288,","," ")," ",REPT(" ",30)),{1;31;61;91;121;151;181},30))),""))),"")))</f>
        <v/>
      </c>
      <c r="Q288" s="23" t="str">
        <f t="shared" si="14"/>
        <v>Прилуки, Чернігівська обл., вул. М. Міхновського</v>
      </c>
      <c r="R288" s="35">
        <f>IF($O288="","",IFERROR(INDEX('Координати майданчиків'!$H$4:$H$64,MATCH($T288,'Координати майданчиків'!$B$4:$B$64,0)),IFERROR(IF(ABS(INDEX(Геокодування!$C$2:$C$361,MATCH($Q288,Геокодування!$B$2:$B$361,0))-50.5884)+ABS(INDEX(Геокодування!$D$2:$D$361,MATCH($Q288,Геокодування!$B$2:$B$361,0))-32.3876)&gt;0.15,"",INDEX(Геокодування!$C$2:$C$361,MATCH($Q288,Геокодування!$B$2:$B$361,0))),IFERROR(IF(ABS(INDEX(Геокодування!$C$2:$C$361,MATCH("Прилуки, Чернігівська обл., "&amp;$A288,Геокодування!$B$2:$B$361,0))-50.5884)+ABS(INDEX(Геокодування!$D$2:$D$361,MATCH("Прилуки, Чернігівська обл., "&amp;$A288,Геокодування!$B$2:$B$361,0))-32.3876)&gt;0.15,"",INDEX(Геокодування!$C$2:$C$361,MATCH("Прилуки, Чернігівська обл., "&amp;$A288,Геокодування!$B$2:$B$361,0))),""))))</f>
        <v>50.580376999999999</v>
      </c>
      <c r="S288" s="43">
        <f>IF($O288="","",IFERROR(INDEX('Координати майданчиків'!$I$4:$I$64,MATCH($T288,'Координати майданчиків'!$B$4:$B$64,0)),IFERROR(IF(ABS(INDEX(Геокодування!$C$2:$C$361,MATCH($Q288,Геокодування!$B$2:$B$361,0))-50.5884)+ABS(INDEX(Геокодування!$D$2:$D$361,MATCH($Q288,Геокодування!$B$2:$B$361,0))-32.3876)&gt;0.15,"",INDEX(Геокодування!$D$2:$D$361,MATCH($Q288,Геокодування!$B$2:$B$361,0))),IFERROR(IF(ABS(INDEX(Геокодування!$C$2:$C$361,MATCH("Прилуки, Чернігівська обл., "&amp;$A288,Геокодування!$B$2:$B$361,0))-50.5884)+ABS(INDEX(Геокодування!$D$2:$D$361,MATCH("Прилуки, Чернігівська обл., "&amp;$A288,Геокодування!$B$2:$B$361,0))-32.3876)&gt;0.15,"",INDEX(Геокодування!$D$2:$D$361,MATCH("Прилуки, Чернігівська обл., "&amp;$A288,Геокодування!$B$2:$B$361,0))),""))))</f>
        <v>32.381062999999997</v>
      </c>
      <c r="T288" s="44" t="str">
        <f>IF($O288="","",IFERROR(INDEX('Координати майданчиків'!$B$4:$B$64,MATCH($A288&amp;IF($P288="","",", "&amp;$P288),'Координати майданчиків'!$B$4:$B$64,0)),IFERROR(INDEX('Координати майданчиків'!$B$4:$B$64,MATCH($A288,'Координати майданчиків'!$B$4:$B$64,0)),"")))</f>
        <v/>
      </c>
    </row>
    <row r="289" spans="1:20" x14ac:dyDescent="0.35">
      <c r="A289" s="26" t="str">
        <f t="shared" si="12"/>
        <v>вул. М. Приймаченка</v>
      </c>
      <c r="B289" s="26" t="str">
        <f t="shared" si="13"/>
        <v/>
      </c>
      <c r="C289" s="27" t="str" cm="1">
        <f t="array" ref="C289">IF($O289="","",_xlfn.TEXTJOIN(", ",TRUE,IF(EXACT('Дані_зв''язок'!$J$4:$J$1012,$O289)*('Дані_зв''язок'!$C$4:$C$1012=C$4),'Дані_зв''язок'!$D$4:$D$1012,"")))</f>
        <v/>
      </c>
      <c r="D289" s="27" t="str" cm="1">
        <f t="array" ref="D289">IF($O289="","",_xlfn.TEXTJOIN(", ",TRUE,IF(EXACT('Дані_зв''язок'!$J$4:$J$1012,$O289)*('Дані_зв''язок'!$C$4:$C$1012=D$4),'Дані_зв''язок'!$D$4:$D$1012,"")))</f>
        <v/>
      </c>
      <c r="E289" s="27" t="str" cm="1">
        <f t="array" ref="E289">IF($O289="","",_xlfn.TEXTJOIN(", ",TRUE,IF(EXACT('Дані_зв''язок'!$J$4:$J$1012,$O289)*('Дані_зв''язок'!$C$4:$C$1012=E$4),'Дані_зв''язок'!$D$4:$D$1012,"")))</f>
        <v>8:00</v>
      </c>
      <c r="F289" s="27" t="str" cm="1">
        <f t="array" ref="F289">IF($O289="","",_xlfn.TEXTJOIN(", ",TRUE,IF(EXACT('Дані_зв''язок'!$J$4:$J$1012,$O289)*('Дані_зв''язок'!$C$4:$C$1012=F$4),'Дані_зв''язок'!$D$4:$D$1012,"")))</f>
        <v/>
      </c>
      <c r="G289" s="27" t="str" cm="1">
        <f t="array" ref="G289">IF($O289="","",_xlfn.TEXTJOIN(", ",TRUE,IF(EXACT('Дані_зв''язок'!$J$4:$J$1012,$O289)*('Дані_зв''язок'!$C$4:$C$1012=G$4),'Дані_зв''язок'!$D$4:$D$1012,"")))</f>
        <v/>
      </c>
      <c r="H289" s="27" t="str" cm="1">
        <f t="array" ref="H289">IF($O289="","",_xlfn.TEXTJOIN(", ",TRUE,IF(EXACT('Дані_зв''язок'!$J$4:$J$1012,$O289)*('Дані_зв''язок'!$C$4:$C$1012=H$4),'Дані_зв''язок'!$D$4:$D$1012,"")))</f>
        <v/>
      </c>
      <c r="I289" s="27" t="str" cm="1">
        <f t="array" ref="I289">IF($O289="","",_xlfn.TEXTJOIN(", ",TRUE,IF(EXACT('Дані_зв''язок'!$J$4:$J$1012,$O289)*('Дані_зв''язок'!$C$4:$C$1012=I$4),'Дані_зв''язок'!$D$4:$D$1012,"")))</f>
        <v/>
      </c>
      <c r="J289" s="27" cm="1">
        <f t="array" ref="J289">IF($O289="","",COUNTIF(C289:I289,"?*")+SUMPRODUCT(LEN(C289:I289)-LEN(SUBSTITUTE(C289:I289,",",""))))</f>
        <v>1</v>
      </c>
      <c r="K289" s="28" t="str" cm="1">
        <f t="array" ref="K289">IF($O289="","",_xlfn.TEXTJOIN(", ",TRUE,IF(EXACT('Дані_зв''язок'!$J$4:$J$1012,$O289),'Дані_зв''язок'!$L$4:$L$1012,"")))</f>
        <v>№5</v>
      </c>
      <c r="L289" s="28" t="str" cm="1">
        <f t="array" ref="L289">IF($O289="","",_xlfn.TEXTJOIN(", ",TRUE,IF(EXACT('Дані_зв''язок'!$J$4:$J$1012,$O289),'Дані_зв''язок'!$M$4:$M$1012,"")))</f>
        <v>МАЗ 4381</v>
      </c>
      <c r="M289" s="27" t="str" cm="1">
        <f t="array" ref="M289">IF($O289="","",IF(SUMPRODUCT(MAX(EXACT('Дані_зв''язок'!$J$4:$J$1012,$O289)*IFERROR('Дані_зв''язок'!$H$4:$H$1012,0)))=0,"",SUMPRODUCT(MAX(EXACT('Дані_зв''язок'!$J$4:$J$1012,$O289)*IFERROR('Дані_зв''язок'!$H$4:$H$1012,0)))))</f>
        <v/>
      </c>
      <c r="O289" s="30" t="s">
        <v>1408</v>
      </c>
      <c r="P289" s="24" t="str" cm="1">
        <f t="array" ref="P289">IF($O289="","",IF($B289="","",IFERROR(IF(MIN(IFERROR(VALUE(TRIM(MID(SUBSTITUTE(SUBSTITUTE($B289,","," ")," ",REPT(" ",30)),{1;31;61;91;121;151;181},30))),""))=0,"",MIN(IFERROR(VALUE(TRIM(MID(SUBSTITUTE(SUBSTITUTE($B289,","," ")," ",REPT(" ",30)),{1;31;61;91;121;151;181},30))),""))),"")))</f>
        <v/>
      </c>
      <c r="Q289" s="23" t="str">
        <f t="shared" si="14"/>
        <v>Прилуки, Чернігівська обл., вул. М. Приймаченка</v>
      </c>
      <c r="R289" s="35">
        <f>IF($O289="","",IFERROR(INDEX('Координати майданчиків'!$H$4:$H$64,MATCH($T289,'Координати майданчиків'!$B$4:$B$64,0)),IFERROR(IF(ABS(INDEX(Геокодування!$C$2:$C$361,MATCH($Q289,Геокодування!$B$2:$B$361,0))-50.5884)+ABS(INDEX(Геокодування!$D$2:$D$361,MATCH($Q289,Геокодування!$B$2:$B$361,0))-32.3876)&gt;0.15,"",INDEX(Геокодування!$C$2:$C$361,MATCH($Q289,Геокодування!$B$2:$B$361,0))),IFERROR(IF(ABS(INDEX(Геокодування!$C$2:$C$361,MATCH("Прилуки, Чернігівська обл., "&amp;$A289,Геокодування!$B$2:$B$361,0))-50.5884)+ABS(INDEX(Геокодування!$D$2:$D$361,MATCH("Прилуки, Чернігівська обл., "&amp;$A289,Геокодування!$B$2:$B$361,0))-32.3876)&gt;0.15,"",INDEX(Геокодування!$C$2:$C$361,MATCH("Прилуки, Чернігівська обл., "&amp;$A289,Геокодування!$B$2:$B$361,0))),""))))</f>
        <v>50.581904999999999</v>
      </c>
      <c r="S289" s="43">
        <f>IF($O289="","",IFERROR(INDEX('Координати майданчиків'!$I$4:$I$64,MATCH($T289,'Координати майданчиків'!$B$4:$B$64,0)),IFERROR(IF(ABS(INDEX(Геокодування!$C$2:$C$361,MATCH($Q289,Геокодування!$B$2:$B$361,0))-50.5884)+ABS(INDEX(Геокодування!$D$2:$D$361,MATCH($Q289,Геокодування!$B$2:$B$361,0))-32.3876)&gt;0.15,"",INDEX(Геокодування!$D$2:$D$361,MATCH($Q289,Геокодування!$B$2:$B$361,0))),IFERROR(IF(ABS(INDEX(Геокодування!$C$2:$C$361,MATCH("Прилуки, Чернігівська обл., "&amp;$A289,Геокодування!$B$2:$B$361,0))-50.5884)+ABS(INDEX(Геокодування!$D$2:$D$361,MATCH("Прилуки, Чернігівська обл., "&amp;$A289,Геокодування!$B$2:$B$361,0))-32.3876)&gt;0.15,"",INDEX(Геокодування!$D$2:$D$361,MATCH("Прилуки, Чернігівська обл., "&amp;$A289,Геокодування!$B$2:$B$361,0))),""))))</f>
        <v>32.383752999999999</v>
      </c>
      <c r="T289" s="44" t="str">
        <f>IF($O289="","",IFERROR(INDEX('Координати майданчиків'!$B$4:$B$64,MATCH($A289&amp;IF($P289="","",", "&amp;$P289),'Координати майданчиків'!$B$4:$B$64,0)),IFERROR(INDEX('Координати майданчиків'!$B$4:$B$64,MATCH($A289,'Координати майданчиків'!$B$4:$B$64,0)),"")))</f>
        <v/>
      </c>
    </row>
    <row r="290" spans="1:20" x14ac:dyDescent="0.35">
      <c r="A290" s="26" t="str">
        <f t="shared" si="12"/>
        <v>вул. М. Старицького</v>
      </c>
      <c r="B290" s="26" t="str">
        <f t="shared" si="13"/>
        <v/>
      </c>
      <c r="C290" s="27" t="str" cm="1">
        <f t="array" ref="C290">IF($O290="","",_xlfn.TEXTJOIN(", ",TRUE,IF(EXACT('Дані_зв''язок'!$J$4:$J$1012,$O290)*('Дані_зв''язок'!$C$4:$C$1012=C$4),'Дані_зв''язок'!$D$4:$D$1012,"")))</f>
        <v/>
      </c>
      <c r="D290" s="27" t="str" cm="1">
        <f t="array" ref="D290">IF($O290="","",_xlfn.TEXTJOIN(", ",TRUE,IF(EXACT('Дані_зв''язок'!$J$4:$J$1012,$O290)*('Дані_зв''язок'!$C$4:$C$1012=D$4),'Дані_зв''язок'!$D$4:$D$1012,"")))</f>
        <v>13:45</v>
      </c>
      <c r="E290" s="27" t="str" cm="1">
        <f t="array" ref="E290">IF($O290="","",_xlfn.TEXTJOIN(", ",TRUE,IF(EXACT('Дані_зв''язок'!$J$4:$J$1012,$O290)*('Дані_зв''язок'!$C$4:$C$1012=E$4),'Дані_зв''язок'!$D$4:$D$1012,"")))</f>
        <v/>
      </c>
      <c r="F290" s="27" t="str" cm="1">
        <f t="array" ref="F290">IF($O290="","",_xlfn.TEXTJOIN(", ",TRUE,IF(EXACT('Дані_зв''язок'!$J$4:$J$1012,$O290)*('Дані_зв''язок'!$C$4:$C$1012=F$4),'Дані_зв''язок'!$D$4:$D$1012,"")))</f>
        <v/>
      </c>
      <c r="G290" s="27" t="str" cm="1">
        <f t="array" ref="G290">IF($O290="","",_xlfn.TEXTJOIN(", ",TRUE,IF(EXACT('Дані_зв''язок'!$J$4:$J$1012,$O290)*('Дані_зв''язок'!$C$4:$C$1012=G$4),'Дані_зв''язок'!$D$4:$D$1012,"")))</f>
        <v>8:40</v>
      </c>
      <c r="H290" s="27" t="str" cm="1">
        <f t="array" ref="H290">IF($O290="","",_xlfn.TEXTJOIN(", ",TRUE,IF(EXACT('Дані_зв''язок'!$J$4:$J$1012,$O290)*('Дані_зв''язок'!$C$4:$C$1012=H$4),'Дані_зв''язок'!$D$4:$D$1012,"")))</f>
        <v/>
      </c>
      <c r="I290" s="27" t="str" cm="1">
        <f t="array" ref="I290">IF($O290="","",_xlfn.TEXTJOIN(", ",TRUE,IF(EXACT('Дані_зв''язок'!$J$4:$J$1012,$O290)*('Дані_зв''язок'!$C$4:$C$1012=I$4),'Дані_зв''язок'!$D$4:$D$1012,"")))</f>
        <v/>
      </c>
      <c r="J290" s="27" cm="1">
        <f t="array" ref="J290">IF($O290="","",COUNTIF(C290:I290,"?*")+SUMPRODUCT(LEN(C290:I290)-LEN(SUBSTITUTE(C290:I290,",",""))))</f>
        <v>2</v>
      </c>
      <c r="K290" s="28" t="str" cm="1">
        <f t="array" ref="K290">IF($O290="","",_xlfn.TEXTJOIN(", ",TRUE,IF(EXACT('Дані_зв''язок'!$J$4:$J$1012,$O290),'Дані_зв''язок'!$L$4:$L$1012,"")))</f>
        <v>№5</v>
      </c>
      <c r="L290" s="28" t="str" cm="1">
        <f t="array" ref="L290">IF($O290="","",_xlfn.TEXTJOIN(", ",TRUE,IF(EXACT('Дані_зв''язок'!$J$4:$J$1012,$O290),'Дані_зв''язок'!$M$4:$M$1012,"")))</f>
        <v>МАЗ 4381</v>
      </c>
      <c r="M290" s="27" t="str" cm="1">
        <f t="array" ref="M290">IF($O290="","",IF(SUMPRODUCT(MAX(EXACT('Дані_зв''язок'!$J$4:$J$1012,$O290)*IFERROR('Дані_зв''язок'!$H$4:$H$1012,0)))=0,"",SUMPRODUCT(MAX(EXACT('Дані_зв''язок'!$J$4:$J$1012,$O290)*IFERROR('Дані_зв''язок'!$H$4:$H$1012,0)))))</f>
        <v/>
      </c>
      <c r="O290" s="30" t="s">
        <v>1409</v>
      </c>
      <c r="P290" s="24" t="str" cm="1">
        <f t="array" ref="P290">IF($O290="","",IF($B290="","",IFERROR(IF(MIN(IFERROR(VALUE(TRIM(MID(SUBSTITUTE(SUBSTITUTE($B290,","," ")," ",REPT(" ",30)),{1;31;61;91;121;151;181},30))),""))=0,"",MIN(IFERROR(VALUE(TRIM(MID(SUBSTITUTE(SUBSTITUTE($B290,","," ")," ",REPT(" ",30)),{1;31;61;91;121;151;181},30))),""))),"")))</f>
        <v/>
      </c>
      <c r="Q290" s="23" t="str">
        <f t="shared" si="14"/>
        <v>Прилуки, Чернігівська обл., вул. М. Старицького</v>
      </c>
      <c r="R290" s="35">
        <f>IF($O290="","",IFERROR(INDEX('Координати майданчиків'!$H$4:$H$64,MATCH($T290,'Координати майданчиків'!$B$4:$B$64,0)),IFERROR(IF(ABS(INDEX(Геокодування!$C$2:$C$361,MATCH($Q290,Геокодування!$B$2:$B$361,0))-50.5884)+ABS(INDEX(Геокодування!$D$2:$D$361,MATCH($Q290,Геокодування!$B$2:$B$361,0))-32.3876)&gt;0.15,"",INDEX(Геокодування!$C$2:$C$361,MATCH($Q290,Геокодування!$B$2:$B$361,0))),IFERROR(IF(ABS(INDEX(Геокодування!$C$2:$C$361,MATCH("Прилуки, Чернігівська обл., "&amp;$A290,Геокодування!$B$2:$B$361,0))-50.5884)+ABS(INDEX(Геокодування!$D$2:$D$361,MATCH("Прилуки, Чернігівська обл., "&amp;$A290,Геокодування!$B$2:$B$361,0))-32.3876)&gt;0.15,"",INDEX(Геокодування!$C$2:$C$361,MATCH("Прилуки, Чернігівська обл., "&amp;$A290,Геокодування!$B$2:$B$361,0))),""))))</f>
        <v>50.598030999999999</v>
      </c>
      <c r="S290" s="43">
        <f>IF($O290="","",IFERROR(INDEX('Координати майданчиків'!$I$4:$I$64,MATCH($T290,'Координати майданчиків'!$B$4:$B$64,0)),IFERROR(IF(ABS(INDEX(Геокодування!$C$2:$C$361,MATCH($Q290,Геокодування!$B$2:$B$361,0))-50.5884)+ABS(INDEX(Геокодування!$D$2:$D$361,MATCH($Q290,Геокодування!$B$2:$B$361,0))-32.3876)&gt;0.15,"",INDEX(Геокодування!$D$2:$D$361,MATCH($Q290,Геокодування!$B$2:$B$361,0))),IFERROR(IF(ABS(INDEX(Геокодування!$C$2:$C$361,MATCH("Прилуки, Чернігівська обл., "&amp;$A290,Геокодування!$B$2:$B$361,0))-50.5884)+ABS(INDEX(Геокодування!$D$2:$D$361,MATCH("Прилуки, Чернігівська обл., "&amp;$A290,Геокодування!$B$2:$B$361,0))-32.3876)&gt;0.15,"",INDEX(Геокодування!$D$2:$D$361,MATCH("Прилуки, Чернігівська обл., "&amp;$A290,Геокодування!$B$2:$B$361,0))),""))))</f>
        <v>32.342886999999997</v>
      </c>
      <c r="T290" s="44" t="str">
        <f>IF($O290="","",IFERROR(INDEX('Координати майданчиків'!$B$4:$B$64,MATCH($A290&amp;IF($P290="","",", "&amp;$P290),'Координати майданчиків'!$B$4:$B$64,0)),IFERROR(INDEX('Координати майданчиків'!$B$4:$B$64,MATCH($A290,'Координати майданчиків'!$B$4:$B$64,0)),"")))</f>
        <v/>
      </c>
    </row>
    <row r="291" spans="1:20" x14ac:dyDescent="0.35">
      <c r="A291" s="26" t="str">
        <f t="shared" si="12"/>
        <v>вул. М. Старицького</v>
      </c>
      <c r="B291" s="26" t="str">
        <f t="shared" si="13"/>
        <v>буд. 3</v>
      </c>
      <c r="C291" s="27" t="str" cm="1">
        <f t="array" ref="C291">IF($O291="","",_xlfn.TEXTJOIN(", ",TRUE,IF(EXACT('Дані_зв''язок'!$J$4:$J$1012,$O291)*('Дані_зв''язок'!$C$4:$C$1012=C$4),'Дані_зв''язок'!$D$4:$D$1012,"")))</f>
        <v>8:35</v>
      </c>
      <c r="D291" s="27" t="str" cm="1">
        <f t="array" ref="D291">IF($O291="","",_xlfn.TEXTJOIN(", ",TRUE,IF(EXACT('Дані_зв''язок'!$J$4:$J$1012,$O291)*('Дані_зв''язок'!$C$4:$C$1012=D$4),'Дані_зв''язок'!$D$4:$D$1012,"")))</f>
        <v>8:35</v>
      </c>
      <c r="E291" s="27" t="str" cm="1">
        <f t="array" ref="E291">IF($O291="","",_xlfn.TEXTJOIN(", ",TRUE,IF(EXACT('Дані_зв''язок'!$J$4:$J$1012,$O291)*('Дані_зв''язок'!$C$4:$C$1012=E$4),'Дані_зв''язок'!$D$4:$D$1012,"")))</f>
        <v>8:35</v>
      </c>
      <c r="F291" s="27" t="str" cm="1">
        <f t="array" ref="F291">IF($O291="","",_xlfn.TEXTJOIN(", ",TRUE,IF(EXACT('Дані_зв''язок'!$J$4:$J$1012,$O291)*('Дані_зв''язок'!$C$4:$C$1012=F$4),'Дані_зв''язок'!$D$4:$D$1012,"")))</f>
        <v>10:25</v>
      </c>
      <c r="G291" s="27" t="str" cm="1">
        <f t="array" ref="G291">IF($O291="","",_xlfn.TEXTJOIN(", ",TRUE,IF(EXACT('Дані_зв''язок'!$J$4:$J$1012,$O291)*('Дані_зв''язок'!$C$4:$C$1012=G$4),'Дані_зв''язок'!$D$4:$D$1012,"")))</f>
        <v>8:35</v>
      </c>
      <c r="H291" s="27" t="str" cm="1">
        <f t="array" ref="H291">IF($O291="","",_xlfn.TEXTJOIN(", ",TRUE,IF(EXACT('Дані_зв''язок'!$J$4:$J$1012,$O291)*('Дані_зв''язок'!$C$4:$C$1012=H$4),'Дані_зв''язок'!$D$4:$D$1012,"")))</f>
        <v>8:35</v>
      </c>
      <c r="I291" s="27" t="str" cm="1">
        <f t="array" ref="I291">IF($O291="","",_xlfn.TEXTJOIN(", ",TRUE,IF(EXACT('Дані_зв''язок'!$J$4:$J$1012,$O291)*('Дані_зв''язок'!$C$4:$C$1012=I$4),'Дані_зв''язок'!$D$4:$D$1012,"")))</f>
        <v>10:25</v>
      </c>
      <c r="J291" s="27" cm="1">
        <f t="array" ref="J291">IF($O291="","",COUNTIF(C291:I291,"?*")+SUMPRODUCT(LEN(C291:I291)-LEN(SUBSTITUTE(C291:I291,",",""))))</f>
        <v>7</v>
      </c>
      <c r="K291" s="28" t="str" cm="1">
        <f t="array" ref="K291">IF($O291="","",_xlfn.TEXTJOIN(", ",TRUE,IF(EXACT('Дані_зв''язок'!$J$4:$J$1012,$O291),'Дані_зв''язок'!$L$4:$L$1012,"")))</f>
        <v>№1</v>
      </c>
      <c r="L291" s="28" t="str" cm="1">
        <f t="array" ref="L291">IF($O291="","",_xlfn.TEXTJOIN(", ",TRUE,IF(EXACT('Дані_зв''язок'!$J$4:$J$1012,$O291),'Дані_зв''язок'!$M$4:$M$1012,"")))</f>
        <v>КАМАЗ 55111, АТ-4021/1120</v>
      </c>
      <c r="M291" s="27" cm="1">
        <f t="array" ref="M291">IF($O291="","",IF(SUMPRODUCT(MAX(EXACT('Дані_зв''язок'!$J$4:$J$1012,$O291)*IFERROR('Дані_зв''язок'!$H$4:$H$1012,0)))=0,"",SUMPRODUCT(MAX(EXACT('Дані_зв''язок'!$J$4:$J$1012,$O291)*IFERROR('Дані_зв''язок'!$H$4:$H$1012,0)))))</f>
        <v>2</v>
      </c>
      <c r="O291" s="30" t="s">
        <v>1410</v>
      </c>
      <c r="P291" s="24" cm="1">
        <f t="array" ref="P291">IF($O291="","",IF($B291="","",IFERROR(IF(MIN(IFERROR(VALUE(TRIM(MID(SUBSTITUTE(SUBSTITUTE($B291,","," ")," ",REPT(" ",30)),{1;31;61;91;121;151;181},30))),""))=0,"",MIN(IFERROR(VALUE(TRIM(MID(SUBSTITUTE(SUBSTITUTE($B291,","," ")," ",REPT(" ",30)),{1;31;61;91;121;151;181},30))),""))),"")))</f>
        <v>3</v>
      </c>
      <c r="Q291" s="23" t="str">
        <f t="shared" si="14"/>
        <v>Прилуки, Чернігівська обл., вул. М. Старицького, 3</v>
      </c>
      <c r="R291" s="35">
        <f>IF($O291="","",IFERROR(INDEX('Координати майданчиків'!$H$4:$H$64,MATCH($T291,'Координати майданчиків'!$B$4:$B$64,0)),IFERROR(IF(ABS(INDEX(Геокодування!$C$2:$C$361,MATCH($Q291,Геокодування!$B$2:$B$361,0))-50.5884)+ABS(INDEX(Геокодування!$D$2:$D$361,MATCH($Q291,Геокодування!$B$2:$B$361,0))-32.3876)&gt;0.15,"",INDEX(Геокодування!$C$2:$C$361,MATCH($Q291,Геокодування!$B$2:$B$361,0))),IFERROR(IF(ABS(INDEX(Геокодування!$C$2:$C$361,MATCH("Прилуки, Чернігівська обл., "&amp;$A291,Геокодування!$B$2:$B$361,0))-50.5884)+ABS(INDEX(Геокодування!$D$2:$D$361,MATCH("Прилуки, Чернігівська обл., "&amp;$A291,Геокодування!$B$2:$B$361,0))-32.3876)&gt;0.15,"",INDEX(Геокодування!$C$2:$C$361,MATCH("Прилуки, Чернігівська обл., "&amp;$A291,Геокодування!$B$2:$B$361,0))),""))))</f>
        <v>50.598030999999999</v>
      </c>
      <c r="S291" s="43">
        <f>IF($O291="","",IFERROR(INDEX('Координати майданчиків'!$I$4:$I$64,MATCH($T291,'Координати майданчиків'!$B$4:$B$64,0)),IFERROR(IF(ABS(INDEX(Геокодування!$C$2:$C$361,MATCH($Q291,Геокодування!$B$2:$B$361,0))-50.5884)+ABS(INDEX(Геокодування!$D$2:$D$361,MATCH($Q291,Геокодування!$B$2:$B$361,0))-32.3876)&gt;0.15,"",INDEX(Геокодування!$D$2:$D$361,MATCH($Q291,Геокодування!$B$2:$B$361,0))),IFERROR(IF(ABS(INDEX(Геокодування!$C$2:$C$361,MATCH("Прилуки, Чернігівська обл., "&amp;$A291,Геокодування!$B$2:$B$361,0))-50.5884)+ABS(INDEX(Геокодування!$D$2:$D$361,MATCH("Прилуки, Чернігівська обл., "&amp;$A291,Геокодування!$B$2:$B$361,0))-32.3876)&gt;0.15,"",INDEX(Геокодування!$D$2:$D$361,MATCH("Прилуки, Чернігівська обл., "&amp;$A291,Геокодування!$B$2:$B$361,0))),""))))</f>
        <v>32.342886999999997</v>
      </c>
      <c r="T291" s="44" t="str">
        <f>IF($O291="","",IFERROR(INDEX('Координати майданчиків'!$B$4:$B$64,MATCH($A291&amp;IF($P291="","",", "&amp;$P291),'Координати майданчиків'!$B$4:$B$64,0)),IFERROR(INDEX('Координати майданчиків'!$B$4:$B$64,MATCH($A291,'Координати майданчиків'!$B$4:$B$64,0)),"")))</f>
        <v/>
      </c>
    </row>
    <row r="292" spans="1:20" x14ac:dyDescent="0.35">
      <c r="A292" s="26" t="str">
        <f t="shared" si="12"/>
        <v>вул. М. Яковченка</v>
      </c>
      <c r="B292" s="26" t="str">
        <f t="shared" si="13"/>
        <v/>
      </c>
      <c r="C292" s="27" t="str" cm="1">
        <f t="array" ref="C292">IF($O292="","",_xlfn.TEXTJOIN(", ",TRUE,IF(EXACT('Дані_зв''язок'!$J$4:$J$1012,$O292)*('Дані_зв''язок'!$C$4:$C$1012=C$4),'Дані_зв''язок'!$D$4:$D$1012,"")))</f>
        <v/>
      </c>
      <c r="D292" s="27" t="str" cm="1">
        <f t="array" ref="D292">IF($O292="","",_xlfn.TEXTJOIN(", ",TRUE,IF(EXACT('Дані_зв''язок'!$J$4:$J$1012,$O292)*('Дані_зв''язок'!$C$4:$C$1012=D$4),'Дані_зв''язок'!$D$4:$D$1012,"")))</f>
        <v>7:30</v>
      </c>
      <c r="E292" s="27" t="str" cm="1">
        <f t="array" ref="E292">IF($O292="","",_xlfn.TEXTJOIN(", ",TRUE,IF(EXACT('Дані_зв''язок'!$J$4:$J$1012,$O292)*('Дані_зв''язок'!$C$4:$C$1012=E$4),'Дані_зв''язок'!$D$4:$D$1012,"")))</f>
        <v/>
      </c>
      <c r="F292" s="27" t="str" cm="1">
        <f t="array" ref="F292">IF($O292="","",_xlfn.TEXTJOIN(", ",TRUE,IF(EXACT('Дані_зв''язок'!$J$4:$J$1012,$O292)*('Дані_зв''язок'!$C$4:$C$1012=F$4),'Дані_зв''язок'!$D$4:$D$1012,"")))</f>
        <v/>
      </c>
      <c r="G292" s="27" t="str" cm="1">
        <f t="array" ref="G292">IF($O292="","",_xlfn.TEXTJOIN(", ",TRUE,IF(EXACT('Дані_зв''язок'!$J$4:$J$1012,$O292)*('Дані_зв''язок'!$C$4:$C$1012=G$4),'Дані_зв''язок'!$D$4:$D$1012,"")))</f>
        <v/>
      </c>
      <c r="H292" s="27" t="str" cm="1">
        <f t="array" ref="H292">IF($O292="","",_xlfn.TEXTJOIN(", ",TRUE,IF(EXACT('Дані_зв''язок'!$J$4:$J$1012,$O292)*('Дані_зв''язок'!$C$4:$C$1012=H$4),'Дані_зв''язок'!$D$4:$D$1012,"")))</f>
        <v/>
      </c>
      <c r="I292" s="27" t="str" cm="1">
        <f t="array" ref="I292">IF($O292="","",_xlfn.TEXTJOIN(", ",TRUE,IF(EXACT('Дані_зв''язок'!$J$4:$J$1012,$O292)*('Дані_зв''язок'!$C$4:$C$1012=I$4),'Дані_зв''язок'!$D$4:$D$1012,"")))</f>
        <v/>
      </c>
      <c r="J292" s="27" cm="1">
        <f t="array" ref="J292">IF($O292="","",COUNTIF(C292:I292,"?*")+SUMPRODUCT(LEN(C292:I292)-LEN(SUBSTITUTE(C292:I292,",",""))))</f>
        <v>1</v>
      </c>
      <c r="K292" s="28" t="str" cm="1">
        <f t="array" ref="K292">IF($O292="","",_xlfn.TEXTJOIN(", ",TRUE,IF(EXACT('Дані_зв''язок'!$J$4:$J$1012,$O292),'Дані_зв''язок'!$L$4:$L$1012,"")))</f>
        <v>№5</v>
      </c>
      <c r="L292" s="28" t="str" cm="1">
        <f t="array" ref="L292">IF($O292="","",_xlfn.TEXTJOIN(", ",TRUE,IF(EXACT('Дані_зв''язок'!$J$4:$J$1012,$O292),'Дані_зв''язок'!$M$4:$M$1012,"")))</f>
        <v>МАЗ 4381</v>
      </c>
      <c r="M292" s="27" t="str" cm="1">
        <f t="array" ref="M292">IF($O292="","",IF(SUMPRODUCT(MAX(EXACT('Дані_зв''язок'!$J$4:$J$1012,$O292)*IFERROR('Дані_зв''язок'!$H$4:$H$1012,0)))=0,"",SUMPRODUCT(MAX(EXACT('Дані_зв''язок'!$J$4:$J$1012,$O292)*IFERROR('Дані_зв''язок'!$H$4:$H$1012,0)))))</f>
        <v/>
      </c>
      <c r="O292" s="30" t="s">
        <v>1411</v>
      </c>
      <c r="P292" s="24" t="str" cm="1">
        <f t="array" ref="P292">IF($O292="","",IF($B292="","",IFERROR(IF(MIN(IFERROR(VALUE(TRIM(MID(SUBSTITUTE(SUBSTITUTE($B292,","," ")," ",REPT(" ",30)),{1;31;61;91;121;151;181},30))),""))=0,"",MIN(IFERROR(VALUE(TRIM(MID(SUBSTITUTE(SUBSTITUTE($B292,","," ")," ",REPT(" ",30)),{1;31;61;91;121;151;181},30))),""))),"")))</f>
        <v/>
      </c>
      <c r="Q292" s="23" t="str">
        <f t="shared" si="14"/>
        <v>Прилуки, Чернігівська обл., вул. М. Яковченка</v>
      </c>
      <c r="R292" s="35">
        <f>IF($O292="","",IFERROR(INDEX('Координати майданчиків'!$H$4:$H$64,MATCH($T292,'Координати майданчиків'!$B$4:$B$64,0)),IFERROR(IF(ABS(INDEX(Геокодування!$C$2:$C$361,MATCH($Q292,Геокодування!$B$2:$B$361,0))-50.5884)+ABS(INDEX(Геокодування!$D$2:$D$361,MATCH($Q292,Геокодування!$B$2:$B$361,0))-32.3876)&gt;0.15,"",INDEX(Геокодування!$C$2:$C$361,MATCH($Q292,Геокодування!$B$2:$B$361,0))),IFERROR(IF(ABS(INDEX(Геокодування!$C$2:$C$361,MATCH("Прилуки, Чернігівська обл., "&amp;$A292,Геокодування!$B$2:$B$361,0))-50.5884)+ABS(INDEX(Геокодування!$D$2:$D$361,MATCH("Прилуки, Чернігівська обл., "&amp;$A292,Геокодування!$B$2:$B$361,0))-32.3876)&gt;0.15,"",INDEX(Геокодування!$C$2:$C$361,MATCH("Прилуки, Чернігівська обл., "&amp;$A292,Геокодування!$B$2:$B$361,0))),""))))</f>
        <v>50.584637000000001</v>
      </c>
      <c r="S292" s="43">
        <f>IF($O292="","",IFERROR(INDEX('Координати майданчиків'!$I$4:$I$64,MATCH($T292,'Координати майданчиків'!$B$4:$B$64,0)),IFERROR(IF(ABS(INDEX(Геокодування!$C$2:$C$361,MATCH($Q292,Геокодування!$B$2:$B$361,0))-50.5884)+ABS(INDEX(Геокодування!$D$2:$D$361,MATCH($Q292,Геокодування!$B$2:$B$361,0))-32.3876)&gt;0.15,"",INDEX(Геокодування!$D$2:$D$361,MATCH($Q292,Геокодування!$B$2:$B$361,0))),IFERROR(IF(ABS(INDEX(Геокодування!$C$2:$C$361,MATCH("Прилуки, Чернігівська обл., "&amp;$A292,Геокодування!$B$2:$B$361,0))-50.5884)+ABS(INDEX(Геокодування!$D$2:$D$361,MATCH("Прилуки, Чернігівська обл., "&amp;$A292,Геокодування!$B$2:$B$361,0))-32.3876)&gt;0.15,"",INDEX(Геокодування!$D$2:$D$361,MATCH("Прилуки, Чернігівська обл., "&amp;$A292,Геокодування!$B$2:$B$361,0))),""))))</f>
        <v>32.385432000000002</v>
      </c>
      <c r="T292" s="44" t="str">
        <f>IF($O292="","",IFERROR(INDEX('Координати майданчиків'!$B$4:$B$64,MATCH($A292&amp;IF($P292="","",", "&amp;$P292),'Координати майданчиків'!$B$4:$B$64,0)),IFERROR(INDEX('Координати майданчиків'!$B$4:$B$64,MATCH($A292,'Координати майданчиків'!$B$4:$B$64,0)),"")))</f>
        <v/>
      </c>
    </row>
    <row r="293" spans="1:20" x14ac:dyDescent="0.35">
      <c r="A293" s="26" t="str">
        <f t="shared" si="12"/>
        <v>вул. Макаренка</v>
      </c>
      <c r="B293" s="26" t="str">
        <f t="shared" si="13"/>
        <v>7,16  22,75</v>
      </c>
      <c r="C293" s="27" t="str" cm="1">
        <f t="array" ref="C293">IF($O293="","",_xlfn.TEXTJOIN(", ",TRUE,IF(EXACT('Дані_зв''язок'!$J$4:$J$1012,$O293)*('Дані_зв''язок'!$C$4:$C$1012=C$4),'Дані_зв''язок'!$D$4:$D$1012,"")))</f>
        <v/>
      </c>
      <c r="D293" s="27" t="str" cm="1">
        <f t="array" ref="D293">IF($O293="","",_xlfn.TEXTJOIN(", ",TRUE,IF(EXACT('Дані_зв''язок'!$J$4:$J$1012,$O293)*('Дані_зв''язок'!$C$4:$C$1012=D$4),'Дані_зв''язок'!$D$4:$D$1012,"")))</f>
        <v/>
      </c>
      <c r="E293" s="27" t="str" cm="1">
        <f t="array" ref="E293">IF($O293="","",_xlfn.TEXTJOIN(", ",TRUE,IF(EXACT('Дані_зв''язок'!$J$4:$J$1012,$O293)*('Дані_зв''язок'!$C$4:$C$1012=E$4),'Дані_зв''язок'!$D$4:$D$1012,"")))</f>
        <v/>
      </c>
      <c r="F293" s="27" t="str" cm="1">
        <f t="array" ref="F293">IF($O293="","",_xlfn.TEXTJOIN(", ",TRUE,IF(EXACT('Дані_зв''язок'!$J$4:$J$1012,$O293)*('Дані_зв''язок'!$C$4:$C$1012=F$4),'Дані_зв''язок'!$D$4:$D$1012,"")))</f>
        <v/>
      </c>
      <c r="G293" s="27" t="str" cm="1">
        <f t="array" ref="G293">IF($O293="","",_xlfn.TEXTJOIN(", ",TRUE,IF(EXACT('Дані_зв''язок'!$J$4:$J$1012,$O293)*('Дані_зв''язок'!$C$4:$C$1012=G$4),'Дані_зв''язок'!$D$4:$D$1012,"")))</f>
        <v>10:00</v>
      </c>
      <c r="H293" s="27" t="str" cm="1">
        <f t="array" ref="H293">IF($O293="","",_xlfn.TEXTJOIN(", ",TRUE,IF(EXACT('Дані_зв''язок'!$J$4:$J$1012,$O293)*('Дані_зв''язок'!$C$4:$C$1012=H$4),'Дані_зв''язок'!$D$4:$D$1012,"")))</f>
        <v/>
      </c>
      <c r="I293" s="27" t="str" cm="1">
        <f t="array" ref="I293">IF($O293="","",_xlfn.TEXTJOIN(", ",TRUE,IF(EXACT('Дані_зв''язок'!$J$4:$J$1012,$O293)*('Дані_зв''язок'!$C$4:$C$1012=I$4),'Дані_зв''язок'!$D$4:$D$1012,"")))</f>
        <v/>
      </c>
      <c r="J293" s="27" cm="1">
        <f t="array" ref="J293">IF($O293="","",COUNTIF(C293:I293,"?*")+SUMPRODUCT(LEN(C293:I293)-LEN(SUBSTITUTE(C293:I293,",",""))))</f>
        <v>1</v>
      </c>
      <c r="K293" s="28" t="str" cm="1">
        <f t="array" ref="K293">IF($O293="","",_xlfn.TEXTJOIN(", ",TRUE,IF(EXACT('Дані_зв''язок'!$J$4:$J$1012,$O293),'Дані_зв''язок'!$L$4:$L$1012,"")))</f>
        <v>№6</v>
      </c>
      <c r="L293" s="28" t="str" cm="1">
        <f t="array" ref="L293">IF($O293="","",_xlfn.TEXTJOIN(", ",TRUE,IF(EXACT('Дані_зв''язок'!$J$4:$J$1012,$O293),'Дані_зв''язок'!$M$4:$M$1012,"")))</f>
        <v>АТ 4021</v>
      </c>
      <c r="M293" s="27" t="str" cm="1">
        <f t="array" ref="M293">IF($O293="","",IF(SUMPRODUCT(MAX(EXACT('Дані_зв''язок'!$J$4:$J$1012,$O293)*IFERROR('Дані_зв''язок'!$H$4:$H$1012,0)))=0,"",SUMPRODUCT(MAX(EXACT('Дані_зв''язок'!$J$4:$J$1012,$O293)*IFERROR('Дані_зв''язок'!$H$4:$H$1012,0)))))</f>
        <v/>
      </c>
      <c r="O293" s="30" t="s">
        <v>1412</v>
      </c>
      <c r="P293" s="24" cm="1">
        <f t="array" ref="P293">IF($O293="","",IF($B293="","",IFERROR(IF(MIN(IFERROR(VALUE(TRIM(MID(SUBSTITUTE(SUBSTITUTE($B293,","," ")," ",REPT(" ",30)),{1;31;61;91;121;151;181},30))),""))=0,"",MIN(IFERROR(VALUE(TRIM(MID(SUBSTITUTE(SUBSTITUTE($B293,","," ")," ",REPT(" ",30)),{1;31;61;91;121;151;181},30))),""))),"")))</f>
        <v>7</v>
      </c>
      <c r="Q293" s="23" t="str">
        <f t="shared" si="14"/>
        <v>Прилуки, Чернігівська обл., вул. Макаренка, 7</v>
      </c>
      <c r="R293" s="35">
        <f>IF($O293="","",IFERROR(INDEX('Координати майданчиків'!$H$4:$H$64,MATCH($T293,'Координати майданчиків'!$B$4:$B$64,0)),IFERROR(IF(ABS(INDEX(Геокодування!$C$2:$C$361,MATCH($Q293,Геокодування!$B$2:$B$361,0))-50.5884)+ABS(INDEX(Геокодування!$D$2:$D$361,MATCH($Q293,Геокодування!$B$2:$B$361,0))-32.3876)&gt;0.15,"",INDEX(Геокодування!$C$2:$C$361,MATCH($Q293,Геокодування!$B$2:$B$361,0))),IFERROR(IF(ABS(INDEX(Геокодування!$C$2:$C$361,MATCH("Прилуки, Чернігівська обл., "&amp;$A293,Геокодування!$B$2:$B$361,0))-50.5884)+ABS(INDEX(Геокодування!$D$2:$D$361,MATCH("Прилуки, Чернігівська обл., "&amp;$A293,Геокодування!$B$2:$B$361,0))-32.3876)&gt;0.15,"",INDEX(Геокодування!$C$2:$C$361,MATCH("Прилуки, Чернігівська обл., "&amp;$A293,Геокодування!$B$2:$B$361,0))),""))))</f>
        <v>50.569429</v>
      </c>
      <c r="S293" s="43">
        <f>IF($O293="","",IFERROR(INDEX('Координати майданчиків'!$I$4:$I$64,MATCH($T293,'Координати майданчиків'!$B$4:$B$64,0)),IFERROR(IF(ABS(INDEX(Геокодування!$C$2:$C$361,MATCH($Q293,Геокодування!$B$2:$B$361,0))-50.5884)+ABS(INDEX(Геокодування!$D$2:$D$361,MATCH($Q293,Геокодування!$B$2:$B$361,0))-32.3876)&gt;0.15,"",INDEX(Геокодування!$D$2:$D$361,MATCH($Q293,Геокодування!$B$2:$B$361,0))),IFERROR(IF(ABS(INDEX(Геокодування!$C$2:$C$361,MATCH("Прилуки, Чернігівська обл., "&amp;$A293,Геокодування!$B$2:$B$361,0))-50.5884)+ABS(INDEX(Геокодування!$D$2:$D$361,MATCH("Прилуки, Чернігівська обл., "&amp;$A293,Геокодування!$B$2:$B$361,0))-32.3876)&gt;0.15,"",INDEX(Геокодування!$D$2:$D$361,MATCH("Прилуки, Чернігівська обл., "&amp;$A293,Геокодування!$B$2:$B$361,0))),""))))</f>
        <v>32.415266000000003</v>
      </c>
      <c r="T293" s="44" t="str">
        <f>IF($O293="","",IFERROR(INDEX('Координати майданчиків'!$B$4:$B$64,MATCH($A293&amp;IF($P293="","",", "&amp;$P293),'Координати майданчиків'!$B$4:$B$64,0)),IFERROR(INDEX('Координати майданчиків'!$B$4:$B$64,MATCH($A293,'Координати майданчиків'!$B$4:$B$64,0)),"")))</f>
        <v/>
      </c>
    </row>
    <row r="294" spans="1:20" x14ac:dyDescent="0.35">
      <c r="A294" s="26" t="str">
        <f t="shared" si="12"/>
        <v>вул. Малківська</v>
      </c>
      <c r="B294" s="26" t="str">
        <f t="shared" si="13"/>
        <v/>
      </c>
      <c r="C294" s="27" t="str" cm="1">
        <f t="array" ref="C294">IF($O294="","",_xlfn.TEXTJOIN(", ",TRUE,IF(EXACT('Дані_зв''язок'!$J$4:$J$1012,$O294)*('Дані_зв''язок'!$C$4:$C$1012=C$4),'Дані_зв''язок'!$D$4:$D$1012,"")))</f>
        <v>10:50</v>
      </c>
      <c r="D294" s="27" t="str" cm="1">
        <f t="array" ref="D294">IF($O294="","",_xlfn.TEXTJOIN(", ",TRUE,IF(EXACT('Дані_зв''язок'!$J$4:$J$1012,$O294)*('Дані_зв''язок'!$C$4:$C$1012=D$4),'Дані_зв''язок'!$D$4:$D$1012,"")))</f>
        <v/>
      </c>
      <c r="E294" s="27" t="str" cm="1">
        <f t="array" ref="E294">IF($O294="","",_xlfn.TEXTJOIN(", ",TRUE,IF(EXACT('Дані_зв''язок'!$J$4:$J$1012,$O294)*('Дані_зв''язок'!$C$4:$C$1012=E$4),'Дані_зв''язок'!$D$4:$D$1012,"")))</f>
        <v/>
      </c>
      <c r="F294" s="27" t="str" cm="1">
        <f t="array" ref="F294">IF($O294="","",_xlfn.TEXTJOIN(", ",TRUE,IF(EXACT('Дані_зв''язок'!$J$4:$J$1012,$O294)*('Дані_зв''язок'!$C$4:$C$1012=F$4),'Дані_зв''язок'!$D$4:$D$1012,"")))</f>
        <v/>
      </c>
      <c r="G294" s="27" t="str" cm="1">
        <f t="array" ref="G294">IF($O294="","",_xlfn.TEXTJOIN(", ",TRUE,IF(EXACT('Дані_зв''язок'!$J$4:$J$1012,$O294)*('Дані_зв''язок'!$C$4:$C$1012=G$4),'Дані_зв''язок'!$D$4:$D$1012,"")))</f>
        <v/>
      </c>
      <c r="H294" s="27" t="str" cm="1">
        <f t="array" ref="H294">IF($O294="","",_xlfn.TEXTJOIN(", ",TRUE,IF(EXACT('Дані_зв''язок'!$J$4:$J$1012,$O294)*('Дані_зв''язок'!$C$4:$C$1012=H$4),'Дані_зв''язок'!$D$4:$D$1012,"")))</f>
        <v/>
      </c>
      <c r="I294" s="27" t="str" cm="1">
        <f t="array" ref="I294">IF($O294="","",_xlfn.TEXTJOIN(", ",TRUE,IF(EXACT('Дані_зв''язок'!$J$4:$J$1012,$O294)*('Дані_зв''язок'!$C$4:$C$1012=I$4),'Дані_зв''язок'!$D$4:$D$1012,"")))</f>
        <v/>
      </c>
      <c r="J294" s="27" cm="1">
        <f t="array" ref="J294">IF($O294="","",COUNTIF(C294:I294,"?*")+SUMPRODUCT(LEN(C294:I294)-LEN(SUBSTITUTE(C294:I294,",",""))))</f>
        <v>1</v>
      </c>
      <c r="K294" s="28" t="str" cm="1">
        <f t="array" ref="K294">IF($O294="","",_xlfn.TEXTJOIN(", ",TRUE,IF(EXACT('Дані_зв''язок'!$J$4:$J$1012,$O294),'Дані_зв''язок'!$L$4:$L$1012,"")))</f>
        <v>№5</v>
      </c>
      <c r="L294" s="28" t="str" cm="1">
        <f t="array" ref="L294">IF($O294="","",_xlfn.TEXTJOIN(", ",TRUE,IF(EXACT('Дані_зв''язок'!$J$4:$J$1012,$O294),'Дані_зв''язок'!$M$4:$M$1012,"")))</f>
        <v>МАЗ 4381</v>
      </c>
      <c r="M294" s="27" t="str" cm="1">
        <f t="array" ref="M294">IF($O294="","",IF(SUMPRODUCT(MAX(EXACT('Дані_зв''язок'!$J$4:$J$1012,$O294)*IFERROR('Дані_зв''язок'!$H$4:$H$1012,0)))=0,"",SUMPRODUCT(MAX(EXACT('Дані_зв''язок'!$J$4:$J$1012,$O294)*IFERROR('Дані_зв''язок'!$H$4:$H$1012,0)))))</f>
        <v/>
      </c>
      <c r="O294" s="30" t="s">
        <v>1413</v>
      </c>
      <c r="P294" s="24" t="str" cm="1">
        <f t="array" ref="P294">IF($O294="","",IF($B294="","",IFERROR(IF(MIN(IFERROR(VALUE(TRIM(MID(SUBSTITUTE(SUBSTITUTE($B294,","," ")," ",REPT(" ",30)),{1;31;61;91;121;151;181},30))),""))=0,"",MIN(IFERROR(VALUE(TRIM(MID(SUBSTITUTE(SUBSTITUTE($B294,","," ")," ",REPT(" ",30)),{1;31;61;91;121;151;181},30))),""))),"")))</f>
        <v/>
      </c>
      <c r="Q294" s="23" t="str">
        <f t="shared" si="14"/>
        <v>Прилуки, Чернігівська обл., вул. Малківська</v>
      </c>
      <c r="R294" s="35">
        <f>IF($O294="","",IFERROR(INDEX('Координати майданчиків'!$H$4:$H$64,MATCH($T294,'Координати майданчиків'!$B$4:$B$64,0)),IFERROR(IF(ABS(INDEX(Геокодування!$C$2:$C$361,MATCH($Q294,Геокодування!$B$2:$B$361,0))-50.5884)+ABS(INDEX(Геокодування!$D$2:$D$361,MATCH($Q294,Геокодування!$B$2:$B$361,0))-32.3876)&gt;0.15,"",INDEX(Геокодування!$C$2:$C$361,MATCH($Q294,Геокодування!$B$2:$B$361,0))),IFERROR(IF(ABS(INDEX(Геокодування!$C$2:$C$361,MATCH("Прилуки, Чернігівська обл., "&amp;$A294,Геокодування!$B$2:$B$361,0))-50.5884)+ABS(INDEX(Геокодування!$D$2:$D$361,MATCH("Прилуки, Чернігівська обл., "&amp;$A294,Геокодування!$B$2:$B$361,0))-32.3876)&gt;0.15,"",INDEX(Геокодування!$C$2:$C$361,MATCH("Прилуки, Чернігівська обл., "&amp;$A294,Геокодування!$B$2:$B$361,0))),""))))</f>
        <v>50.574281999999997</v>
      </c>
      <c r="S294" s="43">
        <f>IF($O294="","",IFERROR(INDEX('Координати майданчиків'!$I$4:$I$64,MATCH($T294,'Координати майданчиків'!$B$4:$B$64,0)),IFERROR(IF(ABS(INDEX(Геокодування!$C$2:$C$361,MATCH($Q294,Геокодування!$B$2:$B$361,0))-50.5884)+ABS(INDEX(Геокодування!$D$2:$D$361,MATCH($Q294,Геокодування!$B$2:$B$361,0))-32.3876)&gt;0.15,"",INDEX(Геокодування!$D$2:$D$361,MATCH($Q294,Геокодування!$B$2:$B$361,0))),IFERROR(IF(ABS(INDEX(Геокодування!$C$2:$C$361,MATCH("Прилуки, Чернігівська обл., "&amp;$A294,Геокодування!$B$2:$B$361,0))-50.5884)+ABS(INDEX(Геокодування!$D$2:$D$361,MATCH("Прилуки, Чернігівська обл., "&amp;$A294,Геокодування!$B$2:$B$361,0))-32.3876)&gt;0.15,"",INDEX(Геокодування!$D$2:$D$361,MATCH("Прилуки, Чернігівська обл., "&amp;$A294,Геокодування!$B$2:$B$361,0))),""))))</f>
        <v>32.383232999999997</v>
      </c>
      <c r="T294" s="44" t="str">
        <f>IF($O294="","",IFERROR(INDEX('Координати майданчиків'!$B$4:$B$64,MATCH($A294&amp;IF($P294="","",", "&amp;$P294),'Координати майданчиків'!$B$4:$B$64,0)),IFERROR(INDEX('Координати майданчиків'!$B$4:$B$64,MATCH($A294,'Координати майданчиків'!$B$4:$B$64,0)),"")))</f>
        <v/>
      </c>
    </row>
    <row r="295" spans="1:20" x14ac:dyDescent="0.35">
      <c r="A295" s="26" t="str">
        <f t="shared" si="12"/>
        <v>вул. Мединська</v>
      </c>
      <c r="B295" s="26" t="str">
        <f t="shared" si="13"/>
        <v/>
      </c>
      <c r="C295" s="27" t="str" cm="1">
        <f t="array" ref="C295">IF($O295="","",_xlfn.TEXTJOIN(", ",TRUE,IF(EXACT('Дані_зв''язок'!$J$4:$J$1012,$O295)*('Дані_зв''язок'!$C$4:$C$1012=C$4),'Дані_зв''язок'!$D$4:$D$1012,"")))</f>
        <v/>
      </c>
      <c r="D295" s="27" t="str" cm="1">
        <f t="array" ref="D295">IF($O295="","",_xlfn.TEXTJOIN(", ",TRUE,IF(EXACT('Дані_зв''язок'!$J$4:$J$1012,$O295)*('Дані_зв''язок'!$C$4:$C$1012=D$4),'Дані_зв''язок'!$D$4:$D$1012,"")))</f>
        <v/>
      </c>
      <c r="E295" s="27" t="str" cm="1">
        <f t="array" ref="E295">IF($O295="","",_xlfn.TEXTJOIN(", ",TRUE,IF(EXACT('Дані_зв''язок'!$J$4:$J$1012,$O295)*('Дані_зв''язок'!$C$4:$C$1012=E$4),'Дані_зв''язок'!$D$4:$D$1012,"")))</f>
        <v/>
      </c>
      <c r="F295" s="27" t="str" cm="1">
        <f t="array" ref="F295">IF($O295="","",_xlfn.TEXTJOIN(", ",TRUE,IF(EXACT('Дані_зв''язок'!$J$4:$J$1012,$O295)*('Дані_зв''язок'!$C$4:$C$1012=F$4),'Дані_зв''язок'!$D$4:$D$1012,"")))</f>
        <v>14:30</v>
      </c>
      <c r="G295" s="27" t="str" cm="1">
        <f t="array" ref="G295">IF($O295="","",_xlfn.TEXTJOIN(", ",TRUE,IF(EXACT('Дані_зв''язок'!$J$4:$J$1012,$O295)*('Дані_зв''язок'!$C$4:$C$1012=G$4),'Дані_зв''язок'!$D$4:$D$1012,"")))</f>
        <v/>
      </c>
      <c r="H295" s="27" t="str" cm="1">
        <f t="array" ref="H295">IF($O295="","",_xlfn.TEXTJOIN(", ",TRUE,IF(EXACT('Дані_зв''язок'!$J$4:$J$1012,$O295)*('Дані_зв''язок'!$C$4:$C$1012=H$4),'Дані_зв''язок'!$D$4:$D$1012,"")))</f>
        <v/>
      </c>
      <c r="I295" s="27" t="str" cm="1">
        <f t="array" ref="I295">IF($O295="","",_xlfn.TEXTJOIN(", ",TRUE,IF(EXACT('Дані_зв''язок'!$J$4:$J$1012,$O295)*('Дані_зв''язок'!$C$4:$C$1012=I$4),'Дані_зв''язок'!$D$4:$D$1012,"")))</f>
        <v/>
      </c>
      <c r="J295" s="27" cm="1">
        <f t="array" ref="J295">IF($O295="","",COUNTIF(C295:I295,"?*")+SUMPRODUCT(LEN(C295:I295)-LEN(SUBSTITUTE(C295:I295,",",""))))</f>
        <v>1</v>
      </c>
      <c r="K295" s="28" t="str" cm="1">
        <f t="array" ref="K295">IF($O295="","",_xlfn.TEXTJOIN(", ",TRUE,IF(EXACT('Дані_зв''язок'!$J$4:$J$1012,$O295),'Дані_зв''язок'!$L$4:$L$1012,"")))</f>
        <v>№5</v>
      </c>
      <c r="L295" s="28" t="str" cm="1">
        <f t="array" ref="L295">IF($O295="","",_xlfn.TEXTJOIN(", ",TRUE,IF(EXACT('Дані_зв''язок'!$J$4:$J$1012,$O295),'Дані_зв''язок'!$M$4:$M$1012,"")))</f>
        <v>МАЗ 4381</v>
      </c>
      <c r="M295" s="27" t="str" cm="1">
        <f t="array" ref="M295">IF($O295="","",IF(SUMPRODUCT(MAX(EXACT('Дані_зв''язок'!$J$4:$J$1012,$O295)*IFERROR('Дані_зв''язок'!$H$4:$H$1012,0)))=0,"",SUMPRODUCT(MAX(EXACT('Дані_зв''язок'!$J$4:$J$1012,$O295)*IFERROR('Дані_зв''язок'!$H$4:$H$1012,0)))))</f>
        <v/>
      </c>
      <c r="O295" s="30" t="s">
        <v>1414</v>
      </c>
      <c r="P295" s="24" t="str" cm="1">
        <f t="array" ref="P295">IF($O295="","",IF($B295="","",IFERROR(IF(MIN(IFERROR(VALUE(TRIM(MID(SUBSTITUTE(SUBSTITUTE($B295,","," ")," ",REPT(" ",30)),{1;31;61;91;121;151;181},30))),""))=0,"",MIN(IFERROR(VALUE(TRIM(MID(SUBSTITUTE(SUBSTITUTE($B295,","," ")," ",REPT(" ",30)),{1;31;61;91;121;151;181},30))),""))),"")))</f>
        <v/>
      </c>
      <c r="Q295" s="23" t="str">
        <f t="shared" si="14"/>
        <v>Прилуки, Чернігівська обл., вул. Мединська</v>
      </c>
      <c r="R295" s="35">
        <f>IF($O295="","",IFERROR(INDEX('Координати майданчиків'!$H$4:$H$64,MATCH($T295,'Координати майданчиків'!$B$4:$B$64,0)),IFERROR(IF(ABS(INDEX(Геокодування!$C$2:$C$361,MATCH($Q295,Геокодування!$B$2:$B$361,0))-50.5884)+ABS(INDEX(Геокодування!$D$2:$D$361,MATCH($Q295,Геокодування!$B$2:$B$361,0))-32.3876)&gt;0.15,"",INDEX(Геокодування!$C$2:$C$361,MATCH($Q295,Геокодування!$B$2:$B$361,0))),IFERROR(IF(ABS(INDEX(Геокодування!$C$2:$C$361,MATCH("Прилуки, Чернігівська обл., "&amp;$A295,Геокодування!$B$2:$B$361,0))-50.5884)+ABS(INDEX(Геокодування!$D$2:$D$361,MATCH("Прилуки, Чернігівська обл., "&amp;$A295,Геокодування!$B$2:$B$361,0))-32.3876)&gt;0.15,"",INDEX(Геокодування!$C$2:$C$361,MATCH("Прилуки, Чернігівська обл., "&amp;$A295,Геокодування!$B$2:$B$361,0))),""))))</f>
        <v>50.604695</v>
      </c>
      <c r="S295" s="43">
        <f>IF($O295="","",IFERROR(INDEX('Координати майданчиків'!$I$4:$I$64,MATCH($T295,'Координати майданчиків'!$B$4:$B$64,0)),IFERROR(IF(ABS(INDEX(Геокодування!$C$2:$C$361,MATCH($Q295,Геокодування!$B$2:$B$361,0))-50.5884)+ABS(INDEX(Геокодування!$D$2:$D$361,MATCH($Q295,Геокодування!$B$2:$B$361,0))-32.3876)&gt;0.15,"",INDEX(Геокодування!$D$2:$D$361,MATCH($Q295,Геокодування!$B$2:$B$361,0))),IFERROR(IF(ABS(INDEX(Геокодування!$C$2:$C$361,MATCH("Прилуки, Чернігівська обл., "&amp;$A295,Геокодування!$B$2:$B$361,0))-50.5884)+ABS(INDEX(Геокодування!$D$2:$D$361,MATCH("Прилуки, Чернігівська обл., "&amp;$A295,Геокодування!$B$2:$B$361,0))-32.3876)&gt;0.15,"",INDEX(Геокодування!$D$2:$D$361,MATCH("Прилуки, Чернігівська обл., "&amp;$A295,Геокодування!$B$2:$B$361,0))),""))))</f>
        <v>32.336871000000002</v>
      </c>
      <c r="T295" s="44" t="str">
        <f>IF($O295="","",IFERROR(INDEX('Координати майданчиків'!$B$4:$B$64,MATCH($A295&amp;IF($P295="","",", "&amp;$P295),'Координати майданчиків'!$B$4:$B$64,0)),IFERROR(INDEX('Координати майданчиків'!$B$4:$B$64,MATCH($A295,'Координати майданчиків'!$B$4:$B$64,0)),"")))</f>
        <v/>
      </c>
    </row>
    <row r="296" spans="1:20" x14ac:dyDescent="0.35">
      <c r="A296" s="26" t="str">
        <f t="shared" si="12"/>
        <v>вул. Межова</v>
      </c>
      <c r="B296" s="26" t="str">
        <f t="shared" si="13"/>
        <v>2,12</v>
      </c>
      <c r="C296" s="27" t="str" cm="1">
        <f t="array" ref="C296">IF($O296="","",_xlfn.TEXTJOIN(", ",TRUE,IF(EXACT('Дані_зв''язок'!$J$4:$J$1012,$O296)*('Дані_зв''язок'!$C$4:$C$1012=C$4),'Дані_зв''язок'!$D$4:$D$1012,"")))</f>
        <v>11:55</v>
      </c>
      <c r="D296" s="27" t="str" cm="1">
        <f t="array" ref="D296">IF($O296="","",_xlfn.TEXTJOIN(", ",TRUE,IF(EXACT('Дані_зв''язок'!$J$4:$J$1012,$O296)*('Дані_зв''язок'!$C$4:$C$1012=D$4),'Дані_зв''язок'!$D$4:$D$1012,"")))</f>
        <v/>
      </c>
      <c r="E296" s="27" t="str" cm="1">
        <f t="array" ref="E296">IF($O296="","",_xlfn.TEXTJOIN(", ",TRUE,IF(EXACT('Дані_зв''язок'!$J$4:$J$1012,$O296)*('Дані_зв''язок'!$C$4:$C$1012=E$4),'Дані_зв''язок'!$D$4:$D$1012,"")))</f>
        <v/>
      </c>
      <c r="F296" s="27" t="str" cm="1">
        <f t="array" ref="F296">IF($O296="","",_xlfn.TEXTJOIN(", ",TRUE,IF(EXACT('Дані_зв''язок'!$J$4:$J$1012,$O296)*('Дані_зв''язок'!$C$4:$C$1012=F$4),'Дані_зв''язок'!$D$4:$D$1012,"")))</f>
        <v/>
      </c>
      <c r="G296" s="27" t="str" cm="1">
        <f t="array" ref="G296">IF($O296="","",_xlfn.TEXTJOIN(", ",TRUE,IF(EXACT('Дані_зв''язок'!$J$4:$J$1012,$O296)*('Дані_зв''язок'!$C$4:$C$1012=G$4),'Дані_зв''язок'!$D$4:$D$1012,"")))</f>
        <v/>
      </c>
      <c r="H296" s="27" t="str" cm="1">
        <f t="array" ref="H296">IF($O296="","",_xlfn.TEXTJOIN(", ",TRUE,IF(EXACT('Дані_зв''язок'!$J$4:$J$1012,$O296)*('Дані_зв''язок'!$C$4:$C$1012=H$4),'Дані_зв''язок'!$D$4:$D$1012,"")))</f>
        <v/>
      </c>
      <c r="I296" s="27" t="str" cm="1">
        <f t="array" ref="I296">IF($O296="","",_xlfn.TEXTJOIN(", ",TRUE,IF(EXACT('Дані_зв''язок'!$J$4:$J$1012,$O296)*('Дані_зв''язок'!$C$4:$C$1012=I$4),'Дані_зв''язок'!$D$4:$D$1012,"")))</f>
        <v/>
      </c>
      <c r="J296" s="27" cm="1">
        <f t="array" ref="J296">IF($O296="","",COUNTIF(C296:I296,"?*")+SUMPRODUCT(LEN(C296:I296)-LEN(SUBSTITUTE(C296:I296,",",""))))</f>
        <v>1</v>
      </c>
      <c r="K296" s="28" t="str" cm="1">
        <f t="array" ref="K296">IF($O296="","",_xlfn.TEXTJOIN(", ",TRUE,IF(EXACT('Дані_зв''язок'!$J$4:$J$1012,$O296),'Дані_зв''язок'!$L$4:$L$1012,"")))</f>
        <v>№6</v>
      </c>
      <c r="L296" s="28" t="str" cm="1">
        <f t="array" ref="L296">IF($O296="","",_xlfn.TEXTJOIN(", ",TRUE,IF(EXACT('Дані_зв''язок'!$J$4:$J$1012,$O296),'Дані_зв''язок'!$M$4:$M$1012,"")))</f>
        <v>АТ 4021</v>
      </c>
      <c r="M296" s="27" t="str" cm="1">
        <f t="array" ref="M296">IF($O296="","",IF(SUMPRODUCT(MAX(EXACT('Дані_зв''язок'!$J$4:$J$1012,$O296)*IFERROR('Дані_зв''язок'!$H$4:$H$1012,0)))=0,"",SUMPRODUCT(MAX(EXACT('Дані_зв''язок'!$J$4:$J$1012,$O296)*IFERROR('Дані_зв''язок'!$H$4:$H$1012,0)))))</f>
        <v/>
      </c>
      <c r="O296" s="30" t="s">
        <v>1415</v>
      </c>
      <c r="P296" s="24" cm="1">
        <f t="array" ref="P296">IF($O296="","",IF($B296="","",IFERROR(IF(MIN(IFERROR(VALUE(TRIM(MID(SUBSTITUTE(SUBSTITUTE($B296,","," ")," ",REPT(" ",30)),{1;31;61;91;121;151;181},30))),""))=0,"",MIN(IFERROR(VALUE(TRIM(MID(SUBSTITUTE(SUBSTITUTE($B296,","," ")," ",REPT(" ",30)),{1;31;61;91;121;151;181},30))),""))),"")))</f>
        <v>2</v>
      </c>
      <c r="Q296" s="23" t="str">
        <f t="shared" si="14"/>
        <v>Прилуки, Чернігівська обл., вул. Межова, 2</v>
      </c>
      <c r="R296" s="35">
        <f>IF($O296="","",IFERROR(INDEX('Координати майданчиків'!$H$4:$H$64,MATCH($T296,'Координати майданчиків'!$B$4:$B$64,0)),IFERROR(IF(ABS(INDEX(Геокодування!$C$2:$C$361,MATCH($Q296,Геокодування!$B$2:$B$361,0))-50.5884)+ABS(INDEX(Геокодування!$D$2:$D$361,MATCH($Q296,Геокодування!$B$2:$B$361,0))-32.3876)&gt;0.15,"",INDEX(Геокодування!$C$2:$C$361,MATCH($Q296,Геокодування!$B$2:$B$361,0))),IFERROR(IF(ABS(INDEX(Геокодування!$C$2:$C$361,MATCH("Прилуки, Чернігівська обл., "&amp;$A296,Геокодування!$B$2:$B$361,0))-50.5884)+ABS(INDEX(Геокодування!$D$2:$D$361,MATCH("Прилуки, Чернігівська обл., "&amp;$A296,Геокодування!$B$2:$B$361,0))-32.3876)&gt;0.15,"",INDEX(Геокодування!$C$2:$C$361,MATCH("Прилуки, Чернігівська обл., "&amp;$A296,Геокодування!$B$2:$B$361,0))),""))))</f>
        <v>50.607903</v>
      </c>
      <c r="S296" s="43">
        <f>IF($O296="","",IFERROR(INDEX('Координати майданчиків'!$I$4:$I$64,MATCH($T296,'Координати майданчиків'!$B$4:$B$64,0)),IFERROR(IF(ABS(INDEX(Геокодування!$C$2:$C$361,MATCH($Q296,Геокодування!$B$2:$B$361,0))-50.5884)+ABS(INDEX(Геокодування!$D$2:$D$361,MATCH($Q296,Геокодування!$B$2:$B$361,0))-32.3876)&gt;0.15,"",INDEX(Геокодування!$D$2:$D$361,MATCH($Q296,Геокодування!$B$2:$B$361,0))),IFERROR(IF(ABS(INDEX(Геокодування!$C$2:$C$361,MATCH("Прилуки, Чернігівська обл., "&amp;$A296,Геокодування!$B$2:$B$361,0))-50.5884)+ABS(INDEX(Геокодування!$D$2:$D$361,MATCH("Прилуки, Чернігівська обл., "&amp;$A296,Геокодування!$B$2:$B$361,0))-32.3876)&gt;0.15,"",INDEX(Геокодування!$D$2:$D$361,MATCH("Прилуки, Чернігівська обл., "&amp;$A296,Геокодування!$B$2:$B$361,0))),""))))</f>
        <v>32.381672999999999</v>
      </c>
      <c r="T296" s="44" t="str">
        <f>IF($O296="","",IFERROR(INDEX('Координати майданчиків'!$B$4:$B$64,MATCH($A296&amp;IF($P296="","",", "&amp;$P296),'Координати майданчиків'!$B$4:$B$64,0)),IFERROR(INDEX('Координати майданчиків'!$B$4:$B$64,MATCH($A296,'Координати майданчиків'!$B$4:$B$64,0)),"")))</f>
        <v/>
      </c>
    </row>
    <row r="297" spans="1:20" x14ac:dyDescent="0.35">
      <c r="A297" s="26" t="str">
        <f t="shared" si="12"/>
        <v>вул. Миколаївська</v>
      </c>
      <c r="B297" s="26" t="str">
        <f t="shared" si="13"/>
        <v/>
      </c>
      <c r="C297" s="27" t="str" cm="1">
        <f t="array" ref="C297">IF($O297="","",_xlfn.TEXTJOIN(", ",TRUE,IF(EXACT('Дані_зв''язок'!$J$4:$J$1012,$O297)*('Дані_зв''язок'!$C$4:$C$1012=C$4),'Дані_зв''язок'!$D$4:$D$1012,"")))</f>
        <v/>
      </c>
      <c r="D297" s="27" t="str" cm="1">
        <f t="array" ref="D297">IF($O297="","",_xlfn.TEXTJOIN(", ",TRUE,IF(EXACT('Дані_зв''язок'!$J$4:$J$1012,$O297)*('Дані_зв''язок'!$C$4:$C$1012=D$4),'Дані_зв''язок'!$D$4:$D$1012,"")))</f>
        <v/>
      </c>
      <c r="E297" s="27" t="str" cm="1">
        <f t="array" ref="E297">IF($O297="","",_xlfn.TEXTJOIN(", ",TRUE,IF(EXACT('Дані_зв''язок'!$J$4:$J$1012,$O297)*('Дані_зв''язок'!$C$4:$C$1012=E$4),'Дані_зв''язок'!$D$4:$D$1012,"")))</f>
        <v/>
      </c>
      <c r="F297" s="27" t="str" cm="1">
        <f t="array" ref="F297">IF($O297="","",_xlfn.TEXTJOIN(", ",TRUE,IF(EXACT('Дані_зв''язок'!$J$4:$J$1012,$O297)*('Дані_зв''язок'!$C$4:$C$1012=F$4),'Дані_зв''язок'!$D$4:$D$1012,"")))</f>
        <v>14:00</v>
      </c>
      <c r="G297" s="27" t="str" cm="1">
        <f t="array" ref="G297">IF($O297="","",_xlfn.TEXTJOIN(", ",TRUE,IF(EXACT('Дані_зв''язок'!$J$4:$J$1012,$O297)*('Дані_зв''язок'!$C$4:$C$1012=G$4),'Дані_зв''язок'!$D$4:$D$1012,"")))</f>
        <v/>
      </c>
      <c r="H297" s="27" t="str" cm="1">
        <f t="array" ref="H297">IF($O297="","",_xlfn.TEXTJOIN(", ",TRUE,IF(EXACT('Дані_зв''язок'!$J$4:$J$1012,$O297)*('Дані_зв''язок'!$C$4:$C$1012=H$4),'Дані_зв''язок'!$D$4:$D$1012,"")))</f>
        <v/>
      </c>
      <c r="I297" s="27" t="str" cm="1">
        <f t="array" ref="I297">IF($O297="","",_xlfn.TEXTJOIN(", ",TRUE,IF(EXACT('Дані_зв''язок'!$J$4:$J$1012,$O297)*('Дані_зв''язок'!$C$4:$C$1012=I$4),'Дані_зв''язок'!$D$4:$D$1012,"")))</f>
        <v/>
      </c>
      <c r="J297" s="27" cm="1">
        <f t="array" ref="J297">IF($O297="","",COUNTIF(C297:I297,"?*")+SUMPRODUCT(LEN(C297:I297)-LEN(SUBSTITUTE(C297:I297,",",""))))</f>
        <v>1</v>
      </c>
      <c r="K297" s="28" t="str" cm="1">
        <f t="array" ref="K297">IF($O297="","",_xlfn.TEXTJOIN(", ",TRUE,IF(EXACT('Дані_зв''язок'!$J$4:$J$1012,$O297),'Дані_зв''язок'!$L$4:$L$1012,"")))</f>
        <v>№5</v>
      </c>
      <c r="L297" s="28" t="str" cm="1">
        <f t="array" ref="L297">IF($O297="","",_xlfn.TEXTJOIN(", ",TRUE,IF(EXACT('Дані_зв''язок'!$J$4:$J$1012,$O297),'Дані_зв''язок'!$M$4:$M$1012,"")))</f>
        <v>МАЗ 4381</v>
      </c>
      <c r="M297" s="27" t="str" cm="1">
        <f t="array" ref="M297">IF($O297="","",IF(SUMPRODUCT(MAX(EXACT('Дані_зв''язок'!$J$4:$J$1012,$O297)*IFERROR('Дані_зв''язок'!$H$4:$H$1012,0)))=0,"",SUMPRODUCT(MAX(EXACT('Дані_зв''язок'!$J$4:$J$1012,$O297)*IFERROR('Дані_зв''язок'!$H$4:$H$1012,0)))))</f>
        <v/>
      </c>
      <c r="O297" s="30" t="s">
        <v>1416</v>
      </c>
      <c r="P297" s="24" t="str" cm="1">
        <f t="array" ref="P297">IF($O297="","",IF($B297="","",IFERROR(IF(MIN(IFERROR(VALUE(TRIM(MID(SUBSTITUTE(SUBSTITUTE($B297,","," ")," ",REPT(" ",30)),{1;31;61;91;121;151;181},30))),""))=0,"",MIN(IFERROR(VALUE(TRIM(MID(SUBSTITUTE(SUBSTITUTE($B297,","," ")," ",REPT(" ",30)),{1;31;61;91;121;151;181},30))),""))),"")))</f>
        <v/>
      </c>
      <c r="Q297" s="23" t="str">
        <f t="shared" si="14"/>
        <v>Прилуки, Чернігівська обл., вул. Миколаївська</v>
      </c>
      <c r="R297" s="35">
        <f>IF($O297="","",IFERROR(INDEX('Координати майданчиків'!$H$4:$H$64,MATCH($T297,'Координати майданчиків'!$B$4:$B$64,0)),IFERROR(IF(ABS(INDEX(Геокодування!$C$2:$C$361,MATCH($Q297,Геокодування!$B$2:$B$361,0))-50.5884)+ABS(INDEX(Геокодування!$D$2:$D$361,MATCH($Q297,Геокодування!$B$2:$B$361,0))-32.3876)&gt;0.15,"",INDEX(Геокодування!$C$2:$C$361,MATCH($Q297,Геокодування!$B$2:$B$361,0))),IFERROR(IF(ABS(INDEX(Геокодування!$C$2:$C$361,MATCH("Прилуки, Чернігівська обл., "&amp;$A297,Геокодування!$B$2:$B$361,0))-50.5884)+ABS(INDEX(Геокодування!$D$2:$D$361,MATCH("Прилуки, Чернігівська обл., "&amp;$A297,Геокодування!$B$2:$B$361,0))-32.3876)&gt;0.15,"",INDEX(Геокодування!$C$2:$C$361,MATCH("Прилуки, Чернігівська обл., "&amp;$A297,Геокодування!$B$2:$B$361,0))),""))))</f>
        <v>50.597935999999997</v>
      </c>
      <c r="S297" s="43">
        <f>IF($O297="","",IFERROR(INDEX('Координати майданчиків'!$I$4:$I$64,MATCH($T297,'Координати майданчиків'!$B$4:$B$64,0)),IFERROR(IF(ABS(INDEX(Геокодування!$C$2:$C$361,MATCH($Q297,Геокодування!$B$2:$B$361,0))-50.5884)+ABS(INDEX(Геокодування!$D$2:$D$361,MATCH($Q297,Геокодування!$B$2:$B$361,0))-32.3876)&gt;0.15,"",INDEX(Геокодування!$D$2:$D$361,MATCH($Q297,Геокодування!$B$2:$B$361,0))),IFERROR(IF(ABS(INDEX(Геокодування!$C$2:$C$361,MATCH("Прилуки, Чернігівська обл., "&amp;$A297,Геокодування!$B$2:$B$361,0))-50.5884)+ABS(INDEX(Геокодування!$D$2:$D$361,MATCH("Прилуки, Чернігівська обл., "&amp;$A297,Геокодування!$B$2:$B$361,0))-32.3876)&gt;0.15,"",INDEX(Геокодування!$D$2:$D$361,MATCH("Прилуки, Чернігівська обл., "&amp;$A297,Геокодування!$B$2:$B$361,0))),""))))</f>
        <v>32.387816999999998</v>
      </c>
      <c r="T297" s="44" t="str">
        <f>IF($O297="","",IFERROR(INDEX('Координати майданчиків'!$B$4:$B$64,MATCH($A297&amp;IF($P297="","",", "&amp;$P297),'Координати майданчиків'!$B$4:$B$64,0)),IFERROR(INDEX('Координати майданчиків'!$B$4:$B$64,MATCH($A297,'Координати майданчиків'!$B$4:$B$64,0)),"")))</f>
        <v/>
      </c>
    </row>
    <row r="298" spans="1:20" x14ac:dyDescent="0.35">
      <c r="A298" s="26" t="str">
        <f t="shared" si="12"/>
        <v>вул. Миролюбна</v>
      </c>
      <c r="B298" s="26" t="str">
        <f t="shared" si="13"/>
        <v>31,41  51,27</v>
      </c>
      <c r="C298" s="27" t="str" cm="1">
        <f t="array" ref="C298">IF($O298="","",_xlfn.TEXTJOIN(", ",TRUE,IF(EXACT('Дані_зв''язок'!$J$4:$J$1012,$O298)*('Дані_зв''язок'!$C$4:$C$1012=C$4),'Дані_зв''язок'!$D$4:$D$1012,"")))</f>
        <v/>
      </c>
      <c r="D298" s="27" t="str" cm="1">
        <f t="array" ref="D298">IF($O298="","",_xlfn.TEXTJOIN(", ",TRUE,IF(EXACT('Дані_зв''язок'!$J$4:$J$1012,$O298)*('Дані_зв''язок'!$C$4:$C$1012=D$4),'Дані_зв''язок'!$D$4:$D$1012,"")))</f>
        <v/>
      </c>
      <c r="E298" s="27" t="str" cm="1">
        <f t="array" ref="E298">IF($O298="","",_xlfn.TEXTJOIN(", ",TRUE,IF(EXACT('Дані_зв''язок'!$J$4:$J$1012,$O298)*('Дані_зв''язок'!$C$4:$C$1012=E$4),'Дані_зв''язок'!$D$4:$D$1012,"")))</f>
        <v/>
      </c>
      <c r="F298" s="27" t="str" cm="1">
        <f t="array" ref="F298">IF($O298="","",_xlfn.TEXTJOIN(", ",TRUE,IF(EXACT('Дані_зв''язок'!$J$4:$J$1012,$O298)*('Дані_зв''язок'!$C$4:$C$1012=F$4),'Дані_зв''язок'!$D$4:$D$1012,"")))</f>
        <v/>
      </c>
      <c r="G298" s="27" t="str" cm="1">
        <f t="array" ref="G298">IF($O298="","",_xlfn.TEXTJOIN(", ",TRUE,IF(EXACT('Дані_зв''язок'!$J$4:$J$1012,$O298)*('Дані_зв''язок'!$C$4:$C$1012=G$4),'Дані_зв''язок'!$D$4:$D$1012,"")))</f>
        <v>8:00</v>
      </c>
      <c r="H298" s="27" t="str" cm="1">
        <f t="array" ref="H298">IF($O298="","",_xlfn.TEXTJOIN(", ",TRUE,IF(EXACT('Дані_зв''язок'!$J$4:$J$1012,$O298)*('Дані_зв''язок'!$C$4:$C$1012=H$4),'Дані_зв''язок'!$D$4:$D$1012,"")))</f>
        <v/>
      </c>
      <c r="I298" s="27" t="str" cm="1">
        <f t="array" ref="I298">IF($O298="","",_xlfn.TEXTJOIN(", ",TRUE,IF(EXACT('Дані_зв''язок'!$J$4:$J$1012,$O298)*('Дані_зв''язок'!$C$4:$C$1012=I$4),'Дані_зв''язок'!$D$4:$D$1012,"")))</f>
        <v/>
      </c>
      <c r="J298" s="27" cm="1">
        <f t="array" ref="J298">IF($O298="","",COUNTIF(C298:I298,"?*")+SUMPRODUCT(LEN(C298:I298)-LEN(SUBSTITUTE(C298:I298,",",""))))</f>
        <v>1</v>
      </c>
      <c r="K298" s="28" t="str" cm="1">
        <f t="array" ref="K298">IF($O298="","",_xlfn.TEXTJOIN(", ",TRUE,IF(EXACT('Дані_зв''язок'!$J$4:$J$1012,$O298),'Дані_зв''язок'!$L$4:$L$1012,"")))</f>
        <v>№6</v>
      </c>
      <c r="L298" s="28" t="str" cm="1">
        <f t="array" ref="L298">IF($O298="","",_xlfn.TEXTJOIN(", ",TRUE,IF(EXACT('Дані_зв''язок'!$J$4:$J$1012,$O298),'Дані_зв''язок'!$M$4:$M$1012,"")))</f>
        <v>АТ 4021</v>
      </c>
      <c r="M298" s="27" t="str" cm="1">
        <f t="array" ref="M298">IF($O298="","",IF(SUMPRODUCT(MAX(EXACT('Дані_зв''язок'!$J$4:$J$1012,$O298)*IFERROR('Дані_зв''язок'!$H$4:$H$1012,0)))=0,"",SUMPRODUCT(MAX(EXACT('Дані_зв''язок'!$J$4:$J$1012,$O298)*IFERROR('Дані_зв''язок'!$H$4:$H$1012,0)))))</f>
        <v/>
      </c>
      <c r="O298" s="30" t="s">
        <v>1417</v>
      </c>
      <c r="P298" s="24" cm="1">
        <f t="array" ref="P298">IF($O298="","",IF($B298="","",IFERROR(IF(MIN(IFERROR(VALUE(TRIM(MID(SUBSTITUTE(SUBSTITUTE($B298,","," ")," ",REPT(" ",30)),{1;31;61;91;121;151;181},30))),""))=0,"",MIN(IFERROR(VALUE(TRIM(MID(SUBSTITUTE(SUBSTITUTE($B298,","," ")," ",REPT(" ",30)),{1;31;61;91;121;151;181},30))),""))),"")))</f>
        <v>27</v>
      </c>
      <c r="Q298" s="23" t="str">
        <f t="shared" si="14"/>
        <v>Прилуки, Чернігівська обл., вул. Миролюбна, 27</v>
      </c>
      <c r="R298" s="35">
        <f>IF($O298="","",IFERROR(INDEX('Координати майданчиків'!$H$4:$H$64,MATCH($T298,'Координати майданчиків'!$B$4:$B$64,0)),IFERROR(IF(ABS(INDEX(Геокодування!$C$2:$C$361,MATCH($Q298,Геокодування!$B$2:$B$361,0))-50.5884)+ABS(INDEX(Геокодування!$D$2:$D$361,MATCH($Q298,Геокодування!$B$2:$B$361,0))-32.3876)&gt;0.15,"",INDEX(Геокодування!$C$2:$C$361,MATCH($Q298,Геокодування!$B$2:$B$361,0))),IFERROR(IF(ABS(INDEX(Геокодування!$C$2:$C$361,MATCH("Прилуки, Чернігівська обл., "&amp;$A298,Геокодування!$B$2:$B$361,0))-50.5884)+ABS(INDEX(Геокодування!$D$2:$D$361,MATCH("Прилуки, Чернігівська обл., "&amp;$A298,Геокодування!$B$2:$B$361,0))-32.3876)&gt;0.15,"",INDEX(Геокодування!$C$2:$C$361,MATCH("Прилуки, Чернігівська обл., "&amp;$A298,Геокодування!$B$2:$B$361,0))),""))))</f>
        <v>50.613970999999999</v>
      </c>
      <c r="S298" s="43">
        <f>IF($O298="","",IFERROR(INDEX('Координати майданчиків'!$I$4:$I$64,MATCH($T298,'Координати майданчиків'!$B$4:$B$64,0)),IFERROR(IF(ABS(INDEX(Геокодування!$C$2:$C$361,MATCH($Q298,Геокодування!$B$2:$B$361,0))-50.5884)+ABS(INDEX(Геокодування!$D$2:$D$361,MATCH($Q298,Геокодування!$B$2:$B$361,0))-32.3876)&gt;0.15,"",INDEX(Геокодування!$D$2:$D$361,MATCH($Q298,Геокодування!$B$2:$B$361,0))),IFERROR(IF(ABS(INDEX(Геокодування!$C$2:$C$361,MATCH("Прилуки, Чернігівська обл., "&amp;$A298,Геокодування!$B$2:$B$361,0))-50.5884)+ABS(INDEX(Геокодування!$D$2:$D$361,MATCH("Прилуки, Чернігівська обл., "&amp;$A298,Геокодування!$B$2:$B$361,0))-32.3876)&gt;0.15,"",INDEX(Геокодування!$D$2:$D$361,MATCH("Прилуки, Чернігівська обл., "&amp;$A298,Геокодування!$B$2:$B$361,0))),""))))</f>
        <v>32.376275999999997</v>
      </c>
      <c r="T298" s="44" t="str">
        <f>IF($O298="","",IFERROR(INDEX('Координати майданчиків'!$B$4:$B$64,MATCH($A298&amp;IF($P298="","",", "&amp;$P298),'Координати майданчиків'!$B$4:$B$64,0)),IFERROR(INDEX('Координати майданчиків'!$B$4:$B$64,MATCH($A298,'Координати майданчиків'!$B$4:$B$64,0)),"")))</f>
        <v/>
      </c>
    </row>
    <row r="299" spans="1:20" x14ac:dyDescent="0.35">
      <c r="A299" s="26" t="str">
        <f t="shared" si="12"/>
        <v>вул. Миролюбна</v>
      </c>
      <c r="B299" s="26" t="str">
        <f t="shared" si="13"/>
        <v>4,8  19,23</v>
      </c>
      <c r="C299" s="27" t="str" cm="1">
        <f t="array" ref="C299">IF($O299="","",_xlfn.TEXTJOIN(", ",TRUE,IF(EXACT('Дані_зв''язок'!$J$4:$J$1012,$O299)*('Дані_зв''язок'!$C$4:$C$1012=C$4),'Дані_зв''язок'!$D$4:$D$1012,"")))</f>
        <v/>
      </c>
      <c r="D299" s="27" t="str" cm="1">
        <f t="array" ref="D299">IF($O299="","",_xlfn.TEXTJOIN(", ",TRUE,IF(EXACT('Дані_зв''язок'!$J$4:$J$1012,$O299)*('Дані_зв''язок'!$C$4:$C$1012=D$4),'Дані_зв''язок'!$D$4:$D$1012,"")))</f>
        <v/>
      </c>
      <c r="E299" s="27" t="str" cm="1">
        <f t="array" ref="E299">IF($O299="","",_xlfn.TEXTJOIN(", ",TRUE,IF(EXACT('Дані_зв''язок'!$J$4:$J$1012,$O299)*('Дані_зв''язок'!$C$4:$C$1012=E$4),'Дані_зв''язок'!$D$4:$D$1012,"")))</f>
        <v/>
      </c>
      <c r="F299" s="27" t="str" cm="1">
        <f t="array" ref="F299">IF($O299="","",_xlfn.TEXTJOIN(", ",TRUE,IF(EXACT('Дані_зв''язок'!$J$4:$J$1012,$O299)*('Дані_зв''язок'!$C$4:$C$1012=F$4),'Дані_зв''язок'!$D$4:$D$1012,"")))</f>
        <v>8:00</v>
      </c>
      <c r="G299" s="27" t="str" cm="1">
        <f t="array" ref="G299">IF($O299="","",_xlfn.TEXTJOIN(", ",TRUE,IF(EXACT('Дані_зв''язок'!$J$4:$J$1012,$O299)*('Дані_зв''язок'!$C$4:$C$1012=G$4),'Дані_зв''язок'!$D$4:$D$1012,"")))</f>
        <v/>
      </c>
      <c r="H299" s="27" t="str" cm="1">
        <f t="array" ref="H299">IF($O299="","",_xlfn.TEXTJOIN(", ",TRUE,IF(EXACT('Дані_зв''язок'!$J$4:$J$1012,$O299)*('Дані_зв''язок'!$C$4:$C$1012=H$4),'Дані_зв''язок'!$D$4:$D$1012,"")))</f>
        <v/>
      </c>
      <c r="I299" s="27" t="str" cm="1">
        <f t="array" ref="I299">IF($O299="","",_xlfn.TEXTJOIN(", ",TRUE,IF(EXACT('Дані_зв''язок'!$J$4:$J$1012,$O299)*('Дані_зв''язок'!$C$4:$C$1012=I$4),'Дані_зв''язок'!$D$4:$D$1012,"")))</f>
        <v/>
      </c>
      <c r="J299" s="27" cm="1">
        <f t="array" ref="J299">IF($O299="","",COUNTIF(C299:I299,"?*")+SUMPRODUCT(LEN(C299:I299)-LEN(SUBSTITUTE(C299:I299,",",""))))</f>
        <v>1</v>
      </c>
      <c r="K299" s="28" t="str" cm="1">
        <f t="array" ref="K299">IF($O299="","",_xlfn.TEXTJOIN(", ",TRUE,IF(EXACT('Дані_зв''язок'!$J$4:$J$1012,$O299),'Дані_зв''язок'!$L$4:$L$1012,"")))</f>
        <v>№6</v>
      </c>
      <c r="L299" s="28" t="str" cm="1">
        <f t="array" ref="L299">IF($O299="","",_xlfn.TEXTJOIN(", ",TRUE,IF(EXACT('Дані_зв''язок'!$J$4:$J$1012,$O299),'Дані_зв''язок'!$M$4:$M$1012,"")))</f>
        <v>АТ 4021</v>
      </c>
      <c r="M299" s="27" t="str" cm="1">
        <f t="array" ref="M299">IF($O299="","",IF(SUMPRODUCT(MAX(EXACT('Дані_зв''язок'!$J$4:$J$1012,$O299)*IFERROR('Дані_зв''язок'!$H$4:$H$1012,0)))=0,"",SUMPRODUCT(MAX(EXACT('Дані_зв''язок'!$J$4:$J$1012,$O299)*IFERROR('Дані_зв''язок'!$H$4:$H$1012,0)))))</f>
        <v/>
      </c>
      <c r="O299" s="30" t="s">
        <v>1418</v>
      </c>
      <c r="P299" s="24" cm="1">
        <f t="array" ref="P299">IF($O299="","",IF($B299="","",IFERROR(IF(MIN(IFERROR(VALUE(TRIM(MID(SUBSTITUTE(SUBSTITUTE($B299,","," ")," ",REPT(" ",30)),{1;31;61;91;121;151;181},30))),""))=0,"",MIN(IFERROR(VALUE(TRIM(MID(SUBSTITUTE(SUBSTITUTE($B299,","," ")," ",REPT(" ",30)),{1;31;61;91;121;151;181},30))),""))),"")))</f>
        <v>4</v>
      </c>
      <c r="Q299" s="23" t="str">
        <f t="shared" si="14"/>
        <v>Прилуки, Чернігівська обл., вул. Миролюбна, 4</v>
      </c>
      <c r="R299" s="35">
        <f>IF($O299="","",IFERROR(INDEX('Координати майданчиків'!$H$4:$H$64,MATCH($T299,'Координати майданчиків'!$B$4:$B$64,0)),IFERROR(IF(ABS(INDEX(Геокодування!$C$2:$C$361,MATCH($Q299,Геокодування!$B$2:$B$361,0))-50.5884)+ABS(INDEX(Геокодування!$D$2:$D$361,MATCH($Q299,Геокодування!$B$2:$B$361,0))-32.3876)&gt;0.15,"",INDEX(Геокодування!$C$2:$C$361,MATCH($Q299,Геокодування!$B$2:$B$361,0))),IFERROR(IF(ABS(INDEX(Геокодування!$C$2:$C$361,MATCH("Прилуки, Чернігівська обл., "&amp;$A299,Геокодування!$B$2:$B$361,0))-50.5884)+ABS(INDEX(Геокодування!$D$2:$D$361,MATCH("Прилуки, Чернігівська обл., "&amp;$A299,Геокодування!$B$2:$B$361,0))-32.3876)&gt;0.15,"",INDEX(Геокодування!$C$2:$C$361,MATCH("Прилуки, Чернігівська обл., "&amp;$A299,Геокодування!$B$2:$B$361,0))),""))))</f>
        <v>50.61365</v>
      </c>
      <c r="S299" s="43">
        <f>IF($O299="","",IFERROR(INDEX('Координати майданчиків'!$I$4:$I$64,MATCH($T299,'Координати майданчиків'!$B$4:$B$64,0)),IFERROR(IF(ABS(INDEX(Геокодування!$C$2:$C$361,MATCH($Q299,Геокодування!$B$2:$B$361,0))-50.5884)+ABS(INDEX(Геокодування!$D$2:$D$361,MATCH($Q299,Геокодування!$B$2:$B$361,0))-32.3876)&gt;0.15,"",INDEX(Геокодування!$D$2:$D$361,MATCH($Q299,Геокодування!$B$2:$B$361,0))),IFERROR(IF(ABS(INDEX(Геокодування!$C$2:$C$361,MATCH("Прилуки, Чернігівська обл., "&amp;$A299,Геокодування!$B$2:$B$361,0))-50.5884)+ABS(INDEX(Геокодування!$D$2:$D$361,MATCH("Прилуки, Чернігівська обл., "&amp;$A299,Геокодування!$B$2:$B$361,0))-32.3876)&gt;0.15,"",INDEX(Геокодування!$D$2:$D$361,MATCH("Прилуки, Чернігівська обл., "&amp;$A299,Геокодування!$B$2:$B$361,0))),""))))</f>
        <v>32.37603</v>
      </c>
      <c r="T299" s="44" t="str">
        <f>IF($O299="","",IFERROR(INDEX('Координати майданчиків'!$B$4:$B$64,MATCH($A299&amp;IF($P299="","",", "&amp;$P299),'Координати майданчиків'!$B$4:$B$64,0)),IFERROR(INDEX('Координати майданчиків'!$B$4:$B$64,MATCH($A299,'Координати майданчиків'!$B$4:$B$64,0)),"")))</f>
        <v/>
      </c>
    </row>
    <row r="300" spans="1:20" x14ac:dyDescent="0.35">
      <c r="A300" s="26" t="str">
        <f t="shared" si="12"/>
        <v>вул. Миролюбна</v>
      </c>
      <c r="B300" s="26" t="str">
        <f t="shared" si="13"/>
        <v>40,46</v>
      </c>
      <c r="C300" s="27" t="str" cm="1">
        <f t="array" ref="C300">IF($O300="","",_xlfn.TEXTJOIN(", ",TRUE,IF(EXACT('Дані_зв''язок'!$J$4:$J$1012,$O300)*('Дані_зв''язок'!$C$4:$C$1012=C$4),'Дані_зв''язок'!$D$4:$D$1012,"")))</f>
        <v/>
      </c>
      <c r="D300" s="27" t="str" cm="1">
        <f t="array" ref="D300">IF($O300="","",_xlfn.TEXTJOIN(", ",TRUE,IF(EXACT('Дані_зв''язок'!$J$4:$J$1012,$O300)*('Дані_зв''язок'!$C$4:$C$1012=D$4),'Дані_зв''язок'!$D$4:$D$1012,"")))</f>
        <v/>
      </c>
      <c r="E300" s="27" t="str" cm="1">
        <f t="array" ref="E300">IF($O300="","",_xlfn.TEXTJOIN(", ",TRUE,IF(EXACT('Дані_зв''язок'!$J$4:$J$1012,$O300)*('Дані_зв''язок'!$C$4:$C$1012=E$4),'Дані_зв''язок'!$D$4:$D$1012,"")))</f>
        <v>7:30</v>
      </c>
      <c r="F300" s="27" t="str" cm="1">
        <f t="array" ref="F300">IF($O300="","",_xlfn.TEXTJOIN(", ",TRUE,IF(EXACT('Дані_зв''язок'!$J$4:$J$1012,$O300)*('Дані_зв''язок'!$C$4:$C$1012=F$4),'Дані_зв''язок'!$D$4:$D$1012,"")))</f>
        <v/>
      </c>
      <c r="G300" s="27" t="str" cm="1">
        <f t="array" ref="G300">IF($O300="","",_xlfn.TEXTJOIN(", ",TRUE,IF(EXACT('Дані_зв''язок'!$J$4:$J$1012,$O300)*('Дані_зв''язок'!$C$4:$C$1012=G$4),'Дані_зв''язок'!$D$4:$D$1012,"")))</f>
        <v/>
      </c>
      <c r="H300" s="27" t="str" cm="1">
        <f t="array" ref="H300">IF($O300="","",_xlfn.TEXTJOIN(", ",TRUE,IF(EXACT('Дані_зв''язок'!$J$4:$J$1012,$O300)*('Дані_зв''язок'!$C$4:$C$1012=H$4),'Дані_зв''язок'!$D$4:$D$1012,"")))</f>
        <v/>
      </c>
      <c r="I300" s="27" t="str" cm="1">
        <f t="array" ref="I300">IF($O300="","",_xlfn.TEXTJOIN(", ",TRUE,IF(EXACT('Дані_зв''язок'!$J$4:$J$1012,$O300)*('Дані_зв''язок'!$C$4:$C$1012=I$4),'Дані_зв''язок'!$D$4:$D$1012,"")))</f>
        <v/>
      </c>
      <c r="J300" s="27" cm="1">
        <f t="array" ref="J300">IF($O300="","",COUNTIF(C300:I300,"?*")+SUMPRODUCT(LEN(C300:I300)-LEN(SUBSTITUTE(C300:I300,",",""))))</f>
        <v>1</v>
      </c>
      <c r="K300" s="28" t="str" cm="1">
        <f t="array" ref="K300">IF($O300="","",_xlfn.TEXTJOIN(", ",TRUE,IF(EXACT('Дані_зв''язок'!$J$4:$J$1012,$O300),'Дані_зв''язок'!$L$4:$L$1012,"")))</f>
        <v>№6</v>
      </c>
      <c r="L300" s="28" t="str" cm="1">
        <f t="array" ref="L300">IF($O300="","",_xlfn.TEXTJOIN(", ",TRUE,IF(EXACT('Дані_зв''язок'!$J$4:$J$1012,$O300),'Дані_зв''язок'!$M$4:$M$1012,"")))</f>
        <v>АТ 4021</v>
      </c>
      <c r="M300" s="27" t="str" cm="1">
        <f t="array" ref="M300">IF($O300="","",IF(SUMPRODUCT(MAX(EXACT('Дані_зв''язок'!$J$4:$J$1012,$O300)*IFERROR('Дані_зв''язок'!$H$4:$H$1012,0)))=0,"",SUMPRODUCT(MAX(EXACT('Дані_зв''язок'!$J$4:$J$1012,$O300)*IFERROR('Дані_зв''язок'!$H$4:$H$1012,0)))))</f>
        <v/>
      </c>
      <c r="O300" s="30" t="s">
        <v>1419</v>
      </c>
      <c r="P300" s="24" cm="1">
        <f t="array" ref="P300">IF($O300="","",IF($B300="","",IFERROR(IF(MIN(IFERROR(VALUE(TRIM(MID(SUBSTITUTE(SUBSTITUTE($B300,","," ")," ",REPT(" ",30)),{1;31;61;91;121;151;181},30))),""))=0,"",MIN(IFERROR(VALUE(TRIM(MID(SUBSTITUTE(SUBSTITUTE($B300,","," ")," ",REPT(" ",30)),{1;31;61;91;121;151;181},30))),""))),"")))</f>
        <v>40</v>
      </c>
      <c r="Q300" s="23" t="str">
        <f t="shared" si="14"/>
        <v>Прилуки, Чернігівська обл., вул. Миролюбна, 40</v>
      </c>
      <c r="R300" s="35">
        <f>IF($O300="","",IFERROR(INDEX('Координати майданчиків'!$H$4:$H$64,MATCH($T300,'Координати майданчиків'!$B$4:$B$64,0)),IFERROR(IF(ABS(INDEX(Геокодування!$C$2:$C$361,MATCH($Q300,Геокодування!$B$2:$B$361,0))-50.5884)+ABS(INDEX(Геокодування!$D$2:$D$361,MATCH($Q300,Геокодування!$B$2:$B$361,0))-32.3876)&gt;0.15,"",INDEX(Геокодування!$C$2:$C$361,MATCH($Q300,Геокодування!$B$2:$B$361,0))),IFERROR(IF(ABS(INDEX(Геокодування!$C$2:$C$361,MATCH("Прилуки, Чернігівська обл., "&amp;$A300,Геокодування!$B$2:$B$361,0))-50.5884)+ABS(INDEX(Геокодування!$D$2:$D$361,MATCH("Прилуки, Чернігівська обл., "&amp;$A300,Геокодування!$B$2:$B$361,0))-32.3876)&gt;0.15,"",INDEX(Геокодування!$C$2:$C$361,MATCH("Прилуки, Чернігівська обл., "&amp;$A300,Геокодування!$B$2:$B$361,0))),""))))</f>
        <v>50.613354000000001</v>
      </c>
      <c r="S300" s="43">
        <f>IF($O300="","",IFERROR(INDEX('Координати майданчиків'!$I$4:$I$64,MATCH($T300,'Координати майданчиків'!$B$4:$B$64,0)),IFERROR(IF(ABS(INDEX(Геокодування!$C$2:$C$361,MATCH($Q300,Геокодування!$B$2:$B$361,0))-50.5884)+ABS(INDEX(Геокодування!$D$2:$D$361,MATCH($Q300,Геокодування!$B$2:$B$361,0))-32.3876)&gt;0.15,"",INDEX(Геокодування!$D$2:$D$361,MATCH($Q300,Геокодування!$B$2:$B$361,0))),IFERROR(IF(ABS(INDEX(Геокодування!$C$2:$C$361,MATCH("Прилуки, Чернігівська обл., "&amp;$A300,Геокодування!$B$2:$B$361,0))-50.5884)+ABS(INDEX(Геокодування!$D$2:$D$361,MATCH("Прилуки, Чернігівська обл., "&amp;$A300,Геокодування!$B$2:$B$361,0))-32.3876)&gt;0.15,"",INDEX(Геокодування!$D$2:$D$361,MATCH("Прилуки, Чернігівська обл., "&amp;$A300,Геокодування!$B$2:$B$361,0))),""))))</f>
        <v>32.377198</v>
      </c>
      <c r="T300" s="44" t="str">
        <f>IF($O300="","",IFERROR(INDEX('Координати майданчиків'!$B$4:$B$64,MATCH($A300&amp;IF($P300="","",", "&amp;$P300),'Координати майданчиків'!$B$4:$B$64,0)),IFERROR(INDEX('Координати майданчиків'!$B$4:$B$64,MATCH($A300,'Координати майданчиків'!$B$4:$B$64,0)),"")))</f>
        <v/>
      </c>
    </row>
    <row r="301" spans="1:20" x14ac:dyDescent="0.35">
      <c r="A301" s="26" t="str">
        <f t="shared" si="12"/>
        <v>вул. Миролюбна</v>
      </c>
      <c r="B301" s="26" t="str">
        <f t="shared" si="13"/>
        <v>48,42  27,19</v>
      </c>
      <c r="C301" s="27" t="str" cm="1">
        <f t="array" ref="C301">IF($O301="","",_xlfn.TEXTJOIN(", ",TRUE,IF(EXACT('Дані_зв''язок'!$J$4:$J$1012,$O301)*('Дані_зв''язок'!$C$4:$C$1012=C$4),'Дані_зв''язок'!$D$4:$D$1012,"")))</f>
        <v/>
      </c>
      <c r="D301" s="27" t="str" cm="1">
        <f t="array" ref="D301">IF($O301="","",_xlfn.TEXTJOIN(", ",TRUE,IF(EXACT('Дані_зв''язок'!$J$4:$J$1012,$O301)*('Дані_зв''язок'!$C$4:$C$1012=D$4),'Дані_зв''язок'!$D$4:$D$1012,"")))</f>
        <v/>
      </c>
      <c r="E301" s="27" t="str" cm="1">
        <f t="array" ref="E301">IF($O301="","",_xlfn.TEXTJOIN(", ",TRUE,IF(EXACT('Дані_зв''язок'!$J$4:$J$1012,$O301)*('Дані_зв''язок'!$C$4:$C$1012=E$4),'Дані_зв''язок'!$D$4:$D$1012,"")))</f>
        <v/>
      </c>
      <c r="F301" s="27" t="str" cm="1">
        <f t="array" ref="F301">IF($O301="","",_xlfn.TEXTJOIN(", ",TRUE,IF(EXACT('Дані_зв''язок'!$J$4:$J$1012,$O301)*('Дані_зв''язок'!$C$4:$C$1012=F$4),'Дані_зв''язок'!$D$4:$D$1012,"")))</f>
        <v/>
      </c>
      <c r="G301" s="27" t="str" cm="1">
        <f t="array" ref="G301">IF($O301="","",_xlfn.TEXTJOIN(", ",TRUE,IF(EXACT('Дані_зв''язок'!$J$4:$J$1012,$O301)*('Дані_зв''язок'!$C$4:$C$1012=G$4),'Дані_зв''язок'!$D$4:$D$1012,"")))</f>
        <v>7:30</v>
      </c>
      <c r="H301" s="27" t="str" cm="1">
        <f t="array" ref="H301">IF($O301="","",_xlfn.TEXTJOIN(", ",TRUE,IF(EXACT('Дані_зв''язок'!$J$4:$J$1012,$O301)*('Дані_зв''язок'!$C$4:$C$1012=H$4),'Дані_зв''язок'!$D$4:$D$1012,"")))</f>
        <v/>
      </c>
      <c r="I301" s="27" t="str" cm="1">
        <f t="array" ref="I301">IF($O301="","",_xlfn.TEXTJOIN(", ",TRUE,IF(EXACT('Дані_зв''язок'!$J$4:$J$1012,$O301)*('Дані_зв''язок'!$C$4:$C$1012=I$4),'Дані_зв''язок'!$D$4:$D$1012,"")))</f>
        <v/>
      </c>
      <c r="J301" s="27" cm="1">
        <f t="array" ref="J301">IF($O301="","",COUNTIF(C301:I301,"?*")+SUMPRODUCT(LEN(C301:I301)-LEN(SUBSTITUTE(C301:I301,",",""))))</f>
        <v>1</v>
      </c>
      <c r="K301" s="28" t="str" cm="1">
        <f t="array" ref="K301">IF($O301="","",_xlfn.TEXTJOIN(", ",TRUE,IF(EXACT('Дані_зв''язок'!$J$4:$J$1012,$O301),'Дані_зв''язок'!$L$4:$L$1012,"")))</f>
        <v>№6</v>
      </c>
      <c r="L301" s="28" t="str" cm="1">
        <f t="array" ref="L301">IF($O301="","",_xlfn.TEXTJOIN(", ",TRUE,IF(EXACT('Дані_зв''язок'!$J$4:$J$1012,$O301),'Дані_зв''язок'!$M$4:$M$1012,"")))</f>
        <v>АТ 4021</v>
      </c>
      <c r="M301" s="27" t="str" cm="1">
        <f t="array" ref="M301">IF($O301="","",IF(SUMPRODUCT(MAX(EXACT('Дані_зв''язок'!$J$4:$J$1012,$O301)*IFERROR('Дані_зв''язок'!$H$4:$H$1012,0)))=0,"",SUMPRODUCT(MAX(EXACT('Дані_зв''язок'!$J$4:$J$1012,$O301)*IFERROR('Дані_зв''язок'!$H$4:$H$1012,0)))))</f>
        <v/>
      </c>
      <c r="O301" s="30" t="s">
        <v>1420</v>
      </c>
      <c r="P301" s="24" cm="1">
        <f t="array" ref="P301">IF($O301="","",IF($B301="","",IFERROR(IF(MIN(IFERROR(VALUE(TRIM(MID(SUBSTITUTE(SUBSTITUTE($B301,","," ")," ",REPT(" ",30)),{1;31;61;91;121;151;181},30))),""))=0,"",MIN(IFERROR(VALUE(TRIM(MID(SUBSTITUTE(SUBSTITUTE($B301,","," ")," ",REPT(" ",30)),{1;31;61;91;121;151;181},30))),""))),"")))</f>
        <v>19</v>
      </c>
      <c r="Q301" s="23" t="str">
        <f t="shared" si="14"/>
        <v>Прилуки, Чернігівська обл., вул. Миролюбна, 19</v>
      </c>
      <c r="R301" s="35">
        <f>IF($O301="","",IFERROR(INDEX('Координати майданчиків'!$H$4:$H$64,MATCH($T301,'Координати майданчиків'!$B$4:$B$64,0)),IFERROR(IF(ABS(INDEX(Геокодування!$C$2:$C$361,MATCH($Q301,Геокодування!$B$2:$B$361,0))-50.5884)+ABS(INDEX(Геокодування!$D$2:$D$361,MATCH($Q301,Геокодування!$B$2:$B$361,0))-32.3876)&gt;0.15,"",INDEX(Геокодування!$C$2:$C$361,MATCH($Q301,Геокодування!$B$2:$B$361,0))),IFERROR(IF(ABS(INDEX(Геокодування!$C$2:$C$361,MATCH("Прилуки, Чернігівська обл., "&amp;$A301,Геокодування!$B$2:$B$361,0))-50.5884)+ABS(INDEX(Геокодування!$D$2:$D$361,MATCH("Прилуки, Чернігівська обл., "&amp;$A301,Геокодування!$B$2:$B$361,0))-32.3876)&gt;0.15,"",INDEX(Геокодування!$C$2:$C$361,MATCH("Прилуки, Чернігівська обл., "&amp;$A301,Геокодування!$B$2:$B$361,0))),""))))</f>
        <v>50.61365</v>
      </c>
      <c r="S301" s="43">
        <f>IF($O301="","",IFERROR(INDEX('Координати майданчиків'!$I$4:$I$64,MATCH($T301,'Координати майданчиків'!$B$4:$B$64,0)),IFERROR(IF(ABS(INDEX(Геокодування!$C$2:$C$361,MATCH($Q301,Геокодування!$B$2:$B$361,0))-50.5884)+ABS(INDEX(Геокодування!$D$2:$D$361,MATCH($Q301,Геокодування!$B$2:$B$361,0))-32.3876)&gt;0.15,"",INDEX(Геокодування!$D$2:$D$361,MATCH($Q301,Геокодування!$B$2:$B$361,0))),IFERROR(IF(ABS(INDEX(Геокодування!$C$2:$C$361,MATCH("Прилуки, Чернігівська обл., "&amp;$A301,Геокодування!$B$2:$B$361,0))-50.5884)+ABS(INDEX(Геокодування!$D$2:$D$361,MATCH("Прилуки, Чернігівська обл., "&amp;$A301,Геокодування!$B$2:$B$361,0))-32.3876)&gt;0.15,"",INDEX(Геокодування!$D$2:$D$361,MATCH("Прилуки, Чернігівська обл., "&amp;$A301,Геокодування!$B$2:$B$361,0))),""))))</f>
        <v>32.37603</v>
      </c>
      <c r="T301" s="44" t="str">
        <f>IF($O301="","",IFERROR(INDEX('Координати майданчиків'!$B$4:$B$64,MATCH($A301&amp;IF($P301="","",", "&amp;$P301),'Координати майданчиків'!$B$4:$B$64,0)),IFERROR(INDEX('Координати майданчиків'!$B$4:$B$64,MATCH($A301,'Координати майданчиків'!$B$4:$B$64,0)),"")))</f>
        <v/>
      </c>
    </row>
    <row r="302" spans="1:20" x14ac:dyDescent="0.35">
      <c r="A302" s="26" t="str">
        <f t="shared" si="12"/>
        <v>вул. Миролюбна</v>
      </c>
      <c r="B302" s="26" t="str">
        <f t="shared" si="13"/>
        <v>48,82  33,19</v>
      </c>
      <c r="C302" s="27" t="str" cm="1">
        <f t="array" ref="C302">IF($O302="","",_xlfn.TEXTJOIN(", ",TRUE,IF(EXACT('Дані_зв''язок'!$J$4:$J$1012,$O302)*('Дані_зв''язок'!$C$4:$C$1012=C$4),'Дані_зв''язок'!$D$4:$D$1012,"")))</f>
        <v>8:15</v>
      </c>
      <c r="D302" s="27" t="str" cm="1">
        <f t="array" ref="D302">IF($O302="","",_xlfn.TEXTJOIN(", ",TRUE,IF(EXACT('Дані_зв''язок'!$J$4:$J$1012,$O302)*('Дані_зв''язок'!$C$4:$C$1012=D$4),'Дані_зв''язок'!$D$4:$D$1012,"")))</f>
        <v/>
      </c>
      <c r="E302" s="27" t="str" cm="1">
        <f t="array" ref="E302">IF($O302="","",_xlfn.TEXTJOIN(", ",TRUE,IF(EXACT('Дані_зв''язок'!$J$4:$J$1012,$O302)*('Дані_зв''язок'!$C$4:$C$1012=E$4),'Дані_зв''язок'!$D$4:$D$1012,"")))</f>
        <v/>
      </c>
      <c r="F302" s="27" t="str" cm="1">
        <f t="array" ref="F302">IF($O302="","",_xlfn.TEXTJOIN(", ",TRUE,IF(EXACT('Дані_зв''язок'!$J$4:$J$1012,$O302)*('Дані_зв''язок'!$C$4:$C$1012=F$4),'Дані_зв''язок'!$D$4:$D$1012,"")))</f>
        <v/>
      </c>
      <c r="G302" s="27" t="str" cm="1">
        <f t="array" ref="G302">IF($O302="","",_xlfn.TEXTJOIN(", ",TRUE,IF(EXACT('Дані_зв''язок'!$J$4:$J$1012,$O302)*('Дані_зв''язок'!$C$4:$C$1012=G$4),'Дані_зв''язок'!$D$4:$D$1012,"")))</f>
        <v/>
      </c>
      <c r="H302" s="27" t="str" cm="1">
        <f t="array" ref="H302">IF($O302="","",_xlfn.TEXTJOIN(", ",TRUE,IF(EXACT('Дані_зв''язок'!$J$4:$J$1012,$O302)*('Дані_зв''язок'!$C$4:$C$1012=H$4),'Дані_зв''язок'!$D$4:$D$1012,"")))</f>
        <v/>
      </c>
      <c r="I302" s="27" t="str" cm="1">
        <f t="array" ref="I302">IF($O302="","",_xlfn.TEXTJOIN(", ",TRUE,IF(EXACT('Дані_зв''язок'!$J$4:$J$1012,$O302)*('Дані_зв''язок'!$C$4:$C$1012=I$4),'Дані_зв''язок'!$D$4:$D$1012,"")))</f>
        <v/>
      </c>
      <c r="J302" s="27" cm="1">
        <f t="array" ref="J302">IF($O302="","",COUNTIF(C302:I302,"?*")+SUMPRODUCT(LEN(C302:I302)-LEN(SUBSTITUTE(C302:I302,",",""))))</f>
        <v>1</v>
      </c>
      <c r="K302" s="28" t="str" cm="1">
        <f t="array" ref="K302">IF($O302="","",_xlfn.TEXTJOIN(", ",TRUE,IF(EXACT('Дані_зв''язок'!$J$4:$J$1012,$O302),'Дані_зв''язок'!$L$4:$L$1012,"")))</f>
        <v>№6</v>
      </c>
      <c r="L302" s="28" t="str" cm="1">
        <f t="array" ref="L302">IF($O302="","",_xlfn.TEXTJOIN(", ",TRUE,IF(EXACT('Дані_зв''язок'!$J$4:$J$1012,$O302),'Дані_зв''язок'!$M$4:$M$1012,"")))</f>
        <v>АТ 4021</v>
      </c>
      <c r="M302" s="27" t="str" cm="1">
        <f t="array" ref="M302">IF($O302="","",IF(SUMPRODUCT(MAX(EXACT('Дані_зв''язок'!$J$4:$J$1012,$O302)*IFERROR('Дані_зв''язок'!$H$4:$H$1012,0)))=0,"",SUMPRODUCT(MAX(EXACT('Дані_зв''язок'!$J$4:$J$1012,$O302)*IFERROR('Дані_зв''язок'!$H$4:$H$1012,0)))))</f>
        <v/>
      </c>
      <c r="O302" s="30" t="s">
        <v>1421</v>
      </c>
      <c r="P302" s="24" cm="1">
        <f t="array" ref="P302">IF($O302="","",IF($B302="","",IFERROR(IF(MIN(IFERROR(VALUE(TRIM(MID(SUBSTITUTE(SUBSTITUTE($B302,","," ")," ",REPT(" ",30)),{1;31;61;91;121;151;181},30))),""))=0,"",MIN(IFERROR(VALUE(TRIM(MID(SUBSTITUTE(SUBSTITUTE($B302,","," ")," ",REPT(" ",30)),{1;31;61;91;121;151;181},30))),""))),"")))</f>
        <v>19</v>
      </c>
      <c r="Q302" s="23" t="str">
        <f t="shared" si="14"/>
        <v>Прилуки, Чернігівська обл., вул. Миролюбна, 19</v>
      </c>
      <c r="R302" s="35">
        <f>IF($O302="","",IFERROR(INDEX('Координати майданчиків'!$H$4:$H$64,MATCH($T302,'Координати майданчиків'!$B$4:$B$64,0)),IFERROR(IF(ABS(INDEX(Геокодування!$C$2:$C$361,MATCH($Q302,Геокодування!$B$2:$B$361,0))-50.5884)+ABS(INDEX(Геокодування!$D$2:$D$361,MATCH($Q302,Геокодування!$B$2:$B$361,0))-32.3876)&gt;0.15,"",INDEX(Геокодування!$C$2:$C$361,MATCH($Q302,Геокодування!$B$2:$B$361,0))),IFERROR(IF(ABS(INDEX(Геокодування!$C$2:$C$361,MATCH("Прилуки, Чернігівська обл., "&amp;$A302,Геокодування!$B$2:$B$361,0))-50.5884)+ABS(INDEX(Геокодування!$D$2:$D$361,MATCH("Прилуки, Чернігівська обл., "&amp;$A302,Геокодування!$B$2:$B$361,0))-32.3876)&gt;0.15,"",INDEX(Геокодування!$C$2:$C$361,MATCH("Прилуки, Чернігівська обл., "&amp;$A302,Геокодування!$B$2:$B$361,0))),""))))</f>
        <v>50.61365</v>
      </c>
      <c r="S302" s="43">
        <f>IF($O302="","",IFERROR(INDEX('Координати майданчиків'!$I$4:$I$64,MATCH($T302,'Координати майданчиків'!$B$4:$B$64,0)),IFERROR(IF(ABS(INDEX(Геокодування!$C$2:$C$361,MATCH($Q302,Геокодування!$B$2:$B$361,0))-50.5884)+ABS(INDEX(Геокодування!$D$2:$D$361,MATCH($Q302,Геокодування!$B$2:$B$361,0))-32.3876)&gt;0.15,"",INDEX(Геокодування!$D$2:$D$361,MATCH($Q302,Геокодування!$B$2:$B$361,0))),IFERROR(IF(ABS(INDEX(Геокодування!$C$2:$C$361,MATCH("Прилуки, Чернігівська обл., "&amp;$A302,Геокодування!$B$2:$B$361,0))-50.5884)+ABS(INDEX(Геокодування!$D$2:$D$361,MATCH("Прилуки, Чернігівська обл., "&amp;$A302,Геокодування!$B$2:$B$361,0))-32.3876)&gt;0.15,"",INDEX(Геокодування!$D$2:$D$361,MATCH("Прилуки, Чернігівська обл., "&amp;$A302,Геокодування!$B$2:$B$361,0))),""))))</f>
        <v>32.37603</v>
      </c>
      <c r="T302" s="44" t="str">
        <f>IF($O302="","",IFERROR(INDEX('Координати майданчиків'!$B$4:$B$64,MATCH($A302&amp;IF($P302="","",", "&amp;$P302),'Координати майданчиків'!$B$4:$B$64,0)),IFERROR(INDEX('Координати майданчиків'!$B$4:$B$64,MATCH($A302,'Координати майданчиків'!$B$4:$B$64,0)),"")))</f>
        <v/>
      </c>
    </row>
    <row r="303" spans="1:20" x14ac:dyDescent="0.35">
      <c r="A303" s="26" t="str">
        <f t="shared" si="12"/>
        <v>вул. Миротворців</v>
      </c>
      <c r="B303" s="26" t="str">
        <f t="shared" si="13"/>
        <v/>
      </c>
      <c r="C303" s="27" t="str" cm="1">
        <f t="array" ref="C303">IF($O303="","",_xlfn.TEXTJOIN(", ",TRUE,IF(EXACT('Дані_зв''язок'!$J$4:$J$1012,$O303)*('Дані_зв''язок'!$C$4:$C$1012=C$4),'Дані_зв''язок'!$D$4:$D$1012,"")))</f>
        <v/>
      </c>
      <c r="D303" s="27" t="str" cm="1">
        <f t="array" ref="D303">IF($O303="","",_xlfn.TEXTJOIN(", ",TRUE,IF(EXACT('Дані_зв''язок'!$J$4:$J$1012,$O303)*('Дані_зв''язок'!$C$4:$C$1012=D$4),'Дані_зв''язок'!$D$4:$D$1012,"")))</f>
        <v/>
      </c>
      <c r="E303" s="27" t="str" cm="1">
        <f t="array" ref="E303">IF($O303="","",_xlfn.TEXTJOIN(", ",TRUE,IF(EXACT('Дані_зв''язок'!$J$4:$J$1012,$O303)*('Дані_зв''язок'!$C$4:$C$1012=E$4),'Дані_зв''язок'!$D$4:$D$1012,"")))</f>
        <v/>
      </c>
      <c r="F303" s="27" t="str" cm="1">
        <f t="array" ref="F303">IF($O303="","",_xlfn.TEXTJOIN(", ",TRUE,IF(EXACT('Дані_зв''язок'!$J$4:$J$1012,$O303)*('Дані_зв''язок'!$C$4:$C$1012=F$4),'Дані_зв''язок'!$D$4:$D$1012,"")))</f>
        <v>15:00</v>
      </c>
      <c r="G303" s="27" t="str" cm="1">
        <f t="array" ref="G303">IF($O303="","",_xlfn.TEXTJOIN(", ",TRUE,IF(EXACT('Дані_зв''язок'!$J$4:$J$1012,$O303)*('Дані_зв''язок'!$C$4:$C$1012=G$4),'Дані_зв''язок'!$D$4:$D$1012,"")))</f>
        <v/>
      </c>
      <c r="H303" s="27" t="str" cm="1">
        <f t="array" ref="H303">IF($O303="","",_xlfn.TEXTJOIN(", ",TRUE,IF(EXACT('Дані_зв''язок'!$J$4:$J$1012,$O303)*('Дані_зв''язок'!$C$4:$C$1012=H$4),'Дані_зв''язок'!$D$4:$D$1012,"")))</f>
        <v/>
      </c>
      <c r="I303" s="27" t="str" cm="1">
        <f t="array" ref="I303">IF($O303="","",_xlfn.TEXTJOIN(", ",TRUE,IF(EXACT('Дані_зв''язок'!$J$4:$J$1012,$O303)*('Дані_зв''язок'!$C$4:$C$1012=I$4),'Дані_зв''язок'!$D$4:$D$1012,"")))</f>
        <v/>
      </c>
      <c r="J303" s="27" cm="1">
        <f t="array" ref="J303">IF($O303="","",COUNTIF(C303:I303,"?*")+SUMPRODUCT(LEN(C303:I303)-LEN(SUBSTITUTE(C303:I303,",",""))))</f>
        <v>1</v>
      </c>
      <c r="K303" s="28" t="str" cm="1">
        <f t="array" ref="K303">IF($O303="","",_xlfn.TEXTJOIN(", ",TRUE,IF(EXACT('Дані_зв''язок'!$J$4:$J$1012,$O303),'Дані_зв''язок'!$L$4:$L$1012,"")))</f>
        <v>№5</v>
      </c>
      <c r="L303" s="28" t="str" cm="1">
        <f t="array" ref="L303">IF($O303="","",_xlfn.TEXTJOIN(", ",TRUE,IF(EXACT('Дані_зв''язок'!$J$4:$J$1012,$O303),'Дані_зв''язок'!$M$4:$M$1012,"")))</f>
        <v>МАЗ 4381</v>
      </c>
      <c r="M303" s="27" t="str" cm="1">
        <f t="array" ref="M303">IF($O303="","",IF(SUMPRODUCT(MAX(EXACT('Дані_зв''язок'!$J$4:$J$1012,$O303)*IFERROR('Дані_зв''язок'!$H$4:$H$1012,0)))=0,"",SUMPRODUCT(MAX(EXACT('Дані_зв''язок'!$J$4:$J$1012,$O303)*IFERROR('Дані_зв''язок'!$H$4:$H$1012,0)))))</f>
        <v/>
      </c>
      <c r="O303" s="30" t="s">
        <v>1422</v>
      </c>
      <c r="P303" s="24" t="str" cm="1">
        <f t="array" ref="P303">IF($O303="","",IF($B303="","",IFERROR(IF(MIN(IFERROR(VALUE(TRIM(MID(SUBSTITUTE(SUBSTITUTE($B303,","," ")," ",REPT(" ",30)),{1;31;61;91;121;151;181},30))),""))=0,"",MIN(IFERROR(VALUE(TRIM(MID(SUBSTITUTE(SUBSTITUTE($B303,","," ")," ",REPT(" ",30)),{1;31;61;91;121;151;181},30))),""))),"")))</f>
        <v/>
      </c>
      <c r="Q303" s="23" t="str">
        <f t="shared" si="14"/>
        <v>Прилуки, Чернігівська обл., вул. Миротворців</v>
      </c>
      <c r="R303" s="35">
        <f>IF($O303="","",IFERROR(INDEX('Координати майданчиків'!$H$4:$H$64,MATCH($T303,'Координати майданчиків'!$B$4:$B$64,0)),IFERROR(IF(ABS(INDEX(Геокодування!$C$2:$C$361,MATCH($Q303,Геокодування!$B$2:$B$361,0))-50.5884)+ABS(INDEX(Геокодування!$D$2:$D$361,MATCH($Q303,Геокодування!$B$2:$B$361,0))-32.3876)&gt;0.15,"",INDEX(Геокодування!$C$2:$C$361,MATCH($Q303,Геокодування!$B$2:$B$361,0))),IFERROR(IF(ABS(INDEX(Геокодування!$C$2:$C$361,MATCH("Прилуки, Чернігівська обл., "&amp;$A303,Геокодування!$B$2:$B$361,0))-50.5884)+ABS(INDEX(Геокодування!$D$2:$D$361,MATCH("Прилуки, Чернігівська обл., "&amp;$A303,Геокодування!$B$2:$B$361,0))-32.3876)&gt;0.15,"",INDEX(Геокодування!$C$2:$C$361,MATCH("Прилуки, Чернігівська обл., "&amp;$A303,Геокодування!$B$2:$B$361,0))),""))))</f>
        <v>50.581904999999999</v>
      </c>
      <c r="S303" s="43">
        <f>IF($O303="","",IFERROR(INDEX('Координати майданчиків'!$I$4:$I$64,MATCH($T303,'Координати майданчиків'!$B$4:$B$64,0)),IFERROR(IF(ABS(INDEX(Геокодування!$C$2:$C$361,MATCH($Q303,Геокодування!$B$2:$B$361,0))-50.5884)+ABS(INDEX(Геокодування!$D$2:$D$361,MATCH($Q303,Геокодування!$B$2:$B$361,0))-32.3876)&gt;0.15,"",INDEX(Геокодування!$D$2:$D$361,MATCH($Q303,Геокодування!$B$2:$B$361,0))),IFERROR(IF(ABS(INDEX(Геокодування!$C$2:$C$361,MATCH("Прилуки, Чернігівська обл., "&amp;$A303,Геокодування!$B$2:$B$361,0))-50.5884)+ABS(INDEX(Геокодування!$D$2:$D$361,MATCH("Прилуки, Чернігівська обл., "&amp;$A303,Геокодування!$B$2:$B$361,0))-32.3876)&gt;0.15,"",INDEX(Геокодування!$D$2:$D$361,MATCH("Прилуки, Чернігівська обл., "&amp;$A303,Геокодування!$B$2:$B$361,0))),""))))</f>
        <v>32.383752999999999</v>
      </c>
      <c r="T303" s="44" t="str">
        <f>IF($O303="","",IFERROR(INDEX('Координати майданчиків'!$B$4:$B$64,MATCH($A303&amp;IF($P303="","",", "&amp;$P303),'Координати майданчиків'!$B$4:$B$64,0)),IFERROR(INDEX('Координати майданчиків'!$B$4:$B$64,MATCH($A303,'Координати майданчиків'!$B$4:$B$64,0)),"")))</f>
        <v/>
      </c>
    </row>
    <row r="304" spans="1:20" x14ac:dyDescent="0.35">
      <c r="A304" s="26" t="str">
        <f t="shared" si="12"/>
        <v>вул. Миру</v>
      </c>
      <c r="B304" s="26" t="str">
        <f t="shared" si="13"/>
        <v>17,15  48</v>
      </c>
      <c r="C304" s="27" t="str" cm="1">
        <f t="array" ref="C304">IF($O304="","",_xlfn.TEXTJOIN(", ",TRUE,IF(EXACT('Дані_зв''язок'!$J$4:$J$1012,$O304)*('Дані_зв''язок'!$C$4:$C$1012=C$4),'Дані_зв''язок'!$D$4:$D$1012,"")))</f>
        <v/>
      </c>
      <c r="D304" s="27" t="str" cm="1">
        <f t="array" ref="D304">IF($O304="","",_xlfn.TEXTJOIN(", ",TRUE,IF(EXACT('Дані_зв''язок'!$J$4:$J$1012,$O304)*('Дані_зв''язок'!$C$4:$C$1012=D$4),'Дані_зв''язок'!$D$4:$D$1012,"")))</f>
        <v/>
      </c>
      <c r="E304" s="27" t="str" cm="1">
        <f t="array" ref="E304">IF($O304="","",_xlfn.TEXTJOIN(", ",TRUE,IF(EXACT('Дані_зв''язок'!$J$4:$J$1012,$O304)*('Дані_зв''язок'!$C$4:$C$1012=E$4),'Дані_зв''язок'!$D$4:$D$1012,"")))</f>
        <v/>
      </c>
      <c r="F304" s="27" t="str" cm="1">
        <f t="array" ref="F304">IF($O304="","",_xlfn.TEXTJOIN(", ",TRUE,IF(EXACT('Дані_зв''язок'!$J$4:$J$1012,$O304)*('Дані_зв''язок'!$C$4:$C$1012=F$4),'Дані_зв''язок'!$D$4:$D$1012,"")))</f>
        <v/>
      </c>
      <c r="G304" s="27" t="str" cm="1">
        <f t="array" ref="G304">IF($O304="","",_xlfn.TEXTJOIN(", ",TRUE,IF(EXACT('Дані_зв''язок'!$J$4:$J$1012,$O304)*('Дані_зв''язок'!$C$4:$C$1012=G$4),'Дані_зв''язок'!$D$4:$D$1012,"")))</f>
        <v>8:40</v>
      </c>
      <c r="H304" s="27" t="str" cm="1">
        <f t="array" ref="H304">IF($O304="","",_xlfn.TEXTJOIN(", ",TRUE,IF(EXACT('Дані_зв''язок'!$J$4:$J$1012,$O304)*('Дані_зв''язок'!$C$4:$C$1012=H$4),'Дані_зв''язок'!$D$4:$D$1012,"")))</f>
        <v/>
      </c>
      <c r="I304" s="27" t="str" cm="1">
        <f t="array" ref="I304">IF($O304="","",_xlfn.TEXTJOIN(", ",TRUE,IF(EXACT('Дані_зв''язок'!$J$4:$J$1012,$O304)*('Дані_зв''язок'!$C$4:$C$1012=I$4),'Дані_зв''язок'!$D$4:$D$1012,"")))</f>
        <v/>
      </c>
      <c r="J304" s="27" cm="1">
        <f t="array" ref="J304">IF($O304="","",COUNTIF(C304:I304,"?*")+SUMPRODUCT(LEN(C304:I304)-LEN(SUBSTITUTE(C304:I304,",",""))))</f>
        <v>1</v>
      </c>
      <c r="K304" s="28" t="str" cm="1">
        <f t="array" ref="K304">IF($O304="","",_xlfn.TEXTJOIN(", ",TRUE,IF(EXACT('Дані_зв''язок'!$J$4:$J$1012,$O304),'Дані_зв''язок'!$L$4:$L$1012,"")))</f>
        <v>№6</v>
      </c>
      <c r="L304" s="28" t="str" cm="1">
        <f t="array" ref="L304">IF($O304="","",_xlfn.TEXTJOIN(", ",TRUE,IF(EXACT('Дані_зв''язок'!$J$4:$J$1012,$O304),'Дані_зв''язок'!$M$4:$M$1012,"")))</f>
        <v>АТ 4021</v>
      </c>
      <c r="M304" s="27" t="str" cm="1">
        <f t="array" ref="M304">IF($O304="","",IF(SUMPRODUCT(MAX(EXACT('Дані_зв''язок'!$J$4:$J$1012,$O304)*IFERROR('Дані_зв''язок'!$H$4:$H$1012,0)))=0,"",SUMPRODUCT(MAX(EXACT('Дані_зв''язок'!$J$4:$J$1012,$O304)*IFERROR('Дані_зв''язок'!$H$4:$H$1012,0)))))</f>
        <v/>
      </c>
      <c r="O304" s="30" t="s">
        <v>1423</v>
      </c>
      <c r="P304" s="24" cm="1">
        <f t="array" ref="P304">IF($O304="","",IF($B304="","",IFERROR(IF(MIN(IFERROR(VALUE(TRIM(MID(SUBSTITUTE(SUBSTITUTE($B304,","," ")," ",REPT(" ",30)),{1;31;61;91;121;151;181},30))),""))=0,"",MIN(IFERROR(VALUE(TRIM(MID(SUBSTITUTE(SUBSTITUTE($B304,","," ")," ",REPT(" ",30)),{1;31;61;91;121;151;181},30))),""))),"")))</f>
        <v>15</v>
      </c>
      <c r="Q304" s="23" t="str">
        <f t="shared" si="14"/>
        <v>Прилуки, Чернігівська обл., вул. Миру, 15</v>
      </c>
      <c r="R304" s="35">
        <f>IF($O304="","",IFERROR(INDEX('Координати майданчиків'!$H$4:$H$64,MATCH($T304,'Координати майданчиків'!$B$4:$B$64,0)),IFERROR(IF(ABS(INDEX(Геокодування!$C$2:$C$361,MATCH($Q304,Геокодування!$B$2:$B$361,0))-50.5884)+ABS(INDEX(Геокодування!$D$2:$D$361,MATCH($Q304,Геокодування!$B$2:$B$361,0))-32.3876)&gt;0.15,"",INDEX(Геокодування!$C$2:$C$361,MATCH($Q304,Геокодування!$B$2:$B$361,0))),IFERROR(IF(ABS(INDEX(Геокодування!$C$2:$C$361,MATCH("Прилуки, Чернігівська обл., "&amp;$A304,Геокодування!$B$2:$B$361,0))-50.5884)+ABS(INDEX(Геокодування!$D$2:$D$361,MATCH("Прилуки, Чернігівська обл., "&amp;$A304,Геокодування!$B$2:$B$361,0))-32.3876)&gt;0.15,"",INDEX(Геокодування!$C$2:$C$361,MATCH("Прилуки, Чернігівська обл., "&amp;$A304,Геокодування!$B$2:$B$361,0))),""))))</f>
        <v>50.615200000000002</v>
      </c>
      <c r="S304" s="43">
        <f>IF($O304="","",IFERROR(INDEX('Координати майданчиків'!$I$4:$I$64,MATCH($T304,'Координати майданчиків'!$B$4:$B$64,0)),IFERROR(IF(ABS(INDEX(Геокодування!$C$2:$C$361,MATCH($Q304,Геокодування!$B$2:$B$361,0))-50.5884)+ABS(INDEX(Геокодування!$D$2:$D$361,MATCH($Q304,Геокодування!$B$2:$B$361,0))-32.3876)&gt;0.15,"",INDEX(Геокодування!$D$2:$D$361,MATCH($Q304,Геокодування!$B$2:$B$361,0))),IFERROR(IF(ABS(INDEX(Геокодування!$C$2:$C$361,MATCH("Прилуки, Чернігівська обл., "&amp;$A304,Геокодування!$B$2:$B$361,0))-50.5884)+ABS(INDEX(Геокодування!$D$2:$D$361,MATCH("Прилуки, Чернігівська обл., "&amp;$A304,Геокодування!$B$2:$B$361,0))-32.3876)&gt;0.15,"",INDEX(Геокодування!$D$2:$D$361,MATCH("Прилуки, Чернігівська обл., "&amp;$A304,Геокодування!$B$2:$B$361,0))),""))))</f>
        <v>32.370775999999999</v>
      </c>
      <c r="T304" s="44" t="str">
        <f>IF($O304="","",IFERROR(INDEX('Координати майданчиків'!$B$4:$B$64,MATCH($A304&amp;IF($P304="","",", "&amp;$P304),'Координати майданчиків'!$B$4:$B$64,0)),IFERROR(INDEX('Координати майданчиків'!$B$4:$B$64,MATCH($A304,'Координати майданчиків'!$B$4:$B$64,0)),"")))</f>
        <v/>
      </c>
    </row>
    <row r="305" spans="1:20" x14ac:dyDescent="0.35">
      <c r="A305" s="26" t="str">
        <f t="shared" si="12"/>
        <v>вул. Миру</v>
      </c>
      <c r="B305" s="26" t="str">
        <f t="shared" si="13"/>
        <v>24</v>
      </c>
      <c r="C305" s="27" t="str" cm="1">
        <f t="array" ref="C305">IF($O305="","",_xlfn.TEXTJOIN(", ",TRUE,IF(EXACT('Дані_зв''язок'!$J$4:$J$1012,$O305)*('Дані_зв''язок'!$C$4:$C$1012=C$4),'Дані_зв''язок'!$D$4:$D$1012,"")))</f>
        <v>10:45</v>
      </c>
      <c r="D305" s="27" t="str" cm="1">
        <f t="array" ref="D305">IF($O305="","",_xlfn.TEXTJOIN(", ",TRUE,IF(EXACT('Дані_зв''язок'!$J$4:$J$1012,$O305)*('Дані_зв''язок'!$C$4:$C$1012=D$4),'Дані_зв''язок'!$D$4:$D$1012,"")))</f>
        <v/>
      </c>
      <c r="E305" s="27" t="str" cm="1">
        <f t="array" ref="E305">IF($O305="","",_xlfn.TEXTJOIN(", ",TRUE,IF(EXACT('Дані_зв''язок'!$J$4:$J$1012,$O305)*('Дані_зв''язок'!$C$4:$C$1012=E$4),'Дані_зв''язок'!$D$4:$D$1012,"")))</f>
        <v/>
      </c>
      <c r="F305" s="27" t="str" cm="1">
        <f t="array" ref="F305">IF($O305="","",_xlfn.TEXTJOIN(", ",TRUE,IF(EXACT('Дані_зв''язок'!$J$4:$J$1012,$O305)*('Дані_зв''язок'!$C$4:$C$1012=F$4),'Дані_зв''язок'!$D$4:$D$1012,"")))</f>
        <v/>
      </c>
      <c r="G305" s="27" t="str" cm="1">
        <f t="array" ref="G305">IF($O305="","",_xlfn.TEXTJOIN(", ",TRUE,IF(EXACT('Дані_зв''язок'!$J$4:$J$1012,$O305)*('Дані_зв''язок'!$C$4:$C$1012=G$4),'Дані_зв''язок'!$D$4:$D$1012,"")))</f>
        <v/>
      </c>
      <c r="H305" s="27" t="str" cm="1">
        <f t="array" ref="H305">IF($O305="","",_xlfn.TEXTJOIN(", ",TRUE,IF(EXACT('Дані_зв''язок'!$J$4:$J$1012,$O305)*('Дані_зв''язок'!$C$4:$C$1012=H$4),'Дані_зв''язок'!$D$4:$D$1012,"")))</f>
        <v/>
      </c>
      <c r="I305" s="27" t="str" cm="1">
        <f t="array" ref="I305">IF($O305="","",_xlfn.TEXTJOIN(", ",TRUE,IF(EXACT('Дані_зв''язок'!$J$4:$J$1012,$O305)*('Дані_зв''язок'!$C$4:$C$1012=I$4),'Дані_зв''язок'!$D$4:$D$1012,"")))</f>
        <v/>
      </c>
      <c r="J305" s="27" cm="1">
        <f t="array" ref="J305">IF($O305="","",COUNTIF(C305:I305,"?*")+SUMPRODUCT(LEN(C305:I305)-LEN(SUBSTITUTE(C305:I305,",",""))))</f>
        <v>1</v>
      </c>
      <c r="K305" s="28" t="str" cm="1">
        <f t="array" ref="K305">IF($O305="","",_xlfn.TEXTJOIN(", ",TRUE,IF(EXACT('Дані_зв''язок'!$J$4:$J$1012,$O305),'Дані_зв''язок'!$L$4:$L$1012,"")))</f>
        <v>№6</v>
      </c>
      <c r="L305" s="28" t="str" cm="1">
        <f t="array" ref="L305">IF($O305="","",_xlfn.TEXTJOIN(", ",TRUE,IF(EXACT('Дані_зв''язок'!$J$4:$J$1012,$O305),'Дані_зв''язок'!$M$4:$M$1012,"")))</f>
        <v>АТ 4021</v>
      </c>
      <c r="M305" s="27" t="str" cm="1">
        <f t="array" ref="M305">IF($O305="","",IF(SUMPRODUCT(MAX(EXACT('Дані_зв''язок'!$J$4:$J$1012,$O305)*IFERROR('Дані_зв''язок'!$H$4:$H$1012,0)))=0,"",SUMPRODUCT(MAX(EXACT('Дані_зв''язок'!$J$4:$J$1012,$O305)*IFERROR('Дані_зв''язок'!$H$4:$H$1012,0)))))</f>
        <v/>
      </c>
      <c r="O305" s="30" t="s">
        <v>1424</v>
      </c>
      <c r="P305" s="24" cm="1">
        <f t="array" ref="P305">IF($O305="","",IF($B305="","",IFERROR(IF(MIN(IFERROR(VALUE(TRIM(MID(SUBSTITUTE(SUBSTITUTE($B305,","," ")," ",REPT(" ",30)),{1;31;61;91;121;151;181},30))),""))=0,"",MIN(IFERROR(VALUE(TRIM(MID(SUBSTITUTE(SUBSTITUTE($B305,","," ")," ",REPT(" ",30)),{1;31;61;91;121;151;181},30))),""))),"")))</f>
        <v>24</v>
      </c>
      <c r="Q305" s="23" t="str">
        <f t="shared" si="14"/>
        <v>Прилуки, Чернігівська обл., вул. Миру, 24</v>
      </c>
      <c r="R305" s="35">
        <f>IF($O305="","",IFERROR(INDEX('Координати майданчиків'!$H$4:$H$64,MATCH($T305,'Координати майданчиків'!$B$4:$B$64,0)),IFERROR(IF(ABS(INDEX(Геокодування!$C$2:$C$361,MATCH($Q305,Геокодування!$B$2:$B$361,0))-50.5884)+ABS(INDEX(Геокодування!$D$2:$D$361,MATCH($Q305,Геокодування!$B$2:$B$361,0))-32.3876)&gt;0.15,"",INDEX(Геокодування!$C$2:$C$361,MATCH($Q305,Геокодування!$B$2:$B$361,0))),IFERROR(IF(ABS(INDEX(Геокодування!$C$2:$C$361,MATCH("Прилуки, Чернігівська обл., "&amp;$A305,Геокодування!$B$2:$B$361,0))-50.5884)+ABS(INDEX(Геокодування!$D$2:$D$361,MATCH("Прилуки, Чернігівська обл., "&amp;$A305,Геокодування!$B$2:$B$361,0))-32.3876)&gt;0.15,"",INDEX(Геокодування!$C$2:$C$361,MATCH("Прилуки, Чернігівська обл., "&amp;$A305,Геокодування!$B$2:$B$361,0))),""))))</f>
        <v>50.615200000000002</v>
      </c>
      <c r="S305" s="43">
        <f>IF($O305="","",IFERROR(INDEX('Координати майданчиків'!$I$4:$I$64,MATCH($T305,'Координати майданчиків'!$B$4:$B$64,0)),IFERROR(IF(ABS(INDEX(Геокодування!$C$2:$C$361,MATCH($Q305,Геокодування!$B$2:$B$361,0))-50.5884)+ABS(INDEX(Геокодування!$D$2:$D$361,MATCH($Q305,Геокодування!$B$2:$B$361,0))-32.3876)&gt;0.15,"",INDEX(Геокодування!$D$2:$D$361,MATCH($Q305,Геокодування!$B$2:$B$361,0))),IFERROR(IF(ABS(INDEX(Геокодування!$C$2:$C$361,MATCH("Прилуки, Чернігівська обл., "&amp;$A305,Геокодування!$B$2:$B$361,0))-50.5884)+ABS(INDEX(Геокодування!$D$2:$D$361,MATCH("Прилуки, Чернігівська обл., "&amp;$A305,Геокодування!$B$2:$B$361,0))-32.3876)&gt;0.15,"",INDEX(Геокодування!$D$2:$D$361,MATCH("Прилуки, Чернігівська обл., "&amp;$A305,Геокодування!$B$2:$B$361,0))),""))))</f>
        <v>32.370775999999999</v>
      </c>
      <c r="T305" s="44" t="str">
        <f>IF($O305="","",IFERROR(INDEX('Координати майданчиків'!$B$4:$B$64,MATCH($A305&amp;IF($P305="","",", "&amp;$P305),'Координати майданчиків'!$B$4:$B$64,0)),IFERROR(INDEX('Координати майданчиків'!$B$4:$B$64,MATCH($A305,'Координати майданчиків'!$B$4:$B$64,0)),"")))</f>
        <v/>
      </c>
    </row>
    <row r="306" spans="1:20" x14ac:dyDescent="0.35">
      <c r="A306" s="26" t="str">
        <f t="shared" si="12"/>
        <v>вул. Миру</v>
      </c>
      <c r="B306" s="26" t="str">
        <f t="shared" si="13"/>
        <v>58</v>
      </c>
      <c r="C306" s="27" t="str" cm="1">
        <f t="array" ref="C306">IF($O306="","",_xlfn.TEXTJOIN(", ",TRUE,IF(EXACT('Дані_зв''язок'!$J$4:$J$1012,$O306)*('Дані_зв''язок'!$C$4:$C$1012=C$4),'Дані_зв''язок'!$D$4:$D$1012,"")))</f>
        <v/>
      </c>
      <c r="D306" s="27" t="str" cm="1">
        <f t="array" ref="D306">IF($O306="","",_xlfn.TEXTJOIN(", ",TRUE,IF(EXACT('Дані_зв''язок'!$J$4:$J$1012,$O306)*('Дані_зв''язок'!$C$4:$C$1012=D$4),'Дані_зв''язок'!$D$4:$D$1012,"")))</f>
        <v/>
      </c>
      <c r="E306" s="27" t="str" cm="1">
        <f t="array" ref="E306">IF($O306="","",_xlfn.TEXTJOIN(", ",TRUE,IF(EXACT('Дані_зв''язок'!$J$4:$J$1012,$O306)*('Дані_зв''язок'!$C$4:$C$1012=E$4),'Дані_зв''язок'!$D$4:$D$1012,"")))</f>
        <v>8:15</v>
      </c>
      <c r="F306" s="27" t="str" cm="1">
        <f t="array" ref="F306">IF($O306="","",_xlfn.TEXTJOIN(", ",TRUE,IF(EXACT('Дані_зв''язок'!$J$4:$J$1012,$O306)*('Дані_зв''язок'!$C$4:$C$1012=F$4),'Дані_зв''язок'!$D$4:$D$1012,"")))</f>
        <v/>
      </c>
      <c r="G306" s="27" t="str" cm="1">
        <f t="array" ref="G306">IF($O306="","",_xlfn.TEXTJOIN(", ",TRUE,IF(EXACT('Дані_зв''язок'!$J$4:$J$1012,$O306)*('Дані_зв''язок'!$C$4:$C$1012=G$4),'Дані_зв''язок'!$D$4:$D$1012,"")))</f>
        <v/>
      </c>
      <c r="H306" s="27" t="str" cm="1">
        <f t="array" ref="H306">IF($O306="","",_xlfn.TEXTJOIN(", ",TRUE,IF(EXACT('Дані_зв''язок'!$J$4:$J$1012,$O306)*('Дані_зв''язок'!$C$4:$C$1012=H$4),'Дані_зв''язок'!$D$4:$D$1012,"")))</f>
        <v/>
      </c>
      <c r="I306" s="27" t="str" cm="1">
        <f t="array" ref="I306">IF($O306="","",_xlfn.TEXTJOIN(", ",TRUE,IF(EXACT('Дані_зв''язок'!$J$4:$J$1012,$O306)*('Дані_зв''язок'!$C$4:$C$1012=I$4),'Дані_зв''язок'!$D$4:$D$1012,"")))</f>
        <v/>
      </c>
      <c r="J306" s="27" cm="1">
        <f t="array" ref="J306">IF($O306="","",COUNTIF(C306:I306,"?*")+SUMPRODUCT(LEN(C306:I306)-LEN(SUBSTITUTE(C306:I306,",",""))))</f>
        <v>1</v>
      </c>
      <c r="K306" s="28" t="str" cm="1">
        <f t="array" ref="K306">IF($O306="","",_xlfn.TEXTJOIN(", ",TRUE,IF(EXACT('Дані_зв''язок'!$J$4:$J$1012,$O306),'Дані_зв''язок'!$L$4:$L$1012,"")))</f>
        <v>№6</v>
      </c>
      <c r="L306" s="28" t="str" cm="1">
        <f t="array" ref="L306">IF($O306="","",_xlfn.TEXTJOIN(", ",TRUE,IF(EXACT('Дані_зв''язок'!$J$4:$J$1012,$O306),'Дані_зв''язок'!$M$4:$M$1012,"")))</f>
        <v>АТ 4021</v>
      </c>
      <c r="M306" s="27" t="str" cm="1">
        <f t="array" ref="M306">IF($O306="","",IF(SUMPRODUCT(MAX(EXACT('Дані_зв''язок'!$J$4:$J$1012,$O306)*IFERROR('Дані_зв''язок'!$H$4:$H$1012,0)))=0,"",SUMPRODUCT(MAX(EXACT('Дані_зв''язок'!$J$4:$J$1012,$O306)*IFERROR('Дані_зв''язок'!$H$4:$H$1012,0)))))</f>
        <v/>
      </c>
      <c r="O306" s="30" t="s">
        <v>1425</v>
      </c>
      <c r="P306" s="24" cm="1">
        <f t="array" ref="P306">IF($O306="","",IF($B306="","",IFERROR(IF(MIN(IFERROR(VALUE(TRIM(MID(SUBSTITUTE(SUBSTITUTE($B306,","," ")," ",REPT(" ",30)),{1;31;61;91;121;151;181},30))),""))=0,"",MIN(IFERROR(VALUE(TRIM(MID(SUBSTITUTE(SUBSTITUTE($B306,","," ")," ",REPT(" ",30)),{1;31;61;91;121;151;181},30))),""))),"")))</f>
        <v>58</v>
      </c>
      <c r="Q306" s="23" t="str">
        <f t="shared" si="14"/>
        <v>Прилуки, Чернігівська обл., вул. Миру, 58</v>
      </c>
      <c r="R306" s="35">
        <f>IF($O306="","",IFERROR(INDEX('Координати майданчиків'!$H$4:$H$64,MATCH($T306,'Координати майданчиків'!$B$4:$B$64,0)),IFERROR(IF(ABS(INDEX(Геокодування!$C$2:$C$361,MATCH($Q306,Геокодування!$B$2:$B$361,0))-50.5884)+ABS(INDEX(Геокодування!$D$2:$D$361,MATCH($Q306,Геокодування!$B$2:$B$361,0))-32.3876)&gt;0.15,"",INDEX(Геокодування!$C$2:$C$361,MATCH($Q306,Геокодування!$B$2:$B$361,0))),IFERROR(IF(ABS(INDEX(Геокодування!$C$2:$C$361,MATCH("Прилуки, Чернігівська обл., "&amp;$A306,Геокодування!$B$2:$B$361,0))-50.5884)+ABS(INDEX(Геокодування!$D$2:$D$361,MATCH("Прилуки, Чернігівська обл., "&amp;$A306,Геокодування!$B$2:$B$361,0))-32.3876)&gt;0.15,"",INDEX(Геокодування!$C$2:$C$361,MATCH("Прилуки, Чернігівська обл., "&amp;$A306,Геокодування!$B$2:$B$361,0))),""))))</f>
        <v>50.615200000000002</v>
      </c>
      <c r="S306" s="43">
        <f>IF($O306="","",IFERROR(INDEX('Координати майданчиків'!$I$4:$I$64,MATCH($T306,'Координати майданчиків'!$B$4:$B$64,0)),IFERROR(IF(ABS(INDEX(Геокодування!$C$2:$C$361,MATCH($Q306,Геокодування!$B$2:$B$361,0))-50.5884)+ABS(INDEX(Геокодування!$D$2:$D$361,MATCH($Q306,Геокодування!$B$2:$B$361,0))-32.3876)&gt;0.15,"",INDEX(Геокодування!$D$2:$D$361,MATCH($Q306,Геокодування!$B$2:$B$361,0))),IFERROR(IF(ABS(INDEX(Геокодування!$C$2:$C$361,MATCH("Прилуки, Чернігівська обл., "&amp;$A306,Геокодування!$B$2:$B$361,0))-50.5884)+ABS(INDEX(Геокодування!$D$2:$D$361,MATCH("Прилуки, Чернігівська обл., "&amp;$A306,Геокодування!$B$2:$B$361,0))-32.3876)&gt;0.15,"",INDEX(Геокодування!$D$2:$D$361,MATCH("Прилуки, Чернігівська обл., "&amp;$A306,Геокодування!$B$2:$B$361,0))),""))))</f>
        <v>32.370775999999999</v>
      </c>
      <c r="T306" s="44" t="str">
        <f>IF($O306="","",IFERROR(INDEX('Координати майданчиків'!$B$4:$B$64,MATCH($A306&amp;IF($P306="","",", "&amp;$P306),'Координати майданчиків'!$B$4:$B$64,0)),IFERROR(INDEX('Координати майданчиків'!$B$4:$B$64,MATCH($A306,'Координати майданчиків'!$B$4:$B$64,0)),"")))</f>
        <v/>
      </c>
    </row>
    <row r="307" spans="1:20" x14ac:dyDescent="0.35">
      <c r="A307" s="26" t="str">
        <f t="shared" si="12"/>
        <v>вул. Михайлівський</v>
      </c>
      <c r="B307" s="26" t="str">
        <f t="shared" si="13"/>
        <v>ОСББ</v>
      </c>
      <c r="C307" s="27" t="str" cm="1">
        <f t="array" ref="C307">IF($O307="","",_xlfn.TEXTJOIN(", ",TRUE,IF(EXACT('Дані_зв''язок'!$J$4:$J$1012,$O307)*('Дані_зв''язок'!$C$4:$C$1012=C$4),'Дані_зв''язок'!$D$4:$D$1012,"")))</f>
        <v/>
      </c>
      <c r="D307" s="27" t="str" cm="1">
        <f t="array" ref="D307">IF($O307="","",_xlfn.TEXTJOIN(", ",TRUE,IF(EXACT('Дані_зв''язок'!$J$4:$J$1012,$O307)*('Дані_зв''язок'!$C$4:$C$1012=D$4),'Дані_зв''язок'!$D$4:$D$1012,"")))</f>
        <v/>
      </c>
      <c r="E307" s="27" t="str" cm="1">
        <f t="array" ref="E307">IF($O307="","",_xlfn.TEXTJOIN(", ",TRUE,IF(EXACT('Дані_зв''язок'!$J$4:$J$1012,$O307)*('Дані_зв''язок'!$C$4:$C$1012=E$4),'Дані_зв''язок'!$D$4:$D$1012,"")))</f>
        <v/>
      </c>
      <c r="F307" s="27" t="str" cm="1">
        <f t="array" ref="F307">IF($O307="","",_xlfn.TEXTJOIN(", ",TRUE,IF(EXACT('Дані_зв''язок'!$J$4:$J$1012,$O307)*('Дані_зв''язок'!$C$4:$C$1012=F$4),'Дані_зв''язок'!$D$4:$D$1012,"")))</f>
        <v>14:35</v>
      </c>
      <c r="G307" s="27" t="str" cm="1">
        <f t="array" ref="G307">IF($O307="","",_xlfn.TEXTJOIN(", ",TRUE,IF(EXACT('Дані_зв''язок'!$J$4:$J$1012,$O307)*('Дані_зв''язок'!$C$4:$C$1012=G$4),'Дані_зв''язок'!$D$4:$D$1012,"")))</f>
        <v/>
      </c>
      <c r="H307" s="27" t="str" cm="1">
        <f t="array" ref="H307">IF($O307="","",_xlfn.TEXTJOIN(", ",TRUE,IF(EXACT('Дані_зв''язок'!$J$4:$J$1012,$O307)*('Дані_зв''язок'!$C$4:$C$1012=H$4),'Дані_зв''язок'!$D$4:$D$1012,"")))</f>
        <v/>
      </c>
      <c r="I307" s="27" t="str" cm="1">
        <f t="array" ref="I307">IF($O307="","",_xlfn.TEXTJOIN(", ",TRUE,IF(EXACT('Дані_зв''язок'!$J$4:$J$1012,$O307)*('Дані_зв''язок'!$C$4:$C$1012=I$4),'Дані_зв''язок'!$D$4:$D$1012,"")))</f>
        <v/>
      </c>
      <c r="J307" s="27" cm="1">
        <f t="array" ref="J307">IF($O307="","",COUNTIF(C307:I307,"?*")+SUMPRODUCT(LEN(C307:I307)-LEN(SUBSTITUTE(C307:I307,",",""))))</f>
        <v>1</v>
      </c>
      <c r="K307" s="28" t="str" cm="1">
        <f t="array" ref="K307">IF($O307="","",_xlfn.TEXTJOIN(", ",TRUE,IF(EXACT('Дані_зв''язок'!$J$4:$J$1012,$O307),'Дані_зв''язок'!$L$4:$L$1012,"")))</f>
        <v>№2</v>
      </c>
      <c r="L307" s="28" t="str" cm="1">
        <f t="array" ref="L307">IF($O307="","",_xlfn.TEXTJOIN(", ",TRUE,IF(EXACT('Дані_зв''язок'!$J$4:$J$1012,$O307),'Дані_зв''язок'!$M$4:$M$1012,"")))</f>
        <v>АТ 4021/1120</v>
      </c>
      <c r="M307" s="27" cm="1">
        <f t="array" ref="M307">IF($O307="","",IF(SUMPRODUCT(MAX(EXACT('Дані_зв''язок'!$J$4:$J$1012,$O307)*IFERROR('Дані_зв''язок'!$H$4:$H$1012,0)))=0,"",SUMPRODUCT(MAX(EXACT('Дані_зв''язок'!$J$4:$J$1012,$O307)*IFERROR('Дані_зв''язок'!$H$4:$H$1012,0)))))</f>
        <v>1</v>
      </c>
      <c r="O307" s="30" t="s">
        <v>1426</v>
      </c>
      <c r="P307" s="24" t="str" cm="1">
        <f t="array" ref="P307">IF($O307="","",IF($B307="","",IFERROR(IF(MIN(IFERROR(VALUE(TRIM(MID(SUBSTITUTE(SUBSTITUTE($B307,","," ")," ",REPT(" ",30)),{1;31;61;91;121;151;181},30))),""))=0,"",MIN(IFERROR(VALUE(TRIM(MID(SUBSTITUTE(SUBSTITUTE($B307,","," ")," ",REPT(" ",30)),{1;31;61;91;121;151;181},30))),""))),"")))</f>
        <v/>
      </c>
      <c r="Q307" s="23" t="str">
        <f t="shared" si="14"/>
        <v>Прилуки, Чернігівська обл., вул. Михайлівський</v>
      </c>
      <c r="R307" s="35">
        <f>IF($O307="","",IFERROR(INDEX('Координати майданчиків'!$H$4:$H$64,MATCH($T307,'Координати майданчиків'!$B$4:$B$64,0)),IFERROR(IF(ABS(INDEX(Геокодування!$C$2:$C$361,MATCH($Q307,Геокодування!$B$2:$B$361,0))-50.5884)+ABS(INDEX(Геокодування!$D$2:$D$361,MATCH($Q307,Геокодування!$B$2:$B$361,0))-32.3876)&gt;0.15,"",INDEX(Геокодування!$C$2:$C$361,MATCH($Q307,Геокодування!$B$2:$B$361,0))),IFERROR(IF(ABS(INDEX(Геокодування!$C$2:$C$361,MATCH("Прилуки, Чернігівська обл., "&amp;$A307,Геокодування!$B$2:$B$361,0))-50.5884)+ABS(INDEX(Геокодування!$D$2:$D$361,MATCH("Прилуки, Чернігівська обл., "&amp;$A307,Геокодування!$B$2:$B$361,0))-32.3876)&gt;0.15,"",INDEX(Геокодування!$C$2:$C$361,MATCH("Прилуки, Чернігівська обл., "&amp;$A307,Геокодування!$B$2:$B$361,0))),""))))</f>
        <v>50.596460999999998</v>
      </c>
      <c r="S307" s="43">
        <f>IF($O307="","",IFERROR(INDEX('Координати майданчиків'!$I$4:$I$64,MATCH($T307,'Координати майданчиків'!$B$4:$B$64,0)),IFERROR(IF(ABS(INDEX(Геокодування!$C$2:$C$361,MATCH($Q307,Геокодування!$B$2:$B$361,0))-50.5884)+ABS(INDEX(Геокодування!$D$2:$D$361,MATCH($Q307,Геокодування!$B$2:$B$361,0))-32.3876)&gt;0.15,"",INDEX(Геокодування!$D$2:$D$361,MATCH($Q307,Геокодування!$B$2:$B$361,0))),IFERROR(IF(ABS(INDEX(Геокодування!$C$2:$C$361,MATCH("Прилуки, Чернігівська обл., "&amp;$A307,Геокодування!$B$2:$B$361,0))-50.5884)+ABS(INDEX(Геокодування!$D$2:$D$361,MATCH("Прилуки, Чернігівська обл., "&amp;$A307,Геокодування!$B$2:$B$361,0))-32.3876)&gt;0.15,"",INDEX(Геокодування!$D$2:$D$361,MATCH("Прилуки, Чернігівська обл., "&amp;$A307,Геокодування!$B$2:$B$361,0))),""))))</f>
        <v>32.406213000000001</v>
      </c>
      <c r="T307" s="44" t="str">
        <f>IF($O307="","",IFERROR(INDEX('Координати майданчиків'!$B$4:$B$64,MATCH($A307&amp;IF($P307="","",", "&amp;$P307),'Координати майданчиків'!$B$4:$B$64,0)),IFERROR(INDEX('Координати майданчиків'!$B$4:$B$64,MATCH($A307,'Координати майданчиків'!$B$4:$B$64,0)),"")))</f>
        <v/>
      </c>
    </row>
    <row r="308" spans="1:20" x14ac:dyDescent="0.35">
      <c r="A308" s="26" t="str">
        <f t="shared" si="12"/>
        <v>вул. Молодіжна</v>
      </c>
      <c r="B308" s="26" t="str">
        <f t="shared" si="13"/>
        <v/>
      </c>
      <c r="C308" s="27" t="str" cm="1">
        <f t="array" ref="C308">IF($O308="","",_xlfn.TEXTJOIN(", ",TRUE,IF(EXACT('Дані_зв''язок'!$J$4:$J$1012,$O308)*('Дані_зв''язок'!$C$4:$C$1012=C$4),'Дані_зв''язок'!$D$4:$D$1012,"")))</f>
        <v/>
      </c>
      <c r="D308" s="27" t="str" cm="1">
        <f t="array" ref="D308">IF($O308="","",_xlfn.TEXTJOIN(", ",TRUE,IF(EXACT('Дані_зв''язок'!$J$4:$J$1012,$O308)*('Дані_зв''язок'!$C$4:$C$1012=D$4),'Дані_зв''язок'!$D$4:$D$1012,"")))</f>
        <v/>
      </c>
      <c r="E308" s="27" t="str" cm="1">
        <f t="array" ref="E308">IF($O308="","",_xlfn.TEXTJOIN(", ",TRUE,IF(EXACT('Дані_зв''язок'!$J$4:$J$1012,$O308)*('Дані_зв''язок'!$C$4:$C$1012=E$4),'Дані_зв''язок'!$D$4:$D$1012,"")))</f>
        <v>10:55</v>
      </c>
      <c r="F308" s="27" t="str" cm="1">
        <f t="array" ref="F308">IF($O308="","",_xlfn.TEXTJOIN(", ",TRUE,IF(EXACT('Дані_зв''язок'!$J$4:$J$1012,$O308)*('Дані_зв''язок'!$C$4:$C$1012=F$4),'Дані_зв''язок'!$D$4:$D$1012,"")))</f>
        <v/>
      </c>
      <c r="G308" s="27" t="str" cm="1">
        <f t="array" ref="G308">IF($O308="","",_xlfn.TEXTJOIN(", ",TRUE,IF(EXACT('Дані_зв''язок'!$J$4:$J$1012,$O308)*('Дані_зв''язок'!$C$4:$C$1012=G$4),'Дані_зв''язок'!$D$4:$D$1012,"")))</f>
        <v/>
      </c>
      <c r="H308" s="27" t="str" cm="1">
        <f t="array" ref="H308">IF($O308="","",_xlfn.TEXTJOIN(", ",TRUE,IF(EXACT('Дані_зв''язок'!$J$4:$J$1012,$O308)*('Дані_зв''язок'!$C$4:$C$1012=H$4),'Дані_зв''язок'!$D$4:$D$1012,"")))</f>
        <v/>
      </c>
      <c r="I308" s="27" t="str" cm="1">
        <f t="array" ref="I308">IF($O308="","",_xlfn.TEXTJOIN(", ",TRUE,IF(EXACT('Дані_зв''язок'!$J$4:$J$1012,$O308)*('Дані_зв''язок'!$C$4:$C$1012=I$4),'Дані_зв''язок'!$D$4:$D$1012,"")))</f>
        <v/>
      </c>
      <c r="J308" s="27" cm="1">
        <f t="array" ref="J308">IF($O308="","",COUNTIF(C308:I308,"?*")+SUMPRODUCT(LEN(C308:I308)-LEN(SUBSTITUTE(C308:I308,",",""))))</f>
        <v>1</v>
      </c>
      <c r="K308" s="28" t="str" cm="1">
        <f t="array" ref="K308">IF($O308="","",_xlfn.TEXTJOIN(", ",TRUE,IF(EXACT('Дані_зв''язок'!$J$4:$J$1012,$O308),'Дані_зв''язок'!$L$4:$L$1012,"")))</f>
        <v>№5</v>
      </c>
      <c r="L308" s="28" t="str" cm="1">
        <f t="array" ref="L308">IF($O308="","",_xlfn.TEXTJOIN(", ",TRUE,IF(EXACT('Дані_зв''язок'!$J$4:$J$1012,$O308),'Дані_зв''язок'!$M$4:$M$1012,"")))</f>
        <v>МАЗ 4381</v>
      </c>
      <c r="M308" s="27" t="str" cm="1">
        <f t="array" ref="M308">IF($O308="","",IF(SUMPRODUCT(MAX(EXACT('Дані_зв''язок'!$J$4:$J$1012,$O308)*IFERROR('Дані_зв''язок'!$H$4:$H$1012,0)))=0,"",SUMPRODUCT(MAX(EXACT('Дані_зв''язок'!$J$4:$J$1012,$O308)*IFERROR('Дані_зв''язок'!$H$4:$H$1012,0)))))</f>
        <v/>
      </c>
      <c r="O308" s="30" t="s">
        <v>1427</v>
      </c>
      <c r="P308" s="24" t="str" cm="1">
        <f t="array" ref="P308">IF($O308="","",IF($B308="","",IFERROR(IF(MIN(IFERROR(VALUE(TRIM(MID(SUBSTITUTE(SUBSTITUTE($B308,","," ")," ",REPT(" ",30)),{1;31;61;91;121;151;181},30))),""))=0,"",MIN(IFERROR(VALUE(TRIM(MID(SUBSTITUTE(SUBSTITUTE($B308,","," ")," ",REPT(" ",30)),{1;31;61;91;121;151;181},30))),""))),"")))</f>
        <v/>
      </c>
      <c r="Q308" s="23" t="str">
        <f t="shared" si="14"/>
        <v>Прилуки, Чернігівська обл., вул. Молодіжна</v>
      </c>
      <c r="R308" s="35">
        <f>IF($O308="","",IFERROR(INDEX('Координати майданчиків'!$H$4:$H$64,MATCH($T308,'Координати майданчиків'!$B$4:$B$64,0)),IFERROR(IF(ABS(INDEX(Геокодування!$C$2:$C$361,MATCH($Q308,Геокодування!$B$2:$B$361,0))-50.5884)+ABS(INDEX(Геокодування!$D$2:$D$361,MATCH($Q308,Геокодування!$B$2:$B$361,0))-32.3876)&gt;0.15,"",INDEX(Геокодування!$C$2:$C$361,MATCH($Q308,Геокодування!$B$2:$B$361,0))),IFERROR(IF(ABS(INDEX(Геокодування!$C$2:$C$361,MATCH("Прилуки, Чернігівська обл., "&amp;$A308,Геокодування!$B$2:$B$361,0))-50.5884)+ABS(INDEX(Геокодування!$D$2:$D$361,MATCH("Прилуки, Чернігівська обл., "&amp;$A308,Геокодування!$B$2:$B$361,0))-32.3876)&gt;0.15,"",INDEX(Геокодування!$C$2:$C$361,MATCH("Прилуки, Чернігівська обл., "&amp;$A308,Геокодування!$B$2:$B$361,0))),""))))</f>
        <v>50.584783999999999</v>
      </c>
      <c r="S308" s="43">
        <f>IF($O308="","",IFERROR(INDEX('Координати майданчиків'!$I$4:$I$64,MATCH($T308,'Координати майданчиків'!$B$4:$B$64,0)),IFERROR(IF(ABS(INDEX(Геокодування!$C$2:$C$361,MATCH($Q308,Геокодування!$B$2:$B$361,0))-50.5884)+ABS(INDEX(Геокодування!$D$2:$D$361,MATCH($Q308,Геокодування!$B$2:$B$361,0))-32.3876)&gt;0.15,"",INDEX(Геокодування!$D$2:$D$361,MATCH($Q308,Геокодування!$B$2:$B$361,0))),IFERROR(IF(ABS(INDEX(Геокодування!$C$2:$C$361,MATCH("Прилуки, Чернігівська обл., "&amp;$A308,Геокодування!$B$2:$B$361,0))-50.5884)+ABS(INDEX(Геокодування!$D$2:$D$361,MATCH("Прилуки, Чернігівська обл., "&amp;$A308,Геокодування!$B$2:$B$361,0))-32.3876)&gt;0.15,"",INDEX(Геокодування!$D$2:$D$361,MATCH("Прилуки, Чернігівська обл., "&amp;$A308,Геокодування!$B$2:$B$361,0))),""))))</f>
        <v>32.366155999999997</v>
      </c>
      <c r="T308" s="44" t="str">
        <f>IF($O308="","",IFERROR(INDEX('Координати майданчиків'!$B$4:$B$64,MATCH($A308&amp;IF($P308="","",", "&amp;$P308),'Координати майданчиків'!$B$4:$B$64,0)),IFERROR(INDEX('Координати майданчиків'!$B$4:$B$64,MATCH($A308,'Координати майданчиків'!$B$4:$B$64,0)),"")))</f>
        <v/>
      </c>
    </row>
    <row r="309" spans="1:20" x14ac:dyDescent="0.35">
      <c r="A309" s="26" t="str">
        <f t="shared" si="12"/>
        <v>вул. Н. Левинського</v>
      </c>
      <c r="B309" s="26" t="str">
        <f t="shared" si="13"/>
        <v/>
      </c>
      <c r="C309" s="27" t="str" cm="1">
        <f t="array" ref="C309">IF($O309="","",_xlfn.TEXTJOIN(", ",TRUE,IF(EXACT('Дані_зв''язок'!$J$4:$J$1012,$O309)*('Дані_зв''язок'!$C$4:$C$1012=C$4),'Дані_зв''язок'!$D$4:$D$1012,"")))</f>
        <v/>
      </c>
      <c r="D309" s="27" t="str" cm="1">
        <f t="array" ref="D309">IF($O309="","",_xlfn.TEXTJOIN(", ",TRUE,IF(EXACT('Дані_зв''язок'!$J$4:$J$1012,$O309)*('Дані_зв''язок'!$C$4:$C$1012=D$4),'Дані_зв''язок'!$D$4:$D$1012,"")))</f>
        <v/>
      </c>
      <c r="E309" s="27" t="str" cm="1">
        <f t="array" ref="E309">IF($O309="","",_xlfn.TEXTJOIN(", ",TRUE,IF(EXACT('Дані_зв''язок'!$J$4:$J$1012,$O309)*('Дані_зв''язок'!$C$4:$C$1012=E$4),'Дані_зв''язок'!$D$4:$D$1012,"")))</f>
        <v>8:40</v>
      </c>
      <c r="F309" s="27" t="str" cm="1">
        <f t="array" ref="F309">IF($O309="","",_xlfn.TEXTJOIN(", ",TRUE,IF(EXACT('Дані_зв''язок'!$J$4:$J$1012,$O309)*('Дані_зв''язок'!$C$4:$C$1012=F$4),'Дані_зв''язок'!$D$4:$D$1012,"")))</f>
        <v/>
      </c>
      <c r="G309" s="27" t="str" cm="1">
        <f t="array" ref="G309">IF($O309="","",_xlfn.TEXTJOIN(", ",TRUE,IF(EXACT('Дані_зв''язок'!$J$4:$J$1012,$O309)*('Дані_зв''язок'!$C$4:$C$1012=G$4),'Дані_зв''язок'!$D$4:$D$1012,"")))</f>
        <v/>
      </c>
      <c r="H309" s="27" t="str" cm="1">
        <f t="array" ref="H309">IF($O309="","",_xlfn.TEXTJOIN(", ",TRUE,IF(EXACT('Дані_зв''язок'!$J$4:$J$1012,$O309)*('Дані_зв''язок'!$C$4:$C$1012=H$4),'Дані_зв''язок'!$D$4:$D$1012,"")))</f>
        <v/>
      </c>
      <c r="I309" s="27" t="str" cm="1">
        <f t="array" ref="I309">IF($O309="","",_xlfn.TEXTJOIN(", ",TRUE,IF(EXACT('Дані_зв''язок'!$J$4:$J$1012,$O309)*('Дані_зв''язок'!$C$4:$C$1012=I$4),'Дані_зв''язок'!$D$4:$D$1012,"")))</f>
        <v/>
      </c>
      <c r="J309" s="27" cm="1">
        <f t="array" ref="J309">IF($O309="","",COUNTIF(C309:I309,"?*")+SUMPRODUCT(LEN(C309:I309)-LEN(SUBSTITUTE(C309:I309,",",""))))</f>
        <v>1</v>
      </c>
      <c r="K309" s="28" t="str" cm="1">
        <f t="array" ref="K309">IF($O309="","",_xlfn.TEXTJOIN(", ",TRUE,IF(EXACT('Дані_зв''язок'!$J$4:$J$1012,$O309),'Дані_зв''язок'!$L$4:$L$1012,"")))</f>
        <v>№5</v>
      </c>
      <c r="L309" s="28" t="str" cm="1">
        <f t="array" ref="L309">IF($O309="","",_xlfn.TEXTJOIN(", ",TRUE,IF(EXACT('Дані_зв''язок'!$J$4:$J$1012,$O309),'Дані_зв''язок'!$M$4:$M$1012,"")))</f>
        <v>МАЗ 4381</v>
      </c>
      <c r="M309" s="27" t="str" cm="1">
        <f t="array" ref="M309">IF($O309="","",IF(SUMPRODUCT(MAX(EXACT('Дані_зв''язок'!$J$4:$J$1012,$O309)*IFERROR('Дані_зв''язок'!$H$4:$H$1012,0)))=0,"",SUMPRODUCT(MAX(EXACT('Дані_зв''язок'!$J$4:$J$1012,$O309)*IFERROR('Дані_зв''язок'!$H$4:$H$1012,0)))))</f>
        <v/>
      </c>
      <c r="O309" s="30" t="s">
        <v>1428</v>
      </c>
      <c r="P309" s="24" t="str" cm="1">
        <f t="array" ref="P309">IF($O309="","",IF($B309="","",IFERROR(IF(MIN(IFERROR(VALUE(TRIM(MID(SUBSTITUTE(SUBSTITUTE($B309,","," ")," ",REPT(" ",30)),{1;31;61;91;121;151;181},30))),""))=0,"",MIN(IFERROR(VALUE(TRIM(MID(SUBSTITUTE(SUBSTITUTE($B309,","," ")," ",REPT(" ",30)),{1;31;61;91;121;151;181},30))),""))),"")))</f>
        <v/>
      </c>
      <c r="Q309" s="23" t="str">
        <f t="shared" si="14"/>
        <v>Прилуки, Чернігівська обл., вул. Н. Левинського</v>
      </c>
      <c r="R309" s="35">
        <f>IF($O309="","",IFERROR(INDEX('Координати майданчиків'!$H$4:$H$64,MATCH($T309,'Координати майданчиків'!$B$4:$B$64,0)),IFERROR(IF(ABS(INDEX(Геокодування!$C$2:$C$361,MATCH($Q309,Геокодування!$B$2:$B$361,0))-50.5884)+ABS(INDEX(Геокодування!$D$2:$D$361,MATCH($Q309,Геокодування!$B$2:$B$361,0))-32.3876)&gt;0.15,"",INDEX(Геокодування!$C$2:$C$361,MATCH($Q309,Геокодування!$B$2:$B$361,0))),IFERROR(IF(ABS(INDEX(Геокодування!$C$2:$C$361,MATCH("Прилуки, Чернігівська обл., "&amp;$A309,Геокодування!$B$2:$B$361,0))-50.5884)+ABS(INDEX(Геокодування!$D$2:$D$361,MATCH("Прилуки, Чернігівська обл., "&amp;$A309,Геокодування!$B$2:$B$361,0))-32.3876)&gt;0.15,"",INDEX(Геокодування!$C$2:$C$361,MATCH("Прилуки, Чернігівська обл., "&amp;$A309,Геокодування!$B$2:$B$361,0))),""))))</f>
        <v>50.595452000000002</v>
      </c>
      <c r="S309" s="43">
        <f>IF($O309="","",IFERROR(INDEX('Координати майданчиків'!$I$4:$I$64,MATCH($T309,'Координати майданчиків'!$B$4:$B$64,0)),IFERROR(IF(ABS(INDEX(Геокодування!$C$2:$C$361,MATCH($Q309,Геокодування!$B$2:$B$361,0))-50.5884)+ABS(INDEX(Геокодування!$D$2:$D$361,MATCH($Q309,Геокодування!$B$2:$B$361,0))-32.3876)&gt;0.15,"",INDEX(Геокодування!$D$2:$D$361,MATCH($Q309,Геокодування!$B$2:$B$361,0))),IFERROR(IF(ABS(INDEX(Геокодування!$C$2:$C$361,MATCH("Прилуки, Чернігівська обл., "&amp;$A309,Геокодування!$B$2:$B$361,0))-50.5884)+ABS(INDEX(Геокодування!$D$2:$D$361,MATCH("Прилуки, Чернігівська обл., "&amp;$A309,Геокодування!$B$2:$B$361,0))-32.3876)&gt;0.15,"",INDEX(Геокодування!$D$2:$D$361,MATCH("Прилуки, Чернігівська обл., "&amp;$A309,Геокодування!$B$2:$B$361,0))),""))))</f>
        <v>32.383623999999998</v>
      </c>
      <c r="T309" s="44" t="str">
        <f>IF($O309="","",IFERROR(INDEX('Координати майданчиків'!$B$4:$B$64,MATCH($A309&amp;IF($P309="","",", "&amp;$P309),'Координати майданчиків'!$B$4:$B$64,0)),IFERROR(INDEX('Координати майданчиків'!$B$4:$B$64,MATCH($A309,'Координати майданчиків'!$B$4:$B$64,0)),"")))</f>
        <v/>
      </c>
    </row>
    <row r="310" spans="1:20" ht="25" x14ac:dyDescent="0.35">
      <c r="A310" s="26" t="str">
        <f t="shared" si="12"/>
        <v>вул. Небесної Сотні</v>
      </c>
      <c r="B310" s="26" t="str">
        <f t="shared" si="13"/>
        <v/>
      </c>
      <c r="C310" s="27" t="str" cm="1">
        <f t="array" ref="C310">IF($O310="","",_xlfn.TEXTJOIN(", ",TRUE,IF(EXACT('Дані_зв''язок'!$J$4:$J$1012,$O310)*('Дані_зв''язок'!$C$4:$C$1012=C$4),'Дані_зв''язок'!$D$4:$D$1012,"")))</f>
        <v>12:45, 13:45</v>
      </c>
      <c r="D310" s="27" t="str" cm="1">
        <f t="array" ref="D310">IF($O310="","",_xlfn.TEXTJOIN(", ",TRUE,IF(EXACT('Дані_зв''язок'!$J$4:$J$1012,$O310)*('Дані_зв''язок'!$C$4:$C$1012=D$4),'Дані_зв''язок'!$D$4:$D$1012,"")))</f>
        <v>14:25, 15:25</v>
      </c>
      <c r="E310" s="27" t="str" cm="1">
        <f t="array" ref="E310">IF($O310="","",_xlfn.TEXTJOIN(", ",TRUE,IF(EXACT('Дані_зв''язок'!$J$4:$J$1012,$O310)*('Дані_зв''язок'!$C$4:$C$1012=E$4),'Дані_зв''язок'!$D$4:$D$1012,"")))</f>
        <v>12:15</v>
      </c>
      <c r="F310" s="27" t="str" cm="1">
        <f t="array" ref="F310">IF($O310="","",_xlfn.TEXTJOIN(", ",TRUE,IF(EXACT('Дані_зв''язок'!$J$4:$J$1012,$O310)*('Дані_зв''язок'!$C$4:$C$1012=F$4),'Дані_зв''язок'!$D$4:$D$1012,"")))</f>
        <v>13:35</v>
      </c>
      <c r="G310" s="27" t="str" cm="1">
        <f t="array" ref="G310">IF($O310="","",_xlfn.TEXTJOIN(", ",TRUE,IF(EXACT('Дані_зв''язок'!$J$4:$J$1012,$O310)*('Дані_зв''язок'!$C$4:$C$1012=G$4),'Дані_зв''язок'!$D$4:$D$1012,"")))</f>
        <v>12:45</v>
      </c>
      <c r="H310" s="27" t="str" cm="1">
        <f t="array" ref="H310">IF($O310="","",_xlfn.TEXTJOIN(", ",TRUE,IF(EXACT('Дані_зв''язок'!$J$4:$J$1012,$O310)*('Дані_зв''язок'!$C$4:$C$1012=H$4),'Дані_зв''язок'!$D$4:$D$1012,"")))</f>
        <v>13:45</v>
      </c>
      <c r="I310" s="27" t="str" cm="1">
        <f t="array" ref="I310">IF($O310="","",_xlfn.TEXTJOIN(", ",TRUE,IF(EXACT('Дані_зв''язок'!$J$4:$J$1012,$O310)*('Дані_зв''язок'!$C$4:$C$1012=I$4),'Дані_зв''язок'!$D$4:$D$1012,"")))</f>
        <v>13:35</v>
      </c>
      <c r="J310" s="27" cm="1">
        <f t="array" ref="J310">IF($O310="","",COUNTIF(C310:I310,"?*")+SUMPRODUCT(LEN(C310:I310)-LEN(SUBSTITUTE(C310:I310,",",""))))</f>
        <v>9</v>
      </c>
      <c r="K310" s="28" t="str" cm="1">
        <f t="array" ref="K310">IF($O310="","",_xlfn.TEXTJOIN(", ",TRUE,IF(EXACT('Дані_зв''язок'!$J$4:$J$1012,$O310),'Дані_зв''язок'!$L$4:$L$1012,"")))</f>
        <v>№3, №5</v>
      </c>
      <c r="L310" s="28" t="str" cm="1">
        <f t="array" ref="L310">IF($O310="","",_xlfn.TEXTJOIN(", ",TRUE,IF(EXACT('Дані_зв''язок'!$J$4:$J$1012,$O310),'Дані_зв''язок'!$M$4:$M$1012,"")))</f>
        <v>МАЗ-4371, МАЗ 4381, ГАЗ 3309</v>
      </c>
      <c r="M310" s="27" cm="1">
        <f t="array" ref="M310">IF($O310="","",IF(SUMPRODUCT(MAX(EXACT('Дані_зв''язок'!$J$4:$J$1012,$O310)*IFERROR('Дані_зв''язок'!$H$4:$H$1012,0)))=0,"",SUMPRODUCT(MAX(EXACT('Дані_зв''язок'!$J$4:$J$1012,$O310)*IFERROR('Дані_зв''язок'!$H$4:$H$1012,0)))))</f>
        <v>4</v>
      </c>
      <c r="O310" s="30" t="s">
        <v>1429</v>
      </c>
      <c r="P310" s="24" t="str" cm="1">
        <f t="array" ref="P310">IF($O310="","",IF($B310="","",IFERROR(IF(MIN(IFERROR(VALUE(TRIM(MID(SUBSTITUTE(SUBSTITUTE($B310,","," ")," ",REPT(" ",30)),{1;31;61;91;121;151;181},30))),""))=0,"",MIN(IFERROR(VALUE(TRIM(MID(SUBSTITUTE(SUBSTITUTE($B310,","," ")," ",REPT(" ",30)),{1;31;61;91;121;151;181},30))),""))),"")))</f>
        <v/>
      </c>
      <c r="Q310" s="23" t="str">
        <f t="shared" si="14"/>
        <v>Прилуки, Чернігівська обл., вул. Небесної Сотні</v>
      </c>
      <c r="R310" s="35">
        <f>IF($O310="","",IFERROR(INDEX('Координати майданчиків'!$H$4:$H$64,MATCH($T310,'Координати майданчиків'!$B$4:$B$64,0)),IFERROR(IF(ABS(INDEX(Геокодування!$C$2:$C$361,MATCH($Q310,Геокодування!$B$2:$B$361,0))-50.5884)+ABS(INDEX(Геокодування!$D$2:$D$361,MATCH($Q310,Геокодування!$B$2:$B$361,0))-32.3876)&gt;0.15,"",INDEX(Геокодування!$C$2:$C$361,MATCH($Q310,Геокодування!$B$2:$B$361,0))),IFERROR(IF(ABS(INDEX(Геокодування!$C$2:$C$361,MATCH("Прилуки, Чернігівська обл., "&amp;$A310,Геокодування!$B$2:$B$361,0))-50.5884)+ABS(INDEX(Геокодування!$D$2:$D$361,MATCH("Прилуки, Чернігівська обл., "&amp;$A310,Геокодування!$B$2:$B$361,0))-32.3876)&gt;0.15,"",INDEX(Геокодування!$C$2:$C$361,MATCH("Прилуки, Чернігівська обл., "&amp;$A310,Геокодування!$B$2:$B$361,0))),""))))</f>
        <v>50.594043999999997</v>
      </c>
      <c r="S310" s="43">
        <f>IF($O310="","",IFERROR(INDEX('Координати майданчиків'!$I$4:$I$64,MATCH($T310,'Координати майданчиків'!$B$4:$B$64,0)),IFERROR(IF(ABS(INDEX(Геокодування!$C$2:$C$361,MATCH($Q310,Геокодування!$B$2:$B$361,0))-50.5884)+ABS(INDEX(Геокодування!$D$2:$D$361,MATCH($Q310,Геокодування!$B$2:$B$361,0))-32.3876)&gt;0.15,"",INDEX(Геокодування!$D$2:$D$361,MATCH($Q310,Геокодування!$B$2:$B$361,0))),IFERROR(IF(ABS(INDEX(Геокодування!$C$2:$C$361,MATCH("Прилуки, Чернігівська обл., "&amp;$A310,Геокодування!$B$2:$B$361,0))-50.5884)+ABS(INDEX(Геокодування!$D$2:$D$361,MATCH("Прилуки, Чернігівська обл., "&amp;$A310,Геокодування!$B$2:$B$361,0))-32.3876)&gt;0.15,"",INDEX(Геокодування!$D$2:$D$361,MATCH("Прилуки, Чернігівська обл., "&amp;$A310,Геокодування!$B$2:$B$361,0))),""))))</f>
        <v>32.374926000000002</v>
      </c>
      <c r="T310" s="44" t="str">
        <f>IF($O310="","",IFERROR(INDEX('Координати майданчиків'!$B$4:$B$64,MATCH($A310&amp;IF($P310="","",", "&amp;$P310),'Координати майданчиків'!$B$4:$B$64,0)),IFERROR(INDEX('Координати майданчиків'!$B$4:$B$64,MATCH($A310,'Координати майданчиків'!$B$4:$B$64,0)),"")))</f>
        <v/>
      </c>
    </row>
    <row r="311" spans="1:20" x14ac:dyDescent="0.35">
      <c r="A311" s="26" t="str">
        <f t="shared" si="12"/>
        <v>вул. Небесної Сотні</v>
      </c>
      <c r="B311" s="26" t="str">
        <f t="shared" si="13"/>
        <v>РЕМ</v>
      </c>
      <c r="C311" s="27" t="str" cm="1">
        <f t="array" ref="C311">IF($O311="","",_xlfn.TEXTJOIN(", ",TRUE,IF(EXACT('Дані_зв''язок'!$J$4:$J$1012,$O311)*('Дані_зв''язок'!$C$4:$C$1012=C$4),'Дані_зв''язок'!$D$4:$D$1012,"")))</f>
        <v>9:55</v>
      </c>
      <c r="D311" s="27" t="str" cm="1">
        <f t="array" ref="D311">IF($O311="","",_xlfn.TEXTJOIN(", ",TRUE,IF(EXACT('Дані_зв''язок'!$J$4:$J$1012,$O311)*('Дані_зв''язок'!$C$4:$C$1012=D$4),'Дані_зв''язок'!$D$4:$D$1012,"")))</f>
        <v/>
      </c>
      <c r="E311" s="27" t="str" cm="1">
        <f t="array" ref="E311">IF($O311="","",_xlfn.TEXTJOIN(", ",TRUE,IF(EXACT('Дані_зв''язок'!$J$4:$J$1012,$O311)*('Дані_зв''язок'!$C$4:$C$1012=E$4),'Дані_зв''язок'!$D$4:$D$1012,"")))</f>
        <v/>
      </c>
      <c r="F311" s="27" t="str" cm="1">
        <f t="array" ref="F311">IF($O311="","",_xlfn.TEXTJOIN(", ",TRUE,IF(EXACT('Дані_зв''язок'!$J$4:$J$1012,$O311)*('Дані_зв''язок'!$C$4:$C$1012=F$4),'Дані_зв''язок'!$D$4:$D$1012,"")))</f>
        <v/>
      </c>
      <c r="G311" s="27" t="str" cm="1">
        <f t="array" ref="G311">IF($O311="","",_xlfn.TEXTJOIN(", ",TRUE,IF(EXACT('Дані_зв''язок'!$J$4:$J$1012,$O311)*('Дані_зв''язок'!$C$4:$C$1012=G$4),'Дані_зв''язок'!$D$4:$D$1012,"")))</f>
        <v/>
      </c>
      <c r="H311" s="27" t="str" cm="1">
        <f t="array" ref="H311">IF($O311="","",_xlfn.TEXTJOIN(", ",TRUE,IF(EXACT('Дані_зв''язок'!$J$4:$J$1012,$O311)*('Дані_зв''язок'!$C$4:$C$1012=H$4),'Дані_зв''язок'!$D$4:$D$1012,"")))</f>
        <v/>
      </c>
      <c r="I311" s="27" t="str" cm="1">
        <f t="array" ref="I311">IF($O311="","",_xlfn.TEXTJOIN(", ",TRUE,IF(EXACT('Дані_зв''язок'!$J$4:$J$1012,$O311)*('Дані_зв''язок'!$C$4:$C$1012=I$4),'Дані_зв''язок'!$D$4:$D$1012,"")))</f>
        <v/>
      </c>
      <c r="J311" s="27" cm="1">
        <f t="array" ref="J311">IF($O311="","",COUNTIF(C311:I311,"?*")+SUMPRODUCT(LEN(C311:I311)-LEN(SUBSTITUTE(C311:I311,",",""))))</f>
        <v>1</v>
      </c>
      <c r="K311" s="28" t="str" cm="1">
        <f t="array" ref="K311">IF($O311="","",_xlfn.TEXTJOIN(", ",TRUE,IF(EXACT('Дані_зв''язок'!$J$4:$J$1012,$O311),'Дані_зв''язок'!$L$4:$L$1012,"")))</f>
        <v>№4</v>
      </c>
      <c r="L311" s="28" t="str" cm="1">
        <f t="array" ref="L311">IF($O311="","",_xlfn.TEXTJOIN(", ",TRUE,IF(EXACT('Дані_зв''язок'!$J$4:$J$1012,$O311),'Дані_зв''язок'!$M$4:$M$1012,"")))</f>
        <v>АТ 40-42/ROD21003</v>
      </c>
      <c r="M311" s="27" cm="1">
        <f t="array" ref="M311">IF($O311="","",IF(SUMPRODUCT(MAX(EXACT('Дані_зв''язок'!$J$4:$J$1012,$O311)*IFERROR('Дані_зв''язок'!$H$4:$H$1012,0)))=0,"",SUMPRODUCT(MAX(EXACT('Дані_зв''язок'!$J$4:$J$1012,$O311)*IFERROR('Дані_зв''язок'!$H$4:$H$1012,0)))))</f>
        <v>2</v>
      </c>
      <c r="O311" s="30" t="s">
        <v>1430</v>
      </c>
      <c r="P311" s="24" t="str" cm="1">
        <f t="array" ref="P311">IF($O311="","",IF($B311="","",IFERROR(IF(MIN(IFERROR(VALUE(TRIM(MID(SUBSTITUTE(SUBSTITUTE($B311,","," ")," ",REPT(" ",30)),{1;31;61;91;121;151;181},30))),""))=0,"",MIN(IFERROR(VALUE(TRIM(MID(SUBSTITUTE(SUBSTITUTE($B311,","," ")," ",REPT(" ",30)),{1;31;61;91;121;151;181},30))),""))),"")))</f>
        <v/>
      </c>
      <c r="Q311" s="23" t="str">
        <f t="shared" si="14"/>
        <v>Прилуки, Чернігівська обл., вул. Небесної Сотні</v>
      </c>
      <c r="R311" s="35">
        <f>IF($O311="","",IFERROR(INDEX('Координати майданчиків'!$H$4:$H$64,MATCH($T311,'Координати майданчиків'!$B$4:$B$64,0)),IFERROR(IF(ABS(INDEX(Геокодування!$C$2:$C$361,MATCH($Q311,Геокодування!$B$2:$B$361,0))-50.5884)+ABS(INDEX(Геокодування!$D$2:$D$361,MATCH($Q311,Геокодування!$B$2:$B$361,0))-32.3876)&gt;0.15,"",INDEX(Геокодування!$C$2:$C$361,MATCH($Q311,Геокодування!$B$2:$B$361,0))),IFERROR(IF(ABS(INDEX(Геокодування!$C$2:$C$361,MATCH("Прилуки, Чернігівська обл., "&amp;$A311,Геокодування!$B$2:$B$361,0))-50.5884)+ABS(INDEX(Геокодування!$D$2:$D$361,MATCH("Прилуки, Чернігівська обл., "&amp;$A311,Геокодування!$B$2:$B$361,0))-32.3876)&gt;0.15,"",INDEX(Геокодування!$C$2:$C$361,MATCH("Прилуки, Чернігівська обл., "&amp;$A311,Геокодування!$B$2:$B$361,0))),""))))</f>
        <v>50.594043999999997</v>
      </c>
      <c r="S311" s="43">
        <f>IF($O311="","",IFERROR(INDEX('Координати майданчиків'!$I$4:$I$64,MATCH($T311,'Координати майданчиків'!$B$4:$B$64,0)),IFERROR(IF(ABS(INDEX(Геокодування!$C$2:$C$361,MATCH($Q311,Геокодування!$B$2:$B$361,0))-50.5884)+ABS(INDEX(Геокодування!$D$2:$D$361,MATCH($Q311,Геокодування!$B$2:$B$361,0))-32.3876)&gt;0.15,"",INDEX(Геокодування!$D$2:$D$361,MATCH($Q311,Геокодування!$B$2:$B$361,0))),IFERROR(IF(ABS(INDEX(Геокодування!$C$2:$C$361,MATCH("Прилуки, Чернігівська обл., "&amp;$A311,Геокодування!$B$2:$B$361,0))-50.5884)+ABS(INDEX(Геокодування!$D$2:$D$361,MATCH("Прилуки, Чернігівська обл., "&amp;$A311,Геокодування!$B$2:$B$361,0))-32.3876)&gt;0.15,"",INDEX(Геокодування!$D$2:$D$361,MATCH("Прилуки, Чернігівська обл., "&amp;$A311,Геокодування!$B$2:$B$361,0))),""))))</f>
        <v>32.374926000000002</v>
      </c>
      <c r="T311" s="44" t="str">
        <f>IF($O311="","",IFERROR(INDEX('Координати майданчиків'!$B$4:$B$64,MATCH($A311&amp;IF($P311="","",", "&amp;$P311),'Координати майданчиків'!$B$4:$B$64,0)),IFERROR(INDEX('Координати майданчиків'!$B$4:$B$64,MATCH($A311,'Координати майданчиків'!$B$4:$B$64,0)),"")))</f>
        <v/>
      </c>
    </row>
    <row r="312" spans="1:20" x14ac:dyDescent="0.35">
      <c r="A312" s="26" t="str">
        <f t="shared" si="12"/>
        <v>вул. Незалежності</v>
      </c>
      <c r="B312" s="26" t="str">
        <f t="shared" si="13"/>
        <v>12,10  8,5</v>
      </c>
      <c r="C312" s="27" t="str" cm="1">
        <f t="array" ref="C312">IF($O312="","",_xlfn.TEXTJOIN(", ",TRUE,IF(EXACT('Дані_зв''язок'!$J$4:$J$1012,$O312)*('Дані_зв''язок'!$C$4:$C$1012=C$4),'Дані_зв''язок'!$D$4:$D$1012,"")))</f>
        <v/>
      </c>
      <c r="D312" s="27" t="str" cm="1">
        <f t="array" ref="D312">IF($O312="","",_xlfn.TEXTJOIN(", ",TRUE,IF(EXACT('Дані_зв''язок'!$J$4:$J$1012,$O312)*('Дані_зв''язок'!$C$4:$C$1012=D$4),'Дані_зв''язок'!$D$4:$D$1012,"")))</f>
        <v/>
      </c>
      <c r="E312" s="27" t="str" cm="1">
        <f t="array" ref="E312">IF($O312="","",_xlfn.TEXTJOIN(", ",TRUE,IF(EXACT('Дані_зв''язок'!$J$4:$J$1012,$O312)*('Дані_зв''язок'!$C$4:$C$1012=E$4),'Дані_зв''язок'!$D$4:$D$1012,"")))</f>
        <v/>
      </c>
      <c r="F312" s="27" t="str" cm="1">
        <f t="array" ref="F312">IF($O312="","",_xlfn.TEXTJOIN(", ",TRUE,IF(EXACT('Дані_зв''язок'!$J$4:$J$1012,$O312)*('Дані_зв''язок'!$C$4:$C$1012=F$4),'Дані_зв''язок'!$D$4:$D$1012,"")))</f>
        <v>9:00</v>
      </c>
      <c r="G312" s="27" t="str" cm="1">
        <f t="array" ref="G312">IF($O312="","",_xlfn.TEXTJOIN(", ",TRUE,IF(EXACT('Дані_зв''язок'!$J$4:$J$1012,$O312)*('Дані_зв''язок'!$C$4:$C$1012=G$4),'Дані_зв''язок'!$D$4:$D$1012,"")))</f>
        <v/>
      </c>
      <c r="H312" s="27" t="str" cm="1">
        <f t="array" ref="H312">IF($O312="","",_xlfn.TEXTJOIN(", ",TRUE,IF(EXACT('Дані_зв''язок'!$J$4:$J$1012,$O312)*('Дані_зв''язок'!$C$4:$C$1012=H$4),'Дані_зв''язок'!$D$4:$D$1012,"")))</f>
        <v/>
      </c>
      <c r="I312" s="27" t="str" cm="1">
        <f t="array" ref="I312">IF($O312="","",_xlfn.TEXTJOIN(", ",TRUE,IF(EXACT('Дані_зв''язок'!$J$4:$J$1012,$O312)*('Дані_зв''язок'!$C$4:$C$1012=I$4),'Дані_зв''язок'!$D$4:$D$1012,"")))</f>
        <v/>
      </c>
      <c r="J312" s="27" cm="1">
        <f t="array" ref="J312">IF($O312="","",COUNTIF(C312:I312,"?*")+SUMPRODUCT(LEN(C312:I312)-LEN(SUBSTITUTE(C312:I312,",",""))))</f>
        <v>1</v>
      </c>
      <c r="K312" s="28" t="str" cm="1">
        <f t="array" ref="K312">IF($O312="","",_xlfn.TEXTJOIN(", ",TRUE,IF(EXACT('Дані_зв''язок'!$J$4:$J$1012,$O312),'Дані_зв''язок'!$L$4:$L$1012,"")))</f>
        <v>№6</v>
      </c>
      <c r="L312" s="28" t="str" cm="1">
        <f t="array" ref="L312">IF($O312="","",_xlfn.TEXTJOIN(", ",TRUE,IF(EXACT('Дані_зв''язок'!$J$4:$J$1012,$O312),'Дані_зв''язок'!$M$4:$M$1012,"")))</f>
        <v>АТ 4021</v>
      </c>
      <c r="M312" s="27" t="str" cm="1">
        <f t="array" ref="M312">IF($O312="","",IF(SUMPRODUCT(MAX(EXACT('Дані_зв''язок'!$J$4:$J$1012,$O312)*IFERROR('Дані_зв''язок'!$H$4:$H$1012,0)))=0,"",SUMPRODUCT(MAX(EXACT('Дані_зв''язок'!$J$4:$J$1012,$O312)*IFERROR('Дані_зв''язок'!$H$4:$H$1012,0)))))</f>
        <v/>
      </c>
      <c r="O312" s="30" t="s">
        <v>1431</v>
      </c>
      <c r="P312" s="24" cm="1">
        <f t="array" ref="P312">IF($O312="","",IF($B312="","",IFERROR(IF(MIN(IFERROR(VALUE(TRIM(MID(SUBSTITUTE(SUBSTITUTE($B312,","," ")," ",REPT(" ",30)),{1;31;61;91;121;151;181},30))),""))=0,"",MIN(IFERROR(VALUE(TRIM(MID(SUBSTITUTE(SUBSTITUTE($B312,","," ")," ",REPT(" ",30)),{1;31;61;91;121;151;181},30))),""))),"")))</f>
        <v>5</v>
      </c>
      <c r="Q312" s="23" t="str">
        <f t="shared" si="14"/>
        <v>Прилуки, Чернігівська обл., вул. Незалежності, 5</v>
      </c>
      <c r="R312" s="35">
        <f>IF($O312="","",IFERROR(INDEX('Координати майданчиків'!$H$4:$H$64,MATCH($T312,'Координати майданчиків'!$B$4:$B$64,0)),IFERROR(IF(ABS(INDEX(Геокодування!$C$2:$C$361,MATCH($Q312,Геокодування!$B$2:$B$361,0))-50.5884)+ABS(INDEX(Геокодування!$D$2:$D$361,MATCH($Q312,Геокодування!$B$2:$B$361,0))-32.3876)&gt;0.15,"",INDEX(Геокодування!$C$2:$C$361,MATCH($Q312,Геокодування!$B$2:$B$361,0))),IFERROR(IF(ABS(INDEX(Геокодування!$C$2:$C$361,MATCH("Прилуки, Чернігівська обл., "&amp;$A312,Геокодування!$B$2:$B$361,0))-50.5884)+ABS(INDEX(Геокодування!$D$2:$D$361,MATCH("Прилуки, Чернігівська обл., "&amp;$A312,Геокодування!$B$2:$B$361,0))-32.3876)&gt;0.15,"",INDEX(Геокодування!$C$2:$C$361,MATCH("Прилуки, Чернігівська обл., "&amp;$A312,Геокодування!$B$2:$B$361,0))),""))))</f>
        <v>50.608592999999999</v>
      </c>
      <c r="S312" s="43">
        <f>IF($O312="","",IFERROR(INDEX('Координати майданчиків'!$I$4:$I$64,MATCH($T312,'Координати майданчиків'!$B$4:$B$64,0)),IFERROR(IF(ABS(INDEX(Геокодування!$C$2:$C$361,MATCH($Q312,Геокодування!$B$2:$B$361,0))-50.5884)+ABS(INDEX(Геокодування!$D$2:$D$361,MATCH($Q312,Геокодування!$B$2:$B$361,0))-32.3876)&gt;0.15,"",INDEX(Геокодування!$D$2:$D$361,MATCH($Q312,Геокодування!$B$2:$B$361,0))),IFERROR(IF(ABS(INDEX(Геокодування!$C$2:$C$361,MATCH("Прилуки, Чернігівська обл., "&amp;$A312,Геокодування!$B$2:$B$361,0))-50.5884)+ABS(INDEX(Геокодування!$D$2:$D$361,MATCH("Прилуки, Чернігівська обл., "&amp;$A312,Геокодування!$B$2:$B$361,0))-32.3876)&gt;0.15,"",INDEX(Геокодування!$D$2:$D$361,MATCH("Прилуки, Чернігівська обл., "&amp;$A312,Геокодування!$B$2:$B$361,0))),""))))</f>
        <v>32.386003000000002</v>
      </c>
      <c r="T312" s="44" t="str">
        <f>IF($O312="","",IFERROR(INDEX('Координати майданчиків'!$B$4:$B$64,MATCH($A312&amp;IF($P312="","",", "&amp;$P312),'Координати майданчиків'!$B$4:$B$64,0)),IFERROR(INDEX('Координати майданчиків'!$B$4:$B$64,MATCH($A312,'Координати майданчиків'!$B$4:$B$64,0)),"")))</f>
        <v/>
      </c>
    </row>
    <row r="313" spans="1:20" x14ac:dyDescent="0.35">
      <c r="A313" s="26" t="str">
        <f t="shared" si="12"/>
        <v>вул. Незалежності</v>
      </c>
      <c r="B313" s="26" t="str">
        <f t="shared" si="13"/>
        <v>Пляж</v>
      </c>
      <c r="C313" s="27" t="str" cm="1">
        <f t="array" ref="C313">IF($O313="","",_xlfn.TEXTJOIN(", ",TRUE,IF(EXACT('Дані_зв''язок'!$J$4:$J$1012,$O313)*('Дані_зв''язок'!$C$4:$C$1012=C$4),'Дані_зв''язок'!$D$4:$D$1012,"")))</f>
        <v>9:45</v>
      </c>
      <c r="D313" s="27" t="str" cm="1">
        <f t="array" ref="D313">IF($O313="","",_xlfn.TEXTJOIN(", ",TRUE,IF(EXACT('Дані_зв''язок'!$J$4:$J$1012,$O313)*('Дані_зв''язок'!$C$4:$C$1012=D$4),'Дані_зв''язок'!$D$4:$D$1012,"")))</f>
        <v>9:45</v>
      </c>
      <c r="E313" s="27" t="str" cm="1">
        <f t="array" ref="E313">IF($O313="","",_xlfn.TEXTJOIN(", ",TRUE,IF(EXACT('Дані_зв''язок'!$J$4:$J$1012,$O313)*('Дані_зв''язок'!$C$4:$C$1012=E$4),'Дані_зв''язок'!$D$4:$D$1012,"")))</f>
        <v>9:55</v>
      </c>
      <c r="F313" s="27" t="str" cm="1">
        <f t="array" ref="F313">IF($O313="","",_xlfn.TEXTJOIN(", ",TRUE,IF(EXACT('Дані_зв''язок'!$J$4:$J$1012,$O313)*('Дані_зв''язок'!$C$4:$C$1012=F$4),'Дані_зв''язок'!$D$4:$D$1012,"")))</f>
        <v>9:45</v>
      </c>
      <c r="G313" s="27" t="str" cm="1">
        <f t="array" ref="G313">IF($O313="","",_xlfn.TEXTJOIN(", ",TRUE,IF(EXACT('Дані_зв''язок'!$J$4:$J$1012,$O313)*('Дані_зв''язок'!$C$4:$C$1012=G$4),'Дані_зв''язок'!$D$4:$D$1012,"")))</f>
        <v>9:45</v>
      </c>
      <c r="H313" s="27" t="str" cm="1">
        <f t="array" ref="H313">IF($O313="","",_xlfn.TEXTJOIN(", ",TRUE,IF(EXACT('Дані_зв''язок'!$J$4:$J$1012,$O313)*('Дані_зв''язок'!$C$4:$C$1012=H$4),'Дані_зв''язок'!$D$4:$D$1012,"")))</f>
        <v>9:55</v>
      </c>
      <c r="I313" s="27" t="str" cm="1">
        <f t="array" ref="I313">IF($O313="","",_xlfn.TEXTJOIN(", ",TRUE,IF(EXACT('Дані_зв''язок'!$J$4:$J$1012,$O313)*('Дані_зв''язок'!$C$4:$C$1012=I$4),'Дані_зв''язок'!$D$4:$D$1012,"")))</f>
        <v>9:45</v>
      </c>
      <c r="J313" s="27" cm="1">
        <f t="array" ref="J313">IF($O313="","",COUNTIF(C313:I313,"?*")+SUMPRODUCT(LEN(C313:I313)-LEN(SUBSTITUTE(C313:I313,",",""))))</f>
        <v>7</v>
      </c>
      <c r="K313" s="28" t="str" cm="1">
        <f t="array" ref="K313">IF($O313="","",_xlfn.TEXTJOIN(", ",TRUE,IF(EXACT('Дані_зв''язок'!$J$4:$J$1012,$O313),'Дані_зв''язок'!$L$4:$L$1012,"")))</f>
        <v>№2</v>
      </c>
      <c r="L313" s="28" t="str" cm="1">
        <f t="array" ref="L313">IF($O313="","",_xlfn.TEXTJOIN(", ",TRUE,IF(EXACT('Дані_зв''язок'!$J$4:$J$1012,$O313),'Дані_зв''язок'!$M$4:$M$1012,"")))</f>
        <v>АТ 4021/1120, АТ-4021/1120</v>
      </c>
      <c r="M313" s="27" cm="1">
        <f t="array" ref="M313">IF($O313="","",IF(SUMPRODUCT(MAX(EXACT('Дані_зв''язок'!$J$4:$J$1012,$O313)*IFERROR('Дані_зв''язок'!$H$4:$H$1012,0)))=0,"",SUMPRODUCT(MAX(EXACT('Дані_зв''язок'!$J$4:$J$1012,$O313)*IFERROR('Дані_зв''язок'!$H$4:$H$1012,0)))))</f>
        <v>3</v>
      </c>
      <c r="O313" s="30" t="s">
        <v>1432</v>
      </c>
      <c r="P313" s="24" t="str" cm="1">
        <f t="array" ref="P313">IF($O313="","",IF($B313="","",IFERROR(IF(MIN(IFERROR(VALUE(TRIM(MID(SUBSTITUTE(SUBSTITUTE($B313,","," ")," ",REPT(" ",30)),{1;31;61;91;121;151;181},30))),""))=0,"",MIN(IFERROR(VALUE(TRIM(MID(SUBSTITUTE(SUBSTITUTE($B313,","," ")," ",REPT(" ",30)),{1;31;61;91;121;151;181},30))),""))),"")))</f>
        <v/>
      </c>
      <c r="Q313" s="23" t="str">
        <f t="shared" si="14"/>
        <v>Прилуки, Чернігівська обл., вул. Незалежності</v>
      </c>
      <c r="R313" s="35">
        <f>IF($O313="","",IFERROR(INDEX('Координати майданчиків'!$H$4:$H$64,MATCH($T313,'Координати майданчиків'!$B$4:$B$64,0)),IFERROR(IF(ABS(INDEX(Геокодування!$C$2:$C$361,MATCH($Q313,Геокодування!$B$2:$B$361,0))-50.5884)+ABS(INDEX(Геокодування!$D$2:$D$361,MATCH($Q313,Геокодування!$B$2:$B$361,0))-32.3876)&gt;0.15,"",INDEX(Геокодування!$C$2:$C$361,MATCH($Q313,Геокодування!$B$2:$B$361,0))),IFERROR(IF(ABS(INDEX(Геокодування!$C$2:$C$361,MATCH("Прилуки, Чернігівська обл., "&amp;$A313,Геокодування!$B$2:$B$361,0))-50.5884)+ABS(INDEX(Геокодування!$D$2:$D$361,MATCH("Прилуки, Чернігівська обл., "&amp;$A313,Геокодування!$B$2:$B$361,0))-32.3876)&gt;0.15,"",INDEX(Геокодування!$C$2:$C$361,MATCH("Прилуки, Чернігівська обл., "&amp;$A313,Геокодування!$B$2:$B$361,0))),""))))</f>
        <v>50.604697999999999</v>
      </c>
      <c r="S313" s="43">
        <f>IF($O313="","",IFERROR(INDEX('Координати майданчиків'!$I$4:$I$64,MATCH($T313,'Координати майданчиків'!$B$4:$B$64,0)),IFERROR(IF(ABS(INDEX(Геокодування!$C$2:$C$361,MATCH($Q313,Геокодування!$B$2:$B$361,0))-50.5884)+ABS(INDEX(Геокодування!$D$2:$D$361,MATCH($Q313,Геокодування!$B$2:$B$361,0))-32.3876)&gt;0.15,"",INDEX(Геокодування!$D$2:$D$361,MATCH($Q313,Геокодування!$B$2:$B$361,0))),IFERROR(IF(ABS(INDEX(Геокодування!$C$2:$C$361,MATCH("Прилуки, Чернігівська обл., "&amp;$A313,Геокодування!$B$2:$B$361,0))-50.5884)+ABS(INDEX(Геокодування!$D$2:$D$361,MATCH("Прилуки, Чернігівська обл., "&amp;$A313,Геокодування!$B$2:$B$361,0))-32.3876)&gt;0.15,"",INDEX(Геокодування!$D$2:$D$361,MATCH("Прилуки, Чернігівська обл., "&amp;$A313,Геокодування!$B$2:$B$361,0))),""))))</f>
        <v>32.385109999999997</v>
      </c>
      <c r="T313" s="44" t="str">
        <f>IF($O313="","",IFERROR(INDEX('Координати майданчиків'!$B$4:$B$64,MATCH($A313&amp;IF($P313="","",", "&amp;$P313),'Координати майданчиків'!$B$4:$B$64,0)),IFERROR(INDEX('Координати майданчиків'!$B$4:$B$64,MATCH($A313,'Координати майданчиків'!$B$4:$B$64,0)),"")))</f>
        <v/>
      </c>
    </row>
    <row r="314" spans="1:20" x14ac:dyDescent="0.35">
      <c r="A314" s="26" t="str">
        <f t="shared" si="12"/>
        <v>вул. Незалежності</v>
      </c>
      <c r="B314" s="26" t="str">
        <f t="shared" si="13"/>
        <v>Універмаг</v>
      </c>
      <c r="C314" s="27" t="str" cm="1">
        <f t="array" ref="C314">IF($O314="","",_xlfn.TEXTJOIN(", ",TRUE,IF(EXACT('Дані_зв''язок'!$J$4:$J$1012,$O314)*('Дані_зв''язок'!$C$4:$C$1012=C$4),'Дані_зв''язок'!$D$4:$D$1012,"")))</f>
        <v>15:05</v>
      </c>
      <c r="D314" s="27" t="str" cm="1">
        <f t="array" ref="D314">IF($O314="","",_xlfn.TEXTJOIN(", ",TRUE,IF(EXACT('Дані_зв''язок'!$J$4:$J$1012,$O314)*('Дані_зв''язок'!$C$4:$C$1012=D$4),'Дані_зв''язок'!$D$4:$D$1012,"")))</f>
        <v/>
      </c>
      <c r="E314" s="27" t="str" cm="1">
        <f t="array" ref="E314">IF($O314="","",_xlfn.TEXTJOIN(", ",TRUE,IF(EXACT('Дані_зв''язок'!$J$4:$J$1012,$O314)*('Дані_зв''язок'!$C$4:$C$1012=E$4),'Дані_зв''язок'!$D$4:$D$1012,"")))</f>
        <v/>
      </c>
      <c r="F314" s="27" t="str" cm="1">
        <f t="array" ref="F314">IF($O314="","",_xlfn.TEXTJOIN(", ",TRUE,IF(EXACT('Дані_зв''язок'!$J$4:$J$1012,$O314)*('Дані_зв''язок'!$C$4:$C$1012=F$4),'Дані_зв''язок'!$D$4:$D$1012,"")))</f>
        <v/>
      </c>
      <c r="G314" s="27" t="str" cm="1">
        <f t="array" ref="G314">IF($O314="","",_xlfn.TEXTJOIN(", ",TRUE,IF(EXACT('Дані_зв''язок'!$J$4:$J$1012,$O314)*('Дані_зв''язок'!$C$4:$C$1012=G$4),'Дані_зв''язок'!$D$4:$D$1012,"")))</f>
        <v/>
      </c>
      <c r="H314" s="27" t="str" cm="1">
        <f t="array" ref="H314">IF($O314="","",_xlfn.TEXTJOIN(", ",TRUE,IF(EXACT('Дані_зв''язок'!$J$4:$J$1012,$O314)*('Дані_зв''язок'!$C$4:$C$1012=H$4),'Дані_зв''язок'!$D$4:$D$1012,"")))</f>
        <v/>
      </c>
      <c r="I314" s="27" t="str" cm="1">
        <f t="array" ref="I314">IF($O314="","",_xlfn.TEXTJOIN(", ",TRUE,IF(EXACT('Дані_зв''язок'!$J$4:$J$1012,$O314)*('Дані_зв''язок'!$C$4:$C$1012=I$4),'Дані_зв''язок'!$D$4:$D$1012,"")))</f>
        <v/>
      </c>
      <c r="J314" s="27" cm="1">
        <f t="array" ref="J314">IF($O314="","",COUNTIF(C314:I314,"?*")+SUMPRODUCT(LEN(C314:I314)-LEN(SUBSTITUTE(C314:I314,",",""))))</f>
        <v>1</v>
      </c>
      <c r="K314" s="28" t="str" cm="1">
        <f t="array" ref="K314">IF($O314="","",_xlfn.TEXTJOIN(", ",TRUE,IF(EXACT('Дані_зв''язок'!$J$4:$J$1012,$O314),'Дані_зв''язок'!$L$4:$L$1012,"")))</f>
        <v>№2</v>
      </c>
      <c r="L314" s="28" t="str" cm="1">
        <f t="array" ref="L314">IF($O314="","",_xlfn.TEXTJOIN(", ",TRUE,IF(EXACT('Дані_зв''язок'!$J$4:$J$1012,$O314),'Дані_зв''язок'!$M$4:$M$1012,"")))</f>
        <v>АТ 4021/1120</v>
      </c>
      <c r="M314" s="27" cm="1">
        <f t="array" ref="M314">IF($O314="","",IF(SUMPRODUCT(MAX(EXACT('Дані_зв''язок'!$J$4:$J$1012,$O314)*IFERROR('Дані_зв''язок'!$H$4:$H$1012,0)))=0,"",SUMPRODUCT(MAX(EXACT('Дані_зв''язок'!$J$4:$J$1012,$O314)*IFERROR('Дані_зв''язок'!$H$4:$H$1012,0)))))</f>
        <v>2</v>
      </c>
      <c r="O314" s="30" t="s">
        <v>1434</v>
      </c>
      <c r="P314" s="24" t="str" cm="1">
        <f t="array" ref="P314">IF($O314="","",IF($B314="","",IFERROR(IF(MIN(IFERROR(VALUE(TRIM(MID(SUBSTITUTE(SUBSTITUTE($B314,","," ")," ",REPT(" ",30)),{1;31;61;91;121;151;181},30))),""))=0,"",MIN(IFERROR(VALUE(TRIM(MID(SUBSTITUTE(SUBSTITUTE($B314,","," ")," ",REPT(" ",30)),{1;31;61;91;121;151;181},30))),""))),"")))</f>
        <v/>
      </c>
      <c r="Q314" s="23" t="str">
        <f t="shared" si="14"/>
        <v>Прилуки, Чернігівська обл., вул. Незалежності</v>
      </c>
      <c r="R314" s="35">
        <f>IF($O314="","",IFERROR(INDEX('Координати майданчиків'!$H$4:$H$64,MATCH($T314,'Координати майданчиків'!$B$4:$B$64,0)),IFERROR(IF(ABS(INDEX(Геокодування!$C$2:$C$361,MATCH($Q314,Геокодування!$B$2:$B$361,0))-50.5884)+ABS(INDEX(Геокодування!$D$2:$D$361,MATCH($Q314,Геокодування!$B$2:$B$361,0))-32.3876)&gt;0.15,"",INDEX(Геокодування!$C$2:$C$361,MATCH($Q314,Геокодування!$B$2:$B$361,0))),IFERROR(IF(ABS(INDEX(Геокодування!$C$2:$C$361,MATCH("Прилуки, Чернігівська обл., "&amp;$A314,Геокодування!$B$2:$B$361,0))-50.5884)+ABS(INDEX(Геокодування!$D$2:$D$361,MATCH("Прилуки, Чернігівська обл., "&amp;$A314,Геокодування!$B$2:$B$361,0))-32.3876)&gt;0.15,"",INDEX(Геокодування!$C$2:$C$361,MATCH("Прилуки, Чернігівська обл., "&amp;$A314,Геокодування!$B$2:$B$361,0))),""))))</f>
        <v>50.604697999999999</v>
      </c>
      <c r="S314" s="43">
        <f>IF($O314="","",IFERROR(INDEX('Координати майданчиків'!$I$4:$I$64,MATCH($T314,'Координати майданчиків'!$B$4:$B$64,0)),IFERROR(IF(ABS(INDEX(Геокодування!$C$2:$C$361,MATCH($Q314,Геокодування!$B$2:$B$361,0))-50.5884)+ABS(INDEX(Геокодування!$D$2:$D$361,MATCH($Q314,Геокодування!$B$2:$B$361,0))-32.3876)&gt;0.15,"",INDEX(Геокодування!$D$2:$D$361,MATCH($Q314,Геокодування!$B$2:$B$361,0))),IFERROR(IF(ABS(INDEX(Геокодування!$C$2:$C$361,MATCH("Прилуки, Чернігівська обл., "&amp;$A314,Геокодування!$B$2:$B$361,0))-50.5884)+ABS(INDEX(Геокодування!$D$2:$D$361,MATCH("Прилуки, Чернігівська обл., "&amp;$A314,Геокодування!$B$2:$B$361,0))-32.3876)&gt;0.15,"",INDEX(Геокодування!$D$2:$D$361,MATCH("Прилуки, Чернігівська обл., "&amp;$A314,Геокодування!$B$2:$B$361,0))),""))))</f>
        <v>32.385109999999997</v>
      </c>
      <c r="T314" s="44" t="str">
        <f>IF($O314="","",IFERROR(INDEX('Координати майданчиків'!$B$4:$B$64,MATCH($A314&amp;IF($P314="","",", "&amp;$P314),'Координати майданчиків'!$B$4:$B$64,0)),IFERROR(INDEX('Координати майданчиків'!$B$4:$B$64,MATCH($A314,'Координати майданчиків'!$B$4:$B$64,0)),"")))</f>
        <v/>
      </c>
    </row>
    <row r="315" spans="1:20" x14ac:dyDescent="0.35">
      <c r="A315" s="26" t="str">
        <f t="shared" si="12"/>
        <v>вул. Незалежності</v>
      </c>
      <c r="B315" s="26" t="str">
        <f t="shared" si="13"/>
        <v>старий ринок</v>
      </c>
      <c r="C315" s="27" t="str" cm="1">
        <f t="array" ref="C315">IF($O315="","",_xlfn.TEXTJOIN(", ",TRUE,IF(EXACT('Дані_зв''язок'!$J$4:$J$1012,$O315)*('Дані_зв''язок'!$C$4:$C$1012=C$4),'Дані_зв''язок'!$D$4:$D$1012,"")))</f>
        <v>14:40</v>
      </c>
      <c r="D315" s="27" t="str" cm="1">
        <f t="array" ref="D315">IF($O315="","",_xlfn.TEXTJOIN(", ",TRUE,IF(EXACT('Дані_зв''язок'!$J$4:$J$1012,$O315)*('Дані_зв''язок'!$C$4:$C$1012=D$4),'Дані_зв''язок'!$D$4:$D$1012,"")))</f>
        <v/>
      </c>
      <c r="E315" s="27" t="str" cm="1">
        <f t="array" ref="E315">IF($O315="","",_xlfn.TEXTJOIN(", ",TRUE,IF(EXACT('Дані_зв''язок'!$J$4:$J$1012,$O315)*('Дані_зв''язок'!$C$4:$C$1012=E$4),'Дані_зв''язок'!$D$4:$D$1012,"")))</f>
        <v/>
      </c>
      <c r="F315" s="27" t="str" cm="1">
        <f t="array" ref="F315">IF($O315="","",_xlfn.TEXTJOIN(", ",TRUE,IF(EXACT('Дані_зв''язок'!$J$4:$J$1012,$O315)*('Дані_зв''язок'!$C$4:$C$1012=F$4),'Дані_зв''язок'!$D$4:$D$1012,"")))</f>
        <v/>
      </c>
      <c r="G315" s="27" t="str" cm="1">
        <f t="array" ref="G315">IF($O315="","",_xlfn.TEXTJOIN(", ",TRUE,IF(EXACT('Дані_зв''язок'!$J$4:$J$1012,$O315)*('Дані_зв''язок'!$C$4:$C$1012=G$4),'Дані_зв''язок'!$D$4:$D$1012,"")))</f>
        <v>14:40</v>
      </c>
      <c r="H315" s="27" t="str" cm="1">
        <f t="array" ref="H315">IF($O315="","",_xlfn.TEXTJOIN(", ",TRUE,IF(EXACT('Дані_зв''язок'!$J$4:$J$1012,$O315)*('Дані_зв''язок'!$C$4:$C$1012=H$4),'Дані_зв''язок'!$D$4:$D$1012,"")))</f>
        <v/>
      </c>
      <c r="I315" s="27" t="str" cm="1">
        <f t="array" ref="I315">IF($O315="","",_xlfn.TEXTJOIN(", ",TRUE,IF(EXACT('Дані_зв''язок'!$J$4:$J$1012,$O315)*('Дані_зв''язок'!$C$4:$C$1012=I$4),'Дані_зв''язок'!$D$4:$D$1012,"")))</f>
        <v/>
      </c>
      <c r="J315" s="27" cm="1">
        <f t="array" ref="J315">IF($O315="","",COUNTIF(C315:I315,"?*")+SUMPRODUCT(LEN(C315:I315)-LEN(SUBSTITUTE(C315:I315,",",""))))</f>
        <v>2</v>
      </c>
      <c r="K315" s="28" t="str" cm="1">
        <f t="array" ref="K315">IF($O315="","",_xlfn.TEXTJOIN(", ",TRUE,IF(EXACT('Дані_зв''язок'!$J$4:$J$1012,$O315),'Дані_зв''язок'!$L$4:$L$1012,"")))</f>
        <v>№2</v>
      </c>
      <c r="L315" s="28" t="str" cm="1">
        <f t="array" ref="L315">IF($O315="","",_xlfn.TEXTJOIN(", ",TRUE,IF(EXACT('Дані_зв''язок'!$J$4:$J$1012,$O315),'Дані_зв''язок'!$M$4:$M$1012,"")))</f>
        <v>АТ 4021/1120</v>
      </c>
      <c r="M315" s="27" cm="1">
        <f t="array" ref="M315">IF($O315="","",IF(SUMPRODUCT(MAX(EXACT('Дані_зв''язок'!$J$4:$J$1012,$O315)*IFERROR('Дані_зв''язок'!$H$4:$H$1012,0)))=0,"",SUMPRODUCT(MAX(EXACT('Дані_зв''язок'!$J$4:$J$1012,$O315)*IFERROR('Дані_зв''язок'!$H$4:$H$1012,0)))))</f>
        <v>5</v>
      </c>
      <c r="O315" s="30" t="s">
        <v>1433</v>
      </c>
      <c r="P315" s="24" t="str" cm="1">
        <f t="array" ref="P315">IF($O315="","",IF($B315="","",IFERROR(IF(MIN(IFERROR(VALUE(TRIM(MID(SUBSTITUTE(SUBSTITUTE($B315,","," ")," ",REPT(" ",30)),{1;31;61;91;121;151;181},30))),""))=0,"",MIN(IFERROR(VALUE(TRIM(MID(SUBSTITUTE(SUBSTITUTE($B315,","," ")," ",REPT(" ",30)),{1;31;61;91;121;151;181},30))),""))),"")))</f>
        <v/>
      </c>
      <c r="Q315" s="23" t="str">
        <f t="shared" si="14"/>
        <v>Прилуки, Чернігівська обл., вул. Незалежності</v>
      </c>
      <c r="R315" s="35">
        <f>IF($O315="","",IFERROR(INDEX('Координати майданчиків'!$H$4:$H$64,MATCH($T315,'Координати майданчиків'!$B$4:$B$64,0)),IFERROR(IF(ABS(INDEX(Геокодування!$C$2:$C$361,MATCH($Q315,Геокодування!$B$2:$B$361,0))-50.5884)+ABS(INDEX(Геокодування!$D$2:$D$361,MATCH($Q315,Геокодування!$B$2:$B$361,0))-32.3876)&gt;0.15,"",INDEX(Геокодування!$C$2:$C$361,MATCH($Q315,Геокодування!$B$2:$B$361,0))),IFERROR(IF(ABS(INDEX(Геокодування!$C$2:$C$361,MATCH("Прилуки, Чернігівська обл., "&amp;$A315,Геокодування!$B$2:$B$361,0))-50.5884)+ABS(INDEX(Геокодування!$D$2:$D$361,MATCH("Прилуки, Чернігівська обл., "&amp;$A315,Геокодування!$B$2:$B$361,0))-32.3876)&gt;0.15,"",INDEX(Геокодування!$C$2:$C$361,MATCH("Прилуки, Чернігівська обл., "&amp;$A315,Геокодування!$B$2:$B$361,0))),""))))</f>
        <v>50.604697999999999</v>
      </c>
      <c r="S315" s="43">
        <f>IF($O315="","",IFERROR(INDEX('Координати майданчиків'!$I$4:$I$64,MATCH($T315,'Координати майданчиків'!$B$4:$B$64,0)),IFERROR(IF(ABS(INDEX(Геокодування!$C$2:$C$361,MATCH($Q315,Геокодування!$B$2:$B$361,0))-50.5884)+ABS(INDEX(Геокодування!$D$2:$D$361,MATCH($Q315,Геокодування!$B$2:$B$361,0))-32.3876)&gt;0.15,"",INDEX(Геокодування!$D$2:$D$361,MATCH($Q315,Геокодування!$B$2:$B$361,0))),IFERROR(IF(ABS(INDEX(Геокодування!$C$2:$C$361,MATCH("Прилуки, Чернігівська обл., "&amp;$A315,Геокодування!$B$2:$B$361,0))-50.5884)+ABS(INDEX(Геокодування!$D$2:$D$361,MATCH("Прилуки, Чернігівська обл., "&amp;$A315,Геокодування!$B$2:$B$361,0))-32.3876)&gt;0.15,"",INDEX(Геокодування!$D$2:$D$361,MATCH("Прилуки, Чернігівська обл., "&amp;$A315,Геокодування!$B$2:$B$361,0))),""))))</f>
        <v>32.385109999999997</v>
      </c>
      <c r="T315" s="44" t="str">
        <f>IF($O315="","",IFERROR(INDEX('Координати майданчиків'!$B$4:$B$64,MATCH($A315&amp;IF($P315="","",", "&amp;$P315),'Координати майданчиків'!$B$4:$B$64,0)),IFERROR(INDEX('Координати майданчиків'!$B$4:$B$64,MATCH($A315,'Координати майданчиків'!$B$4:$B$64,0)),"")))</f>
        <v/>
      </c>
    </row>
    <row r="316" spans="1:20" x14ac:dyDescent="0.35">
      <c r="A316" s="26" t="str">
        <f t="shared" si="12"/>
        <v>вул. Низова</v>
      </c>
      <c r="B316" s="26" t="str">
        <f t="shared" si="13"/>
        <v/>
      </c>
      <c r="C316" s="27" t="str" cm="1">
        <f t="array" ref="C316">IF($O316="","",_xlfn.TEXTJOIN(", ",TRUE,IF(EXACT('Дані_зв''язок'!$J$4:$J$1012,$O316)*('Дані_зв''язок'!$C$4:$C$1012=C$4),'Дані_зв''язок'!$D$4:$D$1012,"")))</f>
        <v/>
      </c>
      <c r="D316" s="27" t="str" cm="1">
        <f t="array" ref="D316">IF($O316="","",_xlfn.TEXTJOIN(", ",TRUE,IF(EXACT('Дані_зв''язок'!$J$4:$J$1012,$O316)*('Дані_зв''язок'!$C$4:$C$1012=D$4),'Дані_зв''язок'!$D$4:$D$1012,"")))</f>
        <v>13:20</v>
      </c>
      <c r="E316" s="27" t="str" cm="1">
        <f t="array" ref="E316">IF($O316="","",_xlfn.TEXTJOIN(", ",TRUE,IF(EXACT('Дані_зв''язок'!$J$4:$J$1012,$O316)*('Дані_зв''язок'!$C$4:$C$1012=E$4),'Дані_зв''язок'!$D$4:$D$1012,"")))</f>
        <v/>
      </c>
      <c r="F316" s="27" t="str" cm="1">
        <f t="array" ref="F316">IF($O316="","",_xlfn.TEXTJOIN(", ",TRUE,IF(EXACT('Дані_зв''язок'!$J$4:$J$1012,$O316)*('Дані_зв''язок'!$C$4:$C$1012=F$4),'Дані_зв''язок'!$D$4:$D$1012,"")))</f>
        <v/>
      </c>
      <c r="G316" s="27" t="str" cm="1">
        <f t="array" ref="G316">IF($O316="","",_xlfn.TEXTJOIN(", ",TRUE,IF(EXACT('Дані_зв''язок'!$J$4:$J$1012,$O316)*('Дані_зв''язок'!$C$4:$C$1012=G$4),'Дані_зв''язок'!$D$4:$D$1012,"")))</f>
        <v/>
      </c>
      <c r="H316" s="27" t="str" cm="1">
        <f t="array" ref="H316">IF($O316="","",_xlfn.TEXTJOIN(", ",TRUE,IF(EXACT('Дані_зв''язок'!$J$4:$J$1012,$O316)*('Дані_зв''язок'!$C$4:$C$1012=H$4),'Дані_зв''язок'!$D$4:$D$1012,"")))</f>
        <v/>
      </c>
      <c r="I316" s="27" t="str" cm="1">
        <f t="array" ref="I316">IF($O316="","",_xlfn.TEXTJOIN(", ",TRUE,IF(EXACT('Дані_зв''язок'!$J$4:$J$1012,$O316)*('Дані_зв''язок'!$C$4:$C$1012=I$4),'Дані_зв''язок'!$D$4:$D$1012,"")))</f>
        <v/>
      </c>
      <c r="J316" s="27" cm="1">
        <f t="array" ref="J316">IF($O316="","",COUNTIF(C316:I316,"?*")+SUMPRODUCT(LEN(C316:I316)-LEN(SUBSTITUTE(C316:I316,",",""))))</f>
        <v>1</v>
      </c>
      <c r="K316" s="28" t="str" cm="1">
        <f t="array" ref="K316">IF($O316="","",_xlfn.TEXTJOIN(", ",TRUE,IF(EXACT('Дані_зв''язок'!$J$4:$J$1012,$O316),'Дані_зв''язок'!$L$4:$L$1012,"")))</f>
        <v>№5</v>
      </c>
      <c r="L316" s="28" t="str" cm="1">
        <f t="array" ref="L316">IF($O316="","",_xlfn.TEXTJOIN(", ",TRUE,IF(EXACT('Дані_зв''язок'!$J$4:$J$1012,$O316),'Дані_зв''язок'!$M$4:$M$1012,"")))</f>
        <v>МАЗ 4381</v>
      </c>
      <c r="M316" s="27" t="str" cm="1">
        <f t="array" ref="M316">IF($O316="","",IF(SUMPRODUCT(MAX(EXACT('Дані_зв''язок'!$J$4:$J$1012,$O316)*IFERROR('Дані_зв''язок'!$H$4:$H$1012,0)))=0,"",SUMPRODUCT(MAX(EXACT('Дані_зв''язок'!$J$4:$J$1012,$O316)*IFERROR('Дані_зв''язок'!$H$4:$H$1012,0)))))</f>
        <v/>
      </c>
      <c r="O316" s="30" t="s">
        <v>1435</v>
      </c>
      <c r="P316" s="24" t="str" cm="1">
        <f t="array" ref="P316">IF($O316="","",IF($B316="","",IFERROR(IF(MIN(IFERROR(VALUE(TRIM(MID(SUBSTITUTE(SUBSTITUTE($B316,","," ")," ",REPT(" ",30)),{1;31;61;91;121;151;181},30))),""))=0,"",MIN(IFERROR(VALUE(TRIM(MID(SUBSTITUTE(SUBSTITUTE($B316,","," ")," ",REPT(" ",30)),{1;31;61;91;121;151;181},30))),""))),"")))</f>
        <v/>
      </c>
      <c r="Q316" s="23" t="str">
        <f t="shared" si="14"/>
        <v>Прилуки, Чернігівська обл., вул. Низова</v>
      </c>
      <c r="R316" s="35">
        <f>IF($O316="","",IFERROR(INDEX('Координати майданчиків'!$H$4:$H$64,MATCH($T316,'Координати майданчиків'!$B$4:$B$64,0)),IFERROR(IF(ABS(INDEX(Геокодування!$C$2:$C$361,MATCH($Q316,Геокодування!$B$2:$B$361,0))-50.5884)+ABS(INDEX(Геокодування!$D$2:$D$361,MATCH($Q316,Геокодування!$B$2:$B$361,0))-32.3876)&gt;0.15,"",INDEX(Геокодування!$C$2:$C$361,MATCH($Q316,Геокодування!$B$2:$B$361,0))),IFERROR(IF(ABS(INDEX(Геокодування!$C$2:$C$361,MATCH("Прилуки, Чернігівська обл., "&amp;$A316,Геокодування!$B$2:$B$361,0))-50.5884)+ABS(INDEX(Геокодування!$D$2:$D$361,MATCH("Прилуки, Чернігівська обл., "&amp;$A316,Геокодування!$B$2:$B$361,0))-32.3876)&gt;0.15,"",INDEX(Геокодування!$C$2:$C$361,MATCH("Прилуки, Чернігівська обл., "&amp;$A316,Геокодування!$B$2:$B$361,0))),""))))</f>
        <v>50.601323999999998</v>
      </c>
      <c r="S316" s="43">
        <f>IF($O316="","",IFERROR(INDEX('Координати майданчиків'!$I$4:$I$64,MATCH($T316,'Координати майданчиків'!$B$4:$B$64,0)),IFERROR(IF(ABS(INDEX(Геокодування!$C$2:$C$361,MATCH($Q316,Геокодування!$B$2:$B$361,0))-50.5884)+ABS(INDEX(Геокодування!$D$2:$D$361,MATCH($Q316,Геокодування!$B$2:$B$361,0))-32.3876)&gt;0.15,"",INDEX(Геокодування!$D$2:$D$361,MATCH($Q316,Геокодування!$B$2:$B$361,0))),IFERROR(IF(ABS(INDEX(Геокодування!$C$2:$C$361,MATCH("Прилуки, Чернігівська обл., "&amp;$A316,Геокодування!$B$2:$B$361,0))-50.5884)+ABS(INDEX(Геокодування!$D$2:$D$361,MATCH("Прилуки, Чернігівська обл., "&amp;$A316,Геокодування!$B$2:$B$361,0))-32.3876)&gt;0.15,"",INDEX(Геокодування!$D$2:$D$361,MATCH("Прилуки, Чернігівська обл., "&amp;$A316,Геокодування!$B$2:$B$361,0))),""))))</f>
        <v>32.344323000000003</v>
      </c>
      <c r="T316" s="44" t="str">
        <f>IF($O316="","",IFERROR(INDEX('Координати майданчиків'!$B$4:$B$64,MATCH($A316&amp;IF($P316="","",", "&amp;$P316),'Координати майданчиків'!$B$4:$B$64,0)),IFERROR(INDEX('Координати майданчиків'!$B$4:$B$64,MATCH($A316,'Координати майданчиків'!$B$4:$B$64,0)),"")))</f>
        <v/>
      </c>
    </row>
    <row r="317" spans="1:20" x14ac:dyDescent="0.35">
      <c r="A317" s="26" t="str">
        <f t="shared" si="12"/>
        <v>вул. Нова</v>
      </c>
      <c r="B317" s="26" t="str">
        <f t="shared" si="13"/>
        <v/>
      </c>
      <c r="C317" s="27" t="str" cm="1">
        <f t="array" ref="C317">IF($O317="","",_xlfn.TEXTJOIN(", ",TRUE,IF(EXACT('Дані_зв''язок'!$J$4:$J$1012,$O317)*('Дані_зв''язок'!$C$4:$C$1012=C$4),'Дані_зв''язок'!$D$4:$D$1012,"")))</f>
        <v/>
      </c>
      <c r="D317" s="27" t="str" cm="1">
        <f t="array" ref="D317">IF($O317="","",_xlfn.TEXTJOIN(", ",TRUE,IF(EXACT('Дані_зв''язок'!$J$4:$J$1012,$O317)*('Дані_зв''язок'!$C$4:$C$1012=D$4),'Дані_зв''язок'!$D$4:$D$1012,"")))</f>
        <v>13:30</v>
      </c>
      <c r="E317" s="27" t="str" cm="1">
        <f t="array" ref="E317">IF($O317="","",_xlfn.TEXTJOIN(", ",TRUE,IF(EXACT('Дані_зв''язок'!$J$4:$J$1012,$O317)*('Дані_зв''язок'!$C$4:$C$1012=E$4),'Дані_зв''язок'!$D$4:$D$1012,"")))</f>
        <v/>
      </c>
      <c r="F317" s="27" t="str" cm="1">
        <f t="array" ref="F317">IF($O317="","",_xlfn.TEXTJOIN(", ",TRUE,IF(EXACT('Дані_зв''язок'!$J$4:$J$1012,$O317)*('Дані_зв''язок'!$C$4:$C$1012=F$4),'Дані_зв''язок'!$D$4:$D$1012,"")))</f>
        <v/>
      </c>
      <c r="G317" s="27" t="str" cm="1">
        <f t="array" ref="G317">IF($O317="","",_xlfn.TEXTJOIN(", ",TRUE,IF(EXACT('Дані_зв''язок'!$J$4:$J$1012,$O317)*('Дані_зв''язок'!$C$4:$C$1012=G$4),'Дані_зв''язок'!$D$4:$D$1012,"")))</f>
        <v/>
      </c>
      <c r="H317" s="27" t="str" cm="1">
        <f t="array" ref="H317">IF($O317="","",_xlfn.TEXTJOIN(", ",TRUE,IF(EXACT('Дані_зв''язок'!$J$4:$J$1012,$O317)*('Дані_зв''язок'!$C$4:$C$1012=H$4),'Дані_зв''язок'!$D$4:$D$1012,"")))</f>
        <v/>
      </c>
      <c r="I317" s="27" t="str" cm="1">
        <f t="array" ref="I317">IF($O317="","",_xlfn.TEXTJOIN(", ",TRUE,IF(EXACT('Дані_зв''язок'!$J$4:$J$1012,$O317)*('Дані_зв''язок'!$C$4:$C$1012=I$4),'Дані_зв''язок'!$D$4:$D$1012,"")))</f>
        <v/>
      </c>
      <c r="J317" s="27" cm="1">
        <f t="array" ref="J317">IF($O317="","",COUNTIF(C317:I317,"?*")+SUMPRODUCT(LEN(C317:I317)-LEN(SUBSTITUTE(C317:I317,",",""))))</f>
        <v>1</v>
      </c>
      <c r="K317" s="28" t="str" cm="1">
        <f t="array" ref="K317">IF($O317="","",_xlfn.TEXTJOIN(", ",TRUE,IF(EXACT('Дані_зв''язок'!$J$4:$J$1012,$O317),'Дані_зв''язок'!$L$4:$L$1012,"")))</f>
        <v>№5</v>
      </c>
      <c r="L317" s="28" t="str" cm="1">
        <f t="array" ref="L317">IF($O317="","",_xlfn.TEXTJOIN(", ",TRUE,IF(EXACT('Дані_зв''язок'!$J$4:$J$1012,$O317),'Дані_зв''язок'!$M$4:$M$1012,"")))</f>
        <v>МАЗ 4381</v>
      </c>
      <c r="M317" s="27" t="str" cm="1">
        <f t="array" ref="M317">IF($O317="","",IF(SUMPRODUCT(MAX(EXACT('Дані_зв''язок'!$J$4:$J$1012,$O317)*IFERROR('Дані_зв''язок'!$H$4:$H$1012,0)))=0,"",SUMPRODUCT(MAX(EXACT('Дані_зв''язок'!$J$4:$J$1012,$O317)*IFERROR('Дані_зв''язок'!$H$4:$H$1012,0)))))</f>
        <v/>
      </c>
      <c r="O317" s="30" t="s">
        <v>1437</v>
      </c>
      <c r="P317" s="24" t="str" cm="1">
        <f t="array" ref="P317">IF($O317="","",IF($B317="","",IFERROR(IF(MIN(IFERROR(VALUE(TRIM(MID(SUBSTITUTE(SUBSTITUTE($B317,","," ")," ",REPT(" ",30)),{1;31;61;91;121;151;181},30))),""))=0,"",MIN(IFERROR(VALUE(TRIM(MID(SUBSTITUTE(SUBSTITUTE($B317,","," ")," ",REPT(" ",30)),{1;31;61;91;121;151;181},30))),""))),"")))</f>
        <v/>
      </c>
      <c r="Q317" s="23" t="str">
        <f t="shared" si="14"/>
        <v>Прилуки, Чернігівська обл., вул. Нова</v>
      </c>
      <c r="R317" s="35">
        <f>IF($O317="","",IFERROR(INDEX('Координати майданчиків'!$H$4:$H$64,MATCH($T317,'Координати майданчиків'!$B$4:$B$64,0)),IFERROR(IF(ABS(INDEX(Геокодування!$C$2:$C$361,MATCH($Q317,Геокодування!$B$2:$B$361,0))-50.5884)+ABS(INDEX(Геокодування!$D$2:$D$361,MATCH($Q317,Геокодування!$B$2:$B$361,0))-32.3876)&gt;0.15,"",INDEX(Геокодування!$C$2:$C$361,MATCH($Q317,Геокодування!$B$2:$B$361,0))),IFERROR(IF(ABS(INDEX(Геокодування!$C$2:$C$361,MATCH("Прилуки, Чернігівська обл., "&amp;$A317,Геокодування!$B$2:$B$361,0))-50.5884)+ABS(INDEX(Геокодування!$D$2:$D$361,MATCH("Прилуки, Чернігівська обл., "&amp;$A317,Геокодування!$B$2:$B$361,0))-32.3876)&gt;0.15,"",INDEX(Геокодування!$C$2:$C$361,MATCH("Прилуки, Чернігівська обл., "&amp;$A317,Геокодування!$B$2:$B$361,0))),""))))</f>
        <v>50.598633</v>
      </c>
      <c r="S317" s="43">
        <f>IF($O317="","",IFERROR(INDEX('Координати майданчиків'!$I$4:$I$64,MATCH($T317,'Координати майданчиків'!$B$4:$B$64,0)),IFERROR(IF(ABS(INDEX(Геокодування!$C$2:$C$361,MATCH($Q317,Геокодування!$B$2:$B$361,0))-50.5884)+ABS(INDEX(Геокодування!$D$2:$D$361,MATCH($Q317,Геокодування!$B$2:$B$361,0))-32.3876)&gt;0.15,"",INDEX(Геокодування!$D$2:$D$361,MATCH($Q317,Геокодування!$B$2:$B$361,0))),IFERROR(IF(ABS(INDEX(Геокодування!$C$2:$C$361,MATCH("Прилуки, Чернігівська обл., "&amp;$A317,Геокодування!$B$2:$B$361,0))-50.5884)+ABS(INDEX(Геокодування!$D$2:$D$361,MATCH("Прилуки, Чернігівська обл., "&amp;$A317,Геокодування!$B$2:$B$361,0))-32.3876)&gt;0.15,"",INDEX(Геокодування!$D$2:$D$361,MATCH("Прилуки, Чернігівська обл., "&amp;$A317,Геокодування!$B$2:$B$361,0))),""))))</f>
        <v>32.345224999999999</v>
      </c>
      <c r="T317" s="44" t="str">
        <f>IF($O317="","",IFERROR(INDEX('Координати майданчиків'!$B$4:$B$64,MATCH($A317&amp;IF($P317="","",", "&amp;$P317),'Координати майданчиків'!$B$4:$B$64,0)),IFERROR(INDEX('Координати майданчиків'!$B$4:$B$64,MATCH($A317,'Координати майданчиків'!$B$4:$B$64,0)),"")))</f>
        <v/>
      </c>
    </row>
    <row r="318" spans="1:20" x14ac:dyDescent="0.35">
      <c r="A318" s="26" t="str">
        <f t="shared" si="12"/>
        <v>вул. Ніжинська</v>
      </c>
      <c r="B318" s="26" t="str">
        <f t="shared" si="13"/>
        <v/>
      </c>
      <c r="C318" s="27" t="str" cm="1">
        <f t="array" ref="C318">IF($O318="","",_xlfn.TEXTJOIN(", ",TRUE,IF(EXACT('Дані_зв''язок'!$J$4:$J$1012,$O318)*('Дані_зв''язок'!$C$4:$C$1012=C$4),'Дані_зв''язок'!$D$4:$D$1012,"")))</f>
        <v/>
      </c>
      <c r="D318" s="27" t="str" cm="1">
        <f t="array" ref="D318">IF($O318="","",_xlfn.TEXTJOIN(", ",TRUE,IF(EXACT('Дані_зв''язок'!$J$4:$J$1012,$O318)*('Дані_зв''язок'!$C$4:$C$1012=D$4),'Дані_зв''язок'!$D$4:$D$1012,"")))</f>
        <v>12:40</v>
      </c>
      <c r="E318" s="27" t="str" cm="1">
        <f t="array" ref="E318">IF($O318="","",_xlfn.TEXTJOIN(", ",TRUE,IF(EXACT('Дані_зв''язок'!$J$4:$J$1012,$O318)*('Дані_зв''язок'!$C$4:$C$1012=E$4),'Дані_зв''язок'!$D$4:$D$1012,"")))</f>
        <v/>
      </c>
      <c r="F318" s="27" t="str" cm="1">
        <f t="array" ref="F318">IF($O318="","",_xlfn.TEXTJOIN(", ",TRUE,IF(EXACT('Дані_зв''язок'!$J$4:$J$1012,$O318)*('Дані_зв''язок'!$C$4:$C$1012=F$4),'Дані_зв''язок'!$D$4:$D$1012,"")))</f>
        <v/>
      </c>
      <c r="G318" s="27" t="str" cm="1">
        <f t="array" ref="G318">IF($O318="","",_xlfn.TEXTJOIN(", ",TRUE,IF(EXACT('Дані_зв''язок'!$J$4:$J$1012,$O318)*('Дані_зв''язок'!$C$4:$C$1012=G$4),'Дані_зв''язок'!$D$4:$D$1012,"")))</f>
        <v/>
      </c>
      <c r="H318" s="27" t="str" cm="1">
        <f t="array" ref="H318">IF($O318="","",_xlfn.TEXTJOIN(", ",TRUE,IF(EXACT('Дані_зв''язок'!$J$4:$J$1012,$O318)*('Дані_зв''язок'!$C$4:$C$1012=H$4),'Дані_зв''язок'!$D$4:$D$1012,"")))</f>
        <v/>
      </c>
      <c r="I318" s="27" t="str" cm="1">
        <f t="array" ref="I318">IF($O318="","",_xlfn.TEXTJOIN(", ",TRUE,IF(EXACT('Дані_зв''язок'!$J$4:$J$1012,$O318)*('Дані_зв''язок'!$C$4:$C$1012=I$4),'Дані_зв''язок'!$D$4:$D$1012,"")))</f>
        <v/>
      </c>
      <c r="J318" s="27" cm="1">
        <f t="array" ref="J318">IF($O318="","",COUNTIF(C318:I318,"?*")+SUMPRODUCT(LEN(C318:I318)-LEN(SUBSTITUTE(C318:I318,",",""))))</f>
        <v>1</v>
      </c>
      <c r="K318" s="28" t="str" cm="1">
        <f t="array" ref="K318">IF($O318="","",_xlfn.TEXTJOIN(", ",TRUE,IF(EXACT('Дані_зв''язок'!$J$4:$J$1012,$O318),'Дані_зв''язок'!$L$4:$L$1012,"")))</f>
        <v>№5</v>
      </c>
      <c r="L318" s="28" t="str" cm="1">
        <f t="array" ref="L318">IF($O318="","",_xlfn.TEXTJOIN(", ",TRUE,IF(EXACT('Дані_зв''язок'!$J$4:$J$1012,$O318),'Дані_зв''язок'!$M$4:$M$1012,"")))</f>
        <v>МАЗ 4381</v>
      </c>
      <c r="M318" s="27" t="str" cm="1">
        <f t="array" ref="M318">IF($O318="","",IF(SUMPRODUCT(MAX(EXACT('Дані_зв''язок'!$J$4:$J$1012,$O318)*IFERROR('Дані_зв''язок'!$H$4:$H$1012,0)))=0,"",SUMPRODUCT(MAX(EXACT('Дані_зв''язок'!$J$4:$J$1012,$O318)*IFERROR('Дані_зв''язок'!$H$4:$H$1012,0)))))</f>
        <v/>
      </c>
      <c r="O318" s="30" t="s">
        <v>1436</v>
      </c>
      <c r="P318" s="24" t="str" cm="1">
        <f t="array" ref="P318">IF($O318="","",IF($B318="","",IFERROR(IF(MIN(IFERROR(VALUE(TRIM(MID(SUBSTITUTE(SUBSTITUTE($B318,","," ")," ",REPT(" ",30)),{1;31;61;91;121;151;181},30))),""))=0,"",MIN(IFERROR(VALUE(TRIM(MID(SUBSTITUTE(SUBSTITUTE($B318,","," ")," ",REPT(" ",30)),{1;31;61;91;121;151;181},30))),""))),"")))</f>
        <v/>
      </c>
      <c r="Q318" s="23" t="str">
        <f t="shared" si="14"/>
        <v>Прилуки, Чернігівська обл., вул. Ніжинська</v>
      </c>
      <c r="R318" s="69" t="str">
        <f>IF($O318="","",IFERROR(INDEX('Координати майданчиків'!$H$4:$H$64,MATCH($T318,'Координати майданчиків'!$B$4:$B$64,0)),IFERROR(IF(ABS(INDEX(Геокодування!$C$2:$C$361,MATCH($Q318,Геокодування!$B$2:$B$361,0))-50.5884)+ABS(INDEX(Геокодування!$D$2:$D$361,MATCH($Q318,Геокодування!$B$2:$B$361,0))-32.3876)&gt;0.15,"",INDEX(Геокодування!$C$2:$C$361,MATCH($Q318,Геокодування!$B$2:$B$361,0))),IFERROR(IF(ABS(INDEX(Геокодування!$C$2:$C$361,MATCH("Прилуки, Чернігівська обл., "&amp;$A318,Геокодування!$B$2:$B$361,0))-50.5884)+ABS(INDEX(Геокодування!$D$2:$D$361,MATCH("Прилуки, Чернігівська обл., "&amp;$A318,Геокодування!$B$2:$B$361,0))-32.3876)&gt;0.15,"",INDEX(Геокодування!$C$2:$C$361,MATCH("Прилуки, Чернігівська обл., "&amp;$A318,Геокодування!$B$2:$B$361,0))),""))))</f>
        <v/>
      </c>
      <c r="S318" s="69" t="str">
        <f>IF($O318="","",IFERROR(INDEX('Координати майданчиків'!$I$4:$I$64,MATCH($T318,'Координати майданчиків'!$B$4:$B$64,0)),IFERROR(IF(ABS(INDEX(Геокодування!$C$2:$C$361,MATCH($Q318,Геокодування!$B$2:$B$361,0))-50.5884)+ABS(INDEX(Геокодування!$D$2:$D$361,MATCH($Q318,Геокодування!$B$2:$B$361,0))-32.3876)&gt;0.15,"",INDEX(Геокодування!$D$2:$D$361,MATCH($Q318,Геокодування!$B$2:$B$361,0))),IFERROR(IF(ABS(INDEX(Геокодування!$C$2:$C$361,MATCH("Прилуки, Чернігівська обл., "&amp;$A318,Геокодування!$B$2:$B$361,0))-50.5884)+ABS(INDEX(Геокодування!$D$2:$D$361,MATCH("Прилуки, Чернігівська обл., "&amp;$A318,Геокодування!$B$2:$B$361,0))-32.3876)&gt;0.15,"",INDEX(Геокодування!$D$2:$D$361,MATCH("Прилуки, Чернігівська обл., "&amp;$A318,Геокодування!$B$2:$B$361,0))),""))))</f>
        <v/>
      </c>
      <c r="T318" s="44" t="str">
        <f>IF($O318="","",IFERROR(INDEX('Координати майданчиків'!$B$4:$B$64,MATCH($A318&amp;IF($P318="","",", "&amp;$P318),'Координати майданчиків'!$B$4:$B$64,0)),IFERROR(INDEX('Координати майданчиків'!$B$4:$B$64,MATCH($A318,'Координати майданчиків'!$B$4:$B$64,0)),"")))</f>
        <v/>
      </c>
    </row>
    <row r="319" spans="1:20" x14ac:dyDescent="0.35">
      <c r="A319" s="26" t="str">
        <f t="shared" si="12"/>
        <v>вул. О. Пчілки</v>
      </c>
      <c r="B319" s="26" t="str">
        <f t="shared" si="13"/>
        <v/>
      </c>
      <c r="C319" s="27" t="str" cm="1">
        <f t="array" ref="C319">IF($O319="","",_xlfn.TEXTJOIN(", ",TRUE,IF(EXACT('Дані_зв''язок'!$J$4:$J$1012,$O319)*('Дані_зв''язок'!$C$4:$C$1012=C$4),'Дані_зв''язок'!$D$4:$D$1012,"")))</f>
        <v/>
      </c>
      <c r="D319" s="27" t="str" cm="1">
        <f t="array" ref="D319">IF($O319="","",_xlfn.TEXTJOIN(", ",TRUE,IF(EXACT('Дані_зв''язок'!$J$4:$J$1012,$O319)*('Дані_зв''язок'!$C$4:$C$1012=D$4),'Дані_зв''язок'!$D$4:$D$1012,"")))</f>
        <v/>
      </c>
      <c r="E319" s="27" t="str" cm="1">
        <f t="array" ref="E319">IF($O319="","",_xlfn.TEXTJOIN(", ",TRUE,IF(EXACT('Дані_зв''язок'!$J$4:$J$1012,$O319)*('Дані_зв''язок'!$C$4:$C$1012=E$4),'Дані_зв''язок'!$D$4:$D$1012,"")))</f>
        <v/>
      </c>
      <c r="F319" s="27" t="str" cm="1">
        <f t="array" ref="F319">IF($O319="","",_xlfn.TEXTJOIN(", ",TRUE,IF(EXACT('Дані_зв''язок'!$J$4:$J$1012,$O319)*('Дані_зв''язок'!$C$4:$C$1012=F$4),'Дані_зв''язок'!$D$4:$D$1012,"")))</f>
        <v>15:15</v>
      </c>
      <c r="G319" s="27" t="str" cm="1">
        <f t="array" ref="G319">IF($O319="","",_xlfn.TEXTJOIN(", ",TRUE,IF(EXACT('Дані_зв''язок'!$J$4:$J$1012,$O319)*('Дані_зв''язок'!$C$4:$C$1012=G$4),'Дані_зв''язок'!$D$4:$D$1012,"")))</f>
        <v/>
      </c>
      <c r="H319" s="27" t="str" cm="1">
        <f t="array" ref="H319">IF($O319="","",_xlfn.TEXTJOIN(", ",TRUE,IF(EXACT('Дані_зв''язок'!$J$4:$J$1012,$O319)*('Дані_зв''язок'!$C$4:$C$1012=H$4),'Дані_зв''язок'!$D$4:$D$1012,"")))</f>
        <v/>
      </c>
      <c r="I319" s="27" t="str" cm="1">
        <f t="array" ref="I319">IF($O319="","",_xlfn.TEXTJOIN(", ",TRUE,IF(EXACT('Дані_зв''язок'!$J$4:$J$1012,$O319)*('Дані_зв''язок'!$C$4:$C$1012=I$4),'Дані_зв''язок'!$D$4:$D$1012,"")))</f>
        <v/>
      </c>
      <c r="J319" s="27" cm="1">
        <f t="array" ref="J319">IF($O319="","",COUNTIF(C319:I319,"?*")+SUMPRODUCT(LEN(C319:I319)-LEN(SUBSTITUTE(C319:I319,",",""))))</f>
        <v>1</v>
      </c>
      <c r="K319" s="28" t="str" cm="1">
        <f t="array" ref="K319">IF($O319="","",_xlfn.TEXTJOIN(", ",TRUE,IF(EXACT('Дані_зв''язок'!$J$4:$J$1012,$O319),'Дані_зв''язок'!$L$4:$L$1012,"")))</f>
        <v>№5</v>
      </c>
      <c r="L319" s="28" t="str" cm="1">
        <f t="array" ref="L319">IF($O319="","",_xlfn.TEXTJOIN(", ",TRUE,IF(EXACT('Дані_зв''язок'!$J$4:$J$1012,$O319),'Дані_зв''язок'!$M$4:$M$1012,"")))</f>
        <v>МАЗ 4381</v>
      </c>
      <c r="M319" s="27" t="str" cm="1">
        <f t="array" ref="M319">IF($O319="","",IF(SUMPRODUCT(MAX(EXACT('Дані_зв''язок'!$J$4:$J$1012,$O319)*IFERROR('Дані_зв''язок'!$H$4:$H$1012,0)))=0,"",SUMPRODUCT(MAX(EXACT('Дані_зв''язок'!$J$4:$J$1012,$O319)*IFERROR('Дані_зв''язок'!$H$4:$H$1012,0)))))</f>
        <v/>
      </c>
      <c r="O319" s="30" t="s">
        <v>1438</v>
      </c>
      <c r="P319" s="24" t="str" cm="1">
        <f t="array" ref="P319">IF($O319="","",IF($B319="","",IFERROR(IF(MIN(IFERROR(VALUE(TRIM(MID(SUBSTITUTE(SUBSTITUTE($B319,","," ")," ",REPT(" ",30)),{1;31;61;91;121;151;181},30))),""))=0,"",MIN(IFERROR(VALUE(TRIM(MID(SUBSTITUTE(SUBSTITUTE($B319,","," ")," ",REPT(" ",30)),{1;31;61;91;121;151;181},30))),""))),"")))</f>
        <v/>
      </c>
      <c r="Q319" s="23" t="str">
        <f t="shared" si="14"/>
        <v>Прилуки, Чернігівська обл., вул. О. Пчілки</v>
      </c>
      <c r="R319" s="35">
        <f>IF($O319="","",IFERROR(INDEX('Координати майданчиків'!$H$4:$H$64,MATCH($T319,'Координати майданчиків'!$B$4:$B$64,0)),IFERROR(IF(ABS(INDEX(Геокодування!$C$2:$C$361,MATCH($Q319,Геокодування!$B$2:$B$361,0))-50.5884)+ABS(INDEX(Геокодування!$D$2:$D$361,MATCH($Q319,Геокодування!$B$2:$B$361,0))-32.3876)&gt;0.15,"",INDEX(Геокодування!$C$2:$C$361,MATCH($Q319,Геокодування!$B$2:$B$361,0))),IFERROR(IF(ABS(INDEX(Геокодування!$C$2:$C$361,MATCH("Прилуки, Чернігівська обл., "&amp;$A319,Геокодування!$B$2:$B$361,0))-50.5884)+ABS(INDEX(Геокодування!$D$2:$D$361,MATCH("Прилуки, Чернігівська обл., "&amp;$A319,Геокодування!$B$2:$B$361,0))-32.3876)&gt;0.15,"",INDEX(Геокодування!$C$2:$C$361,MATCH("Прилуки, Чернігівська обл., "&amp;$A319,Геокодування!$B$2:$B$361,0))),""))))</f>
        <v>50.581904999999999</v>
      </c>
      <c r="S319" s="43">
        <f>IF($O319="","",IFERROR(INDEX('Координати майданчиків'!$I$4:$I$64,MATCH($T319,'Координати майданчиків'!$B$4:$B$64,0)),IFERROR(IF(ABS(INDEX(Геокодування!$C$2:$C$361,MATCH($Q319,Геокодування!$B$2:$B$361,0))-50.5884)+ABS(INDEX(Геокодування!$D$2:$D$361,MATCH($Q319,Геокодування!$B$2:$B$361,0))-32.3876)&gt;0.15,"",INDEX(Геокодування!$D$2:$D$361,MATCH($Q319,Геокодування!$B$2:$B$361,0))),IFERROR(IF(ABS(INDEX(Геокодування!$C$2:$C$361,MATCH("Прилуки, Чернігівська обл., "&amp;$A319,Геокодування!$B$2:$B$361,0))-50.5884)+ABS(INDEX(Геокодування!$D$2:$D$361,MATCH("Прилуки, Чернігівська обл., "&amp;$A319,Геокодування!$B$2:$B$361,0))-32.3876)&gt;0.15,"",INDEX(Геокодування!$D$2:$D$361,MATCH("Прилуки, Чернігівська обл., "&amp;$A319,Геокодування!$B$2:$B$361,0))),""))))</f>
        <v>32.383752999999999</v>
      </c>
      <c r="T319" s="44" t="str">
        <f>IF($O319="","",IFERROR(INDEX('Координати майданчиків'!$B$4:$B$64,MATCH($A319&amp;IF($P319="","",", "&amp;$P319),'Координати майданчиків'!$B$4:$B$64,0)),IFERROR(INDEX('Координати майданчиків'!$B$4:$B$64,MATCH($A319,'Координати майданчиків'!$B$4:$B$64,0)),"")))</f>
        <v/>
      </c>
    </row>
    <row r="320" spans="1:20" x14ac:dyDescent="0.35">
      <c r="A320" s="26" t="str">
        <f t="shared" si="12"/>
        <v>вул. Оранжерейна</v>
      </c>
      <c r="B320" s="26" t="str">
        <f t="shared" si="13"/>
        <v/>
      </c>
      <c r="C320" s="27" t="str" cm="1">
        <f t="array" ref="C320">IF($O320="","",_xlfn.TEXTJOIN(", ",TRUE,IF(EXACT('Дані_зв''язок'!$J$4:$J$1012,$O320)*('Дані_зв''язок'!$C$4:$C$1012=C$4),'Дані_зв''язок'!$D$4:$D$1012,"")))</f>
        <v>9:50</v>
      </c>
      <c r="D320" s="27" t="str" cm="1">
        <f t="array" ref="D320">IF($O320="","",_xlfn.TEXTJOIN(", ",TRUE,IF(EXACT('Дані_зв''язок'!$J$4:$J$1012,$O320)*('Дані_зв''язок'!$C$4:$C$1012=D$4),'Дані_зв''язок'!$D$4:$D$1012,"")))</f>
        <v/>
      </c>
      <c r="E320" s="27" t="str" cm="1">
        <f t="array" ref="E320">IF($O320="","",_xlfn.TEXTJOIN(", ",TRUE,IF(EXACT('Дані_зв''язок'!$J$4:$J$1012,$O320)*('Дані_зв''язок'!$C$4:$C$1012=E$4),'Дані_зв''язок'!$D$4:$D$1012,"")))</f>
        <v/>
      </c>
      <c r="F320" s="27" t="str" cm="1">
        <f t="array" ref="F320">IF($O320="","",_xlfn.TEXTJOIN(", ",TRUE,IF(EXACT('Дані_зв''язок'!$J$4:$J$1012,$O320)*('Дані_зв''язок'!$C$4:$C$1012=F$4),'Дані_зв''язок'!$D$4:$D$1012,"")))</f>
        <v/>
      </c>
      <c r="G320" s="27" t="str" cm="1">
        <f t="array" ref="G320">IF($O320="","",_xlfn.TEXTJOIN(", ",TRUE,IF(EXACT('Дані_зв''язок'!$J$4:$J$1012,$O320)*('Дані_зв''язок'!$C$4:$C$1012=G$4),'Дані_зв''язок'!$D$4:$D$1012,"")))</f>
        <v>10:55</v>
      </c>
      <c r="H320" s="27" t="str" cm="1">
        <f t="array" ref="H320">IF($O320="","",_xlfn.TEXTJOIN(", ",TRUE,IF(EXACT('Дані_зв''язок'!$J$4:$J$1012,$O320)*('Дані_зв''язок'!$C$4:$C$1012=H$4),'Дані_зв''язок'!$D$4:$D$1012,"")))</f>
        <v/>
      </c>
      <c r="I320" s="27" t="str" cm="1">
        <f t="array" ref="I320">IF($O320="","",_xlfn.TEXTJOIN(", ",TRUE,IF(EXACT('Дані_зв''язок'!$J$4:$J$1012,$O320)*('Дані_зв''язок'!$C$4:$C$1012=I$4),'Дані_зв''язок'!$D$4:$D$1012,"")))</f>
        <v/>
      </c>
      <c r="J320" s="27" cm="1">
        <f t="array" ref="J320">IF($O320="","",COUNTIF(C320:I320,"?*")+SUMPRODUCT(LEN(C320:I320)-LEN(SUBSTITUTE(C320:I320,",",""))))</f>
        <v>2</v>
      </c>
      <c r="K320" s="28" t="str" cm="1">
        <f t="array" ref="K320">IF($O320="","",_xlfn.TEXTJOIN(", ",TRUE,IF(EXACT('Дані_зв''язок'!$J$4:$J$1012,$O320),'Дані_зв''язок'!$L$4:$L$1012,"")))</f>
        <v>№5</v>
      </c>
      <c r="L320" s="28" t="str" cm="1">
        <f t="array" ref="L320">IF($O320="","",_xlfn.TEXTJOIN(", ",TRUE,IF(EXACT('Дані_зв''язок'!$J$4:$J$1012,$O320),'Дані_зв''язок'!$M$4:$M$1012,"")))</f>
        <v>МАЗ 4381</v>
      </c>
      <c r="M320" s="27" t="str" cm="1">
        <f t="array" ref="M320">IF($O320="","",IF(SUMPRODUCT(MAX(EXACT('Дані_зв''язок'!$J$4:$J$1012,$O320)*IFERROR('Дані_зв''язок'!$H$4:$H$1012,0)))=0,"",SUMPRODUCT(MAX(EXACT('Дані_зв''язок'!$J$4:$J$1012,$O320)*IFERROR('Дані_зв''язок'!$H$4:$H$1012,0)))))</f>
        <v/>
      </c>
      <c r="O320" s="30" t="s">
        <v>1439</v>
      </c>
      <c r="P320" s="24" t="str" cm="1">
        <f t="array" ref="P320">IF($O320="","",IF($B320="","",IFERROR(IF(MIN(IFERROR(VALUE(TRIM(MID(SUBSTITUTE(SUBSTITUTE($B320,","," ")," ",REPT(" ",30)),{1;31;61;91;121;151;181},30))),""))=0,"",MIN(IFERROR(VALUE(TRIM(MID(SUBSTITUTE(SUBSTITUTE($B320,","," ")," ",REPT(" ",30)),{1;31;61;91;121;151;181},30))),""))),"")))</f>
        <v/>
      </c>
      <c r="Q320" s="23" t="str">
        <f t="shared" si="14"/>
        <v>Прилуки, Чернігівська обл., вул. Оранжерейна</v>
      </c>
      <c r="R320" s="35">
        <f>IF($O320="","",IFERROR(INDEX('Координати майданчиків'!$H$4:$H$64,MATCH($T320,'Координати майданчиків'!$B$4:$B$64,0)),IFERROR(IF(ABS(INDEX(Геокодування!$C$2:$C$361,MATCH($Q320,Геокодування!$B$2:$B$361,0))-50.5884)+ABS(INDEX(Геокодування!$D$2:$D$361,MATCH($Q320,Геокодування!$B$2:$B$361,0))-32.3876)&gt;0.15,"",INDEX(Геокодування!$C$2:$C$361,MATCH($Q320,Геокодування!$B$2:$B$361,0))),IFERROR(IF(ABS(INDEX(Геокодування!$C$2:$C$361,MATCH("Прилуки, Чернігівська обл., "&amp;$A320,Геокодування!$B$2:$B$361,0))-50.5884)+ABS(INDEX(Геокодування!$D$2:$D$361,MATCH("Прилуки, Чернігівська обл., "&amp;$A320,Геокодування!$B$2:$B$361,0))-32.3876)&gt;0.15,"",INDEX(Геокодування!$C$2:$C$361,MATCH("Прилуки, Чернігівська обл., "&amp;$A320,Геокодування!$B$2:$B$361,0))),""))))</f>
        <v>50.575668999999998</v>
      </c>
      <c r="S320" s="43">
        <f>IF($O320="","",IFERROR(INDEX('Координати майданчиків'!$I$4:$I$64,MATCH($T320,'Координати майданчиків'!$B$4:$B$64,0)),IFERROR(IF(ABS(INDEX(Геокодування!$C$2:$C$361,MATCH($Q320,Геокодування!$B$2:$B$361,0))-50.5884)+ABS(INDEX(Геокодування!$D$2:$D$361,MATCH($Q320,Геокодування!$B$2:$B$361,0))-32.3876)&gt;0.15,"",INDEX(Геокодування!$D$2:$D$361,MATCH($Q320,Геокодування!$B$2:$B$361,0))),IFERROR(IF(ABS(INDEX(Геокодування!$C$2:$C$361,MATCH("Прилуки, Чернігівська обл., "&amp;$A320,Геокодування!$B$2:$B$361,0))-50.5884)+ABS(INDEX(Геокодування!$D$2:$D$361,MATCH("Прилуки, Чернігівська обл., "&amp;$A320,Геокодування!$B$2:$B$361,0))-32.3876)&gt;0.15,"",INDEX(Геокодування!$D$2:$D$361,MATCH("Прилуки, Чернігівська обл., "&amp;$A320,Геокодування!$B$2:$B$361,0))),""))))</f>
        <v>32.390863000000003</v>
      </c>
      <c r="T320" s="44" t="str">
        <f>IF($O320="","",IFERROR(INDEX('Координати майданчиків'!$B$4:$B$64,MATCH($A320&amp;IF($P320="","",", "&amp;$P320),'Координати майданчиків'!$B$4:$B$64,0)),IFERROR(INDEX('Координати майданчиків'!$B$4:$B$64,MATCH($A320,'Координати майданчиків'!$B$4:$B$64,0)),"")))</f>
        <v/>
      </c>
    </row>
    <row r="321" spans="1:20" x14ac:dyDescent="0.35">
      <c r="A321" s="26" t="str">
        <f t="shared" si="12"/>
        <v>вул. Осипенка</v>
      </c>
      <c r="B321" s="26" t="str">
        <f t="shared" si="13"/>
        <v/>
      </c>
      <c r="C321" s="27" t="str" cm="1">
        <f t="array" ref="C321">IF($O321="","",_xlfn.TEXTJOIN(", ",TRUE,IF(EXACT('Дані_зв''язок'!$J$4:$J$1012,$O321)*('Дані_зв''язок'!$C$4:$C$1012=C$4),'Дані_зв''язок'!$D$4:$D$1012,"")))</f>
        <v/>
      </c>
      <c r="D321" s="27" t="str" cm="1">
        <f t="array" ref="D321">IF($O321="","",_xlfn.TEXTJOIN(", ",TRUE,IF(EXACT('Дані_зв''язок'!$J$4:$J$1012,$O321)*('Дані_зв''язок'!$C$4:$C$1012=D$4),'Дані_зв''язок'!$D$4:$D$1012,"")))</f>
        <v/>
      </c>
      <c r="E321" s="27" t="str" cm="1">
        <f t="array" ref="E321">IF($O321="","",_xlfn.TEXTJOIN(", ",TRUE,IF(EXACT('Дані_зв''язок'!$J$4:$J$1012,$O321)*('Дані_зв''язок'!$C$4:$C$1012=E$4),'Дані_зв''язок'!$D$4:$D$1012,"")))</f>
        <v/>
      </c>
      <c r="F321" s="27" t="str" cm="1">
        <f t="array" ref="F321">IF($O321="","",_xlfn.TEXTJOIN(", ",TRUE,IF(EXACT('Дані_зв''язок'!$J$4:$J$1012,$O321)*('Дані_зв''язок'!$C$4:$C$1012=F$4),'Дані_зв''язок'!$D$4:$D$1012,"")))</f>
        <v/>
      </c>
      <c r="G321" s="27" t="str" cm="1">
        <f t="array" ref="G321">IF($O321="","",_xlfn.TEXTJOIN(", ",TRUE,IF(EXACT('Дані_зв''язок'!$J$4:$J$1012,$O321)*('Дані_зв''язок'!$C$4:$C$1012=G$4),'Дані_зв''язок'!$D$4:$D$1012,"")))</f>
        <v>13:40</v>
      </c>
      <c r="H321" s="27" t="str" cm="1">
        <f t="array" ref="H321">IF($O321="","",_xlfn.TEXTJOIN(", ",TRUE,IF(EXACT('Дані_зв''язок'!$J$4:$J$1012,$O321)*('Дані_зв''язок'!$C$4:$C$1012=H$4),'Дані_зв''язок'!$D$4:$D$1012,"")))</f>
        <v/>
      </c>
      <c r="I321" s="27" t="str" cm="1">
        <f t="array" ref="I321">IF($O321="","",_xlfn.TEXTJOIN(", ",TRUE,IF(EXACT('Дані_зв''язок'!$J$4:$J$1012,$O321)*('Дані_зв''язок'!$C$4:$C$1012=I$4),'Дані_зв''язок'!$D$4:$D$1012,"")))</f>
        <v/>
      </c>
      <c r="J321" s="27" cm="1">
        <f t="array" ref="J321">IF($O321="","",COUNTIF(C321:I321,"?*")+SUMPRODUCT(LEN(C321:I321)-LEN(SUBSTITUTE(C321:I321,",",""))))</f>
        <v>1</v>
      </c>
      <c r="K321" s="28" t="str" cm="1">
        <f t="array" ref="K321">IF($O321="","",_xlfn.TEXTJOIN(", ",TRUE,IF(EXACT('Дані_зв''язок'!$J$4:$J$1012,$O321),'Дані_зв''язок'!$L$4:$L$1012,"")))</f>
        <v>№6</v>
      </c>
      <c r="L321" s="28" t="str" cm="1">
        <f t="array" ref="L321">IF($O321="","",_xlfn.TEXTJOIN(", ",TRUE,IF(EXACT('Дані_зв''язок'!$J$4:$J$1012,$O321),'Дані_зв''язок'!$M$4:$M$1012,"")))</f>
        <v>АТ 4021</v>
      </c>
      <c r="M321" s="27" t="str" cm="1">
        <f t="array" ref="M321">IF($O321="","",IF(SUMPRODUCT(MAX(EXACT('Дані_зв''язок'!$J$4:$J$1012,$O321)*IFERROR('Дані_зв''язок'!$H$4:$H$1012,0)))=0,"",SUMPRODUCT(MAX(EXACT('Дані_зв''язок'!$J$4:$J$1012,$O321)*IFERROR('Дані_зв''язок'!$H$4:$H$1012,0)))))</f>
        <v/>
      </c>
      <c r="O321" s="30" t="s">
        <v>1440</v>
      </c>
      <c r="P321" s="24" t="str" cm="1">
        <f t="array" ref="P321">IF($O321="","",IF($B321="","",IFERROR(IF(MIN(IFERROR(VALUE(TRIM(MID(SUBSTITUTE(SUBSTITUTE($B321,","," ")," ",REPT(" ",30)),{1;31;61;91;121;151;181},30))),""))=0,"",MIN(IFERROR(VALUE(TRIM(MID(SUBSTITUTE(SUBSTITUTE($B321,","," ")," ",REPT(" ",30)),{1;31;61;91;121;151;181},30))),""))),"")))</f>
        <v/>
      </c>
      <c r="Q321" s="23" t="str">
        <f t="shared" si="14"/>
        <v>Прилуки, Чернігівська обл., вул. Осипенка</v>
      </c>
      <c r="R321" s="35">
        <f>IF($O321="","",IFERROR(INDEX('Координати майданчиків'!$H$4:$H$64,MATCH($T321,'Координати майданчиків'!$B$4:$B$64,0)),IFERROR(IF(ABS(INDEX(Геокодування!$C$2:$C$361,MATCH($Q321,Геокодування!$B$2:$B$361,0))-50.5884)+ABS(INDEX(Геокодування!$D$2:$D$361,MATCH($Q321,Геокодування!$B$2:$B$361,0))-32.3876)&gt;0.15,"",INDEX(Геокодування!$C$2:$C$361,MATCH($Q321,Геокодування!$B$2:$B$361,0))),IFERROR(IF(ABS(INDEX(Геокодування!$C$2:$C$361,MATCH("Прилуки, Чернігівська обл., "&amp;$A321,Геокодування!$B$2:$B$361,0))-50.5884)+ABS(INDEX(Геокодування!$D$2:$D$361,MATCH("Прилуки, Чернігівська обл., "&amp;$A321,Геокодування!$B$2:$B$361,0))-32.3876)&gt;0.15,"",INDEX(Геокодування!$C$2:$C$361,MATCH("Прилуки, Чернігівська обл., "&amp;$A321,Геокодування!$B$2:$B$361,0))),""))))</f>
        <v>50.581904999999999</v>
      </c>
      <c r="S321" s="43">
        <f>IF($O321="","",IFERROR(INDEX('Координати майданчиків'!$I$4:$I$64,MATCH($T321,'Координати майданчиків'!$B$4:$B$64,0)),IFERROR(IF(ABS(INDEX(Геокодування!$C$2:$C$361,MATCH($Q321,Геокодування!$B$2:$B$361,0))-50.5884)+ABS(INDEX(Геокодування!$D$2:$D$361,MATCH($Q321,Геокодування!$B$2:$B$361,0))-32.3876)&gt;0.15,"",INDEX(Геокодування!$D$2:$D$361,MATCH($Q321,Геокодування!$B$2:$B$361,0))),IFERROR(IF(ABS(INDEX(Геокодування!$C$2:$C$361,MATCH("Прилуки, Чернігівська обл., "&amp;$A321,Геокодування!$B$2:$B$361,0))-50.5884)+ABS(INDEX(Геокодування!$D$2:$D$361,MATCH("Прилуки, Чернігівська обл., "&amp;$A321,Геокодування!$B$2:$B$361,0))-32.3876)&gt;0.15,"",INDEX(Геокодування!$D$2:$D$361,MATCH("Прилуки, Чернігівська обл., "&amp;$A321,Геокодування!$B$2:$B$361,0))),""))))</f>
        <v>32.383752999999999</v>
      </c>
      <c r="T321" s="44" t="str">
        <f>IF($O321="","",IFERROR(INDEX('Координати майданчиків'!$B$4:$B$64,MATCH($A321&amp;IF($P321="","",", "&amp;$P321),'Координати майданчиків'!$B$4:$B$64,0)),IFERROR(INDEX('Координати майданчиків'!$B$4:$B$64,MATCH($A321,'Координати майданчиків'!$B$4:$B$64,0)),"")))</f>
        <v/>
      </c>
    </row>
    <row r="322" spans="1:20" x14ac:dyDescent="0.35">
      <c r="A322" s="26" t="str">
        <f t="shared" si="12"/>
        <v>вул. П. Дорошенка</v>
      </c>
      <c r="B322" s="26" t="str">
        <f t="shared" si="13"/>
        <v>11,16  20,39</v>
      </c>
      <c r="C322" s="27" t="str" cm="1">
        <f t="array" ref="C322">IF($O322="","",_xlfn.TEXTJOIN(", ",TRUE,IF(EXACT('Дані_зв''язок'!$J$4:$J$1012,$O322)*('Дані_зв''язок'!$C$4:$C$1012=C$4),'Дані_зв''язок'!$D$4:$D$1012,"")))</f>
        <v/>
      </c>
      <c r="D322" s="27" t="str" cm="1">
        <f t="array" ref="D322">IF($O322="","",_xlfn.TEXTJOIN(", ",TRUE,IF(EXACT('Дані_зв''язок'!$J$4:$J$1012,$O322)*('Дані_зв''язок'!$C$4:$C$1012=D$4),'Дані_зв''язок'!$D$4:$D$1012,"")))</f>
        <v>9:10</v>
      </c>
      <c r="E322" s="27" t="str" cm="1">
        <f t="array" ref="E322">IF($O322="","",_xlfn.TEXTJOIN(", ",TRUE,IF(EXACT('Дані_зв''язок'!$J$4:$J$1012,$O322)*('Дані_зв''язок'!$C$4:$C$1012=E$4),'Дані_зв''язок'!$D$4:$D$1012,"")))</f>
        <v/>
      </c>
      <c r="F322" s="27" t="str" cm="1">
        <f t="array" ref="F322">IF($O322="","",_xlfn.TEXTJOIN(", ",TRUE,IF(EXACT('Дані_зв''язок'!$J$4:$J$1012,$O322)*('Дані_зв''язок'!$C$4:$C$1012=F$4),'Дані_зв''язок'!$D$4:$D$1012,"")))</f>
        <v/>
      </c>
      <c r="G322" s="27" t="str" cm="1">
        <f t="array" ref="G322">IF($O322="","",_xlfn.TEXTJOIN(", ",TRUE,IF(EXACT('Дані_зв''язок'!$J$4:$J$1012,$O322)*('Дані_зв''язок'!$C$4:$C$1012=G$4),'Дані_зв''язок'!$D$4:$D$1012,"")))</f>
        <v/>
      </c>
      <c r="H322" s="27" t="str" cm="1">
        <f t="array" ref="H322">IF($O322="","",_xlfn.TEXTJOIN(", ",TRUE,IF(EXACT('Дані_зв''язок'!$J$4:$J$1012,$O322)*('Дані_зв''язок'!$C$4:$C$1012=H$4),'Дані_зв''язок'!$D$4:$D$1012,"")))</f>
        <v/>
      </c>
      <c r="I322" s="27" t="str" cm="1">
        <f t="array" ref="I322">IF($O322="","",_xlfn.TEXTJOIN(", ",TRUE,IF(EXACT('Дані_зв''язок'!$J$4:$J$1012,$O322)*('Дані_зв''язок'!$C$4:$C$1012=I$4),'Дані_зв''язок'!$D$4:$D$1012,"")))</f>
        <v/>
      </c>
      <c r="J322" s="27" cm="1">
        <f t="array" ref="J322">IF($O322="","",COUNTIF(C322:I322,"?*")+SUMPRODUCT(LEN(C322:I322)-LEN(SUBSTITUTE(C322:I322,",",""))))</f>
        <v>1</v>
      </c>
      <c r="K322" s="28" t="str" cm="1">
        <f t="array" ref="K322">IF($O322="","",_xlfn.TEXTJOIN(", ",TRUE,IF(EXACT('Дані_зв''язок'!$J$4:$J$1012,$O322),'Дані_зв''язок'!$L$4:$L$1012,"")))</f>
        <v>№6</v>
      </c>
      <c r="L322" s="28" t="str" cm="1">
        <f t="array" ref="L322">IF($O322="","",_xlfn.TEXTJOIN(", ",TRUE,IF(EXACT('Дані_зв''язок'!$J$4:$J$1012,$O322),'Дані_зв''язок'!$M$4:$M$1012,"")))</f>
        <v>АТ 4021</v>
      </c>
      <c r="M322" s="27" t="str" cm="1">
        <f t="array" ref="M322">IF($O322="","",IF(SUMPRODUCT(MAX(EXACT('Дані_зв''язок'!$J$4:$J$1012,$O322)*IFERROR('Дані_зв''язок'!$H$4:$H$1012,0)))=0,"",SUMPRODUCT(MAX(EXACT('Дані_зв''язок'!$J$4:$J$1012,$O322)*IFERROR('Дані_зв''язок'!$H$4:$H$1012,0)))))</f>
        <v/>
      </c>
      <c r="O322" s="30" t="s">
        <v>1441</v>
      </c>
      <c r="P322" s="24" cm="1">
        <f t="array" ref="P322">IF($O322="","",IF($B322="","",IFERROR(IF(MIN(IFERROR(VALUE(TRIM(MID(SUBSTITUTE(SUBSTITUTE($B322,","," ")," ",REPT(" ",30)),{1;31;61;91;121;151;181},30))),""))=0,"",MIN(IFERROR(VALUE(TRIM(MID(SUBSTITUTE(SUBSTITUTE($B322,","," ")," ",REPT(" ",30)),{1;31;61;91;121;151;181},30))),""))),"")))</f>
        <v>11</v>
      </c>
      <c r="Q322" s="23" t="str">
        <f t="shared" si="14"/>
        <v>Прилуки, Чернігівська обл., вул. П. Дорошенка, 11</v>
      </c>
      <c r="R322" s="35">
        <f>IF($O322="","",IFERROR(INDEX('Координати майданчиків'!$H$4:$H$64,MATCH($T322,'Координати майданчиків'!$B$4:$B$64,0)),IFERROR(IF(ABS(INDEX(Геокодування!$C$2:$C$361,MATCH($Q322,Геокодування!$B$2:$B$361,0))-50.5884)+ABS(INDEX(Геокодування!$D$2:$D$361,MATCH($Q322,Геокодування!$B$2:$B$361,0))-32.3876)&gt;0.15,"",INDEX(Геокодування!$C$2:$C$361,MATCH($Q322,Геокодування!$B$2:$B$361,0))),IFERROR(IF(ABS(INDEX(Геокодування!$C$2:$C$361,MATCH("Прилуки, Чернігівська обл., "&amp;$A322,Геокодування!$B$2:$B$361,0))-50.5884)+ABS(INDEX(Геокодування!$D$2:$D$361,MATCH("Прилуки, Чернігівська обл., "&amp;$A322,Геокодування!$B$2:$B$361,0))-32.3876)&gt;0.15,"",INDEX(Геокодування!$C$2:$C$361,MATCH("Прилуки, Чернігівська обл., "&amp;$A322,Геокодування!$B$2:$B$361,0))),""))))</f>
        <v>50.610722000000003</v>
      </c>
      <c r="S322" s="43">
        <f>IF($O322="","",IFERROR(INDEX('Координати майданчиків'!$I$4:$I$64,MATCH($T322,'Координати майданчиків'!$B$4:$B$64,0)),IFERROR(IF(ABS(INDEX(Геокодування!$C$2:$C$361,MATCH($Q322,Геокодування!$B$2:$B$361,0))-50.5884)+ABS(INDEX(Геокодування!$D$2:$D$361,MATCH($Q322,Геокодування!$B$2:$B$361,0))-32.3876)&gt;0.15,"",INDEX(Геокодування!$D$2:$D$361,MATCH($Q322,Геокодування!$B$2:$B$361,0))),IFERROR(IF(ABS(INDEX(Геокодування!$C$2:$C$361,MATCH("Прилуки, Чернігівська обл., "&amp;$A322,Геокодування!$B$2:$B$361,0))-50.5884)+ABS(INDEX(Геокодування!$D$2:$D$361,MATCH("Прилуки, Чернігівська обл., "&amp;$A322,Геокодування!$B$2:$B$361,0))-32.3876)&gt;0.15,"",INDEX(Геокодування!$D$2:$D$361,MATCH("Прилуки, Чернігівська обл., "&amp;$A322,Геокодування!$B$2:$B$361,0))),""))))</f>
        <v>32.388103999999998</v>
      </c>
      <c r="T322" s="44" t="str">
        <f>IF($O322="","",IFERROR(INDEX('Координати майданчиків'!$B$4:$B$64,MATCH($A322&amp;IF($P322="","",", "&amp;$P322),'Координати майданчиків'!$B$4:$B$64,0)),IFERROR(INDEX('Координати майданчиків'!$B$4:$B$64,MATCH($A322,'Координати майданчиків'!$B$4:$B$64,0)),"")))</f>
        <v/>
      </c>
    </row>
    <row r="323" spans="1:20" x14ac:dyDescent="0.35">
      <c r="A323" s="26" t="str">
        <f t="shared" si="12"/>
        <v>вул. П. Орлика</v>
      </c>
      <c r="B323" s="26" t="str">
        <f t="shared" si="13"/>
        <v/>
      </c>
      <c r="C323" s="27" t="str" cm="1">
        <f t="array" ref="C323">IF($O323="","",_xlfn.TEXTJOIN(", ",TRUE,IF(EXACT('Дані_зв''язок'!$J$4:$J$1012,$O323)*('Дані_зв''язок'!$C$4:$C$1012=C$4),'Дані_зв''язок'!$D$4:$D$1012,"")))</f>
        <v/>
      </c>
      <c r="D323" s="27" t="str" cm="1">
        <f t="array" ref="D323">IF($O323="","",_xlfn.TEXTJOIN(", ",TRUE,IF(EXACT('Дані_зв''язок'!$J$4:$J$1012,$O323)*('Дані_зв''язок'!$C$4:$C$1012=D$4),'Дані_зв''язок'!$D$4:$D$1012,"")))</f>
        <v/>
      </c>
      <c r="E323" s="27" t="str" cm="1">
        <f t="array" ref="E323">IF($O323="","",_xlfn.TEXTJOIN(", ",TRUE,IF(EXACT('Дані_зв''язок'!$J$4:$J$1012,$O323)*('Дані_зв''язок'!$C$4:$C$1012=E$4),'Дані_зв''язок'!$D$4:$D$1012,"")))</f>
        <v/>
      </c>
      <c r="F323" s="27" t="str" cm="1">
        <f t="array" ref="F323">IF($O323="","",_xlfn.TEXTJOIN(", ",TRUE,IF(EXACT('Дані_зв''язок'!$J$4:$J$1012,$O323)*('Дані_зв''язок'!$C$4:$C$1012=F$4),'Дані_зв''язок'!$D$4:$D$1012,"")))</f>
        <v/>
      </c>
      <c r="G323" s="27" t="str" cm="1">
        <f t="array" ref="G323">IF($O323="","",_xlfn.TEXTJOIN(", ",TRUE,IF(EXACT('Дані_зв''язок'!$J$4:$J$1012,$O323)*('Дані_зв''язок'!$C$4:$C$1012=G$4),'Дані_зв''язок'!$D$4:$D$1012,"")))</f>
        <v>10:35</v>
      </c>
      <c r="H323" s="27" t="str" cm="1">
        <f t="array" ref="H323">IF($O323="","",_xlfn.TEXTJOIN(", ",TRUE,IF(EXACT('Дані_зв''язок'!$J$4:$J$1012,$O323)*('Дані_зв''язок'!$C$4:$C$1012=H$4),'Дані_зв''язок'!$D$4:$D$1012,"")))</f>
        <v/>
      </c>
      <c r="I323" s="27" t="str" cm="1">
        <f t="array" ref="I323">IF($O323="","",_xlfn.TEXTJOIN(", ",TRUE,IF(EXACT('Дані_зв''язок'!$J$4:$J$1012,$O323)*('Дані_зв''язок'!$C$4:$C$1012=I$4),'Дані_зв''язок'!$D$4:$D$1012,"")))</f>
        <v/>
      </c>
      <c r="J323" s="27" cm="1">
        <f t="array" ref="J323">IF($O323="","",COUNTIF(C323:I323,"?*")+SUMPRODUCT(LEN(C323:I323)-LEN(SUBSTITUTE(C323:I323,",",""))))</f>
        <v>1</v>
      </c>
      <c r="K323" s="28" t="str" cm="1">
        <f t="array" ref="K323">IF($O323="","",_xlfn.TEXTJOIN(", ",TRUE,IF(EXACT('Дані_зв''язок'!$J$4:$J$1012,$O323),'Дані_зв''язок'!$L$4:$L$1012,"")))</f>
        <v>№5</v>
      </c>
      <c r="L323" s="28" t="str" cm="1">
        <f t="array" ref="L323">IF($O323="","",_xlfn.TEXTJOIN(", ",TRUE,IF(EXACT('Дані_зв''язок'!$J$4:$J$1012,$O323),'Дані_зв''язок'!$M$4:$M$1012,"")))</f>
        <v>МАЗ 4381</v>
      </c>
      <c r="M323" s="27" t="str" cm="1">
        <f t="array" ref="M323">IF($O323="","",IF(SUMPRODUCT(MAX(EXACT('Дані_зв''язок'!$J$4:$J$1012,$O323)*IFERROR('Дані_зв''язок'!$H$4:$H$1012,0)))=0,"",SUMPRODUCT(MAX(EXACT('Дані_зв''язок'!$J$4:$J$1012,$O323)*IFERROR('Дані_зв''язок'!$H$4:$H$1012,0)))))</f>
        <v/>
      </c>
      <c r="O323" s="30" t="s">
        <v>1442</v>
      </c>
      <c r="P323" s="24" t="str" cm="1">
        <f t="array" ref="P323">IF($O323="","",IF($B323="","",IFERROR(IF(MIN(IFERROR(VALUE(TRIM(MID(SUBSTITUTE(SUBSTITUTE($B323,","," ")," ",REPT(" ",30)),{1;31;61;91;121;151;181},30))),""))=0,"",MIN(IFERROR(VALUE(TRIM(MID(SUBSTITUTE(SUBSTITUTE($B323,","," ")," ",REPT(" ",30)),{1;31;61;91;121;151;181},30))),""))),"")))</f>
        <v/>
      </c>
      <c r="Q323" s="23" t="str">
        <f t="shared" si="14"/>
        <v>Прилуки, Чернігівська обл., вул. П. Орлика</v>
      </c>
      <c r="R323" s="35">
        <f>IF($O323="","",IFERROR(INDEX('Координати майданчиків'!$H$4:$H$64,MATCH($T323,'Координати майданчиків'!$B$4:$B$64,0)),IFERROR(IF(ABS(INDEX(Геокодування!$C$2:$C$361,MATCH($Q323,Геокодування!$B$2:$B$361,0))-50.5884)+ABS(INDEX(Геокодування!$D$2:$D$361,MATCH($Q323,Геокодування!$B$2:$B$361,0))-32.3876)&gt;0.15,"",INDEX(Геокодування!$C$2:$C$361,MATCH($Q323,Геокодування!$B$2:$B$361,0))),IFERROR(IF(ABS(INDEX(Геокодування!$C$2:$C$361,MATCH("Прилуки, Чернігівська обл., "&amp;$A323,Геокодування!$B$2:$B$361,0))-50.5884)+ABS(INDEX(Геокодування!$D$2:$D$361,MATCH("Прилуки, Чернігівська обл., "&amp;$A323,Геокодування!$B$2:$B$361,0))-32.3876)&gt;0.15,"",INDEX(Геокодування!$C$2:$C$361,MATCH("Прилуки, Чернігівська обл., "&amp;$A323,Геокодування!$B$2:$B$361,0))),""))))</f>
        <v>50.579248</v>
      </c>
      <c r="S323" s="43">
        <f>IF($O323="","",IFERROR(INDEX('Координати майданчиків'!$I$4:$I$64,MATCH($T323,'Координати майданчиків'!$B$4:$B$64,0)),IFERROR(IF(ABS(INDEX(Геокодування!$C$2:$C$361,MATCH($Q323,Геокодування!$B$2:$B$361,0))-50.5884)+ABS(INDEX(Геокодування!$D$2:$D$361,MATCH($Q323,Геокодування!$B$2:$B$361,0))-32.3876)&gt;0.15,"",INDEX(Геокодування!$D$2:$D$361,MATCH($Q323,Геокодування!$B$2:$B$361,0))),IFERROR(IF(ABS(INDEX(Геокодування!$C$2:$C$361,MATCH("Прилуки, Чернігівська обл., "&amp;$A323,Геокодування!$B$2:$B$361,0))-50.5884)+ABS(INDEX(Геокодування!$D$2:$D$361,MATCH("Прилуки, Чернігівська обл., "&amp;$A323,Геокодування!$B$2:$B$361,0))-32.3876)&gt;0.15,"",INDEX(Геокодування!$D$2:$D$361,MATCH("Прилуки, Чернігівська обл., "&amp;$A323,Геокодування!$B$2:$B$361,0))),""))))</f>
        <v>32.380265000000001</v>
      </c>
      <c r="T323" s="44" t="str">
        <f>IF($O323="","",IFERROR(INDEX('Координати майданчиків'!$B$4:$B$64,MATCH($A323&amp;IF($P323="","",", "&amp;$P323),'Координати майданчиків'!$B$4:$B$64,0)),IFERROR(INDEX('Координати майданчиків'!$B$4:$B$64,MATCH($A323,'Координати майданчиків'!$B$4:$B$64,0)),"")))</f>
        <v/>
      </c>
    </row>
    <row r="324" spans="1:20" x14ac:dyDescent="0.35">
      <c r="A324" s="26" t="str">
        <f t="shared" si="12"/>
        <v>вул. П. Сагайдачного</v>
      </c>
      <c r="B324" s="26" t="str">
        <f t="shared" si="13"/>
        <v/>
      </c>
      <c r="C324" s="27" t="str" cm="1">
        <f t="array" ref="C324">IF($O324="","",_xlfn.TEXTJOIN(", ",TRUE,IF(EXACT('Дані_зв''язок'!$J$4:$J$1012,$O324)*('Дані_зв''язок'!$C$4:$C$1012=C$4),'Дані_зв''язок'!$D$4:$D$1012,"")))</f>
        <v/>
      </c>
      <c r="D324" s="27" t="str" cm="1">
        <f t="array" ref="D324">IF($O324="","",_xlfn.TEXTJOIN(", ",TRUE,IF(EXACT('Дані_зв''язок'!$J$4:$J$1012,$O324)*('Дані_зв''язок'!$C$4:$C$1012=D$4),'Дані_зв''язок'!$D$4:$D$1012,"")))</f>
        <v/>
      </c>
      <c r="E324" s="27" t="str" cm="1">
        <f t="array" ref="E324">IF($O324="","",_xlfn.TEXTJOIN(", ",TRUE,IF(EXACT('Дані_зв''язок'!$J$4:$J$1012,$O324)*('Дані_зв''язок'!$C$4:$C$1012=E$4),'Дані_зв''язок'!$D$4:$D$1012,"")))</f>
        <v>7:00</v>
      </c>
      <c r="F324" s="27" t="str" cm="1">
        <f t="array" ref="F324">IF($O324="","",_xlfn.TEXTJOIN(", ",TRUE,IF(EXACT('Дані_зв''язок'!$J$4:$J$1012,$O324)*('Дані_зв''язок'!$C$4:$C$1012=F$4),'Дані_зв''язок'!$D$4:$D$1012,"")))</f>
        <v/>
      </c>
      <c r="G324" s="27" t="str" cm="1">
        <f t="array" ref="G324">IF($O324="","",_xlfn.TEXTJOIN(", ",TRUE,IF(EXACT('Дані_зв''язок'!$J$4:$J$1012,$O324)*('Дані_зв''язок'!$C$4:$C$1012=G$4),'Дані_зв''язок'!$D$4:$D$1012,"")))</f>
        <v/>
      </c>
      <c r="H324" s="27" t="str" cm="1">
        <f t="array" ref="H324">IF($O324="","",_xlfn.TEXTJOIN(", ",TRUE,IF(EXACT('Дані_зв''язок'!$J$4:$J$1012,$O324)*('Дані_зв''язок'!$C$4:$C$1012=H$4),'Дані_зв''язок'!$D$4:$D$1012,"")))</f>
        <v/>
      </c>
      <c r="I324" s="27" t="str" cm="1">
        <f t="array" ref="I324">IF($O324="","",_xlfn.TEXTJOIN(", ",TRUE,IF(EXACT('Дані_зв''язок'!$J$4:$J$1012,$O324)*('Дані_зв''язок'!$C$4:$C$1012=I$4),'Дані_зв''язок'!$D$4:$D$1012,"")))</f>
        <v/>
      </c>
      <c r="J324" s="27" cm="1">
        <f t="array" ref="J324">IF($O324="","",COUNTIF(C324:I324,"?*")+SUMPRODUCT(LEN(C324:I324)-LEN(SUBSTITUTE(C324:I324,",",""))))</f>
        <v>1</v>
      </c>
      <c r="K324" s="28" t="str" cm="1">
        <f t="array" ref="K324">IF($O324="","",_xlfn.TEXTJOIN(", ",TRUE,IF(EXACT('Дані_зв''язок'!$J$4:$J$1012,$O324),'Дані_зв''язок'!$L$4:$L$1012,"")))</f>
        <v>№5</v>
      </c>
      <c r="L324" s="28" t="str" cm="1">
        <f t="array" ref="L324">IF($O324="","",_xlfn.TEXTJOIN(", ",TRUE,IF(EXACT('Дані_зв''язок'!$J$4:$J$1012,$O324),'Дані_зв''язок'!$M$4:$M$1012,"")))</f>
        <v>МАЗ 4381</v>
      </c>
      <c r="M324" s="27" t="str" cm="1">
        <f t="array" ref="M324">IF($O324="","",IF(SUMPRODUCT(MAX(EXACT('Дані_зв''язок'!$J$4:$J$1012,$O324)*IFERROR('Дані_зв''язок'!$H$4:$H$1012,0)))=0,"",SUMPRODUCT(MAX(EXACT('Дані_зв''язок'!$J$4:$J$1012,$O324)*IFERROR('Дані_зв''язок'!$H$4:$H$1012,0)))))</f>
        <v/>
      </c>
      <c r="O324" s="30" t="s">
        <v>1443</v>
      </c>
      <c r="P324" s="24" t="str" cm="1">
        <f t="array" ref="P324">IF($O324="","",IF($B324="","",IFERROR(IF(MIN(IFERROR(VALUE(TRIM(MID(SUBSTITUTE(SUBSTITUTE($B324,","," ")," ",REPT(" ",30)),{1;31;61;91;121;151;181},30))),""))=0,"",MIN(IFERROR(VALUE(TRIM(MID(SUBSTITUTE(SUBSTITUTE($B324,","," ")," ",REPT(" ",30)),{1;31;61;91;121;151;181},30))),""))),"")))</f>
        <v/>
      </c>
      <c r="Q324" s="23" t="str">
        <f t="shared" si="14"/>
        <v>Прилуки, Чернігівська обл., вул. П. Сагайдачного</v>
      </c>
      <c r="R324" s="35">
        <f>IF($O324="","",IFERROR(INDEX('Координати майданчиків'!$H$4:$H$64,MATCH($T324,'Координати майданчиків'!$B$4:$B$64,0)),IFERROR(IF(ABS(INDEX(Геокодування!$C$2:$C$361,MATCH($Q324,Геокодування!$B$2:$B$361,0))-50.5884)+ABS(INDEX(Геокодування!$D$2:$D$361,MATCH($Q324,Геокодування!$B$2:$B$361,0))-32.3876)&gt;0.15,"",INDEX(Геокодування!$C$2:$C$361,MATCH($Q324,Геокодування!$B$2:$B$361,0))),IFERROR(IF(ABS(INDEX(Геокодування!$C$2:$C$361,MATCH("Прилуки, Чернігівська обл., "&amp;$A324,Геокодування!$B$2:$B$361,0))-50.5884)+ABS(INDEX(Геокодування!$D$2:$D$361,MATCH("Прилуки, Чернігівська обл., "&amp;$A324,Геокодування!$B$2:$B$361,0))-32.3876)&gt;0.15,"",INDEX(Геокодування!$C$2:$C$361,MATCH("Прилуки, Чернігівська обл., "&amp;$A324,Геокодування!$B$2:$B$361,0))),""))))</f>
        <v>50.583993</v>
      </c>
      <c r="S324" s="43">
        <f>IF($O324="","",IFERROR(INDEX('Координати майданчиків'!$I$4:$I$64,MATCH($T324,'Координати майданчиків'!$B$4:$B$64,0)),IFERROR(IF(ABS(INDEX(Геокодування!$C$2:$C$361,MATCH($Q324,Геокодування!$B$2:$B$361,0))-50.5884)+ABS(INDEX(Геокодування!$D$2:$D$361,MATCH($Q324,Геокодування!$B$2:$B$361,0))-32.3876)&gt;0.15,"",INDEX(Геокодування!$D$2:$D$361,MATCH($Q324,Геокодування!$B$2:$B$361,0))),IFERROR(IF(ABS(INDEX(Геокодування!$C$2:$C$361,MATCH("Прилуки, Чернігівська обл., "&amp;$A324,Геокодування!$B$2:$B$361,0))-50.5884)+ABS(INDEX(Геокодування!$D$2:$D$361,MATCH("Прилуки, Чернігівська обл., "&amp;$A324,Геокодування!$B$2:$B$361,0))-32.3876)&gt;0.15,"",INDEX(Геокодування!$D$2:$D$361,MATCH("Прилуки, Чернігівська обл., "&amp;$A324,Геокодування!$B$2:$B$361,0))),""))))</f>
        <v>32.377982000000003</v>
      </c>
      <c r="T324" s="44" t="str">
        <f>IF($O324="","",IFERROR(INDEX('Координати майданчиків'!$B$4:$B$64,MATCH($A324&amp;IF($P324="","",", "&amp;$P324),'Координати майданчиків'!$B$4:$B$64,0)),IFERROR(INDEX('Координати майданчиків'!$B$4:$B$64,MATCH($A324,'Координати майданчиків'!$B$4:$B$64,0)),"")))</f>
        <v/>
      </c>
    </row>
    <row r="325" spans="1:20" x14ac:dyDescent="0.35">
      <c r="A325" s="26" t="str">
        <f t="shared" si="12"/>
        <v>вул. Паркова</v>
      </c>
      <c r="B325" s="26" t="str">
        <f t="shared" si="13"/>
        <v/>
      </c>
      <c r="C325" s="27" t="str" cm="1">
        <f t="array" ref="C325">IF($O325="","",_xlfn.TEXTJOIN(", ",TRUE,IF(EXACT('Дані_зв''язок'!$J$4:$J$1012,$O325)*('Дані_зв''язок'!$C$4:$C$1012=C$4),'Дані_зв''язок'!$D$4:$D$1012,"")))</f>
        <v/>
      </c>
      <c r="D325" s="27" t="str" cm="1">
        <f t="array" ref="D325">IF($O325="","",_xlfn.TEXTJOIN(", ",TRUE,IF(EXACT('Дані_зв''язок'!$J$4:$J$1012,$O325)*('Дані_зв''язок'!$C$4:$C$1012=D$4),'Дані_зв''язок'!$D$4:$D$1012,"")))</f>
        <v>9:20</v>
      </c>
      <c r="E325" s="27" t="str" cm="1">
        <f t="array" ref="E325">IF($O325="","",_xlfn.TEXTJOIN(", ",TRUE,IF(EXACT('Дані_зв''язок'!$J$4:$J$1012,$O325)*('Дані_зв''язок'!$C$4:$C$1012=E$4),'Дані_зв''язок'!$D$4:$D$1012,"")))</f>
        <v/>
      </c>
      <c r="F325" s="27" t="str" cm="1">
        <f t="array" ref="F325">IF($O325="","",_xlfn.TEXTJOIN(", ",TRUE,IF(EXACT('Дані_зв''язок'!$J$4:$J$1012,$O325)*('Дані_зв''язок'!$C$4:$C$1012=F$4),'Дані_зв''язок'!$D$4:$D$1012,"")))</f>
        <v/>
      </c>
      <c r="G325" s="27" t="str" cm="1">
        <f t="array" ref="G325">IF($O325="","",_xlfn.TEXTJOIN(", ",TRUE,IF(EXACT('Дані_зв''язок'!$J$4:$J$1012,$O325)*('Дані_зв''язок'!$C$4:$C$1012=G$4),'Дані_зв''язок'!$D$4:$D$1012,"")))</f>
        <v/>
      </c>
      <c r="H325" s="27" t="str" cm="1">
        <f t="array" ref="H325">IF($O325="","",_xlfn.TEXTJOIN(", ",TRUE,IF(EXACT('Дані_зв''язок'!$J$4:$J$1012,$O325)*('Дані_зв''язок'!$C$4:$C$1012=H$4),'Дані_зв''язок'!$D$4:$D$1012,"")))</f>
        <v/>
      </c>
      <c r="I325" s="27" t="str" cm="1">
        <f t="array" ref="I325">IF($O325="","",_xlfn.TEXTJOIN(", ",TRUE,IF(EXACT('Дані_зв''язок'!$J$4:$J$1012,$O325)*('Дані_зв''язок'!$C$4:$C$1012=I$4),'Дані_зв''язок'!$D$4:$D$1012,"")))</f>
        <v/>
      </c>
      <c r="J325" s="27" cm="1">
        <f t="array" ref="J325">IF($O325="","",COUNTIF(C325:I325,"?*")+SUMPRODUCT(LEN(C325:I325)-LEN(SUBSTITUTE(C325:I325,",",""))))</f>
        <v>1</v>
      </c>
      <c r="K325" s="28" t="str" cm="1">
        <f t="array" ref="K325">IF($O325="","",_xlfn.TEXTJOIN(", ",TRUE,IF(EXACT('Дані_зв''язок'!$J$4:$J$1012,$O325),'Дані_зв''язок'!$L$4:$L$1012,"")))</f>
        <v>№5</v>
      </c>
      <c r="L325" s="28" t="str" cm="1">
        <f t="array" ref="L325">IF($O325="","",_xlfn.TEXTJOIN(", ",TRUE,IF(EXACT('Дані_зв''язок'!$J$4:$J$1012,$O325),'Дані_зв''язок'!$M$4:$M$1012,"")))</f>
        <v>МАЗ 4381</v>
      </c>
      <c r="M325" s="27" t="str" cm="1">
        <f t="array" ref="M325">IF($O325="","",IF(SUMPRODUCT(MAX(EXACT('Дані_зв''язок'!$J$4:$J$1012,$O325)*IFERROR('Дані_зв''язок'!$H$4:$H$1012,0)))=0,"",SUMPRODUCT(MAX(EXACT('Дані_зв''язок'!$J$4:$J$1012,$O325)*IFERROR('Дані_зв''язок'!$H$4:$H$1012,0)))))</f>
        <v/>
      </c>
      <c r="O325" s="30" t="s">
        <v>1444</v>
      </c>
      <c r="P325" s="24" t="str" cm="1">
        <f t="array" ref="P325">IF($O325="","",IF($B325="","",IFERROR(IF(MIN(IFERROR(VALUE(TRIM(MID(SUBSTITUTE(SUBSTITUTE($B325,","," ")," ",REPT(" ",30)),{1;31;61;91;121;151;181},30))),""))=0,"",MIN(IFERROR(VALUE(TRIM(MID(SUBSTITUTE(SUBSTITUTE($B325,","," ")," ",REPT(" ",30)),{1;31;61;91;121;151;181},30))),""))),"")))</f>
        <v/>
      </c>
      <c r="Q325" s="23" t="str">
        <f t="shared" si="14"/>
        <v>Прилуки, Чернігівська обл., вул. Паркова</v>
      </c>
      <c r="R325" s="35">
        <f>IF($O325="","",IFERROR(INDEX('Координати майданчиків'!$H$4:$H$64,MATCH($T325,'Координати майданчиків'!$B$4:$B$64,0)),IFERROR(IF(ABS(INDEX(Геокодування!$C$2:$C$361,MATCH($Q325,Геокодування!$B$2:$B$361,0))-50.5884)+ABS(INDEX(Геокодування!$D$2:$D$361,MATCH($Q325,Геокодування!$B$2:$B$361,0))-32.3876)&gt;0.15,"",INDEX(Геокодування!$C$2:$C$361,MATCH($Q325,Геокодування!$B$2:$B$361,0))),IFERROR(IF(ABS(INDEX(Геокодування!$C$2:$C$361,MATCH("Прилуки, Чернігівська обл., "&amp;$A325,Геокодування!$B$2:$B$361,0))-50.5884)+ABS(INDEX(Геокодування!$D$2:$D$361,MATCH("Прилуки, Чернігівська обл., "&amp;$A325,Геокодування!$B$2:$B$361,0))-32.3876)&gt;0.15,"",INDEX(Геокодування!$C$2:$C$361,MATCH("Прилуки, Чернігівська обл., "&amp;$A325,Геокодування!$B$2:$B$361,0))),""))))</f>
        <v>50.574233999999997</v>
      </c>
      <c r="S325" s="43">
        <f>IF($O325="","",IFERROR(INDEX('Координати майданчиків'!$I$4:$I$64,MATCH($T325,'Координати майданчиків'!$B$4:$B$64,0)),IFERROR(IF(ABS(INDEX(Геокодування!$C$2:$C$361,MATCH($Q325,Геокодування!$B$2:$B$361,0))-50.5884)+ABS(INDEX(Геокодування!$D$2:$D$361,MATCH($Q325,Геокодування!$B$2:$B$361,0))-32.3876)&gt;0.15,"",INDEX(Геокодування!$D$2:$D$361,MATCH($Q325,Геокодування!$B$2:$B$361,0))),IFERROR(IF(ABS(INDEX(Геокодування!$C$2:$C$361,MATCH("Прилуки, Чернігівська обл., "&amp;$A325,Геокодування!$B$2:$B$361,0))-50.5884)+ABS(INDEX(Геокодування!$D$2:$D$361,MATCH("Прилуки, Чернігівська обл., "&amp;$A325,Геокодування!$B$2:$B$361,0))-32.3876)&gt;0.15,"",INDEX(Геокодування!$D$2:$D$361,MATCH("Прилуки, Чернігівська обл., "&amp;$A325,Геокодування!$B$2:$B$361,0))),""))))</f>
        <v>32.401491</v>
      </c>
      <c r="T325" s="44" t="str">
        <f>IF($O325="","",IFERROR(INDEX('Координати майданчиків'!$B$4:$B$64,MATCH($A325&amp;IF($P325="","",", "&amp;$P325),'Координати майданчиків'!$B$4:$B$64,0)),IFERROR(INDEX('Координати майданчиків'!$B$4:$B$64,MATCH($A325,'Координати майданчиків'!$B$4:$B$64,0)),"")))</f>
        <v/>
      </c>
    </row>
    <row r="326" spans="1:20" x14ac:dyDescent="0.35">
      <c r="A326" s="26" t="str">
        <f t="shared" ref="A326:A389" si="15">IF($O326="","",LEFT($O326,FIND("|",$O326)-1))</f>
        <v>вул. Партизанська</v>
      </c>
      <c r="B326" s="26" t="str">
        <f t="shared" ref="B326:B389" si="16">IF($O326="","",MID($O326,FIND("|",$O326)+1,999))</f>
        <v/>
      </c>
      <c r="C326" s="27" t="str" cm="1">
        <f t="array" ref="C326">IF($O326="","",_xlfn.TEXTJOIN(", ",TRUE,IF(EXACT('Дані_зв''язок'!$J$4:$J$1012,$O326)*('Дані_зв''язок'!$C$4:$C$1012=C$4),'Дані_зв''язок'!$D$4:$D$1012,"")))</f>
        <v/>
      </c>
      <c r="D326" s="27" t="str" cm="1">
        <f t="array" ref="D326">IF($O326="","",_xlfn.TEXTJOIN(", ",TRUE,IF(EXACT('Дані_зв''язок'!$J$4:$J$1012,$O326)*('Дані_зв''язок'!$C$4:$C$1012=D$4),'Дані_зв''язок'!$D$4:$D$1012,"")))</f>
        <v/>
      </c>
      <c r="E326" s="27" t="str" cm="1">
        <f t="array" ref="E326">IF($O326="","",_xlfn.TEXTJOIN(", ",TRUE,IF(EXACT('Дані_зв''язок'!$J$4:$J$1012,$O326)*('Дані_зв''язок'!$C$4:$C$1012=E$4),'Дані_зв''язок'!$D$4:$D$1012,"")))</f>
        <v>13:15</v>
      </c>
      <c r="F326" s="27" t="str" cm="1">
        <f t="array" ref="F326">IF($O326="","",_xlfn.TEXTJOIN(", ",TRUE,IF(EXACT('Дані_зв''язок'!$J$4:$J$1012,$O326)*('Дані_зв''язок'!$C$4:$C$1012=F$4),'Дані_зв''язок'!$D$4:$D$1012,"")))</f>
        <v/>
      </c>
      <c r="G326" s="27" t="str" cm="1">
        <f t="array" ref="G326">IF($O326="","",_xlfn.TEXTJOIN(", ",TRUE,IF(EXACT('Дані_зв''язок'!$J$4:$J$1012,$O326)*('Дані_зв''язок'!$C$4:$C$1012=G$4),'Дані_зв''язок'!$D$4:$D$1012,"")))</f>
        <v/>
      </c>
      <c r="H326" s="27" t="str" cm="1">
        <f t="array" ref="H326">IF($O326="","",_xlfn.TEXTJOIN(", ",TRUE,IF(EXACT('Дані_зв''язок'!$J$4:$J$1012,$O326)*('Дані_зв''язок'!$C$4:$C$1012=H$4),'Дані_зв''язок'!$D$4:$D$1012,"")))</f>
        <v/>
      </c>
      <c r="I326" s="27" t="str" cm="1">
        <f t="array" ref="I326">IF($O326="","",_xlfn.TEXTJOIN(", ",TRUE,IF(EXACT('Дані_зв''язок'!$J$4:$J$1012,$O326)*('Дані_зв''язок'!$C$4:$C$1012=I$4),'Дані_зв''язок'!$D$4:$D$1012,"")))</f>
        <v/>
      </c>
      <c r="J326" s="27" cm="1">
        <f t="array" ref="J326">IF($O326="","",COUNTIF(C326:I326,"?*")+SUMPRODUCT(LEN(C326:I326)-LEN(SUBSTITUTE(C326:I326,",",""))))</f>
        <v>1</v>
      </c>
      <c r="K326" s="28" t="str" cm="1">
        <f t="array" ref="K326">IF($O326="","",_xlfn.TEXTJOIN(", ",TRUE,IF(EXACT('Дані_зв''язок'!$J$4:$J$1012,$O326),'Дані_зв''язок'!$L$4:$L$1012,"")))</f>
        <v>№5</v>
      </c>
      <c r="L326" s="28" t="str" cm="1">
        <f t="array" ref="L326">IF($O326="","",_xlfn.TEXTJOIN(", ",TRUE,IF(EXACT('Дані_зв''язок'!$J$4:$J$1012,$O326),'Дані_зв''язок'!$M$4:$M$1012,"")))</f>
        <v>МАЗ 4381</v>
      </c>
      <c r="M326" s="27" t="str" cm="1">
        <f t="array" ref="M326">IF($O326="","",IF(SUMPRODUCT(MAX(EXACT('Дані_зв''язок'!$J$4:$J$1012,$O326)*IFERROR('Дані_зв''язок'!$H$4:$H$1012,0)))=0,"",SUMPRODUCT(MAX(EXACT('Дані_зв''язок'!$J$4:$J$1012,$O326)*IFERROR('Дані_зв''язок'!$H$4:$H$1012,0)))))</f>
        <v/>
      </c>
      <c r="O326" s="30" t="s">
        <v>1445</v>
      </c>
      <c r="P326" s="24" t="str" cm="1">
        <f t="array" ref="P326">IF($O326="","",IF($B326="","",IFERROR(IF(MIN(IFERROR(VALUE(TRIM(MID(SUBSTITUTE(SUBSTITUTE($B326,","," ")," ",REPT(" ",30)),{1;31;61;91;121;151;181},30))),""))=0,"",MIN(IFERROR(VALUE(TRIM(MID(SUBSTITUTE(SUBSTITUTE($B326,","," ")," ",REPT(" ",30)),{1;31;61;91;121;151;181},30))),""))),"")))</f>
        <v/>
      </c>
      <c r="Q326" s="23" t="str">
        <f t="shared" ref="Q326:Q389" si="17">IF($O326="","","Прилуки, Чернігівська обл., "&amp;$A326&amp;IF($P326="","",", "&amp;$P326))</f>
        <v>Прилуки, Чернігівська обл., вул. Партизанська</v>
      </c>
      <c r="R326" s="35">
        <f>IF($O326="","",IFERROR(INDEX('Координати майданчиків'!$H$4:$H$64,MATCH($T326,'Координати майданчиків'!$B$4:$B$64,0)),IFERROR(IF(ABS(INDEX(Геокодування!$C$2:$C$361,MATCH($Q326,Геокодування!$B$2:$B$361,0))-50.5884)+ABS(INDEX(Геокодування!$D$2:$D$361,MATCH($Q326,Геокодування!$B$2:$B$361,0))-32.3876)&gt;0.15,"",INDEX(Геокодування!$C$2:$C$361,MATCH($Q326,Геокодування!$B$2:$B$361,0))),IFERROR(IF(ABS(INDEX(Геокодування!$C$2:$C$361,MATCH("Прилуки, Чернігівська обл., "&amp;$A326,Геокодування!$B$2:$B$361,0))-50.5884)+ABS(INDEX(Геокодування!$D$2:$D$361,MATCH("Прилуки, Чернігівська обл., "&amp;$A326,Геокодування!$B$2:$B$361,0))-32.3876)&gt;0.15,"",INDEX(Геокодування!$C$2:$C$361,MATCH("Прилуки, Чернігівська обл., "&amp;$A326,Геокодування!$B$2:$B$361,0))),""))))</f>
        <v>50.595080000000003</v>
      </c>
      <c r="S326" s="43">
        <f>IF($O326="","",IFERROR(INDEX('Координати майданчиків'!$I$4:$I$64,MATCH($T326,'Координати майданчиків'!$B$4:$B$64,0)),IFERROR(IF(ABS(INDEX(Геокодування!$C$2:$C$361,MATCH($Q326,Геокодування!$B$2:$B$361,0))-50.5884)+ABS(INDEX(Геокодування!$D$2:$D$361,MATCH($Q326,Геокодування!$B$2:$B$361,0))-32.3876)&gt;0.15,"",INDEX(Геокодування!$D$2:$D$361,MATCH($Q326,Геокодування!$B$2:$B$361,0))),IFERROR(IF(ABS(INDEX(Геокодування!$C$2:$C$361,MATCH("Прилуки, Чернігівська обл., "&amp;$A326,Геокодування!$B$2:$B$361,0))-50.5884)+ABS(INDEX(Геокодування!$D$2:$D$361,MATCH("Прилуки, Чернігівська обл., "&amp;$A326,Геокодування!$B$2:$B$361,0))-32.3876)&gt;0.15,"",INDEX(Геокодування!$D$2:$D$361,MATCH("Прилуки, Чернігівська обл., "&amp;$A326,Геокодування!$B$2:$B$361,0))),""))))</f>
        <v>32.354626000000003</v>
      </c>
      <c r="T326" s="44" t="str">
        <f>IF($O326="","",IFERROR(INDEX('Координати майданчиків'!$B$4:$B$64,MATCH($A326&amp;IF($P326="","",", "&amp;$P326),'Координати майданчиків'!$B$4:$B$64,0)),IFERROR(INDEX('Координати майданчиків'!$B$4:$B$64,MATCH($A326,'Координати майданчиків'!$B$4:$B$64,0)),"")))</f>
        <v/>
      </c>
    </row>
    <row r="327" spans="1:20" x14ac:dyDescent="0.35">
      <c r="A327" s="26" t="str">
        <f t="shared" si="15"/>
        <v>вул. Партизанська</v>
      </c>
      <c r="B327" s="26" t="str">
        <f t="shared" si="16"/>
        <v>санстанція</v>
      </c>
      <c r="C327" s="27" t="str" cm="1">
        <f t="array" ref="C327">IF($O327="","",_xlfn.TEXTJOIN(", ",TRUE,IF(EXACT('Дані_зв''язок'!$J$4:$J$1012,$O327)*('Дані_зв''язок'!$C$4:$C$1012=C$4),'Дані_зв''язок'!$D$4:$D$1012,"")))</f>
        <v>8:20</v>
      </c>
      <c r="D327" s="27" t="str" cm="1">
        <f t="array" ref="D327">IF($O327="","",_xlfn.TEXTJOIN(", ",TRUE,IF(EXACT('Дані_зв''язок'!$J$4:$J$1012,$O327)*('Дані_зв''язок'!$C$4:$C$1012=D$4),'Дані_зв''язок'!$D$4:$D$1012,"")))</f>
        <v>8:20</v>
      </c>
      <c r="E327" s="27" t="str" cm="1">
        <f t="array" ref="E327">IF($O327="","",_xlfn.TEXTJOIN(", ",TRUE,IF(EXACT('Дані_зв''язок'!$J$4:$J$1012,$O327)*('Дані_зв''язок'!$C$4:$C$1012=E$4),'Дані_зв''язок'!$D$4:$D$1012,"")))</f>
        <v>8:20</v>
      </c>
      <c r="F327" s="27" t="str" cm="1">
        <f t="array" ref="F327">IF($O327="","",_xlfn.TEXTJOIN(", ",TRUE,IF(EXACT('Дані_зв''язок'!$J$4:$J$1012,$O327)*('Дані_зв''язок'!$C$4:$C$1012=F$4),'Дані_зв''язок'!$D$4:$D$1012,"")))</f>
        <v/>
      </c>
      <c r="G327" s="27" t="str" cm="1">
        <f t="array" ref="G327">IF($O327="","",_xlfn.TEXTJOIN(", ",TRUE,IF(EXACT('Дані_зв''язок'!$J$4:$J$1012,$O327)*('Дані_зв''язок'!$C$4:$C$1012=G$4),'Дані_зв''язок'!$D$4:$D$1012,"")))</f>
        <v>8:20</v>
      </c>
      <c r="H327" s="27" t="str" cm="1">
        <f t="array" ref="H327">IF($O327="","",_xlfn.TEXTJOIN(", ",TRUE,IF(EXACT('Дані_зв''язок'!$J$4:$J$1012,$O327)*('Дані_зв''язок'!$C$4:$C$1012=H$4),'Дані_зв''язок'!$D$4:$D$1012,"")))</f>
        <v>8:20</v>
      </c>
      <c r="I327" s="27" t="str" cm="1">
        <f t="array" ref="I327">IF($O327="","",_xlfn.TEXTJOIN(", ",TRUE,IF(EXACT('Дані_зв''язок'!$J$4:$J$1012,$O327)*('Дані_зв''язок'!$C$4:$C$1012=I$4),'Дані_зв''язок'!$D$4:$D$1012,"")))</f>
        <v/>
      </c>
      <c r="J327" s="27" cm="1">
        <f t="array" ref="J327">IF($O327="","",COUNTIF(C327:I327,"?*")+SUMPRODUCT(LEN(C327:I327)-LEN(SUBSTITUTE(C327:I327,",",""))))</f>
        <v>5</v>
      </c>
      <c r="K327" s="28" t="str" cm="1">
        <f t="array" ref="K327">IF($O327="","",_xlfn.TEXTJOIN(", ",TRUE,IF(EXACT('Дані_зв''язок'!$J$4:$J$1012,$O327),'Дані_зв''язок'!$L$4:$L$1012,"")))</f>
        <v>№1</v>
      </c>
      <c r="L327" s="28" t="str" cm="1">
        <f t="array" ref="L327">IF($O327="","",_xlfn.TEXTJOIN(", ",TRUE,IF(EXACT('Дані_зв''язок'!$J$4:$J$1012,$O327),'Дані_зв''язок'!$M$4:$M$1012,"")))</f>
        <v>КАМАЗ 55111</v>
      </c>
      <c r="M327" s="27" cm="1">
        <f t="array" ref="M327">IF($O327="","",IF(SUMPRODUCT(MAX(EXACT('Дані_зв''язок'!$J$4:$J$1012,$O327)*IFERROR('Дані_зв''язок'!$H$4:$H$1012,0)))=0,"",SUMPRODUCT(MAX(EXACT('Дані_зв''язок'!$J$4:$J$1012,$O327)*IFERROR('Дані_зв''язок'!$H$4:$H$1012,0)))))</f>
        <v>2</v>
      </c>
      <c r="O327" s="30" t="s">
        <v>1446</v>
      </c>
      <c r="P327" s="24" t="str" cm="1">
        <f t="array" ref="P327">IF($O327="","",IF($B327="","",IFERROR(IF(MIN(IFERROR(VALUE(TRIM(MID(SUBSTITUTE(SUBSTITUTE($B327,","," ")," ",REPT(" ",30)),{1;31;61;91;121;151;181},30))),""))=0,"",MIN(IFERROR(VALUE(TRIM(MID(SUBSTITUTE(SUBSTITUTE($B327,","," ")," ",REPT(" ",30)),{1;31;61;91;121;151;181},30))),""))),"")))</f>
        <v/>
      </c>
      <c r="Q327" s="23" t="str">
        <f t="shared" si="17"/>
        <v>Прилуки, Чернігівська обл., вул. Партизанська</v>
      </c>
      <c r="R327" s="35">
        <f>IF($O327="","",IFERROR(INDEX('Координати майданчиків'!$H$4:$H$64,MATCH($T327,'Координати майданчиків'!$B$4:$B$64,0)),IFERROR(IF(ABS(INDEX(Геокодування!$C$2:$C$361,MATCH($Q327,Геокодування!$B$2:$B$361,0))-50.5884)+ABS(INDEX(Геокодування!$D$2:$D$361,MATCH($Q327,Геокодування!$B$2:$B$361,0))-32.3876)&gt;0.15,"",INDEX(Геокодування!$C$2:$C$361,MATCH($Q327,Геокодування!$B$2:$B$361,0))),IFERROR(IF(ABS(INDEX(Геокодування!$C$2:$C$361,MATCH("Прилуки, Чернігівська обл., "&amp;$A327,Геокодування!$B$2:$B$361,0))-50.5884)+ABS(INDEX(Геокодування!$D$2:$D$361,MATCH("Прилуки, Чернігівська обл., "&amp;$A327,Геокодування!$B$2:$B$361,0))-32.3876)&gt;0.15,"",INDEX(Геокодування!$C$2:$C$361,MATCH("Прилуки, Чернігівська обл., "&amp;$A327,Геокодування!$B$2:$B$361,0))),""))))</f>
        <v>50.595080000000003</v>
      </c>
      <c r="S327" s="43">
        <f>IF($O327="","",IFERROR(INDEX('Координати майданчиків'!$I$4:$I$64,MATCH($T327,'Координати майданчиків'!$B$4:$B$64,0)),IFERROR(IF(ABS(INDEX(Геокодування!$C$2:$C$361,MATCH($Q327,Геокодування!$B$2:$B$361,0))-50.5884)+ABS(INDEX(Геокодування!$D$2:$D$361,MATCH($Q327,Геокодування!$B$2:$B$361,0))-32.3876)&gt;0.15,"",INDEX(Геокодування!$D$2:$D$361,MATCH($Q327,Геокодування!$B$2:$B$361,0))),IFERROR(IF(ABS(INDEX(Геокодування!$C$2:$C$361,MATCH("Прилуки, Чернігівська обл., "&amp;$A327,Геокодування!$B$2:$B$361,0))-50.5884)+ABS(INDEX(Геокодування!$D$2:$D$361,MATCH("Прилуки, Чернігівська обл., "&amp;$A327,Геокодування!$B$2:$B$361,0))-32.3876)&gt;0.15,"",INDEX(Геокодування!$D$2:$D$361,MATCH("Прилуки, Чернігівська обл., "&amp;$A327,Геокодування!$B$2:$B$361,0))),""))))</f>
        <v>32.354626000000003</v>
      </c>
      <c r="T327" s="44" t="str">
        <f>IF($O327="","",IFERROR(INDEX('Координати майданчиків'!$B$4:$B$64,MATCH($A327&amp;IF($P327="","",", "&amp;$P327),'Координати майданчиків'!$B$4:$B$64,0)),IFERROR(INDEX('Координати майданчиків'!$B$4:$B$64,MATCH($A327,'Координати майданчиків'!$B$4:$B$64,0)),"")))</f>
        <v/>
      </c>
    </row>
    <row r="328" spans="1:20" x14ac:dyDescent="0.35">
      <c r="A328" s="26" t="str">
        <f t="shared" si="15"/>
        <v>вул. Педагогічна</v>
      </c>
      <c r="B328" s="26" t="str">
        <f t="shared" si="16"/>
        <v>57,23</v>
      </c>
      <c r="C328" s="27" t="str" cm="1">
        <f t="array" ref="C328">IF($O328="","",_xlfn.TEXTJOIN(", ",TRUE,IF(EXACT('Дані_зв''язок'!$J$4:$J$1012,$O328)*('Дані_зв''язок'!$C$4:$C$1012=C$4),'Дані_зв''язок'!$D$4:$D$1012,"")))</f>
        <v/>
      </c>
      <c r="D328" s="27" t="str" cm="1">
        <f t="array" ref="D328">IF($O328="","",_xlfn.TEXTJOIN(", ",TRUE,IF(EXACT('Дані_зв''язок'!$J$4:$J$1012,$O328)*('Дані_зв''язок'!$C$4:$C$1012=D$4),'Дані_зв''язок'!$D$4:$D$1012,"")))</f>
        <v/>
      </c>
      <c r="E328" s="27" t="str" cm="1">
        <f t="array" ref="E328">IF($O328="","",_xlfn.TEXTJOIN(", ",TRUE,IF(EXACT('Дані_зв''язок'!$J$4:$J$1012,$O328)*('Дані_зв''язок'!$C$4:$C$1012=E$4),'Дані_зв''язок'!$D$4:$D$1012,"")))</f>
        <v>15:40</v>
      </c>
      <c r="F328" s="27" t="str" cm="1">
        <f t="array" ref="F328">IF($O328="","",_xlfn.TEXTJOIN(", ",TRUE,IF(EXACT('Дані_зв''язок'!$J$4:$J$1012,$O328)*('Дані_зв''язок'!$C$4:$C$1012=F$4),'Дані_зв''язок'!$D$4:$D$1012,"")))</f>
        <v/>
      </c>
      <c r="G328" s="27" t="str" cm="1">
        <f t="array" ref="G328">IF($O328="","",_xlfn.TEXTJOIN(", ",TRUE,IF(EXACT('Дані_зв''язок'!$J$4:$J$1012,$O328)*('Дані_зв''язок'!$C$4:$C$1012=G$4),'Дані_зв''язок'!$D$4:$D$1012,"")))</f>
        <v/>
      </c>
      <c r="H328" s="27" t="str" cm="1">
        <f t="array" ref="H328">IF($O328="","",_xlfn.TEXTJOIN(", ",TRUE,IF(EXACT('Дані_зв''язок'!$J$4:$J$1012,$O328)*('Дані_зв''язок'!$C$4:$C$1012=H$4),'Дані_зв''язок'!$D$4:$D$1012,"")))</f>
        <v/>
      </c>
      <c r="I328" s="27" t="str" cm="1">
        <f t="array" ref="I328">IF($O328="","",_xlfn.TEXTJOIN(", ",TRUE,IF(EXACT('Дані_зв''язок'!$J$4:$J$1012,$O328)*('Дані_зв''язок'!$C$4:$C$1012=I$4),'Дані_зв''язок'!$D$4:$D$1012,"")))</f>
        <v/>
      </c>
      <c r="J328" s="27" cm="1">
        <f t="array" ref="J328">IF($O328="","",COUNTIF(C328:I328,"?*")+SUMPRODUCT(LEN(C328:I328)-LEN(SUBSTITUTE(C328:I328,",",""))))</f>
        <v>1</v>
      </c>
      <c r="K328" s="28" t="str" cm="1">
        <f t="array" ref="K328">IF($O328="","",_xlfn.TEXTJOIN(", ",TRUE,IF(EXACT('Дані_зв''язок'!$J$4:$J$1012,$O328),'Дані_зв''язок'!$L$4:$L$1012,"")))</f>
        <v>№6</v>
      </c>
      <c r="L328" s="28" t="str" cm="1">
        <f t="array" ref="L328">IF($O328="","",_xlfn.TEXTJOIN(", ",TRUE,IF(EXACT('Дані_зв''язок'!$J$4:$J$1012,$O328),'Дані_зв''язок'!$M$4:$M$1012,"")))</f>
        <v>АТ 4021</v>
      </c>
      <c r="M328" s="27" t="str" cm="1">
        <f t="array" ref="M328">IF($O328="","",IF(SUMPRODUCT(MAX(EXACT('Дані_зв''язок'!$J$4:$J$1012,$O328)*IFERROR('Дані_зв''язок'!$H$4:$H$1012,0)))=0,"",SUMPRODUCT(MAX(EXACT('Дані_зв''язок'!$J$4:$J$1012,$O328)*IFERROR('Дані_зв''язок'!$H$4:$H$1012,0)))))</f>
        <v/>
      </c>
      <c r="O328" s="30" t="s">
        <v>1447</v>
      </c>
      <c r="P328" s="24" cm="1">
        <f t="array" ref="P328">IF($O328="","",IF($B328="","",IFERROR(IF(MIN(IFERROR(VALUE(TRIM(MID(SUBSTITUTE(SUBSTITUTE($B328,","," ")," ",REPT(" ",30)),{1;31;61;91;121;151;181},30))),""))=0,"",MIN(IFERROR(VALUE(TRIM(MID(SUBSTITUTE(SUBSTITUTE($B328,","," ")," ",REPT(" ",30)),{1;31;61;91;121;151;181},30))),""))),"")))</f>
        <v>23</v>
      </c>
      <c r="Q328" s="23" t="str">
        <f t="shared" si="17"/>
        <v>Прилуки, Чернігівська обл., вул. Педагогічна, 23</v>
      </c>
      <c r="R328" s="35">
        <f>IF($O328="","",IFERROR(INDEX('Координати майданчиків'!$H$4:$H$64,MATCH($T328,'Координати майданчиків'!$B$4:$B$64,0)),IFERROR(IF(ABS(INDEX(Геокодування!$C$2:$C$361,MATCH($Q328,Геокодування!$B$2:$B$361,0))-50.5884)+ABS(INDEX(Геокодування!$D$2:$D$361,MATCH($Q328,Геокодування!$B$2:$B$361,0))-32.3876)&gt;0.15,"",INDEX(Геокодування!$C$2:$C$361,MATCH($Q328,Геокодування!$B$2:$B$361,0))),IFERROR(IF(ABS(INDEX(Геокодування!$C$2:$C$361,MATCH("Прилуки, Чернігівська обл., "&amp;$A328,Геокодування!$B$2:$B$361,0))-50.5884)+ABS(INDEX(Геокодування!$D$2:$D$361,MATCH("Прилуки, Чернігівська обл., "&amp;$A328,Геокодування!$B$2:$B$361,0))-32.3876)&gt;0.15,"",INDEX(Геокодування!$C$2:$C$361,MATCH("Прилуки, Чернігівська обл., "&amp;$A328,Геокодування!$B$2:$B$361,0))),""))))</f>
        <v>50.578218</v>
      </c>
      <c r="S328" s="43">
        <f>IF($O328="","",IFERROR(INDEX('Координати майданчиків'!$I$4:$I$64,MATCH($T328,'Координати майданчиків'!$B$4:$B$64,0)),IFERROR(IF(ABS(INDEX(Геокодування!$C$2:$C$361,MATCH($Q328,Геокодування!$B$2:$B$361,0))-50.5884)+ABS(INDEX(Геокодування!$D$2:$D$361,MATCH($Q328,Геокодування!$B$2:$B$361,0))-32.3876)&gt;0.15,"",INDEX(Геокодування!$D$2:$D$361,MATCH($Q328,Геокодування!$B$2:$B$361,0))),IFERROR(IF(ABS(INDEX(Геокодування!$C$2:$C$361,MATCH("Прилуки, Чернігівська обл., "&amp;$A328,Геокодування!$B$2:$B$361,0))-50.5884)+ABS(INDEX(Геокодування!$D$2:$D$361,MATCH("Прилуки, Чернігівська обл., "&amp;$A328,Геокодування!$B$2:$B$361,0))-32.3876)&gt;0.15,"",INDEX(Геокодування!$D$2:$D$361,MATCH("Прилуки, Чернігівська обл., "&amp;$A328,Геокодування!$B$2:$B$361,0))),""))))</f>
        <v>32.419609000000001</v>
      </c>
      <c r="T328" s="44" t="str">
        <f>IF($O328="","",IFERROR(INDEX('Координати майданчиків'!$B$4:$B$64,MATCH($A328&amp;IF($P328="","",", "&amp;$P328),'Координати майданчиків'!$B$4:$B$64,0)),IFERROR(INDEX('Координати майданчиків'!$B$4:$B$64,MATCH($A328,'Координати майданчиків'!$B$4:$B$64,0)),"")))</f>
        <v/>
      </c>
    </row>
    <row r="329" spans="1:20" x14ac:dyDescent="0.35">
      <c r="A329" s="26" t="str">
        <f t="shared" si="15"/>
        <v>вул. Перемоги</v>
      </c>
      <c r="B329" s="26" t="str">
        <f t="shared" si="16"/>
        <v/>
      </c>
      <c r="C329" s="27" t="str" cm="1">
        <f t="array" ref="C329">IF($O329="","",_xlfn.TEXTJOIN(", ",TRUE,IF(EXACT('Дані_зв''язок'!$J$4:$J$1012,$O329)*('Дані_зв''язок'!$C$4:$C$1012=C$4),'Дані_зв''язок'!$D$4:$D$1012,"")))</f>
        <v/>
      </c>
      <c r="D329" s="27" t="str" cm="1">
        <f t="array" ref="D329">IF($O329="","",_xlfn.TEXTJOIN(", ",TRUE,IF(EXACT('Дані_зв''язок'!$J$4:$J$1012,$O329)*('Дані_зв''язок'!$C$4:$C$1012=D$4),'Дані_зв''язок'!$D$4:$D$1012,"")))</f>
        <v>9:35</v>
      </c>
      <c r="E329" s="27" t="str" cm="1">
        <f t="array" ref="E329">IF($O329="","",_xlfn.TEXTJOIN(", ",TRUE,IF(EXACT('Дані_зв''язок'!$J$4:$J$1012,$O329)*('Дані_зв''язок'!$C$4:$C$1012=E$4),'Дані_зв''язок'!$D$4:$D$1012,"")))</f>
        <v/>
      </c>
      <c r="F329" s="27" t="str" cm="1">
        <f t="array" ref="F329">IF($O329="","",_xlfn.TEXTJOIN(", ",TRUE,IF(EXACT('Дані_зв''язок'!$J$4:$J$1012,$O329)*('Дані_зв''язок'!$C$4:$C$1012=F$4),'Дані_зв''язок'!$D$4:$D$1012,"")))</f>
        <v/>
      </c>
      <c r="G329" s="27" t="str" cm="1">
        <f t="array" ref="G329">IF($O329="","",_xlfn.TEXTJOIN(", ",TRUE,IF(EXACT('Дані_зв''язок'!$J$4:$J$1012,$O329)*('Дані_зв''язок'!$C$4:$C$1012=G$4),'Дані_зв''язок'!$D$4:$D$1012,"")))</f>
        <v/>
      </c>
      <c r="H329" s="27" t="str" cm="1">
        <f t="array" ref="H329">IF($O329="","",_xlfn.TEXTJOIN(", ",TRUE,IF(EXACT('Дані_зв''язок'!$J$4:$J$1012,$O329)*('Дані_зв''язок'!$C$4:$C$1012=H$4),'Дані_зв''язок'!$D$4:$D$1012,"")))</f>
        <v/>
      </c>
      <c r="I329" s="27" t="str" cm="1">
        <f t="array" ref="I329">IF($O329="","",_xlfn.TEXTJOIN(", ",TRUE,IF(EXACT('Дані_зв''язок'!$J$4:$J$1012,$O329)*('Дані_зв''язок'!$C$4:$C$1012=I$4),'Дані_зв''язок'!$D$4:$D$1012,"")))</f>
        <v/>
      </c>
      <c r="J329" s="27" cm="1">
        <f t="array" ref="J329">IF($O329="","",COUNTIF(C329:I329,"?*")+SUMPRODUCT(LEN(C329:I329)-LEN(SUBSTITUTE(C329:I329,",",""))))</f>
        <v>1</v>
      </c>
      <c r="K329" s="28" t="str" cm="1">
        <f t="array" ref="K329">IF($O329="","",_xlfn.TEXTJOIN(", ",TRUE,IF(EXACT('Дані_зв''язок'!$J$4:$J$1012,$O329),'Дані_зв''язок'!$L$4:$L$1012,"")))</f>
        <v>№5</v>
      </c>
      <c r="L329" s="28" t="str" cm="1">
        <f t="array" ref="L329">IF($O329="","",_xlfn.TEXTJOIN(", ",TRUE,IF(EXACT('Дані_зв''язок'!$J$4:$J$1012,$O329),'Дані_зв''язок'!$M$4:$M$1012,"")))</f>
        <v>МАЗ 4381</v>
      </c>
      <c r="M329" s="27" t="str" cm="1">
        <f t="array" ref="M329">IF($O329="","",IF(SUMPRODUCT(MAX(EXACT('Дані_зв''язок'!$J$4:$J$1012,$O329)*IFERROR('Дані_зв''язок'!$H$4:$H$1012,0)))=0,"",SUMPRODUCT(MAX(EXACT('Дані_зв''язок'!$J$4:$J$1012,$O329)*IFERROR('Дані_зв''язок'!$H$4:$H$1012,0)))))</f>
        <v/>
      </c>
      <c r="O329" s="30" t="s">
        <v>1448</v>
      </c>
      <c r="P329" s="24" t="str" cm="1">
        <f t="array" ref="P329">IF($O329="","",IF($B329="","",IFERROR(IF(MIN(IFERROR(VALUE(TRIM(MID(SUBSTITUTE(SUBSTITUTE($B329,","," ")," ",REPT(" ",30)),{1;31;61;91;121;151;181},30))),""))=0,"",MIN(IFERROR(VALUE(TRIM(MID(SUBSTITUTE(SUBSTITUTE($B329,","," ")," ",REPT(" ",30)),{1;31;61;91;121;151;181},30))),""))),"")))</f>
        <v/>
      </c>
      <c r="Q329" s="23" t="str">
        <f t="shared" si="17"/>
        <v>Прилуки, Чернігівська обл., вул. Перемоги</v>
      </c>
      <c r="R329" s="35">
        <f>IF($O329="","",IFERROR(INDEX('Координати майданчиків'!$H$4:$H$64,MATCH($T329,'Координати майданчиків'!$B$4:$B$64,0)),IFERROR(IF(ABS(INDEX(Геокодування!$C$2:$C$361,MATCH($Q329,Геокодування!$B$2:$B$361,0))-50.5884)+ABS(INDEX(Геокодування!$D$2:$D$361,MATCH($Q329,Геокодування!$B$2:$B$361,0))-32.3876)&gt;0.15,"",INDEX(Геокодування!$C$2:$C$361,MATCH($Q329,Геокодування!$B$2:$B$361,0))),IFERROR(IF(ABS(INDEX(Геокодування!$C$2:$C$361,MATCH("Прилуки, Чернігівська обл., "&amp;$A329,Геокодування!$B$2:$B$361,0))-50.5884)+ABS(INDEX(Геокодування!$D$2:$D$361,MATCH("Прилуки, Чернігівська обл., "&amp;$A329,Геокодування!$B$2:$B$361,0))-32.3876)&gt;0.15,"",INDEX(Геокодування!$C$2:$C$361,MATCH("Прилуки, Чернігівська обл., "&amp;$A329,Геокодування!$B$2:$B$361,0))),""))))</f>
        <v>50.571258999999998</v>
      </c>
      <c r="S329" s="43">
        <f>IF($O329="","",IFERROR(INDEX('Координати майданчиків'!$I$4:$I$64,MATCH($T329,'Координати майданчиків'!$B$4:$B$64,0)),IFERROR(IF(ABS(INDEX(Геокодування!$C$2:$C$361,MATCH($Q329,Геокодування!$B$2:$B$361,0))-50.5884)+ABS(INDEX(Геокодування!$D$2:$D$361,MATCH($Q329,Геокодування!$B$2:$B$361,0))-32.3876)&gt;0.15,"",INDEX(Геокодування!$D$2:$D$361,MATCH($Q329,Геокодування!$B$2:$B$361,0))),IFERROR(IF(ABS(INDEX(Геокодування!$C$2:$C$361,MATCH("Прилуки, Чернігівська обл., "&amp;$A329,Геокодування!$B$2:$B$361,0))-50.5884)+ABS(INDEX(Геокодування!$D$2:$D$361,MATCH("Прилуки, Чернігівська обл., "&amp;$A329,Геокодування!$B$2:$B$361,0))-32.3876)&gt;0.15,"",INDEX(Геокодування!$D$2:$D$361,MATCH("Прилуки, Чернігівська обл., "&amp;$A329,Геокодування!$B$2:$B$361,0))),""))))</f>
        <v>32.401103999999997</v>
      </c>
      <c r="T329" s="44" t="str">
        <f>IF($O329="","",IFERROR(INDEX('Координати майданчиків'!$B$4:$B$64,MATCH($A329&amp;IF($P329="","",", "&amp;$P329),'Координати майданчиків'!$B$4:$B$64,0)),IFERROR(INDEX('Координати майданчиків'!$B$4:$B$64,MATCH($A329,'Координати майданчиків'!$B$4:$B$64,0)),"")))</f>
        <v/>
      </c>
    </row>
    <row r="330" spans="1:20" x14ac:dyDescent="0.35">
      <c r="A330" s="26" t="str">
        <f t="shared" si="15"/>
        <v>вул. Перемоги</v>
      </c>
      <c r="B330" s="26" t="str">
        <f t="shared" si="16"/>
        <v>"Удай"</v>
      </c>
      <c r="C330" s="27" t="str" cm="1">
        <f t="array" ref="C330">IF($O330="","",_xlfn.TEXTJOIN(", ",TRUE,IF(EXACT('Дані_зв''язок'!$J$4:$J$1012,$O330)*('Дані_зв''язок'!$C$4:$C$1012=C$4),'Дані_зв''язок'!$D$4:$D$1012,"")))</f>
        <v>15:15</v>
      </c>
      <c r="D330" s="27" t="str" cm="1">
        <f t="array" ref="D330">IF($O330="","",_xlfn.TEXTJOIN(", ",TRUE,IF(EXACT('Дані_зв''язок'!$J$4:$J$1012,$O330)*('Дані_зв''язок'!$C$4:$C$1012=D$4),'Дані_зв''язок'!$D$4:$D$1012,"")))</f>
        <v/>
      </c>
      <c r="E330" s="27" t="str" cm="1">
        <f t="array" ref="E330">IF($O330="","",_xlfn.TEXTJOIN(", ",TRUE,IF(EXACT('Дані_зв''язок'!$J$4:$J$1012,$O330)*('Дані_зв''язок'!$C$4:$C$1012=E$4),'Дані_зв''язок'!$D$4:$D$1012,"")))</f>
        <v/>
      </c>
      <c r="F330" s="27" t="str" cm="1">
        <f t="array" ref="F330">IF($O330="","",_xlfn.TEXTJOIN(", ",TRUE,IF(EXACT('Дані_зв''язок'!$J$4:$J$1012,$O330)*('Дані_зв''язок'!$C$4:$C$1012=F$4),'Дані_зв''язок'!$D$4:$D$1012,"")))</f>
        <v/>
      </c>
      <c r="G330" s="27" t="str" cm="1">
        <f t="array" ref="G330">IF($O330="","",_xlfn.TEXTJOIN(", ",TRUE,IF(EXACT('Дані_зв''язок'!$J$4:$J$1012,$O330)*('Дані_зв''язок'!$C$4:$C$1012=G$4),'Дані_зв''язок'!$D$4:$D$1012,"")))</f>
        <v/>
      </c>
      <c r="H330" s="27" t="str" cm="1">
        <f t="array" ref="H330">IF($O330="","",_xlfn.TEXTJOIN(", ",TRUE,IF(EXACT('Дані_зв''язок'!$J$4:$J$1012,$O330)*('Дані_зв''язок'!$C$4:$C$1012=H$4),'Дані_зв''язок'!$D$4:$D$1012,"")))</f>
        <v/>
      </c>
      <c r="I330" s="27" t="str" cm="1">
        <f t="array" ref="I330">IF($O330="","",_xlfn.TEXTJOIN(", ",TRUE,IF(EXACT('Дані_зв''язок'!$J$4:$J$1012,$O330)*('Дані_зв''язок'!$C$4:$C$1012=I$4),'Дані_зв''язок'!$D$4:$D$1012,"")))</f>
        <v/>
      </c>
      <c r="J330" s="27" cm="1">
        <f t="array" ref="J330">IF($O330="","",COUNTIF(C330:I330,"?*")+SUMPRODUCT(LEN(C330:I330)-LEN(SUBSTITUTE(C330:I330,",",""))))</f>
        <v>1</v>
      </c>
      <c r="K330" s="28" t="str" cm="1">
        <f t="array" ref="K330">IF($O330="","",_xlfn.TEXTJOIN(", ",TRUE,IF(EXACT('Дані_зв''язок'!$J$4:$J$1012,$O330),'Дані_зв''язок'!$L$4:$L$1012,"")))</f>
        <v>№3</v>
      </c>
      <c r="L330" s="28" t="str" cm="1">
        <f t="array" ref="L330">IF($O330="","",_xlfn.TEXTJOIN(", ",TRUE,IF(EXACT('Дані_зв''язок'!$J$4:$J$1012,$O330),'Дані_зв''язок'!$M$4:$M$1012,"")))</f>
        <v>ГАЗ 3309</v>
      </c>
      <c r="M330" s="27" cm="1">
        <f t="array" ref="M330">IF($O330="","",IF(SUMPRODUCT(MAX(EXACT('Дані_зв''язок'!$J$4:$J$1012,$O330)*IFERROR('Дані_зв''язок'!$H$4:$H$1012,0)))=0,"",SUMPRODUCT(MAX(EXACT('Дані_зв''язок'!$J$4:$J$1012,$O330)*IFERROR('Дані_зв''язок'!$H$4:$H$1012,0)))))</f>
        <v>2</v>
      </c>
      <c r="O330" s="30" t="s">
        <v>1449</v>
      </c>
      <c r="P330" s="24" t="str" cm="1">
        <f t="array" ref="P330">IF($O330="","",IF($B330="","",IFERROR(IF(MIN(IFERROR(VALUE(TRIM(MID(SUBSTITUTE(SUBSTITUTE($B330,","," ")," ",REPT(" ",30)),{1;31;61;91;121;151;181},30))),""))=0,"",MIN(IFERROR(VALUE(TRIM(MID(SUBSTITUTE(SUBSTITUTE($B330,","," ")," ",REPT(" ",30)),{1;31;61;91;121;151;181},30))),""))),"")))</f>
        <v/>
      </c>
      <c r="Q330" s="23" t="str">
        <f t="shared" si="17"/>
        <v>Прилуки, Чернігівська обл., вул. Перемоги</v>
      </c>
      <c r="R330" s="35">
        <f>IF($O330="","",IFERROR(INDEX('Координати майданчиків'!$H$4:$H$64,MATCH($T330,'Координати майданчиків'!$B$4:$B$64,0)),IFERROR(IF(ABS(INDEX(Геокодування!$C$2:$C$361,MATCH($Q330,Геокодування!$B$2:$B$361,0))-50.5884)+ABS(INDEX(Геокодування!$D$2:$D$361,MATCH($Q330,Геокодування!$B$2:$B$361,0))-32.3876)&gt;0.15,"",INDEX(Геокодування!$C$2:$C$361,MATCH($Q330,Геокодування!$B$2:$B$361,0))),IFERROR(IF(ABS(INDEX(Геокодування!$C$2:$C$361,MATCH("Прилуки, Чернігівська обл., "&amp;$A330,Геокодування!$B$2:$B$361,0))-50.5884)+ABS(INDEX(Геокодування!$D$2:$D$361,MATCH("Прилуки, Чернігівська обл., "&amp;$A330,Геокодування!$B$2:$B$361,0))-32.3876)&gt;0.15,"",INDEX(Геокодування!$C$2:$C$361,MATCH("Прилуки, Чернігівська обл., "&amp;$A330,Геокодування!$B$2:$B$361,0))),""))))</f>
        <v>50.571258999999998</v>
      </c>
      <c r="S330" s="43">
        <f>IF($O330="","",IFERROR(INDEX('Координати майданчиків'!$I$4:$I$64,MATCH($T330,'Координати майданчиків'!$B$4:$B$64,0)),IFERROR(IF(ABS(INDEX(Геокодування!$C$2:$C$361,MATCH($Q330,Геокодування!$B$2:$B$361,0))-50.5884)+ABS(INDEX(Геокодування!$D$2:$D$361,MATCH($Q330,Геокодування!$B$2:$B$361,0))-32.3876)&gt;0.15,"",INDEX(Геокодування!$D$2:$D$361,MATCH($Q330,Геокодування!$B$2:$B$361,0))),IFERROR(IF(ABS(INDEX(Геокодування!$C$2:$C$361,MATCH("Прилуки, Чернігівська обл., "&amp;$A330,Геокодування!$B$2:$B$361,0))-50.5884)+ABS(INDEX(Геокодування!$D$2:$D$361,MATCH("Прилуки, Чернігівська обл., "&amp;$A330,Геокодування!$B$2:$B$361,0))-32.3876)&gt;0.15,"",INDEX(Геокодування!$D$2:$D$361,MATCH("Прилуки, Чернігівська обл., "&amp;$A330,Геокодування!$B$2:$B$361,0))),""))))</f>
        <v>32.401103999999997</v>
      </c>
      <c r="T330" s="44" t="str">
        <f>IF($O330="","",IFERROR(INDEX('Координати майданчиків'!$B$4:$B$64,MATCH($A330&amp;IF($P330="","",", "&amp;$P330),'Координати майданчиків'!$B$4:$B$64,0)),IFERROR(INDEX('Координати майданчиків'!$B$4:$B$64,MATCH($A330,'Координати майданчиків'!$B$4:$B$64,0)),"")))</f>
        <v/>
      </c>
    </row>
    <row r="331" spans="1:20" x14ac:dyDescent="0.35">
      <c r="A331" s="26" t="str">
        <f t="shared" si="15"/>
        <v>вул. Перемоги</v>
      </c>
      <c r="B331" s="26" t="str">
        <f t="shared" si="16"/>
        <v>147,107,57</v>
      </c>
      <c r="C331" s="27" t="str" cm="1">
        <f t="array" ref="C331">IF($O331="","",_xlfn.TEXTJOIN(", ",TRUE,IF(EXACT('Дані_зв''язок'!$J$4:$J$1012,$O331)*('Дані_зв''язок'!$C$4:$C$1012=C$4),'Дані_зв''язок'!$D$4:$D$1012,"")))</f>
        <v>13:35</v>
      </c>
      <c r="D331" s="27" t="str" cm="1">
        <f t="array" ref="D331">IF($O331="","",_xlfn.TEXTJOIN(", ",TRUE,IF(EXACT('Дані_зв''язок'!$J$4:$J$1012,$O331)*('Дані_зв''язок'!$C$4:$C$1012=D$4),'Дані_зв''язок'!$D$4:$D$1012,"")))</f>
        <v/>
      </c>
      <c r="E331" s="27" t="str" cm="1">
        <f t="array" ref="E331">IF($O331="","",_xlfn.TEXTJOIN(", ",TRUE,IF(EXACT('Дані_зв''язок'!$J$4:$J$1012,$O331)*('Дані_зв''язок'!$C$4:$C$1012=E$4),'Дані_зв''язок'!$D$4:$D$1012,"")))</f>
        <v/>
      </c>
      <c r="F331" s="27" t="str" cm="1">
        <f t="array" ref="F331">IF($O331="","",_xlfn.TEXTJOIN(", ",TRUE,IF(EXACT('Дані_зв''язок'!$J$4:$J$1012,$O331)*('Дані_зв''язок'!$C$4:$C$1012=F$4),'Дані_зв''язок'!$D$4:$D$1012,"")))</f>
        <v/>
      </c>
      <c r="G331" s="27" t="str" cm="1">
        <f t="array" ref="G331">IF($O331="","",_xlfn.TEXTJOIN(", ",TRUE,IF(EXACT('Дані_зв''язок'!$J$4:$J$1012,$O331)*('Дані_зв''язок'!$C$4:$C$1012=G$4),'Дані_зв''язок'!$D$4:$D$1012,"")))</f>
        <v/>
      </c>
      <c r="H331" s="27" t="str" cm="1">
        <f t="array" ref="H331">IF($O331="","",_xlfn.TEXTJOIN(", ",TRUE,IF(EXACT('Дані_зв''язок'!$J$4:$J$1012,$O331)*('Дані_зв''язок'!$C$4:$C$1012=H$4),'Дані_зв''язок'!$D$4:$D$1012,"")))</f>
        <v/>
      </c>
      <c r="I331" s="27" t="str" cm="1">
        <f t="array" ref="I331">IF($O331="","",_xlfn.TEXTJOIN(", ",TRUE,IF(EXACT('Дані_зв''язок'!$J$4:$J$1012,$O331)*('Дані_зв''язок'!$C$4:$C$1012=I$4),'Дані_зв''язок'!$D$4:$D$1012,"")))</f>
        <v/>
      </c>
      <c r="J331" s="27" cm="1">
        <f t="array" ref="J331">IF($O331="","",COUNTIF(C331:I331,"?*")+SUMPRODUCT(LEN(C331:I331)-LEN(SUBSTITUTE(C331:I331,",",""))))</f>
        <v>1</v>
      </c>
      <c r="K331" s="28" t="str" cm="1">
        <f t="array" ref="K331">IF($O331="","",_xlfn.TEXTJOIN(", ",TRUE,IF(EXACT('Дані_зв''язок'!$J$4:$J$1012,$O331),'Дані_зв''язок'!$L$4:$L$1012,"")))</f>
        <v>№6</v>
      </c>
      <c r="L331" s="28" t="str" cm="1">
        <f t="array" ref="L331">IF($O331="","",_xlfn.TEXTJOIN(", ",TRUE,IF(EXACT('Дані_зв''язок'!$J$4:$J$1012,$O331),'Дані_зв''язок'!$M$4:$M$1012,"")))</f>
        <v>АТ 4021</v>
      </c>
      <c r="M331" s="27" t="str" cm="1">
        <f t="array" ref="M331">IF($O331="","",IF(SUMPRODUCT(MAX(EXACT('Дані_зв''язок'!$J$4:$J$1012,$O331)*IFERROR('Дані_зв''язок'!$H$4:$H$1012,0)))=0,"",SUMPRODUCT(MAX(EXACT('Дані_зв''язок'!$J$4:$J$1012,$O331)*IFERROR('Дані_зв''язок'!$H$4:$H$1012,0)))))</f>
        <v/>
      </c>
      <c r="O331" s="30" t="s">
        <v>1450</v>
      </c>
      <c r="P331" s="24" cm="1">
        <f t="array" ref="P331">IF($O331="","",IF($B331="","",IFERROR(IF(MIN(IFERROR(VALUE(TRIM(MID(SUBSTITUTE(SUBSTITUTE($B331,","," ")," ",REPT(" ",30)),{1;31;61;91;121;151;181},30))),""))=0,"",MIN(IFERROR(VALUE(TRIM(MID(SUBSTITUTE(SUBSTITUTE($B331,","," ")," ",REPT(" ",30)),{1;31;61;91;121;151;181},30))),""))),"")))</f>
        <v>57</v>
      </c>
      <c r="Q331" s="23" t="str">
        <f t="shared" si="17"/>
        <v>Прилуки, Чернігівська обл., вул. Перемоги, 57</v>
      </c>
      <c r="R331" s="35">
        <f>IF($O331="","",IFERROR(INDEX('Координати майданчиків'!$H$4:$H$64,MATCH($T331,'Координати майданчиків'!$B$4:$B$64,0)),IFERROR(IF(ABS(INDEX(Геокодування!$C$2:$C$361,MATCH($Q331,Геокодування!$B$2:$B$361,0))-50.5884)+ABS(INDEX(Геокодування!$D$2:$D$361,MATCH($Q331,Геокодування!$B$2:$B$361,0))-32.3876)&gt;0.15,"",INDEX(Геокодування!$C$2:$C$361,MATCH($Q331,Геокодування!$B$2:$B$361,0))),IFERROR(IF(ABS(INDEX(Геокодування!$C$2:$C$361,MATCH("Прилуки, Чернігівська обл., "&amp;$A331,Геокодування!$B$2:$B$361,0))-50.5884)+ABS(INDEX(Геокодування!$D$2:$D$361,MATCH("Прилуки, Чернігівська обл., "&amp;$A331,Геокодування!$B$2:$B$361,0))-32.3876)&gt;0.15,"",INDEX(Геокодування!$C$2:$C$361,MATCH("Прилуки, Чернігівська обл., "&amp;$A331,Геокодування!$B$2:$B$361,0))),""))))</f>
        <v>50.576523999999999</v>
      </c>
      <c r="S331" s="43">
        <f>IF($O331="","",IFERROR(INDEX('Координати майданчиків'!$I$4:$I$64,MATCH($T331,'Координати майданчиків'!$B$4:$B$64,0)),IFERROR(IF(ABS(INDEX(Геокодування!$C$2:$C$361,MATCH($Q331,Геокодування!$B$2:$B$361,0))-50.5884)+ABS(INDEX(Геокодування!$D$2:$D$361,MATCH($Q331,Геокодування!$B$2:$B$361,0))-32.3876)&gt;0.15,"",INDEX(Геокодування!$D$2:$D$361,MATCH($Q331,Геокодування!$B$2:$B$361,0))),IFERROR(IF(ABS(INDEX(Геокодування!$C$2:$C$361,MATCH("Прилуки, Чернігівська обл., "&amp;$A331,Геокодування!$B$2:$B$361,0))-50.5884)+ABS(INDEX(Геокодування!$D$2:$D$361,MATCH("Прилуки, Чернігівська обл., "&amp;$A331,Геокодування!$B$2:$B$361,0))-32.3876)&gt;0.15,"",INDEX(Геокодування!$D$2:$D$361,MATCH("Прилуки, Чернігівська обл., "&amp;$A331,Геокодування!$B$2:$B$361,0))),""))))</f>
        <v>32.409647999999997</v>
      </c>
      <c r="T331" s="44" t="str">
        <f>IF($O331="","",IFERROR(INDEX('Координати майданчиків'!$B$4:$B$64,MATCH($A331&amp;IF($P331="","",", "&amp;$P331),'Координати майданчиків'!$B$4:$B$64,0)),IFERROR(INDEX('Координати майданчиків'!$B$4:$B$64,MATCH($A331,'Координати майданчиків'!$B$4:$B$64,0)),"")))</f>
        <v/>
      </c>
    </row>
    <row r="332" spans="1:20" x14ac:dyDescent="0.35">
      <c r="A332" s="26" t="str">
        <f t="shared" si="15"/>
        <v>вул. Перемоги</v>
      </c>
      <c r="B332" s="26" t="str">
        <f t="shared" si="16"/>
        <v>180</v>
      </c>
      <c r="C332" s="27" t="str" cm="1">
        <f t="array" ref="C332">IF($O332="","",_xlfn.TEXTJOIN(", ",TRUE,IF(EXACT('Дані_зв''язок'!$J$4:$J$1012,$O332)*('Дані_зв''язок'!$C$4:$C$1012=C$4),'Дані_зв''язок'!$D$4:$D$1012,"")))</f>
        <v>13:25</v>
      </c>
      <c r="D332" s="27" t="str" cm="1">
        <f t="array" ref="D332">IF($O332="","",_xlfn.TEXTJOIN(", ",TRUE,IF(EXACT('Дані_зв''язок'!$J$4:$J$1012,$O332)*('Дані_зв''язок'!$C$4:$C$1012=D$4),'Дані_зв''язок'!$D$4:$D$1012,"")))</f>
        <v>8:40</v>
      </c>
      <c r="E332" s="27" t="str" cm="1">
        <f t="array" ref="E332">IF($O332="","",_xlfn.TEXTJOIN(", ",TRUE,IF(EXACT('Дані_зв''язок'!$J$4:$J$1012,$O332)*('Дані_зв''язок'!$C$4:$C$1012=E$4),'Дані_зв''язок'!$D$4:$D$1012,"")))</f>
        <v>13:25</v>
      </c>
      <c r="F332" s="27" t="str" cm="1">
        <f t="array" ref="F332">IF($O332="","",_xlfn.TEXTJOIN(", ",TRUE,IF(EXACT('Дані_зв''язок'!$J$4:$J$1012,$O332)*('Дані_зв''язок'!$C$4:$C$1012=F$4),'Дані_зв''язок'!$D$4:$D$1012,"")))</f>
        <v/>
      </c>
      <c r="G332" s="27" t="str" cm="1">
        <f t="array" ref="G332">IF($O332="","",_xlfn.TEXTJOIN(", ",TRUE,IF(EXACT('Дані_зв''язок'!$J$4:$J$1012,$O332)*('Дані_зв''язок'!$C$4:$C$1012=G$4),'Дані_зв''язок'!$D$4:$D$1012,"")))</f>
        <v>12:15</v>
      </c>
      <c r="H332" s="27" t="str" cm="1">
        <f t="array" ref="H332">IF($O332="","",_xlfn.TEXTJOIN(", ",TRUE,IF(EXACT('Дані_зв''язок'!$J$4:$J$1012,$O332)*('Дані_зв''язок'!$C$4:$C$1012=H$4),'Дані_зв''язок'!$D$4:$D$1012,"")))</f>
        <v>8:40</v>
      </c>
      <c r="I332" s="27" t="str" cm="1">
        <f t="array" ref="I332">IF($O332="","",_xlfn.TEXTJOIN(", ",TRUE,IF(EXACT('Дані_зв''язок'!$J$4:$J$1012,$O332)*('Дані_зв''язок'!$C$4:$C$1012=I$4),'Дані_зв''язок'!$D$4:$D$1012,"")))</f>
        <v/>
      </c>
      <c r="J332" s="27" cm="1">
        <f t="array" ref="J332">IF($O332="","",COUNTIF(C332:I332,"?*")+SUMPRODUCT(LEN(C332:I332)-LEN(SUBSTITUTE(C332:I332,",",""))))</f>
        <v>5</v>
      </c>
      <c r="K332" s="28" t="str" cm="1">
        <f t="array" ref="K332">IF($O332="","",_xlfn.TEXTJOIN(", ",TRUE,IF(EXACT('Дані_зв''язок'!$J$4:$J$1012,$O332),'Дані_зв''язок'!$L$4:$L$1012,"")))</f>
        <v>№3</v>
      </c>
      <c r="L332" s="28" t="str" cm="1">
        <f t="array" ref="L332">IF($O332="","",_xlfn.TEXTJOIN(", ",TRUE,IF(EXACT('Дані_зв''язок'!$J$4:$J$1012,$O332),'Дані_зв''язок'!$M$4:$M$1012,"")))</f>
        <v>МАЗ-4371</v>
      </c>
      <c r="M332" s="27" cm="1">
        <f t="array" ref="M332">IF($O332="","",IF(SUMPRODUCT(MAX(EXACT('Дані_зв''язок'!$J$4:$J$1012,$O332)*IFERROR('Дані_зв''язок'!$H$4:$H$1012,0)))=0,"",SUMPRODUCT(MAX(EXACT('Дані_зв''язок'!$J$4:$J$1012,$O332)*IFERROR('Дані_зв''язок'!$H$4:$H$1012,0)))))</f>
        <v>3</v>
      </c>
      <c r="O332" s="30" t="s">
        <v>1451</v>
      </c>
      <c r="P332" s="24" cm="1">
        <f t="array" ref="P332">IF($O332="","",IF($B332="","",IFERROR(IF(MIN(IFERROR(VALUE(TRIM(MID(SUBSTITUTE(SUBSTITUTE($B332,","," ")," ",REPT(" ",30)),{1;31;61;91;121;151;181},30))),""))=0,"",MIN(IFERROR(VALUE(TRIM(MID(SUBSTITUTE(SUBSTITUTE($B332,","," ")," ",REPT(" ",30)),{1;31;61;91;121;151;181},30))),""))),"")))</f>
        <v>180</v>
      </c>
      <c r="Q332" s="23" t="str">
        <f t="shared" si="17"/>
        <v>Прилуки, Чернігівська обл., вул. Перемоги, 180</v>
      </c>
      <c r="R332" s="35">
        <f>IF($O332="","",IFERROR(INDEX('Координати майданчиків'!$H$4:$H$64,MATCH($T332,'Координати майданчиків'!$B$4:$B$64,0)),IFERROR(IF(ABS(INDEX(Геокодування!$C$2:$C$361,MATCH($Q332,Геокодування!$B$2:$B$361,0))-50.5884)+ABS(INDEX(Геокодування!$D$2:$D$361,MATCH($Q332,Геокодування!$B$2:$B$361,0))-32.3876)&gt;0.15,"",INDEX(Геокодування!$C$2:$C$361,MATCH($Q332,Геокодування!$B$2:$B$361,0))),IFERROR(IF(ABS(INDEX(Геокодування!$C$2:$C$361,MATCH("Прилуки, Чернігівська обл., "&amp;$A332,Геокодування!$B$2:$B$361,0))-50.5884)+ABS(INDEX(Геокодування!$D$2:$D$361,MATCH("Прилуки, Чернігівська обл., "&amp;$A332,Геокодування!$B$2:$B$361,0))-32.3876)&gt;0.15,"",INDEX(Геокодування!$C$2:$C$361,MATCH("Прилуки, Чернігівська обл., "&amp;$A332,Геокодування!$B$2:$B$361,0))),""))))</f>
        <v>50.580739999999999</v>
      </c>
      <c r="S332" s="43">
        <f>IF($O332="","",IFERROR(INDEX('Координати майданчиків'!$I$4:$I$64,MATCH($T332,'Координати майданчиків'!$B$4:$B$64,0)),IFERROR(IF(ABS(INDEX(Геокодування!$C$2:$C$361,MATCH($Q332,Геокодування!$B$2:$B$361,0))-50.5884)+ABS(INDEX(Геокодування!$D$2:$D$361,MATCH($Q332,Геокодування!$B$2:$B$361,0))-32.3876)&gt;0.15,"",INDEX(Геокодування!$D$2:$D$361,MATCH($Q332,Геокодування!$B$2:$B$361,0))),IFERROR(IF(ABS(INDEX(Геокодування!$C$2:$C$361,MATCH("Прилуки, Чернігівська обл., "&amp;$A332,Геокодування!$B$2:$B$361,0))-50.5884)+ABS(INDEX(Геокодування!$D$2:$D$361,MATCH("Прилуки, Чернігівська обл., "&amp;$A332,Геокодування!$B$2:$B$361,0))-32.3876)&gt;0.15,"",INDEX(Геокодування!$D$2:$D$361,MATCH("Прилуки, Чернігівська обл., "&amp;$A332,Геокодування!$B$2:$B$361,0))),""))))</f>
        <v>32.414870000000001</v>
      </c>
      <c r="T332" s="44" t="str">
        <f>IF($O332="","",IFERROR(INDEX('Координати майданчиків'!$B$4:$B$64,MATCH($A332&amp;IF($P332="","",", "&amp;$P332),'Координати майданчиків'!$B$4:$B$64,0)),IFERROR(INDEX('Координати майданчиків'!$B$4:$B$64,MATCH($A332,'Координати майданчиків'!$B$4:$B$64,0)),"")))</f>
        <v>вул. Перемоги, 180</v>
      </c>
    </row>
    <row r="333" spans="1:20" x14ac:dyDescent="0.35">
      <c r="A333" s="26" t="str">
        <f t="shared" si="15"/>
        <v>вул. Перемоги</v>
      </c>
      <c r="B333" s="26" t="str">
        <f t="shared" si="16"/>
        <v>210  192  178</v>
      </c>
      <c r="C333" s="27" t="str" cm="1">
        <f t="array" ref="C333">IF($O333="","",_xlfn.TEXTJOIN(", ",TRUE,IF(EXACT('Дані_зв''язок'!$J$4:$J$1012,$O333)*('Дані_зв''язок'!$C$4:$C$1012=C$4),'Дані_зв''язок'!$D$4:$D$1012,"")))</f>
        <v/>
      </c>
      <c r="D333" s="27" t="str" cm="1">
        <f t="array" ref="D333">IF($O333="","",_xlfn.TEXTJOIN(", ",TRUE,IF(EXACT('Дані_зв''язок'!$J$4:$J$1012,$O333)*('Дані_зв''язок'!$C$4:$C$1012=D$4),'Дані_зв''язок'!$D$4:$D$1012,"")))</f>
        <v/>
      </c>
      <c r="E333" s="27" t="str" cm="1">
        <f t="array" ref="E333">IF($O333="","",_xlfn.TEXTJOIN(", ",TRUE,IF(EXACT('Дані_зв''язок'!$J$4:$J$1012,$O333)*('Дані_зв''язок'!$C$4:$C$1012=E$4),'Дані_зв''язок'!$D$4:$D$1012,"")))</f>
        <v/>
      </c>
      <c r="F333" s="27" t="str" cm="1">
        <f t="array" ref="F333">IF($O333="","",_xlfn.TEXTJOIN(", ",TRUE,IF(EXACT('Дані_зв''язок'!$J$4:$J$1012,$O333)*('Дані_зв''язок'!$C$4:$C$1012=F$4),'Дані_зв''язок'!$D$4:$D$1012,"")))</f>
        <v>12:00</v>
      </c>
      <c r="G333" s="27" t="str" cm="1">
        <f t="array" ref="G333">IF($O333="","",_xlfn.TEXTJOIN(", ",TRUE,IF(EXACT('Дані_зв''язок'!$J$4:$J$1012,$O333)*('Дані_зв''язок'!$C$4:$C$1012=G$4),'Дані_зв''язок'!$D$4:$D$1012,"")))</f>
        <v/>
      </c>
      <c r="H333" s="27" t="str" cm="1">
        <f t="array" ref="H333">IF($O333="","",_xlfn.TEXTJOIN(", ",TRUE,IF(EXACT('Дані_зв''язок'!$J$4:$J$1012,$O333)*('Дані_зв''язок'!$C$4:$C$1012=H$4),'Дані_зв''язок'!$D$4:$D$1012,"")))</f>
        <v/>
      </c>
      <c r="I333" s="27" t="str" cm="1">
        <f t="array" ref="I333">IF($O333="","",_xlfn.TEXTJOIN(", ",TRUE,IF(EXACT('Дані_зв''язок'!$J$4:$J$1012,$O333)*('Дані_зв''язок'!$C$4:$C$1012=I$4),'Дані_зв''язок'!$D$4:$D$1012,"")))</f>
        <v/>
      </c>
      <c r="J333" s="27" cm="1">
        <f t="array" ref="J333">IF($O333="","",COUNTIF(C333:I333,"?*")+SUMPRODUCT(LEN(C333:I333)-LEN(SUBSTITUTE(C333:I333,",",""))))</f>
        <v>1</v>
      </c>
      <c r="K333" s="28" t="str" cm="1">
        <f t="array" ref="K333">IF($O333="","",_xlfn.TEXTJOIN(", ",TRUE,IF(EXACT('Дані_зв''язок'!$J$4:$J$1012,$O333),'Дані_зв''язок'!$L$4:$L$1012,"")))</f>
        <v>№6</v>
      </c>
      <c r="L333" s="28" t="str" cm="1">
        <f t="array" ref="L333">IF($O333="","",_xlfn.TEXTJOIN(", ",TRUE,IF(EXACT('Дані_зв''язок'!$J$4:$J$1012,$O333),'Дані_зв''язок'!$M$4:$M$1012,"")))</f>
        <v>АТ 4021</v>
      </c>
      <c r="M333" s="27" t="str" cm="1">
        <f t="array" ref="M333">IF($O333="","",IF(SUMPRODUCT(MAX(EXACT('Дані_зв''язок'!$J$4:$J$1012,$O333)*IFERROR('Дані_зв''язок'!$H$4:$H$1012,0)))=0,"",SUMPRODUCT(MAX(EXACT('Дані_зв''язок'!$J$4:$J$1012,$O333)*IFERROR('Дані_зв''язок'!$H$4:$H$1012,0)))))</f>
        <v/>
      </c>
      <c r="O333" s="30" t="s">
        <v>1452</v>
      </c>
      <c r="P333" s="24" cm="1">
        <f t="array" ref="P333">IF($O333="","",IF($B333="","",IFERROR(IF(MIN(IFERROR(VALUE(TRIM(MID(SUBSTITUTE(SUBSTITUTE($B333,","," ")," ",REPT(" ",30)),{1;31;61;91;121;151;181},30))),""))=0,"",MIN(IFERROR(VALUE(TRIM(MID(SUBSTITUTE(SUBSTITUTE($B333,","," ")," ",REPT(" ",30)),{1;31;61;91;121;151;181},30))),""))),"")))</f>
        <v>178</v>
      </c>
      <c r="Q333" s="23" t="str">
        <f t="shared" si="17"/>
        <v>Прилуки, Чернігівська обл., вул. Перемоги, 178</v>
      </c>
      <c r="R333" s="35">
        <f>IF($O333="","",IFERROR(INDEX('Координати майданчиків'!$H$4:$H$64,MATCH($T333,'Координати майданчиків'!$B$4:$B$64,0)),IFERROR(IF(ABS(INDEX(Геокодування!$C$2:$C$361,MATCH($Q333,Геокодування!$B$2:$B$361,0))-50.5884)+ABS(INDEX(Геокодування!$D$2:$D$361,MATCH($Q333,Геокодування!$B$2:$B$361,0))-32.3876)&gt;0.15,"",INDEX(Геокодування!$C$2:$C$361,MATCH($Q333,Геокодування!$B$2:$B$361,0))),IFERROR(IF(ABS(INDEX(Геокодування!$C$2:$C$361,MATCH("Прилуки, Чернігівська обл., "&amp;$A333,Геокодування!$B$2:$B$361,0))-50.5884)+ABS(INDEX(Геокодування!$D$2:$D$361,MATCH("Прилуки, Чернігівська обл., "&amp;$A333,Геокодування!$B$2:$B$361,0))-32.3876)&gt;0.15,"",INDEX(Геокодування!$C$2:$C$361,MATCH("Прилуки, Чернігівська обл., "&amp;$A333,Геокодування!$B$2:$B$361,0))),""))))</f>
        <v>50.576523999999999</v>
      </c>
      <c r="S333" s="43">
        <f>IF($O333="","",IFERROR(INDEX('Координати майданчиків'!$I$4:$I$64,MATCH($T333,'Координати майданчиків'!$B$4:$B$64,0)),IFERROR(IF(ABS(INDEX(Геокодування!$C$2:$C$361,MATCH($Q333,Геокодування!$B$2:$B$361,0))-50.5884)+ABS(INDEX(Геокодування!$D$2:$D$361,MATCH($Q333,Геокодування!$B$2:$B$361,0))-32.3876)&gt;0.15,"",INDEX(Геокодування!$D$2:$D$361,MATCH($Q333,Геокодування!$B$2:$B$361,0))),IFERROR(IF(ABS(INDEX(Геокодування!$C$2:$C$361,MATCH("Прилуки, Чернігівська обл., "&amp;$A333,Геокодування!$B$2:$B$361,0))-50.5884)+ABS(INDEX(Геокодування!$D$2:$D$361,MATCH("Прилуки, Чернігівська обл., "&amp;$A333,Геокодування!$B$2:$B$361,0))-32.3876)&gt;0.15,"",INDEX(Геокодування!$D$2:$D$361,MATCH("Прилуки, Чернігівська обл., "&amp;$A333,Геокодування!$B$2:$B$361,0))),""))))</f>
        <v>32.409647999999997</v>
      </c>
      <c r="T333" s="44" t="str">
        <f>IF($O333="","",IFERROR(INDEX('Координати майданчиків'!$B$4:$B$64,MATCH($A333&amp;IF($P333="","",", "&amp;$P333),'Координати майданчиків'!$B$4:$B$64,0)),IFERROR(INDEX('Координати майданчиків'!$B$4:$B$64,MATCH($A333,'Координати майданчиків'!$B$4:$B$64,0)),"")))</f>
        <v/>
      </c>
    </row>
    <row r="334" spans="1:20" x14ac:dyDescent="0.35">
      <c r="A334" s="26" t="str">
        <f t="shared" si="15"/>
        <v>вул. Перемоги</v>
      </c>
      <c r="B334" s="26" t="str">
        <f t="shared" si="16"/>
        <v>педколедж</v>
      </c>
      <c r="C334" s="27" t="str" cm="1">
        <f t="array" ref="C334">IF($O334="","",_xlfn.TEXTJOIN(", ",TRUE,IF(EXACT('Дані_зв''язок'!$J$4:$J$1012,$O334)*('Дані_зв''язок'!$C$4:$C$1012=C$4),'Дані_зв''язок'!$D$4:$D$1012,"")))</f>
        <v/>
      </c>
      <c r="D334" s="27" t="str" cm="1">
        <f t="array" ref="D334">IF($O334="","",_xlfn.TEXTJOIN(", ",TRUE,IF(EXACT('Дані_зв''язок'!$J$4:$J$1012,$O334)*('Дані_зв''язок'!$C$4:$C$1012=D$4),'Дані_зв''язок'!$D$4:$D$1012,"")))</f>
        <v/>
      </c>
      <c r="E334" s="27" t="str" cm="1">
        <f t="array" ref="E334">IF($O334="","",_xlfn.TEXTJOIN(", ",TRUE,IF(EXACT('Дані_зв''язок'!$J$4:$J$1012,$O334)*('Дані_зв''язок'!$C$4:$C$1012=E$4),'Дані_зв''язок'!$D$4:$D$1012,"")))</f>
        <v/>
      </c>
      <c r="F334" s="27" t="str" cm="1">
        <f t="array" ref="F334">IF($O334="","",_xlfn.TEXTJOIN(", ",TRUE,IF(EXACT('Дані_зв''язок'!$J$4:$J$1012,$O334)*('Дані_зв''язок'!$C$4:$C$1012=F$4),'Дані_зв''язок'!$D$4:$D$1012,"")))</f>
        <v>9:55</v>
      </c>
      <c r="G334" s="27" t="str" cm="1">
        <f t="array" ref="G334">IF($O334="","",_xlfn.TEXTJOIN(", ",TRUE,IF(EXACT('Дані_зв''язок'!$J$4:$J$1012,$O334)*('Дані_зв''язок'!$C$4:$C$1012=G$4),'Дані_зв''язок'!$D$4:$D$1012,"")))</f>
        <v/>
      </c>
      <c r="H334" s="27" t="str" cm="1">
        <f t="array" ref="H334">IF($O334="","",_xlfn.TEXTJOIN(", ",TRUE,IF(EXACT('Дані_зв''язок'!$J$4:$J$1012,$O334)*('Дані_зв''язок'!$C$4:$C$1012=H$4),'Дані_зв''язок'!$D$4:$D$1012,"")))</f>
        <v/>
      </c>
      <c r="I334" s="27" t="str" cm="1">
        <f t="array" ref="I334">IF($O334="","",_xlfn.TEXTJOIN(", ",TRUE,IF(EXACT('Дані_зв''язок'!$J$4:$J$1012,$O334)*('Дані_зв''язок'!$C$4:$C$1012=I$4),'Дані_зв''язок'!$D$4:$D$1012,"")))</f>
        <v/>
      </c>
      <c r="J334" s="27" cm="1">
        <f t="array" ref="J334">IF($O334="","",COUNTIF(C334:I334,"?*")+SUMPRODUCT(LEN(C334:I334)-LEN(SUBSTITUTE(C334:I334,",",""))))</f>
        <v>1</v>
      </c>
      <c r="K334" s="28" t="str" cm="1">
        <f t="array" ref="K334">IF($O334="","",_xlfn.TEXTJOIN(", ",TRUE,IF(EXACT('Дані_зв''язок'!$J$4:$J$1012,$O334),'Дані_зв''язок'!$L$4:$L$1012,"")))</f>
        <v>№4</v>
      </c>
      <c r="L334" s="28" t="str" cm="1">
        <f t="array" ref="L334">IF($O334="","",_xlfn.TEXTJOIN(", ",TRUE,IF(EXACT('Дані_зв''язок'!$J$4:$J$1012,$O334),'Дані_зв''язок'!$M$4:$M$1012,"")))</f>
        <v>АТ 40-42/ROD21003</v>
      </c>
      <c r="M334" s="27" cm="1">
        <f t="array" ref="M334">IF($O334="","",IF(SUMPRODUCT(MAX(EXACT('Дані_зв''язок'!$J$4:$J$1012,$O334)*IFERROR('Дані_зв''язок'!$H$4:$H$1012,0)))=0,"",SUMPRODUCT(MAX(EXACT('Дані_зв''язок'!$J$4:$J$1012,$O334)*IFERROR('Дані_зв''язок'!$H$4:$H$1012,0)))))</f>
        <v>3</v>
      </c>
      <c r="O334" s="30" t="s">
        <v>1453</v>
      </c>
      <c r="P334" s="24" t="str" cm="1">
        <f t="array" ref="P334">IF($O334="","",IF($B334="","",IFERROR(IF(MIN(IFERROR(VALUE(TRIM(MID(SUBSTITUTE(SUBSTITUTE($B334,","," ")," ",REPT(" ",30)),{1;31;61;91;121;151;181},30))),""))=0,"",MIN(IFERROR(VALUE(TRIM(MID(SUBSTITUTE(SUBSTITUTE($B334,","," ")," ",REPT(" ",30)),{1;31;61;91;121;151;181},30))),""))),"")))</f>
        <v/>
      </c>
      <c r="Q334" s="23" t="str">
        <f t="shared" si="17"/>
        <v>Прилуки, Чернігівська обл., вул. Перемоги</v>
      </c>
      <c r="R334" s="69">
        <f>IF($O334="","",IFERROR(INDEX('Координати майданчиків'!$H$4:$H$64,MATCH($T334,'Координати майданчиків'!$B$4:$B$64,0)),IFERROR(IF(ABS(INDEX(Геокодування!$C$2:$C$361,MATCH($Q334,Геокодування!$B$2:$B$361,0))-50.5884)+ABS(INDEX(Геокодування!$D$2:$D$361,MATCH($Q334,Геокодування!$B$2:$B$361,0))-32.3876)&gt;0.15,"",INDEX(Геокодування!$C$2:$C$361,MATCH($Q334,Геокодування!$B$2:$B$361,0))),IFERROR(IF(ABS(INDEX(Геокодування!$C$2:$C$361,MATCH("Прилуки, Чернігівська обл., "&amp;$A334,Геокодування!$B$2:$B$361,0))-50.5884)+ABS(INDEX(Геокодування!$D$2:$D$361,MATCH("Прилуки, Чернігівська обл., "&amp;$A334,Геокодування!$B$2:$B$361,0))-32.3876)&gt;0.15,"",INDEX(Геокодування!$C$2:$C$361,MATCH("Прилуки, Чернігівська обл., "&amp;$A334,Геокодування!$B$2:$B$361,0))),""))))</f>
        <v>50.571258999999998</v>
      </c>
      <c r="S334" s="69">
        <f>IF($O334="","",IFERROR(INDEX('Координати майданчиків'!$I$4:$I$64,MATCH($T334,'Координати майданчиків'!$B$4:$B$64,0)),IFERROR(IF(ABS(INDEX(Геокодування!$C$2:$C$361,MATCH($Q334,Геокодування!$B$2:$B$361,0))-50.5884)+ABS(INDEX(Геокодування!$D$2:$D$361,MATCH($Q334,Геокодування!$B$2:$B$361,0))-32.3876)&gt;0.15,"",INDEX(Геокодування!$D$2:$D$361,MATCH($Q334,Геокодування!$B$2:$B$361,0))),IFERROR(IF(ABS(INDEX(Геокодування!$C$2:$C$361,MATCH("Прилуки, Чернігівська обл., "&amp;$A334,Геокодування!$B$2:$B$361,0))-50.5884)+ABS(INDEX(Геокодування!$D$2:$D$361,MATCH("Прилуки, Чернігівська обл., "&amp;$A334,Геокодування!$B$2:$B$361,0))-32.3876)&gt;0.15,"",INDEX(Геокодування!$D$2:$D$361,MATCH("Прилуки, Чернігівська обл., "&amp;$A334,Геокодування!$B$2:$B$361,0))),""))))</f>
        <v>32.401103999999997</v>
      </c>
      <c r="T334" s="44" t="str">
        <f>IF($O334="","",IFERROR(INDEX('Координати майданчиків'!$B$4:$B$64,MATCH($A334&amp;IF($P334="","",", "&amp;$P334),'Координати майданчиків'!$B$4:$B$64,0)),IFERROR(INDEX('Координати майданчиків'!$B$4:$B$64,MATCH($A334,'Координати майданчиків'!$B$4:$B$64,0)),"")))</f>
        <v/>
      </c>
    </row>
    <row r="335" spans="1:20" x14ac:dyDescent="0.35">
      <c r="A335" s="26" t="str">
        <f t="shared" si="15"/>
        <v>вул. Переяславська</v>
      </c>
      <c r="B335" s="26" t="str">
        <f t="shared" si="16"/>
        <v>3</v>
      </c>
      <c r="C335" s="27" t="str" cm="1">
        <f t="array" ref="C335">IF($O335="","",_xlfn.TEXTJOIN(", ",TRUE,IF(EXACT('Дані_зв''язок'!$J$4:$J$1012,$O335)*('Дані_зв''язок'!$C$4:$C$1012=C$4),'Дані_зв''язок'!$D$4:$D$1012,"")))</f>
        <v>7:35, 15:35</v>
      </c>
      <c r="D335" s="27" t="str" cm="1">
        <f t="array" ref="D335">IF($O335="","",_xlfn.TEXTJOIN(", ",TRUE,IF(EXACT('Дані_зв''язок'!$J$4:$J$1012,$O335)*('Дані_зв''язок'!$C$4:$C$1012=D$4),'Дані_зв''язок'!$D$4:$D$1012,"")))</f>
        <v>7:40</v>
      </c>
      <c r="E335" s="27" t="str" cm="1">
        <f t="array" ref="E335">IF($O335="","",_xlfn.TEXTJOIN(", ",TRUE,IF(EXACT('Дані_зв''язок'!$J$4:$J$1012,$O335)*('Дані_зв''язок'!$C$4:$C$1012=E$4),'Дані_зв''язок'!$D$4:$D$1012,"")))</f>
        <v>7:40, 15:35</v>
      </c>
      <c r="F335" s="27" t="str" cm="1">
        <f t="array" ref="F335">IF($O335="","",_xlfn.TEXTJOIN(", ",TRUE,IF(EXACT('Дані_зв''язок'!$J$4:$J$1012,$O335)*('Дані_зв''язок'!$C$4:$C$1012=F$4),'Дані_зв''язок'!$D$4:$D$1012,"")))</f>
        <v>7:45, 13:55</v>
      </c>
      <c r="G335" s="27" t="str" cm="1">
        <f t="array" ref="G335">IF($O335="","",_xlfn.TEXTJOIN(", ",TRUE,IF(EXACT('Дані_зв''язок'!$J$4:$J$1012,$O335)*('Дані_зв''язок'!$C$4:$C$1012=G$4),'Дані_зв''язок'!$D$4:$D$1012,"")))</f>
        <v>7:50, 14:55</v>
      </c>
      <c r="H335" s="27" t="str" cm="1">
        <f t="array" ref="H335">IF($O335="","",_xlfn.TEXTJOIN(", ",TRUE,IF(EXACT('Дані_зв''язок'!$J$4:$J$1012,$O335)*('Дані_зв''язок'!$C$4:$C$1012=H$4),'Дані_зв''язок'!$D$4:$D$1012,"")))</f>
        <v>7:30</v>
      </c>
      <c r="I335" s="27" t="str" cm="1">
        <f t="array" ref="I335">IF($O335="","",_xlfn.TEXTJOIN(", ",TRUE,IF(EXACT('Дані_зв''язок'!$J$4:$J$1012,$O335)*('Дані_зв''язок'!$C$4:$C$1012=I$4),'Дані_зв''язок'!$D$4:$D$1012,"")))</f>
        <v>7:45, 13:55</v>
      </c>
      <c r="J335" s="27" cm="1">
        <f t="array" ref="J335">IF($O335="","",COUNTIF(C335:I335,"?*")+SUMPRODUCT(LEN(C335:I335)-LEN(SUBSTITUTE(C335:I335,",",""))))</f>
        <v>12</v>
      </c>
      <c r="K335" s="28" t="str" cm="1">
        <f t="array" ref="K335">IF($O335="","",_xlfn.TEXTJOIN(", ",TRUE,IF(EXACT('Дані_зв''язок'!$J$4:$J$1012,$O335),'Дані_зв''язок'!$L$4:$L$1012,"")))</f>
        <v>№3</v>
      </c>
      <c r="L335" s="28" t="str" cm="1">
        <f t="array" ref="L335">IF($O335="","",_xlfn.TEXTJOIN(", ",TRUE,IF(EXACT('Дані_зв''язок'!$J$4:$J$1012,$O335),'Дані_зв''язок'!$M$4:$M$1012,"")))</f>
        <v>МАЗ-4371, ГАЗ 3309</v>
      </c>
      <c r="M335" s="27" cm="1">
        <f t="array" ref="M335">IF($O335="","",IF(SUMPRODUCT(MAX(EXACT('Дані_зв''язок'!$J$4:$J$1012,$O335)*IFERROR('Дані_зв''язок'!$H$4:$H$1012,0)))=0,"",SUMPRODUCT(MAX(EXACT('Дані_зв''язок'!$J$4:$J$1012,$O335)*IFERROR('Дані_зв''язок'!$H$4:$H$1012,0)))))</f>
        <v>3</v>
      </c>
      <c r="O335" s="30" t="s">
        <v>1454</v>
      </c>
      <c r="P335" s="24" cm="1">
        <f t="array" ref="P335">IF($O335="","",IF($B335="","",IFERROR(IF(MIN(IFERROR(VALUE(TRIM(MID(SUBSTITUTE(SUBSTITUTE($B335,","," ")," ",REPT(" ",30)),{1;31;61;91;121;151;181},30))),""))=0,"",MIN(IFERROR(VALUE(TRIM(MID(SUBSTITUTE(SUBSTITUTE($B335,","," ")," ",REPT(" ",30)),{1;31;61;91;121;151;181},30))),""))),"")))</f>
        <v>3</v>
      </c>
      <c r="Q335" s="23" t="str">
        <f t="shared" si="17"/>
        <v>Прилуки, Чернігівська обл., вул. Переяславська, 3</v>
      </c>
      <c r="R335" s="35">
        <f>IF($O335="","",IFERROR(INDEX('Координати майданчиків'!$H$4:$H$64,MATCH($T335,'Координати майданчиків'!$B$4:$B$64,0)),IFERROR(IF(ABS(INDEX(Геокодування!$C$2:$C$361,MATCH($Q335,Геокодування!$B$2:$B$361,0))-50.5884)+ABS(INDEX(Геокодування!$D$2:$D$361,MATCH($Q335,Геокодування!$B$2:$B$361,0))-32.3876)&gt;0.15,"",INDEX(Геокодування!$C$2:$C$361,MATCH($Q335,Геокодування!$B$2:$B$361,0))),IFERROR(IF(ABS(INDEX(Геокодування!$C$2:$C$361,MATCH("Прилуки, Чернігівська обл., "&amp;$A335,Геокодування!$B$2:$B$361,0))-50.5884)+ABS(INDEX(Геокодування!$D$2:$D$361,MATCH("Прилуки, Чернігівська обл., "&amp;$A335,Геокодування!$B$2:$B$361,0))-32.3876)&gt;0.15,"",INDEX(Геокодування!$C$2:$C$361,MATCH("Прилуки, Чернігівська обл., "&amp;$A335,Геокодування!$B$2:$B$361,0))),""))))</f>
        <v>50.594549999999998</v>
      </c>
      <c r="S335" s="43">
        <f>IF($O335="","",IFERROR(INDEX('Координати майданчиків'!$I$4:$I$64,MATCH($T335,'Координати майданчиків'!$B$4:$B$64,0)),IFERROR(IF(ABS(INDEX(Геокодування!$C$2:$C$361,MATCH($Q335,Геокодування!$B$2:$B$361,0))-50.5884)+ABS(INDEX(Геокодування!$D$2:$D$361,MATCH($Q335,Геокодування!$B$2:$B$361,0))-32.3876)&gt;0.15,"",INDEX(Геокодування!$D$2:$D$361,MATCH($Q335,Геокодування!$B$2:$B$361,0))),IFERROR(IF(ABS(INDEX(Геокодування!$C$2:$C$361,MATCH("Прилуки, Чернігівська обл., "&amp;$A335,Геокодування!$B$2:$B$361,0))-50.5884)+ABS(INDEX(Геокодування!$D$2:$D$361,MATCH("Прилуки, Чернігівська обл., "&amp;$A335,Геокодування!$B$2:$B$361,0))-32.3876)&gt;0.15,"",INDEX(Геокодування!$D$2:$D$361,MATCH("Прилуки, Чернігівська обл., "&amp;$A335,Геокодування!$B$2:$B$361,0))),""))))</f>
        <v>32.384729999999998</v>
      </c>
      <c r="T335" s="44" t="str">
        <f>IF($O335="","",IFERROR(INDEX('Координати майданчиків'!$B$4:$B$64,MATCH($A335&amp;IF($P335="","",", "&amp;$P335),'Координати майданчиків'!$B$4:$B$64,0)),IFERROR(INDEX('Координати майданчиків'!$B$4:$B$64,MATCH($A335,'Координати майданчиків'!$B$4:$B$64,0)),"")))</f>
        <v>вул. Переяславська, 3</v>
      </c>
    </row>
    <row r="336" spans="1:20" x14ac:dyDescent="0.35">
      <c r="A336" s="26" t="str">
        <f t="shared" si="15"/>
        <v>вул. Переяславська</v>
      </c>
      <c r="B336" s="26" t="str">
        <f t="shared" si="16"/>
        <v>72 (ТІМ)</v>
      </c>
      <c r="C336" s="27" t="str" cm="1">
        <f t="array" ref="C336">IF($O336="","",_xlfn.TEXTJOIN(", ",TRUE,IF(EXACT('Дані_зв''язок'!$J$4:$J$1012,$O336)*('Дані_зв''язок'!$C$4:$C$1012=C$4),'Дані_зв''язок'!$D$4:$D$1012,"")))</f>
        <v/>
      </c>
      <c r="D336" s="27" t="str" cm="1">
        <f t="array" ref="D336">IF($O336="","",_xlfn.TEXTJOIN(", ",TRUE,IF(EXACT('Дані_зв''язок'!$J$4:$J$1012,$O336)*('Дані_зв''язок'!$C$4:$C$1012=D$4),'Дані_зв''язок'!$D$4:$D$1012,"")))</f>
        <v>9:50</v>
      </c>
      <c r="E336" s="27" t="str" cm="1">
        <f t="array" ref="E336">IF($O336="","",_xlfn.TEXTJOIN(", ",TRUE,IF(EXACT('Дані_зв''язок'!$J$4:$J$1012,$O336)*('Дані_зв''язок'!$C$4:$C$1012=E$4),'Дані_зв''язок'!$D$4:$D$1012,"")))</f>
        <v/>
      </c>
      <c r="F336" s="27" t="str" cm="1">
        <f t="array" ref="F336">IF($O336="","",_xlfn.TEXTJOIN(", ",TRUE,IF(EXACT('Дані_зв''язок'!$J$4:$J$1012,$O336)*('Дані_зв''язок'!$C$4:$C$1012=F$4),'Дані_зв''язок'!$D$4:$D$1012,"")))</f>
        <v>7:55</v>
      </c>
      <c r="G336" s="27" t="str" cm="1">
        <f t="array" ref="G336">IF($O336="","",_xlfn.TEXTJOIN(", ",TRUE,IF(EXACT('Дані_зв''язок'!$J$4:$J$1012,$O336)*('Дані_зв''язок'!$C$4:$C$1012=G$4),'Дані_зв''язок'!$D$4:$D$1012,"")))</f>
        <v/>
      </c>
      <c r="H336" s="27" t="str" cm="1">
        <f t="array" ref="H336">IF($O336="","",_xlfn.TEXTJOIN(", ",TRUE,IF(EXACT('Дані_зв''язок'!$J$4:$J$1012,$O336)*('Дані_зв''язок'!$C$4:$C$1012=H$4),'Дані_зв''язок'!$D$4:$D$1012,"")))</f>
        <v>9:50</v>
      </c>
      <c r="I336" s="27" t="str" cm="1">
        <f t="array" ref="I336">IF($O336="","",_xlfn.TEXTJOIN(", ",TRUE,IF(EXACT('Дані_зв''язок'!$J$4:$J$1012,$O336)*('Дані_зв''язок'!$C$4:$C$1012=I$4),'Дані_зв''язок'!$D$4:$D$1012,"")))</f>
        <v>7:55</v>
      </c>
      <c r="J336" s="27" cm="1">
        <f t="array" ref="J336">IF($O336="","",COUNTIF(C336:I336,"?*")+SUMPRODUCT(LEN(C336:I336)-LEN(SUBSTITUTE(C336:I336,",",""))))</f>
        <v>4</v>
      </c>
      <c r="K336" s="28" t="str" cm="1">
        <f t="array" ref="K336">IF($O336="","",_xlfn.TEXTJOIN(", ",TRUE,IF(EXACT('Дані_зв''язок'!$J$4:$J$1012,$O336),'Дані_зв''язок'!$L$4:$L$1012,"")))</f>
        <v>№1</v>
      </c>
      <c r="L336" s="28" t="str" cm="1">
        <f t="array" ref="L336">IF($O336="","",_xlfn.TEXTJOIN(", ",TRUE,IF(EXACT('Дані_зв''язок'!$J$4:$J$1012,$O336),'Дані_зв''язок'!$M$4:$M$1012,"")))</f>
        <v>КАМАЗ 55111, АТ-4021/1120</v>
      </c>
      <c r="M336" s="27" cm="1">
        <f t="array" ref="M336">IF($O336="","",IF(SUMPRODUCT(MAX(EXACT('Дані_зв''язок'!$J$4:$J$1012,$O336)*IFERROR('Дані_зв''язок'!$H$4:$H$1012,0)))=0,"",SUMPRODUCT(MAX(EXACT('Дані_зв''язок'!$J$4:$J$1012,$O336)*IFERROR('Дані_зв''язок'!$H$4:$H$1012,0)))))</f>
        <v>6</v>
      </c>
      <c r="O336" s="30" t="s">
        <v>1455</v>
      </c>
      <c r="P336" s="24" cm="1">
        <f t="array" ref="P336">IF($O336="","",IF($B336="","",IFERROR(IF(MIN(IFERROR(VALUE(TRIM(MID(SUBSTITUTE(SUBSTITUTE($B336,","," ")," ",REPT(" ",30)),{1;31;61;91;121;151;181},30))),""))=0,"",MIN(IFERROR(VALUE(TRIM(MID(SUBSTITUTE(SUBSTITUTE($B336,","," ")," ",REPT(" ",30)),{1;31;61;91;121;151;181},30))),""))),"")))</f>
        <v>72</v>
      </c>
      <c r="Q336" s="23" t="str">
        <f t="shared" si="17"/>
        <v>Прилуки, Чернігівська обл., вул. Переяславська, 72</v>
      </c>
      <c r="R336" s="35">
        <f>IF($O336="","",IFERROR(INDEX('Координати майданчиків'!$H$4:$H$64,MATCH($T336,'Координати майданчиків'!$B$4:$B$64,0)),IFERROR(IF(ABS(INDEX(Геокодування!$C$2:$C$361,MATCH($Q336,Геокодування!$B$2:$B$361,0))-50.5884)+ABS(INDEX(Геокодування!$D$2:$D$361,MATCH($Q336,Геокодування!$B$2:$B$361,0))-32.3876)&gt;0.15,"",INDEX(Геокодування!$C$2:$C$361,MATCH($Q336,Геокодування!$B$2:$B$361,0))),IFERROR(IF(ABS(INDEX(Геокодування!$C$2:$C$361,MATCH("Прилуки, Чернігівська обл., "&amp;$A336,Геокодування!$B$2:$B$361,0))-50.5884)+ABS(INDEX(Геокодування!$D$2:$D$361,MATCH("Прилуки, Чернігівська обл., "&amp;$A336,Геокодування!$B$2:$B$361,0))-32.3876)&gt;0.15,"",INDEX(Геокодування!$C$2:$C$361,MATCH("Прилуки, Чернігівська обл., "&amp;$A336,Геокодування!$B$2:$B$361,0))),""))))</f>
        <v>50.587569999999999</v>
      </c>
      <c r="S336" s="43">
        <f>IF($O336="","",IFERROR(INDEX('Координати майданчиків'!$I$4:$I$64,MATCH($T336,'Координати майданчиків'!$B$4:$B$64,0)),IFERROR(IF(ABS(INDEX(Геокодування!$C$2:$C$361,MATCH($Q336,Геокодування!$B$2:$B$361,0))-50.5884)+ABS(INDEX(Геокодування!$D$2:$D$361,MATCH($Q336,Геокодування!$B$2:$B$361,0))-32.3876)&gt;0.15,"",INDEX(Геокодування!$D$2:$D$361,MATCH($Q336,Геокодування!$B$2:$B$361,0))),IFERROR(IF(ABS(INDEX(Геокодування!$C$2:$C$361,MATCH("Прилуки, Чернігівська обл., "&amp;$A336,Геокодування!$B$2:$B$361,0))-50.5884)+ABS(INDEX(Геокодування!$D$2:$D$361,MATCH("Прилуки, Чернігівська обл., "&amp;$A336,Геокодування!$B$2:$B$361,0))-32.3876)&gt;0.15,"",INDEX(Геокодування!$D$2:$D$361,MATCH("Прилуки, Чернігівська обл., "&amp;$A336,Геокодування!$B$2:$B$361,0))),""))))</f>
        <v>32.379370000000002</v>
      </c>
      <c r="T336" s="44" t="str">
        <f>IF($O336="","",IFERROR(INDEX('Координати майданчиків'!$B$4:$B$64,MATCH($A336&amp;IF($P336="","",", "&amp;$P336),'Координати майданчиків'!$B$4:$B$64,0)),IFERROR(INDEX('Координати майданчиків'!$B$4:$B$64,MATCH($A336,'Координати майданчиків'!$B$4:$B$64,0)),"")))</f>
        <v>вул. Переяславська, 72</v>
      </c>
    </row>
    <row r="337" spans="1:20" x14ac:dyDescent="0.35">
      <c r="A337" s="26" t="str">
        <f t="shared" si="15"/>
        <v>вул. Переяславська</v>
      </c>
      <c r="B337" s="26" t="str">
        <f t="shared" si="16"/>
        <v>Епіцентр</v>
      </c>
      <c r="C337" s="27" t="str" cm="1">
        <f t="array" ref="C337">IF($O337="","",_xlfn.TEXTJOIN(", ",TRUE,IF(EXACT('Дані_зв''язок'!$J$4:$J$1012,$O337)*('Дані_зв''язок'!$C$4:$C$1012=C$4),'Дані_зв''язок'!$D$4:$D$1012,"")))</f>
        <v/>
      </c>
      <c r="D337" s="27" t="str" cm="1">
        <f t="array" ref="D337">IF($O337="","",_xlfn.TEXTJOIN(", ",TRUE,IF(EXACT('Дані_зв''язок'!$J$4:$J$1012,$O337)*('Дані_зв''язок'!$C$4:$C$1012=D$4),'Дані_зв''язок'!$D$4:$D$1012,"")))</f>
        <v/>
      </c>
      <c r="E337" s="27" t="str" cm="1">
        <f t="array" ref="E337">IF($O337="","",_xlfn.TEXTJOIN(", ",TRUE,IF(EXACT('Дані_зв''язок'!$J$4:$J$1012,$O337)*('Дані_зв''язок'!$C$4:$C$1012=E$4),'Дані_зв''язок'!$D$4:$D$1012,"")))</f>
        <v/>
      </c>
      <c r="F337" s="27" t="str" cm="1">
        <f t="array" ref="F337">IF($O337="","",_xlfn.TEXTJOIN(", ",TRUE,IF(EXACT('Дані_зв''язок'!$J$4:$J$1012,$O337)*('Дані_зв''язок'!$C$4:$C$1012=F$4),'Дані_зв''язок'!$D$4:$D$1012,"")))</f>
        <v/>
      </c>
      <c r="G337" s="27" t="str" cm="1">
        <f t="array" ref="G337">IF($O337="","",_xlfn.TEXTJOIN(", ",TRUE,IF(EXACT('Дані_зв''язок'!$J$4:$J$1012,$O337)*('Дані_зв''язок'!$C$4:$C$1012=G$4),'Дані_зв''язок'!$D$4:$D$1012,"")))</f>
        <v>10:15</v>
      </c>
      <c r="H337" s="27" t="str" cm="1">
        <f t="array" ref="H337">IF($O337="","",_xlfn.TEXTJOIN(", ",TRUE,IF(EXACT('Дані_зв''язок'!$J$4:$J$1012,$O337)*('Дані_зв''язок'!$C$4:$C$1012=H$4),'Дані_зв''язок'!$D$4:$D$1012,"")))</f>
        <v/>
      </c>
      <c r="I337" s="27" t="str" cm="1">
        <f t="array" ref="I337">IF($O337="","",_xlfn.TEXTJOIN(", ",TRUE,IF(EXACT('Дані_зв''язок'!$J$4:$J$1012,$O337)*('Дані_зв''язок'!$C$4:$C$1012=I$4),'Дані_зв''язок'!$D$4:$D$1012,"")))</f>
        <v/>
      </c>
      <c r="J337" s="27" cm="1">
        <f t="array" ref="J337">IF($O337="","",COUNTIF(C337:I337,"?*")+SUMPRODUCT(LEN(C337:I337)-LEN(SUBSTITUTE(C337:I337,",",""))))</f>
        <v>1</v>
      </c>
      <c r="K337" s="28" t="str" cm="1">
        <f t="array" ref="K337">IF($O337="","",_xlfn.TEXTJOIN(", ",TRUE,IF(EXACT('Дані_зв''язок'!$J$4:$J$1012,$O337),'Дані_зв''язок'!$L$4:$L$1012,"")))</f>
        <v>№1</v>
      </c>
      <c r="L337" s="28" t="str" cm="1">
        <f t="array" ref="L337">IF($O337="","",_xlfn.TEXTJOIN(", ",TRUE,IF(EXACT('Дані_зв''язок'!$J$4:$J$1012,$O337),'Дані_зв''язок'!$M$4:$M$1012,"")))</f>
        <v>КАМАЗ 55111</v>
      </c>
      <c r="M337" s="27" cm="1">
        <f t="array" ref="M337">IF($O337="","",IF(SUMPRODUCT(MAX(EXACT('Дані_зв''язок'!$J$4:$J$1012,$O337)*IFERROR('Дані_зв''язок'!$H$4:$H$1012,0)))=0,"",SUMPRODUCT(MAX(EXACT('Дані_зв''язок'!$J$4:$J$1012,$O337)*IFERROR('Дані_зв''язок'!$H$4:$H$1012,0)))))</f>
        <v>5</v>
      </c>
      <c r="O337" s="30" t="s">
        <v>1457</v>
      </c>
      <c r="P337" s="24" t="str" cm="1">
        <f t="array" ref="P337">IF($O337="","",IF($B337="","",IFERROR(IF(MIN(IFERROR(VALUE(TRIM(MID(SUBSTITUTE(SUBSTITUTE($B337,","," ")," ",REPT(" ",30)),{1;31;61;91;121;151;181},30))),""))=0,"",MIN(IFERROR(VALUE(TRIM(MID(SUBSTITUTE(SUBSTITUTE($B337,","," ")," ",REPT(" ",30)),{1;31;61;91;121;151;181},30))),""))),"")))</f>
        <v/>
      </c>
      <c r="Q337" s="23" t="str">
        <f t="shared" si="17"/>
        <v>Прилуки, Чернігівська обл., вул. Переяславська</v>
      </c>
      <c r="R337" s="35">
        <f>IF($O337="","",IFERROR(INDEX('Координати майданчиків'!$H$4:$H$64,MATCH($T337,'Координати майданчиків'!$B$4:$B$64,0)),IFERROR(IF(ABS(INDEX(Геокодування!$C$2:$C$361,MATCH($Q337,Геокодування!$B$2:$B$361,0))-50.5884)+ABS(INDEX(Геокодування!$D$2:$D$361,MATCH($Q337,Геокодування!$B$2:$B$361,0))-32.3876)&gt;0.15,"",INDEX(Геокодування!$C$2:$C$361,MATCH($Q337,Геокодування!$B$2:$B$361,0))),IFERROR(IF(ABS(INDEX(Геокодування!$C$2:$C$361,MATCH("Прилуки, Чернігівська обл., "&amp;$A337,Геокодування!$B$2:$B$361,0))-50.5884)+ABS(INDEX(Геокодування!$D$2:$D$361,MATCH("Прилуки, Чернігівська обл., "&amp;$A337,Геокодування!$B$2:$B$361,0))-32.3876)&gt;0.15,"",INDEX(Геокодування!$C$2:$C$361,MATCH("Прилуки, Чернігівська обл., "&amp;$A337,Геокодування!$B$2:$B$361,0))),""))))</f>
        <v>50.587499000000001</v>
      </c>
      <c r="S337" s="43">
        <f>IF($O337="","",IFERROR(INDEX('Координати майданчиків'!$I$4:$I$64,MATCH($T337,'Координати майданчиків'!$B$4:$B$64,0)),IFERROR(IF(ABS(INDEX(Геокодування!$C$2:$C$361,MATCH($Q337,Геокодування!$B$2:$B$361,0))-50.5884)+ABS(INDEX(Геокодування!$D$2:$D$361,MATCH($Q337,Геокодування!$B$2:$B$361,0))-32.3876)&gt;0.15,"",INDEX(Геокодування!$D$2:$D$361,MATCH($Q337,Геокодування!$B$2:$B$361,0))),IFERROR(IF(ABS(INDEX(Геокодування!$C$2:$C$361,MATCH("Прилуки, Чернігівська обл., "&amp;$A337,Геокодування!$B$2:$B$361,0))-50.5884)+ABS(INDEX(Геокодування!$D$2:$D$361,MATCH("Прилуки, Чернігівська обл., "&amp;$A337,Геокодування!$B$2:$B$361,0))-32.3876)&gt;0.15,"",INDEX(Геокодування!$D$2:$D$361,MATCH("Прилуки, Чернігівська обл., "&amp;$A337,Геокодування!$B$2:$B$361,0))),""))))</f>
        <v>32.381003</v>
      </c>
      <c r="T337" s="44" t="str">
        <f>IF($O337="","",IFERROR(INDEX('Координати майданчиків'!$B$4:$B$64,MATCH($A337&amp;IF($P337="","",", "&amp;$P337),'Координати майданчиків'!$B$4:$B$64,0)),IFERROR(INDEX('Координати майданчиків'!$B$4:$B$64,MATCH($A337,'Координати майданчиків'!$B$4:$B$64,0)),"")))</f>
        <v/>
      </c>
    </row>
    <row r="338" spans="1:20" x14ac:dyDescent="0.35">
      <c r="A338" s="26" t="str">
        <f t="shared" si="15"/>
        <v>вул. Переяславська</v>
      </c>
      <c r="B338" s="26" t="str">
        <f t="shared" si="16"/>
        <v>МБК</v>
      </c>
      <c r="C338" s="27" t="str" cm="1">
        <f t="array" ref="C338">IF($O338="","",_xlfn.TEXTJOIN(", ",TRUE,IF(EXACT('Дані_зв''язок'!$J$4:$J$1012,$O338)*('Дані_зв''язок'!$C$4:$C$1012=C$4),'Дані_зв''язок'!$D$4:$D$1012,"")))</f>
        <v>8:25</v>
      </c>
      <c r="D338" s="27" t="str" cm="1">
        <f t="array" ref="D338">IF($O338="","",_xlfn.TEXTJOIN(", ",TRUE,IF(EXACT('Дані_зв''язок'!$J$4:$J$1012,$O338)*('Дані_зв''язок'!$C$4:$C$1012=D$4),'Дані_зв''язок'!$D$4:$D$1012,"")))</f>
        <v/>
      </c>
      <c r="E338" s="27" t="str" cm="1">
        <f t="array" ref="E338">IF($O338="","",_xlfn.TEXTJOIN(", ",TRUE,IF(EXACT('Дані_зв''язок'!$J$4:$J$1012,$O338)*('Дані_зв''язок'!$C$4:$C$1012=E$4),'Дані_зв''язок'!$D$4:$D$1012,"")))</f>
        <v/>
      </c>
      <c r="F338" s="27" t="str" cm="1">
        <f t="array" ref="F338">IF($O338="","",_xlfn.TEXTJOIN(", ",TRUE,IF(EXACT('Дані_зв''язок'!$J$4:$J$1012,$O338)*('Дані_зв''язок'!$C$4:$C$1012=F$4),'Дані_зв''язок'!$D$4:$D$1012,"")))</f>
        <v/>
      </c>
      <c r="G338" s="27" t="str" cm="1">
        <f t="array" ref="G338">IF($O338="","",_xlfn.TEXTJOIN(", ",TRUE,IF(EXACT('Дані_зв''язок'!$J$4:$J$1012,$O338)*('Дані_зв''язок'!$C$4:$C$1012=G$4),'Дані_зв''язок'!$D$4:$D$1012,"")))</f>
        <v/>
      </c>
      <c r="H338" s="27" t="str" cm="1">
        <f t="array" ref="H338">IF($O338="","",_xlfn.TEXTJOIN(", ",TRUE,IF(EXACT('Дані_зв''язок'!$J$4:$J$1012,$O338)*('Дані_зв''язок'!$C$4:$C$1012=H$4),'Дані_зв''язок'!$D$4:$D$1012,"")))</f>
        <v/>
      </c>
      <c r="I338" s="27" t="str" cm="1">
        <f t="array" ref="I338">IF($O338="","",_xlfn.TEXTJOIN(", ",TRUE,IF(EXACT('Дані_зв''язок'!$J$4:$J$1012,$O338)*('Дані_зв''язок'!$C$4:$C$1012=I$4),'Дані_зв''язок'!$D$4:$D$1012,"")))</f>
        <v/>
      </c>
      <c r="J338" s="27" cm="1">
        <f t="array" ref="J338">IF($O338="","",COUNTIF(C338:I338,"?*")+SUMPRODUCT(LEN(C338:I338)-LEN(SUBSTITUTE(C338:I338,",",""))))</f>
        <v>1</v>
      </c>
      <c r="K338" s="28" t="str" cm="1">
        <f t="array" ref="K338">IF($O338="","",_xlfn.TEXTJOIN(", ",TRUE,IF(EXACT('Дані_зв''язок'!$J$4:$J$1012,$O338),'Дані_зв''язок'!$L$4:$L$1012,"")))</f>
        <v>№3</v>
      </c>
      <c r="L338" s="28" t="str" cm="1">
        <f t="array" ref="L338">IF($O338="","",_xlfn.TEXTJOIN(", ",TRUE,IF(EXACT('Дані_зв''язок'!$J$4:$J$1012,$O338),'Дані_зв''язок'!$M$4:$M$1012,"")))</f>
        <v>ГАЗ 3309</v>
      </c>
      <c r="M338" s="27" cm="1">
        <f t="array" ref="M338">IF($O338="","",IF(SUMPRODUCT(MAX(EXACT('Дані_зв''язок'!$J$4:$J$1012,$O338)*IFERROR('Дані_зв''язок'!$H$4:$H$1012,0)))=0,"",SUMPRODUCT(MAX(EXACT('Дані_зв''язок'!$J$4:$J$1012,$O338)*IFERROR('Дані_зв''язок'!$H$4:$H$1012,0)))))</f>
        <v>4</v>
      </c>
      <c r="O338" s="30" t="s">
        <v>1458</v>
      </c>
      <c r="P338" s="24" t="str" cm="1">
        <f t="array" ref="P338">IF($O338="","",IF($B338="","",IFERROR(IF(MIN(IFERROR(VALUE(TRIM(MID(SUBSTITUTE(SUBSTITUTE($B338,","," ")," ",REPT(" ",30)),{1;31;61;91;121;151;181},30))),""))=0,"",MIN(IFERROR(VALUE(TRIM(MID(SUBSTITUTE(SUBSTITUTE($B338,","," ")," ",REPT(" ",30)),{1;31;61;91;121;151;181},30))),""))),"")))</f>
        <v/>
      </c>
      <c r="Q338" s="23" t="str">
        <f t="shared" si="17"/>
        <v>Прилуки, Чернігівська обл., вул. Переяславська</v>
      </c>
      <c r="R338" s="35">
        <f>IF($O338="","",IFERROR(INDEX('Координати майданчиків'!$H$4:$H$64,MATCH($T338,'Координати майданчиків'!$B$4:$B$64,0)),IFERROR(IF(ABS(INDEX(Геокодування!$C$2:$C$361,MATCH($Q338,Геокодування!$B$2:$B$361,0))-50.5884)+ABS(INDEX(Геокодування!$D$2:$D$361,MATCH($Q338,Геокодування!$B$2:$B$361,0))-32.3876)&gt;0.15,"",INDEX(Геокодування!$C$2:$C$361,MATCH($Q338,Геокодування!$B$2:$B$361,0))),IFERROR(IF(ABS(INDEX(Геокодування!$C$2:$C$361,MATCH("Прилуки, Чернігівська обл., "&amp;$A338,Геокодування!$B$2:$B$361,0))-50.5884)+ABS(INDEX(Геокодування!$D$2:$D$361,MATCH("Прилуки, Чернігівська обл., "&amp;$A338,Геокодування!$B$2:$B$361,0))-32.3876)&gt;0.15,"",INDEX(Геокодування!$C$2:$C$361,MATCH("Прилуки, Чернігівська обл., "&amp;$A338,Геокодування!$B$2:$B$361,0))),""))))</f>
        <v>50.587499000000001</v>
      </c>
      <c r="S338" s="43">
        <f>IF($O338="","",IFERROR(INDEX('Координати майданчиків'!$I$4:$I$64,MATCH($T338,'Координати майданчиків'!$B$4:$B$64,0)),IFERROR(IF(ABS(INDEX(Геокодування!$C$2:$C$361,MATCH($Q338,Геокодування!$B$2:$B$361,0))-50.5884)+ABS(INDEX(Геокодування!$D$2:$D$361,MATCH($Q338,Геокодування!$B$2:$B$361,0))-32.3876)&gt;0.15,"",INDEX(Геокодування!$D$2:$D$361,MATCH($Q338,Геокодування!$B$2:$B$361,0))),IFERROR(IF(ABS(INDEX(Геокодування!$C$2:$C$361,MATCH("Прилуки, Чернігівська обл., "&amp;$A338,Геокодування!$B$2:$B$361,0))-50.5884)+ABS(INDEX(Геокодування!$D$2:$D$361,MATCH("Прилуки, Чернігівська обл., "&amp;$A338,Геокодування!$B$2:$B$361,0))-32.3876)&gt;0.15,"",INDEX(Геокодування!$D$2:$D$361,MATCH("Прилуки, Чернігівська обл., "&amp;$A338,Геокодування!$B$2:$B$361,0))),""))))</f>
        <v>32.381003</v>
      </c>
      <c r="T338" s="44" t="str">
        <f>IF($O338="","",IFERROR(INDEX('Координати майданчиків'!$B$4:$B$64,MATCH($A338&amp;IF($P338="","",", "&amp;$P338),'Координати майданчиків'!$B$4:$B$64,0)),IFERROR(INDEX('Координати майданчиків'!$B$4:$B$64,MATCH($A338,'Координати майданчиків'!$B$4:$B$64,0)),"")))</f>
        <v/>
      </c>
    </row>
    <row r="339" spans="1:20" x14ac:dyDescent="0.35">
      <c r="A339" s="26" t="str">
        <f t="shared" si="15"/>
        <v>вул. Переяславська</v>
      </c>
      <c r="B339" s="26" t="str">
        <f t="shared" si="16"/>
        <v>Престиж</v>
      </c>
      <c r="C339" s="27" t="str" cm="1">
        <f t="array" ref="C339">IF($O339="","",_xlfn.TEXTJOIN(", ",TRUE,IF(EXACT('Дані_зв''язок'!$J$4:$J$1012,$O339)*('Дані_зв''язок'!$C$4:$C$1012=C$4),'Дані_зв''язок'!$D$4:$D$1012,"")))</f>
        <v>12:30</v>
      </c>
      <c r="D339" s="27" t="str" cm="1">
        <f t="array" ref="D339">IF($O339="","",_xlfn.TEXTJOIN(", ",TRUE,IF(EXACT('Дані_зв''язок'!$J$4:$J$1012,$O339)*('Дані_зв''язок'!$C$4:$C$1012=D$4),'Дані_зв''язок'!$D$4:$D$1012,"")))</f>
        <v/>
      </c>
      <c r="E339" s="27" t="str" cm="1">
        <f t="array" ref="E339">IF($O339="","",_xlfn.TEXTJOIN(", ",TRUE,IF(EXACT('Дані_зв''язок'!$J$4:$J$1012,$O339)*('Дані_зв''язок'!$C$4:$C$1012=E$4),'Дані_зв''язок'!$D$4:$D$1012,"")))</f>
        <v/>
      </c>
      <c r="F339" s="27" t="str" cm="1">
        <f t="array" ref="F339">IF($O339="","",_xlfn.TEXTJOIN(", ",TRUE,IF(EXACT('Дані_зв''язок'!$J$4:$J$1012,$O339)*('Дані_зв''язок'!$C$4:$C$1012=F$4),'Дані_зв''язок'!$D$4:$D$1012,"")))</f>
        <v/>
      </c>
      <c r="G339" s="27" t="str" cm="1">
        <f t="array" ref="G339">IF($O339="","",_xlfn.TEXTJOIN(", ",TRUE,IF(EXACT('Дані_зв''язок'!$J$4:$J$1012,$O339)*('Дані_зв''язок'!$C$4:$C$1012=G$4),'Дані_зв''язок'!$D$4:$D$1012,"")))</f>
        <v/>
      </c>
      <c r="H339" s="27" t="str" cm="1">
        <f t="array" ref="H339">IF($O339="","",_xlfn.TEXTJOIN(", ",TRUE,IF(EXACT('Дані_зв''язок'!$J$4:$J$1012,$O339)*('Дані_зв''язок'!$C$4:$C$1012=H$4),'Дані_зв''язок'!$D$4:$D$1012,"")))</f>
        <v/>
      </c>
      <c r="I339" s="27" t="str" cm="1">
        <f t="array" ref="I339">IF($O339="","",_xlfn.TEXTJOIN(", ",TRUE,IF(EXACT('Дані_зв''язок'!$J$4:$J$1012,$O339)*('Дані_зв''язок'!$C$4:$C$1012=I$4),'Дані_зв''язок'!$D$4:$D$1012,"")))</f>
        <v/>
      </c>
      <c r="J339" s="27" cm="1">
        <f t="array" ref="J339">IF($O339="","",COUNTIF(C339:I339,"?*")+SUMPRODUCT(LEN(C339:I339)-LEN(SUBSTITUTE(C339:I339,",",""))))</f>
        <v>1</v>
      </c>
      <c r="K339" s="28" t="str" cm="1">
        <f t="array" ref="K339">IF($O339="","",_xlfn.TEXTJOIN(", ",TRUE,IF(EXACT('Дані_зв''язок'!$J$4:$J$1012,$O339),'Дані_зв''язок'!$L$4:$L$1012,"")))</f>
        <v>№1</v>
      </c>
      <c r="L339" s="28" t="str" cm="1">
        <f t="array" ref="L339">IF($O339="","",_xlfn.TEXTJOIN(", ",TRUE,IF(EXACT('Дані_зв''язок'!$J$4:$J$1012,$O339),'Дані_зв''язок'!$M$4:$M$1012,"")))</f>
        <v>АТ-4021/1120</v>
      </c>
      <c r="M339" s="27" cm="1">
        <f t="array" ref="M339">IF($O339="","",IF(SUMPRODUCT(MAX(EXACT('Дані_зв''язок'!$J$4:$J$1012,$O339)*IFERROR('Дані_зв''язок'!$H$4:$H$1012,0)))=0,"",SUMPRODUCT(MAX(EXACT('Дані_зв''язок'!$J$4:$J$1012,$O339)*IFERROR('Дані_зв''язок'!$H$4:$H$1012,0)))))</f>
        <v>2</v>
      </c>
      <c r="O339" s="30" t="s">
        <v>1460</v>
      </c>
      <c r="P339" s="24" t="str" cm="1">
        <f t="array" ref="P339">IF($O339="","",IF($B339="","",IFERROR(IF(MIN(IFERROR(VALUE(TRIM(MID(SUBSTITUTE(SUBSTITUTE($B339,","," ")," ",REPT(" ",30)),{1;31;61;91;121;151;181},30))),""))=0,"",MIN(IFERROR(VALUE(TRIM(MID(SUBSTITUTE(SUBSTITUTE($B339,","," ")," ",REPT(" ",30)),{1;31;61;91;121;151;181},30))),""))),"")))</f>
        <v/>
      </c>
      <c r="Q339" s="23" t="str">
        <f t="shared" si="17"/>
        <v>Прилуки, Чернігівська обл., вул. Переяславська</v>
      </c>
      <c r="R339" s="35">
        <f>IF($O339="","",IFERROR(INDEX('Координати майданчиків'!$H$4:$H$64,MATCH($T339,'Координати майданчиків'!$B$4:$B$64,0)),IFERROR(IF(ABS(INDEX(Геокодування!$C$2:$C$361,MATCH($Q339,Геокодування!$B$2:$B$361,0))-50.5884)+ABS(INDEX(Геокодування!$D$2:$D$361,MATCH($Q339,Геокодування!$B$2:$B$361,0))-32.3876)&gt;0.15,"",INDEX(Геокодування!$C$2:$C$361,MATCH($Q339,Геокодування!$B$2:$B$361,0))),IFERROR(IF(ABS(INDEX(Геокодування!$C$2:$C$361,MATCH("Прилуки, Чернігівська обл., "&amp;$A339,Геокодування!$B$2:$B$361,0))-50.5884)+ABS(INDEX(Геокодування!$D$2:$D$361,MATCH("Прилуки, Чернігівська обл., "&amp;$A339,Геокодування!$B$2:$B$361,0))-32.3876)&gt;0.15,"",INDEX(Геокодування!$C$2:$C$361,MATCH("Прилуки, Чернігівська обл., "&amp;$A339,Геокодування!$B$2:$B$361,0))),""))))</f>
        <v>50.587499000000001</v>
      </c>
      <c r="S339" s="43">
        <f>IF($O339="","",IFERROR(INDEX('Координати майданчиків'!$I$4:$I$64,MATCH($T339,'Координати майданчиків'!$B$4:$B$64,0)),IFERROR(IF(ABS(INDEX(Геокодування!$C$2:$C$361,MATCH($Q339,Геокодування!$B$2:$B$361,0))-50.5884)+ABS(INDEX(Геокодування!$D$2:$D$361,MATCH($Q339,Геокодування!$B$2:$B$361,0))-32.3876)&gt;0.15,"",INDEX(Геокодування!$D$2:$D$361,MATCH($Q339,Геокодування!$B$2:$B$361,0))),IFERROR(IF(ABS(INDEX(Геокодування!$C$2:$C$361,MATCH("Прилуки, Чернігівська обл., "&amp;$A339,Геокодування!$B$2:$B$361,0))-50.5884)+ABS(INDEX(Геокодування!$D$2:$D$361,MATCH("Прилуки, Чернігівська обл., "&amp;$A339,Геокодування!$B$2:$B$361,0))-32.3876)&gt;0.15,"",INDEX(Геокодування!$D$2:$D$361,MATCH("Прилуки, Чернігівська обл., "&amp;$A339,Геокодування!$B$2:$B$361,0))),""))))</f>
        <v>32.381003</v>
      </c>
      <c r="T339" s="44" t="str">
        <f>IF($O339="","",IFERROR(INDEX('Координати майданчиків'!$B$4:$B$64,MATCH($A339&amp;IF($P339="","",", "&amp;$P339),'Координати майданчиків'!$B$4:$B$64,0)),IFERROR(INDEX('Координати майданчиків'!$B$4:$B$64,MATCH($A339,'Координати майданчиків'!$B$4:$B$64,0)),"")))</f>
        <v/>
      </c>
    </row>
    <row r="340" spans="1:20" x14ac:dyDescent="0.35">
      <c r="A340" s="26" t="str">
        <f t="shared" si="15"/>
        <v>вул. Переяславська</v>
      </c>
      <c r="B340" s="26" t="str">
        <f t="shared" si="16"/>
        <v>Таврія</v>
      </c>
      <c r="C340" s="27" t="str" cm="1">
        <f t="array" ref="C340">IF($O340="","",_xlfn.TEXTJOIN(", ",TRUE,IF(EXACT('Дані_зв''язок'!$J$4:$J$1012,$O340)*('Дані_зв''язок'!$C$4:$C$1012=C$4),'Дані_зв''язок'!$D$4:$D$1012,"")))</f>
        <v>8:40</v>
      </c>
      <c r="D340" s="27" t="str" cm="1">
        <f t="array" ref="D340">IF($O340="","",_xlfn.TEXTJOIN(", ",TRUE,IF(EXACT('Дані_зв''язок'!$J$4:$J$1012,$O340)*('Дані_зв''язок'!$C$4:$C$1012=D$4),'Дані_зв''язок'!$D$4:$D$1012,"")))</f>
        <v/>
      </c>
      <c r="E340" s="27" t="str" cm="1">
        <f t="array" ref="E340">IF($O340="","",_xlfn.TEXTJOIN(", ",TRUE,IF(EXACT('Дані_зв''язок'!$J$4:$J$1012,$O340)*('Дані_зв''язок'!$C$4:$C$1012=E$4),'Дані_зв''язок'!$D$4:$D$1012,"")))</f>
        <v/>
      </c>
      <c r="F340" s="27" t="str" cm="1">
        <f t="array" ref="F340">IF($O340="","",_xlfn.TEXTJOIN(", ",TRUE,IF(EXACT('Дані_зв''язок'!$J$4:$J$1012,$O340)*('Дані_зв''язок'!$C$4:$C$1012=F$4),'Дані_зв''язок'!$D$4:$D$1012,"")))</f>
        <v/>
      </c>
      <c r="G340" s="27" t="str" cm="1">
        <f t="array" ref="G340">IF($O340="","",_xlfn.TEXTJOIN(", ",TRUE,IF(EXACT('Дані_зв''язок'!$J$4:$J$1012,$O340)*('Дані_зв''язок'!$C$4:$C$1012=G$4),'Дані_зв''язок'!$D$4:$D$1012,"")))</f>
        <v/>
      </c>
      <c r="H340" s="27" t="str" cm="1">
        <f t="array" ref="H340">IF($O340="","",_xlfn.TEXTJOIN(", ",TRUE,IF(EXACT('Дані_зв''язок'!$J$4:$J$1012,$O340)*('Дані_зв''язок'!$C$4:$C$1012=H$4),'Дані_зв''язок'!$D$4:$D$1012,"")))</f>
        <v/>
      </c>
      <c r="I340" s="27" t="str" cm="1">
        <f t="array" ref="I340">IF($O340="","",_xlfn.TEXTJOIN(", ",TRUE,IF(EXACT('Дані_зв''язок'!$J$4:$J$1012,$O340)*('Дані_зв''язок'!$C$4:$C$1012=I$4),'Дані_зв''язок'!$D$4:$D$1012,"")))</f>
        <v/>
      </c>
      <c r="J340" s="27" cm="1">
        <f t="array" ref="J340">IF($O340="","",COUNTIF(C340:I340,"?*")+SUMPRODUCT(LEN(C340:I340)-LEN(SUBSTITUTE(C340:I340,",",""))))</f>
        <v>1</v>
      </c>
      <c r="K340" s="28" t="str" cm="1">
        <f t="array" ref="K340">IF($O340="","",_xlfn.TEXTJOIN(", ",TRUE,IF(EXACT('Дані_зв''язок'!$J$4:$J$1012,$O340),'Дані_зв''язок'!$L$4:$L$1012,"")))</f>
        <v>№1</v>
      </c>
      <c r="L340" s="28" t="str" cm="1">
        <f t="array" ref="L340">IF($O340="","",_xlfn.TEXTJOIN(", ",TRUE,IF(EXACT('Дані_зв''язок'!$J$4:$J$1012,$O340),'Дані_зв''язок'!$M$4:$M$1012,"")))</f>
        <v>АТ-4021/1120</v>
      </c>
      <c r="M340" s="27" cm="1">
        <f t="array" ref="M340">IF($O340="","",IF(SUMPRODUCT(MAX(EXACT('Дані_зв''язок'!$J$4:$J$1012,$O340)*IFERROR('Дані_зв''язок'!$H$4:$H$1012,0)))=0,"",SUMPRODUCT(MAX(EXACT('Дані_зв''язок'!$J$4:$J$1012,$O340)*IFERROR('Дані_зв''язок'!$H$4:$H$1012,0)))))</f>
        <v>1</v>
      </c>
      <c r="O340" s="30" t="s">
        <v>1461</v>
      </c>
      <c r="P340" s="24" t="str" cm="1">
        <f t="array" ref="P340">IF($O340="","",IF($B340="","",IFERROR(IF(MIN(IFERROR(VALUE(TRIM(MID(SUBSTITUTE(SUBSTITUTE($B340,","," ")," ",REPT(" ",30)),{1;31;61;91;121;151;181},30))),""))=0,"",MIN(IFERROR(VALUE(TRIM(MID(SUBSTITUTE(SUBSTITUTE($B340,","," ")," ",REPT(" ",30)),{1;31;61;91;121;151;181},30))),""))),"")))</f>
        <v/>
      </c>
      <c r="Q340" s="23" t="str">
        <f t="shared" si="17"/>
        <v>Прилуки, Чернігівська обл., вул. Переяславська</v>
      </c>
      <c r="R340" s="35">
        <f>IF($O340="","",IFERROR(INDEX('Координати майданчиків'!$H$4:$H$64,MATCH($T340,'Координати майданчиків'!$B$4:$B$64,0)),IFERROR(IF(ABS(INDEX(Геокодування!$C$2:$C$361,MATCH($Q340,Геокодування!$B$2:$B$361,0))-50.5884)+ABS(INDEX(Геокодування!$D$2:$D$361,MATCH($Q340,Геокодування!$B$2:$B$361,0))-32.3876)&gt;0.15,"",INDEX(Геокодування!$C$2:$C$361,MATCH($Q340,Геокодування!$B$2:$B$361,0))),IFERROR(IF(ABS(INDEX(Геокодування!$C$2:$C$361,MATCH("Прилуки, Чернігівська обл., "&amp;$A340,Геокодування!$B$2:$B$361,0))-50.5884)+ABS(INDEX(Геокодування!$D$2:$D$361,MATCH("Прилуки, Чернігівська обл., "&amp;$A340,Геокодування!$B$2:$B$361,0))-32.3876)&gt;0.15,"",INDEX(Геокодування!$C$2:$C$361,MATCH("Прилуки, Чернігівська обл., "&amp;$A340,Геокодування!$B$2:$B$361,0))),""))))</f>
        <v>50.587499000000001</v>
      </c>
      <c r="S340" s="43">
        <f>IF($O340="","",IFERROR(INDEX('Координати майданчиків'!$I$4:$I$64,MATCH($T340,'Координати майданчиків'!$B$4:$B$64,0)),IFERROR(IF(ABS(INDEX(Геокодування!$C$2:$C$361,MATCH($Q340,Геокодування!$B$2:$B$361,0))-50.5884)+ABS(INDEX(Геокодування!$D$2:$D$361,MATCH($Q340,Геокодування!$B$2:$B$361,0))-32.3876)&gt;0.15,"",INDEX(Геокодування!$D$2:$D$361,MATCH($Q340,Геокодування!$B$2:$B$361,0))),IFERROR(IF(ABS(INDEX(Геокодування!$C$2:$C$361,MATCH("Прилуки, Чернігівська обл., "&amp;$A340,Геокодування!$B$2:$B$361,0))-50.5884)+ABS(INDEX(Геокодування!$D$2:$D$361,MATCH("Прилуки, Чернігівська обл., "&amp;$A340,Геокодування!$B$2:$B$361,0))-32.3876)&gt;0.15,"",INDEX(Геокодування!$D$2:$D$361,MATCH("Прилуки, Чернігівська обл., "&amp;$A340,Геокодування!$B$2:$B$361,0))),""))))</f>
        <v>32.381003</v>
      </c>
      <c r="T340" s="44" t="str">
        <f>IF($O340="","",IFERROR(INDEX('Координати майданчиків'!$B$4:$B$64,MATCH($A340&amp;IF($P340="","",", "&amp;$P340),'Координати майданчиків'!$B$4:$B$64,0)),IFERROR(INDEX('Координати майданчиків'!$B$4:$B$64,MATCH($A340,'Координати майданчиків'!$B$4:$B$64,0)),"")))</f>
        <v/>
      </c>
    </row>
    <row r="341" spans="1:20" x14ac:dyDescent="0.35">
      <c r="A341" s="26" t="str">
        <f t="shared" si="15"/>
        <v>вул. Переяславська</v>
      </c>
      <c r="B341" s="26" t="str">
        <f t="shared" si="16"/>
        <v>Укр.ковбаси</v>
      </c>
      <c r="C341" s="27" t="str" cm="1">
        <f t="array" ref="C341">IF($O341="","",_xlfn.TEXTJOIN(", ",TRUE,IF(EXACT('Дані_зв''язок'!$J$4:$J$1012,$O341)*('Дані_зв''язок'!$C$4:$C$1012=C$4),'Дані_зв''язок'!$D$4:$D$1012,"")))</f>
        <v>12:35</v>
      </c>
      <c r="D341" s="27" t="str" cm="1">
        <f t="array" ref="D341">IF($O341="","",_xlfn.TEXTJOIN(", ",TRUE,IF(EXACT('Дані_зв''язок'!$J$4:$J$1012,$O341)*('Дані_зв''язок'!$C$4:$C$1012=D$4),'Дані_зв''язок'!$D$4:$D$1012,"")))</f>
        <v/>
      </c>
      <c r="E341" s="27" t="str" cm="1">
        <f t="array" ref="E341">IF($O341="","",_xlfn.TEXTJOIN(", ",TRUE,IF(EXACT('Дані_зв''язок'!$J$4:$J$1012,$O341)*('Дані_зв''язок'!$C$4:$C$1012=E$4),'Дані_зв''язок'!$D$4:$D$1012,"")))</f>
        <v/>
      </c>
      <c r="F341" s="27" t="str" cm="1">
        <f t="array" ref="F341">IF($O341="","",_xlfn.TEXTJOIN(", ",TRUE,IF(EXACT('Дані_зв''язок'!$J$4:$J$1012,$O341)*('Дані_зв''язок'!$C$4:$C$1012=F$4),'Дані_зв''язок'!$D$4:$D$1012,"")))</f>
        <v/>
      </c>
      <c r="G341" s="27" t="str" cm="1">
        <f t="array" ref="G341">IF($O341="","",_xlfn.TEXTJOIN(", ",TRUE,IF(EXACT('Дані_зв''язок'!$J$4:$J$1012,$O341)*('Дані_зв''язок'!$C$4:$C$1012=G$4),'Дані_зв''язок'!$D$4:$D$1012,"")))</f>
        <v/>
      </c>
      <c r="H341" s="27" t="str" cm="1">
        <f t="array" ref="H341">IF($O341="","",_xlfn.TEXTJOIN(", ",TRUE,IF(EXACT('Дані_зв''язок'!$J$4:$J$1012,$O341)*('Дані_зв''язок'!$C$4:$C$1012=H$4),'Дані_зв''язок'!$D$4:$D$1012,"")))</f>
        <v/>
      </c>
      <c r="I341" s="27" t="str" cm="1">
        <f t="array" ref="I341">IF($O341="","",_xlfn.TEXTJOIN(", ",TRUE,IF(EXACT('Дані_зв''язок'!$J$4:$J$1012,$O341)*('Дані_зв''язок'!$C$4:$C$1012=I$4),'Дані_зв''язок'!$D$4:$D$1012,"")))</f>
        <v/>
      </c>
      <c r="J341" s="27" cm="1">
        <f t="array" ref="J341">IF($O341="","",COUNTIF(C341:I341,"?*")+SUMPRODUCT(LEN(C341:I341)-LEN(SUBSTITUTE(C341:I341,",",""))))</f>
        <v>1</v>
      </c>
      <c r="K341" s="28" t="str" cm="1">
        <f t="array" ref="K341">IF($O341="","",_xlfn.TEXTJOIN(", ",TRUE,IF(EXACT('Дані_зв''язок'!$J$4:$J$1012,$O341),'Дані_зв''язок'!$L$4:$L$1012,"")))</f>
        <v>№1</v>
      </c>
      <c r="L341" s="28" t="str" cm="1">
        <f t="array" ref="L341">IF($O341="","",_xlfn.TEXTJOIN(", ",TRUE,IF(EXACT('Дані_зв''язок'!$J$4:$J$1012,$O341),'Дані_зв''язок'!$M$4:$M$1012,"")))</f>
        <v>АТ-4021/1120</v>
      </c>
      <c r="M341" s="27" cm="1">
        <f t="array" ref="M341">IF($O341="","",IF(SUMPRODUCT(MAX(EXACT('Дані_зв''язок'!$J$4:$J$1012,$O341)*IFERROR('Дані_зв''язок'!$H$4:$H$1012,0)))=0,"",SUMPRODUCT(MAX(EXACT('Дані_зв''язок'!$J$4:$J$1012,$O341)*IFERROR('Дані_зв''язок'!$H$4:$H$1012,0)))))</f>
        <v>1</v>
      </c>
      <c r="O341" s="30" t="s">
        <v>1462</v>
      </c>
      <c r="P341" s="24" t="str" cm="1">
        <f t="array" ref="P341">IF($O341="","",IF($B341="","",IFERROR(IF(MIN(IFERROR(VALUE(TRIM(MID(SUBSTITUTE(SUBSTITUTE($B341,","," ")," ",REPT(" ",30)),{1;31;61;91;121;151;181},30))),""))=0,"",MIN(IFERROR(VALUE(TRIM(MID(SUBSTITUTE(SUBSTITUTE($B341,","," ")," ",REPT(" ",30)),{1;31;61;91;121;151;181},30))),""))),"")))</f>
        <v/>
      </c>
      <c r="Q341" s="23" t="str">
        <f t="shared" si="17"/>
        <v>Прилуки, Чернігівська обл., вул. Переяславська</v>
      </c>
      <c r="R341" s="35">
        <f>IF($O341="","",IFERROR(INDEX('Координати майданчиків'!$H$4:$H$64,MATCH($T341,'Координати майданчиків'!$B$4:$B$64,0)),IFERROR(IF(ABS(INDEX(Геокодування!$C$2:$C$361,MATCH($Q341,Геокодування!$B$2:$B$361,0))-50.5884)+ABS(INDEX(Геокодування!$D$2:$D$361,MATCH($Q341,Геокодування!$B$2:$B$361,0))-32.3876)&gt;0.15,"",INDEX(Геокодування!$C$2:$C$361,MATCH($Q341,Геокодування!$B$2:$B$361,0))),IFERROR(IF(ABS(INDEX(Геокодування!$C$2:$C$361,MATCH("Прилуки, Чернігівська обл., "&amp;$A341,Геокодування!$B$2:$B$361,0))-50.5884)+ABS(INDEX(Геокодування!$D$2:$D$361,MATCH("Прилуки, Чернігівська обл., "&amp;$A341,Геокодування!$B$2:$B$361,0))-32.3876)&gt;0.15,"",INDEX(Геокодування!$C$2:$C$361,MATCH("Прилуки, Чернігівська обл., "&amp;$A341,Геокодування!$B$2:$B$361,0))),""))))</f>
        <v>50.587499000000001</v>
      </c>
      <c r="S341" s="43">
        <f>IF($O341="","",IFERROR(INDEX('Координати майданчиків'!$I$4:$I$64,MATCH($T341,'Координати майданчиків'!$B$4:$B$64,0)),IFERROR(IF(ABS(INDEX(Геокодування!$C$2:$C$361,MATCH($Q341,Геокодування!$B$2:$B$361,0))-50.5884)+ABS(INDEX(Геокодування!$D$2:$D$361,MATCH($Q341,Геокодування!$B$2:$B$361,0))-32.3876)&gt;0.15,"",INDEX(Геокодування!$D$2:$D$361,MATCH($Q341,Геокодування!$B$2:$B$361,0))),IFERROR(IF(ABS(INDEX(Геокодування!$C$2:$C$361,MATCH("Прилуки, Чернігівська обл., "&amp;$A341,Геокодування!$B$2:$B$361,0))-50.5884)+ABS(INDEX(Геокодування!$D$2:$D$361,MATCH("Прилуки, Чернігівська обл., "&amp;$A341,Геокодування!$B$2:$B$361,0))-32.3876)&gt;0.15,"",INDEX(Геокодування!$D$2:$D$361,MATCH("Прилуки, Чернігівська обл., "&amp;$A341,Геокодування!$B$2:$B$361,0))),""))))</f>
        <v>32.381003</v>
      </c>
      <c r="T341" s="44" t="str">
        <f>IF($O341="","",IFERROR(INDEX('Координати майданчиків'!$B$4:$B$64,MATCH($A341&amp;IF($P341="","",", "&amp;$P341),'Координати майданчиків'!$B$4:$B$64,0)),IFERROR(INDEX('Координати майданчиків'!$B$4:$B$64,MATCH($A341,'Координати майданчиків'!$B$4:$B$64,0)),"")))</f>
        <v/>
      </c>
    </row>
    <row r="342" spans="1:20" x14ac:dyDescent="0.35">
      <c r="A342" s="26" t="str">
        <f t="shared" si="15"/>
        <v>вул. Переяславська</v>
      </c>
      <c r="B342" s="26" t="str">
        <f t="shared" si="16"/>
        <v>Фора</v>
      </c>
      <c r="C342" s="27" t="str" cm="1">
        <f t="array" ref="C342">IF($O342="","",_xlfn.TEXTJOIN(", ",TRUE,IF(EXACT('Дані_зв''язок'!$J$4:$J$1012,$O342)*('Дані_зв''язок'!$C$4:$C$1012=C$4),'Дані_зв''язок'!$D$4:$D$1012,"")))</f>
        <v>10:00</v>
      </c>
      <c r="D342" s="27" t="str" cm="1">
        <f t="array" ref="D342">IF($O342="","",_xlfn.TEXTJOIN(", ",TRUE,IF(EXACT('Дані_зв''язок'!$J$4:$J$1012,$O342)*('Дані_зв''язок'!$C$4:$C$1012=D$4),'Дані_зв''язок'!$D$4:$D$1012,"")))</f>
        <v/>
      </c>
      <c r="E342" s="27" t="str" cm="1">
        <f t="array" ref="E342">IF($O342="","",_xlfn.TEXTJOIN(", ",TRUE,IF(EXACT('Дані_зв''язок'!$J$4:$J$1012,$O342)*('Дані_зв''язок'!$C$4:$C$1012=E$4),'Дані_зв''язок'!$D$4:$D$1012,"")))</f>
        <v>9:50</v>
      </c>
      <c r="F342" s="27" t="str" cm="1">
        <f t="array" ref="F342">IF($O342="","",_xlfn.TEXTJOIN(", ",TRUE,IF(EXACT('Дані_зв''язок'!$J$4:$J$1012,$O342)*('Дані_зв''язок'!$C$4:$C$1012=F$4),'Дані_зв''язок'!$D$4:$D$1012,"")))</f>
        <v>12:00</v>
      </c>
      <c r="G342" s="27" t="str" cm="1">
        <f t="array" ref="G342">IF($O342="","",_xlfn.TEXTJOIN(", ",TRUE,IF(EXACT('Дані_зв''язок'!$J$4:$J$1012,$O342)*('Дані_зв''язок'!$C$4:$C$1012=G$4),'Дані_зв''язок'!$D$4:$D$1012,"")))</f>
        <v>9:50</v>
      </c>
      <c r="H342" s="27" t="str" cm="1">
        <f t="array" ref="H342">IF($O342="","",_xlfn.TEXTJOIN(", ",TRUE,IF(EXACT('Дані_зв''язок'!$J$4:$J$1012,$O342)*('Дані_зв''язок'!$C$4:$C$1012=H$4),'Дані_зв''язок'!$D$4:$D$1012,"")))</f>
        <v/>
      </c>
      <c r="I342" s="27" t="str" cm="1">
        <f t="array" ref="I342">IF($O342="","",_xlfn.TEXTJOIN(", ",TRUE,IF(EXACT('Дані_зв''язок'!$J$4:$J$1012,$O342)*('Дані_зв''язок'!$C$4:$C$1012=I$4),'Дані_зв''язок'!$D$4:$D$1012,"")))</f>
        <v>10:35</v>
      </c>
      <c r="J342" s="27" cm="1">
        <f t="array" ref="J342">IF($O342="","",COUNTIF(C342:I342,"?*")+SUMPRODUCT(LEN(C342:I342)-LEN(SUBSTITUTE(C342:I342,",",""))))</f>
        <v>5</v>
      </c>
      <c r="K342" s="28" t="str" cm="1">
        <f t="array" ref="K342">IF($O342="","",_xlfn.TEXTJOIN(", ",TRUE,IF(EXACT('Дані_зв''язок'!$J$4:$J$1012,$O342),'Дані_зв''язок'!$L$4:$L$1012,"")))</f>
        <v>№1</v>
      </c>
      <c r="L342" s="28" t="str" cm="1">
        <f t="array" ref="L342">IF($O342="","",_xlfn.TEXTJOIN(", ",TRUE,IF(EXACT('Дані_зв''язок'!$J$4:$J$1012,$O342),'Дані_зв''язок'!$M$4:$M$1012,"")))</f>
        <v>КАМАЗ 55111, АТ-4021/1120</v>
      </c>
      <c r="M342" s="27" cm="1">
        <f t="array" ref="M342">IF($O342="","",IF(SUMPRODUCT(MAX(EXACT('Дані_зв''язок'!$J$4:$J$1012,$O342)*IFERROR('Дані_зв''язок'!$H$4:$H$1012,0)))=0,"",SUMPRODUCT(MAX(EXACT('Дані_зв''язок'!$J$4:$J$1012,$O342)*IFERROR('Дані_зв''язок'!$H$4:$H$1012,0)))))</f>
        <v>4</v>
      </c>
      <c r="O342" s="30" t="s">
        <v>1463</v>
      </c>
      <c r="P342" s="24" t="str" cm="1">
        <f t="array" ref="P342">IF($O342="","",IF($B342="","",IFERROR(IF(MIN(IFERROR(VALUE(TRIM(MID(SUBSTITUTE(SUBSTITUTE($B342,","," ")," ",REPT(" ",30)),{1;31;61;91;121;151;181},30))),""))=0,"",MIN(IFERROR(VALUE(TRIM(MID(SUBSTITUTE(SUBSTITUTE($B342,","," ")," ",REPT(" ",30)),{1;31;61;91;121;151;181},30))),""))),"")))</f>
        <v/>
      </c>
      <c r="Q342" s="23" t="str">
        <f t="shared" si="17"/>
        <v>Прилуки, Чернігівська обл., вул. Переяславська</v>
      </c>
      <c r="R342" s="35">
        <f>IF($O342="","",IFERROR(INDEX('Координати майданчиків'!$H$4:$H$64,MATCH($T342,'Координати майданчиків'!$B$4:$B$64,0)),IFERROR(IF(ABS(INDEX(Геокодування!$C$2:$C$361,MATCH($Q342,Геокодування!$B$2:$B$361,0))-50.5884)+ABS(INDEX(Геокодування!$D$2:$D$361,MATCH($Q342,Геокодування!$B$2:$B$361,0))-32.3876)&gt;0.15,"",INDEX(Геокодування!$C$2:$C$361,MATCH($Q342,Геокодування!$B$2:$B$361,0))),IFERROR(IF(ABS(INDEX(Геокодування!$C$2:$C$361,MATCH("Прилуки, Чернігівська обл., "&amp;$A342,Геокодування!$B$2:$B$361,0))-50.5884)+ABS(INDEX(Геокодування!$D$2:$D$361,MATCH("Прилуки, Чернігівська обл., "&amp;$A342,Геокодування!$B$2:$B$361,0))-32.3876)&gt;0.15,"",INDEX(Геокодування!$C$2:$C$361,MATCH("Прилуки, Чернігівська обл., "&amp;$A342,Геокодування!$B$2:$B$361,0))),""))))</f>
        <v>50.587499000000001</v>
      </c>
      <c r="S342" s="43">
        <f>IF($O342="","",IFERROR(INDEX('Координати майданчиків'!$I$4:$I$64,MATCH($T342,'Координати майданчиків'!$B$4:$B$64,0)),IFERROR(IF(ABS(INDEX(Геокодування!$C$2:$C$361,MATCH($Q342,Геокодування!$B$2:$B$361,0))-50.5884)+ABS(INDEX(Геокодування!$D$2:$D$361,MATCH($Q342,Геокодування!$B$2:$B$361,0))-32.3876)&gt;0.15,"",INDEX(Геокодування!$D$2:$D$361,MATCH($Q342,Геокодування!$B$2:$B$361,0))),IFERROR(IF(ABS(INDEX(Геокодування!$C$2:$C$361,MATCH("Прилуки, Чернігівська обл., "&amp;$A342,Геокодування!$B$2:$B$361,0))-50.5884)+ABS(INDEX(Геокодування!$D$2:$D$361,MATCH("Прилуки, Чернігівська обл., "&amp;$A342,Геокодування!$B$2:$B$361,0))-32.3876)&gt;0.15,"",INDEX(Геокодування!$D$2:$D$361,MATCH("Прилуки, Чернігівська обл., "&amp;$A342,Геокодування!$B$2:$B$361,0))),""))))</f>
        <v>32.381003</v>
      </c>
      <c r="T342" s="44" t="str">
        <f>IF($O342="","",IFERROR(INDEX('Координати майданчиків'!$B$4:$B$64,MATCH($A342&amp;IF($P342="","",", "&amp;$P342),'Координати майданчиків'!$B$4:$B$64,0)),IFERROR(INDEX('Координати майданчиків'!$B$4:$B$64,MATCH($A342,'Координати майданчиків'!$B$4:$B$64,0)),"")))</f>
        <v/>
      </c>
    </row>
    <row r="343" spans="1:20" x14ac:dyDescent="0.35">
      <c r="A343" s="26" t="str">
        <f t="shared" si="15"/>
        <v>вул. Переяславська</v>
      </c>
      <c r="B343" s="26" t="str">
        <f t="shared" si="16"/>
        <v>буд. 10</v>
      </c>
      <c r="C343" s="27" t="str" cm="1">
        <f t="array" ref="C343">IF($O343="","",_xlfn.TEXTJOIN(", ",TRUE,IF(EXACT('Дані_зв''язок'!$J$4:$J$1012,$O343)*('Дані_зв''язок'!$C$4:$C$1012=C$4),'Дані_зв''язок'!$D$4:$D$1012,"")))</f>
        <v>10:10</v>
      </c>
      <c r="D343" s="27" t="str" cm="1">
        <f t="array" ref="D343">IF($O343="","",_xlfn.TEXTJOIN(", ",TRUE,IF(EXACT('Дані_зв''язок'!$J$4:$J$1012,$O343)*('Дані_зв''язок'!$C$4:$C$1012=D$4),'Дані_зв''язок'!$D$4:$D$1012,"")))</f>
        <v>10:10, 15:20</v>
      </c>
      <c r="E343" s="27" t="str" cm="1">
        <f t="array" ref="E343">IF($O343="","",_xlfn.TEXTJOIN(", ",TRUE,IF(EXACT('Дані_зв''язок'!$J$4:$J$1012,$O343)*('Дані_зв''язок'!$C$4:$C$1012=E$4),'Дані_зв''язок'!$D$4:$D$1012,"")))</f>
        <v>8:40</v>
      </c>
      <c r="F343" s="27" t="str" cm="1">
        <f t="array" ref="F343">IF($O343="","",_xlfn.TEXTJOIN(", ",TRUE,IF(EXACT('Дані_зв''язок'!$J$4:$J$1012,$O343)*('Дані_зв''язок'!$C$4:$C$1012=F$4),'Дані_зв''язок'!$D$4:$D$1012,"")))</f>
        <v>10:10</v>
      </c>
      <c r="G343" s="27" t="str" cm="1">
        <f t="array" ref="G343">IF($O343="","",_xlfn.TEXTJOIN(", ",TRUE,IF(EXACT('Дані_зв''язок'!$J$4:$J$1012,$O343)*('Дані_зв''язок'!$C$4:$C$1012=G$4),'Дані_зв''язок'!$D$4:$D$1012,"")))</f>
        <v>10:10</v>
      </c>
      <c r="H343" s="27" t="str" cm="1">
        <f t="array" ref="H343">IF($O343="","",_xlfn.TEXTJOIN(", ",TRUE,IF(EXACT('Дані_зв''язок'!$J$4:$J$1012,$O343)*('Дані_зв''язок'!$C$4:$C$1012=H$4),'Дані_зв''язок'!$D$4:$D$1012,"")))</f>
        <v>8:40</v>
      </c>
      <c r="I343" s="27" t="str" cm="1">
        <f t="array" ref="I343">IF($O343="","",_xlfn.TEXTJOIN(", ",TRUE,IF(EXACT('Дані_зв''язок'!$J$4:$J$1012,$O343)*('Дані_зв''язок'!$C$4:$C$1012=I$4),'Дані_зв''язок'!$D$4:$D$1012,"")))</f>
        <v>10:10, 14:45</v>
      </c>
      <c r="J343" s="27" cm="1">
        <f t="array" ref="J343">IF($O343="","",COUNTIF(C343:I343,"?*")+SUMPRODUCT(LEN(C343:I343)-LEN(SUBSTITUTE(C343:I343,",",""))))</f>
        <v>9</v>
      </c>
      <c r="K343" s="28" t="str" cm="1">
        <f t="array" ref="K343">IF($O343="","",_xlfn.TEXTJOIN(", ",TRUE,IF(EXACT('Дані_зв''язок'!$J$4:$J$1012,$O343),'Дані_зв''язок'!$L$4:$L$1012,"")))</f>
        <v>№2</v>
      </c>
      <c r="L343" s="28" t="str" cm="1">
        <f t="array" ref="L343">IF($O343="","",_xlfn.TEXTJOIN(", ",TRUE,IF(EXACT('Дані_зв''язок'!$J$4:$J$1012,$O343),'Дані_зв''язок'!$M$4:$M$1012,"")))</f>
        <v>АТ 4021/1120, АТ-4021/1120</v>
      </c>
      <c r="M343" s="27" cm="1">
        <f t="array" ref="M343">IF($O343="","",IF(SUMPRODUCT(MAX(EXACT('Дані_зв''язок'!$J$4:$J$1012,$O343)*IFERROR('Дані_зв''язок'!$H$4:$H$1012,0)))=0,"",SUMPRODUCT(MAX(EXACT('Дані_зв''язок'!$J$4:$J$1012,$O343)*IFERROR('Дані_зв''язок'!$H$4:$H$1012,0)))))</f>
        <v>3</v>
      </c>
      <c r="O343" s="30" t="s">
        <v>1456</v>
      </c>
      <c r="P343" s="24" cm="1">
        <f t="array" ref="P343">IF($O343="","",IF($B343="","",IFERROR(IF(MIN(IFERROR(VALUE(TRIM(MID(SUBSTITUTE(SUBSTITUTE($B343,","," ")," ",REPT(" ",30)),{1;31;61;91;121;151;181},30))),""))=0,"",MIN(IFERROR(VALUE(TRIM(MID(SUBSTITUTE(SUBSTITUTE($B343,","," ")," ",REPT(" ",30)),{1;31;61;91;121;151;181},30))),""))),"")))</f>
        <v>10</v>
      </c>
      <c r="Q343" s="23" t="str">
        <f t="shared" si="17"/>
        <v>Прилуки, Чернігівська обл., вул. Переяславська, 10</v>
      </c>
      <c r="R343" s="35">
        <f>IF($O343="","",IFERROR(INDEX('Координати майданчиків'!$H$4:$H$64,MATCH($T343,'Координати майданчиків'!$B$4:$B$64,0)),IFERROR(IF(ABS(INDEX(Геокодування!$C$2:$C$361,MATCH($Q343,Геокодування!$B$2:$B$361,0))-50.5884)+ABS(INDEX(Геокодування!$D$2:$D$361,MATCH($Q343,Геокодування!$B$2:$B$361,0))-32.3876)&gt;0.15,"",INDEX(Геокодування!$C$2:$C$361,MATCH($Q343,Геокодування!$B$2:$B$361,0))),IFERROR(IF(ABS(INDEX(Геокодування!$C$2:$C$361,MATCH("Прилуки, Чернігівська обл., "&amp;$A343,Геокодування!$B$2:$B$361,0))-50.5884)+ABS(INDEX(Геокодування!$D$2:$D$361,MATCH("Прилуки, Чернігівська обл., "&amp;$A343,Геокодування!$B$2:$B$361,0))-32.3876)&gt;0.15,"",INDEX(Геокодування!$C$2:$C$361,MATCH("Прилуки, Чернігівська обл., "&amp;$A343,Геокодування!$B$2:$B$361,0))),""))))</f>
        <v>50.59346</v>
      </c>
      <c r="S343" s="43">
        <f>IF($O343="","",IFERROR(INDEX('Координати майданчиків'!$I$4:$I$64,MATCH($T343,'Координати майданчиків'!$B$4:$B$64,0)),IFERROR(IF(ABS(INDEX(Геокодування!$C$2:$C$361,MATCH($Q343,Геокодування!$B$2:$B$361,0))-50.5884)+ABS(INDEX(Геокодування!$D$2:$D$361,MATCH($Q343,Геокодування!$B$2:$B$361,0))-32.3876)&gt;0.15,"",INDEX(Геокодування!$D$2:$D$361,MATCH($Q343,Геокодування!$B$2:$B$361,0))),IFERROR(IF(ABS(INDEX(Геокодування!$C$2:$C$361,MATCH("Прилуки, Чернігівська обл., "&amp;$A343,Геокодування!$B$2:$B$361,0))-50.5884)+ABS(INDEX(Геокодування!$D$2:$D$361,MATCH("Прилуки, Чернігівська обл., "&amp;$A343,Геокодування!$B$2:$B$361,0))-32.3876)&gt;0.15,"",INDEX(Геокодування!$D$2:$D$361,MATCH("Прилуки, Чернігівська обл., "&amp;$A343,Геокодування!$B$2:$B$361,0))),""))))</f>
        <v>32.383290000000002</v>
      </c>
      <c r="T343" s="44" t="str">
        <f>IF($O343="","",IFERROR(INDEX('Координати майданчиків'!$B$4:$B$64,MATCH($A343&amp;IF($P343="","",", "&amp;$P343),'Координати майданчиків'!$B$4:$B$64,0)),IFERROR(INDEX('Координати майданчиків'!$B$4:$B$64,MATCH($A343,'Координати майданчиків'!$B$4:$B$64,0)),"")))</f>
        <v>вул. Переяславська, 10</v>
      </c>
    </row>
    <row r="344" spans="1:20" x14ac:dyDescent="0.35">
      <c r="A344" s="26" t="str">
        <f t="shared" si="15"/>
        <v>вул. Переяславська</v>
      </c>
      <c r="B344" s="26" t="str">
        <f t="shared" si="16"/>
        <v>м-н Епіцентр</v>
      </c>
      <c r="C344" s="27" t="str" cm="1">
        <f t="array" ref="C344">IF($O344="","",_xlfn.TEXTJOIN(", ",TRUE,IF(EXACT('Дані_зв''язок'!$J$4:$J$1012,$O344)*('Дані_зв''язок'!$C$4:$C$1012=C$4),'Дані_зв''язок'!$D$4:$D$1012,"")))</f>
        <v/>
      </c>
      <c r="D344" s="27" t="str" cm="1">
        <f t="array" ref="D344">IF($O344="","",_xlfn.TEXTJOIN(", ",TRUE,IF(EXACT('Дані_зв''язок'!$J$4:$J$1012,$O344)*('Дані_зв''язок'!$C$4:$C$1012=D$4),'Дані_зв''язок'!$D$4:$D$1012,"")))</f>
        <v/>
      </c>
      <c r="E344" s="27" t="str" cm="1">
        <f t="array" ref="E344">IF($O344="","",_xlfn.TEXTJOIN(", ",TRUE,IF(EXACT('Дані_зв''язок'!$J$4:$J$1012,$O344)*('Дані_зв''язок'!$C$4:$C$1012=E$4),'Дані_зв''язок'!$D$4:$D$1012,"")))</f>
        <v/>
      </c>
      <c r="F344" s="27" t="str" cm="1">
        <f t="array" ref="F344">IF($O344="","",_xlfn.TEXTJOIN(", ",TRUE,IF(EXACT('Дані_зв''язок'!$J$4:$J$1012,$O344)*('Дані_зв''язок'!$C$4:$C$1012=F$4),'Дані_зв''язок'!$D$4:$D$1012,"")))</f>
        <v>14:30</v>
      </c>
      <c r="G344" s="27" t="str" cm="1">
        <f t="array" ref="G344">IF($O344="","",_xlfn.TEXTJOIN(", ",TRUE,IF(EXACT('Дані_зв''язок'!$J$4:$J$1012,$O344)*('Дані_зв''язок'!$C$4:$C$1012=G$4),'Дані_зв''язок'!$D$4:$D$1012,"")))</f>
        <v/>
      </c>
      <c r="H344" s="27" t="str" cm="1">
        <f t="array" ref="H344">IF($O344="","",_xlfn.TEXTJOIN(", ",TRUE,IF(EXACT('Дані_зв''язок'!$J$4:$J$1012,$O344)*('Дані_зв''язок'!$C$4:$C$1012=H$4),'Дані_зв''язок'!$D$4:$D$1012,"")))</f>
        <v/>
      </c>
      <c r="I344" s="27" t="str" cm="1">
        <f t="array" ref="I344">IF($O344="","",_xlfn.TEXTJOIN(", ",TRUE,IF(EXACT('Дані_зв''язок'!$J$4:$J$1012,$O344)*('Дані_зв''язок'!$C$4:$C$1012=I$4),'Дані_зв''язок'!$D$4:$D$1012,"")))</f>
        <v>14:30</v>
      </c>
      <c r="J344" s="27" cm="1">
        <f t="array" ref="J344">IF($O344="","",COUNTIF(C344:I344,"?*")+SUMPRODUCT(LEN(C344:I344)-LEN(SUBSTITUTE(C344:I344,",",""))))</f>
        <v>2</v>
      </c>
      <c r="K344" s="28" t="str" cm="1">
        <f t="array" ref="K344">IF($O344="","",_xlfn.TEXTJOIN(", ",TRUE,IF(EXACT('Дані_зв''язок'!$J$4:$J$1012,$O344),'Дані_зв''язок'!$L$4:$L$1012,"")))</f>
        <v>№1</v>
      </c>
      <c r="L344" s="28" t="str" cm="1">
        <f t="array" ref="L344">IF($O344="","",_xlfn.TEXTJOIN(", ",TRUE,IF(EXACT('Дані_зв''язок'!$J$4:$J$1012,$O344),'Дані_зв''язок'!$M$4:$M$1012,"")))</f>
        <v>АТ-4021/1120</v>
      </c>
      <c r="M344" s="27" cm="1">
        <f t="array" ref="M344">IF($O344="","",IF(SUMPRODUCT(MAX(EXACT('Дані_зв''язок'!$J$4:$J$1012,$O344)*IFERROR('Дані_зв''язок'!$H$4:$H$1012,0)))=0,"",SUMPRODUCT(MAX(EXACT('Дані_зв''язок'!$J$4:$J$1012,$O344)*IFERROR('Дані_зв''язок'!$H$4:$H$1012,0)))))</f>
        <v>4</v>
      </c>
      <c r="O344" s="30" t="s">
        <v>1459</v>
      </c>
      <c r="P344" s="24" t="str" cm="1">
        <f t="array" ref="P344">IF($O344="","",IF($B344="","",IFERROR(IF(MIN(IFERROR(VALUE(TRIM(MID(SUBSTITUTE(SUBSTITUTE($B344,","," ")," ",REPT(" ",30)),{1;31;61;91;121;151;181},30))),""))=0,"",MIN(IFERROR(VALUE(TRIM(MID(SUBSTITUTE(SUBSTITUTE($B344,","," ")," ",REPT(" ",30)),{1;31;61;91;121;151;181},30))),""))),"")))</f>
        <v/>
      </c>
      <c r="Q344" s="23" t="str">
        <f t="shared" si="17"/>
        <v>Прилуки, Чернігівська обл., вул. Переяславська</v>
      </c>
      <c r="R344" s="35">
        <f>IF($O344="","",IFERROR(INDEX('Координати майданчиків'!$H$4:$H$64,MATCH($T344,'Координати майданчиків'!$B$4:$B$64,0)),IFERROR(IF(ABS(INDEX(Геокодування!$C$2:$C$361,MATCH($Q344,Геокодування!$B$2:$B$361,0))-50.5884)+ABS(INDEX(Геокодування!$D$2:$D$361,MATCH($Q344,Геокодування!$B$2:$B$361,0))-32.3876)&gt;0.15,"",INDEX(Геокодування!$C$2:$C$361,MATCH($Q344,Геокодування!$B$2:$B$361,0))),IFERROR(IF(ABS(INDEX(Геокодування!$C$2:$C$361,MATCH("Прилуки, Чернігівська обл., "&amp;$A344,Геокодування!$B$2:$B$361,0))-50.5884)+ABS(INDEX(Геокодування!$D$2:$D$361,MATCH("Прилуки, Чернігівська обл., "&amp;$A344,Геокодування!$B$2:$B$361,0))-32.3876)&gt;0.15,"",INDEX(Геокодування!$C$2:$C$361,MATCH("Прилуки, Чернігівська обл., "&amp;$A344,Геокодування!$B$2:$B$361,0))),""))))</f>
        <v>50.587499000000001</v>
      </c>
      <c r="S344" s="43">
        <f>IF($O344="","",IFERROR(INDEX('Координати майданчиків'!$I$4:$I$64,MATCH($T344,'Координати майданчиків'!$B$4:$B$64,0)),IFERROR(IF(ABS(INDEX(Геокодування!$C$2:$C$361,MATCH($Q344,Геокодування!$B$2:$B$361,0))-50.5884)+ABS(INDEX(Геокодування!$D$2:$D$361,MATCH($Q344,Геокодування!$B$2:$B$361,0))-32.3876)&gt;0.15,"",INDEX(Геокодування!$D$2:$D$361,MATCH($Q344,Геокодування!$B$2:$B$361,0))),IFERROR(IF(ABS(INDEX(Геокодування!$C$2:$C$361,MATCH("Прилуки, Чернігівська обл., "&amp;$A344,Геокодування!$B$2:$B$361,0))-50.5884)+ABS(INDEX(Геокодування!$D$2:$D$361,MATCH("Прилуки, Чернігівська обл., "&amp;$A344,Геокодування!$B$2:$B$361,0))-32.3876)&gt;0.15,"",INDEX(Геокодування!$D$2:$D$361,MATCH("Прилуки, Чернігівська обл., "&amp;$A344,Геокодування!$B$2:$B$361,0))),""))))</f>
        <v>32.381003</v>
      </c>
      <c r="T344" s="44" t="str">
        <f>IF($O344="","",IFERROR(INDEX('Координати майданчиків'!$B$4:$B$64,MATCH($A344&amp;IF($P344="","",", "&amp;$P344),'Координати майданчиків'!$B$4:$B$64,0)),IFERROR(INDEX('Координати майданчиків'!$B$4:$B$64,MATCH($A344,'Координати майданчиків'!$B$4:$B$64,0)),"")))</f>
        <v/>
      </c>
    </row>
    <row r="345" spans="1:20" x14ac:dyDescent="0.35">
      <c r="A345" s="26" t="str">
        <f t="shared" si="15"/>
        <v>вул. Пирогівська</v>
      </c>
      <c r="B345" s="26" t="str">
        <f t="shared" si="16"/>
        <v>45,31  21</v>
      </c>
      <c r="C345" s="27" t="str" cm="1">
        <f t="array" ref="C345">IF($O345="","",_xlfn.TEXTJOIN(", ",TRUE,IF(EXACT('Дані_зв''язок'!$J$4:$J$1012,$O345)*('Дані_зв''язок'!$C$4:$C$1012=C$4),'Дані_зв''язок'!$D$4:$D$1012,"")))</f>
        <v>10:35</v>
      </c>
      <c r="D345" s="27" t="str" cm="1">
        <f t="array" ref="D345">IF($O345="","",_xlfn.TEXTJOIN(", ",TRUE,IF(EXACT('Дані_зв''язок'!$J$4:$J$1012,$O345)*('Дані_зв''язок'!$C$4:$C$1012=D$4),'Дані_зв''язок'!$D$4:$D$1012,"")))</f>
        <v/>
      </c>
      <c r="E345" s="27" t="str" cm="1">
        <f t="array" ref="E345">IF($O345="","",_xlfn.TEXTJOIN(", ",TRUE,IF(EXACT('Дані_зв''язок'!$J$4:$J$1012,$O345)*('Дані_зв''язок'!$C$4:$C$1012=E$4),'Дані_зв''язок'!$D$4:$D$1012,"")))</f>
        <v/>
      </c>
      <c r="F345" s="27" t="str" cm="1">
        <f t="array" ref="F345">IF($O345="","",_xlfn.TEXTJOIN(", ",TRUE,IF(EXACT('Дані_зв''язок'!$J$4:$J$1012,$O345)*('Дані_зв''язок'!$C$4:$C$1012=F$4),'Дані_зв''язок'!$D$4:$D$1012,"")))</f>
        <v/>
      </c>
      <c r="G345" s="27" t="str" cm="1">
        <f t="array" ref="G345">IF($O345="","",_xlfn.TEXTJOIN(", ",TRUE,IF(EXACT('Дані_зв''язок'!$J$4:$J$1012,$O345)*('Дані_зв''язок'!$C$4:$C$1012=G$4),'Дані_зв''язок'!$D$4:$D$1012,"")))</f>
        <v/>
      </c>
      <c r="H345" s="27" t="str" cm="1">
        <f t="array" ref="H345">IF($O345="","",_xlfn.TEXTJOIN(", ",TRUE,IF(EXACT('Дані_зв''язок'!$J$4:$J$1012,$O345)*('Дані_зв''язок'!$C$4:$C$1012=H$4),'Дані_зв''язок'!$D$4:$D$1012,"")))</f>
        <v/>
      </c>
      <c r="I345" s="27" t="str" cm="1">
        <f t="array" ref="I345">IF($O345="","",_xlfn.TEXTJOIN(", ",TRUE,IF(EXACT('Дані_зв''язок'!$J$4:$J$1012,$O345)*('Дані_зв''язок'!$C$4:$C$1012=I$4),'Дані_зв''язок'!$D$4:$D$1012,"")))</f>
        <v/>
      </c>
      <c r="J345" s="27" cm="1">
        <f t="array" ref="J345">IF($O345="","",COUNTIF(C345:I345,"?*")+SUMPRODUCT(LEN(C345:I345)-LEN(SUBSTITUTE(C345:I345,",",""))))</f>
        <v>1</v>
      </c>
      <c r="K345" s="28" t="str" cm="1">
        <f t="array" ref="K345">IF($O345="","",_xlfn.TEXTJOIN(", ",TRUE,IF(EXACT('Дані_зв''язок'!$J$4:$J$1012,$O345),'Дані_зв''язок'!$L$4:$L$1012,"")))</f>
        <v>№6</v>
      </c>
      <c r="L345" s="28" t="str" cm="1">
        <f t="array" ref="L345">IF($O345="","",_xlfn.TEXTJOIN(", ",TRUE,IF(EXACT('Дані_зв''язок'!$J$4:$J$1012,$O345),'Дані_зв''язок'!$M$4:$M$1012,"")))</f>
        <v>АТ 4021</v>
      </c>
      <c r="M345" s="27" t="str" cm="1">
        <f t="array" ref="M345">IF($O345="","",IF(SUMPRODUCT(MAX(EXACT('Дані_зв''язок'!$J$4:$J$1012,$O345)*IFERROR('Дані_зв''язок'!$H$4:$H$1012,0)))=0,"",SUMPRODUCT(MAX(EXACT('Дані_зв''язок'!$J$4:$J$1012,$O345)*IFERROR('Дані_зв''язок'!$H$4:$H$1012,0)))))</f>
        <v/>
      </c>
      <c r="O345" s="30" t="s">
        <v>1464</v>
      </c>
      <c r="P345" s="24" cm="1">
        <f t="array" ref="P345">IF($O345="","",IF($B345="","",IFERROR(IF(MIN(IFERROR(VALUE(TRIM(MID(SUBSTITUTE(SUBSTITUTE($B345,","," ")," ",REPT(" ",30)),{1;31;61;91;121;151;181},30))),""))=0,"",MIN(IFERROR(VALUE(TRIM(MID(SUBSTITUTE(SUBSTITUTE($B345,","," ")," ",REPT(" ",30)),{1;31;61;91;121;151;181},30))),""))),"")))</f>
        <v>21</v>
      </c>
      <c r="Q345" s="23" t="str">
        <f t="shared" si="17"/>
        <v>Прилуки, Чернігівська обл., вул. Пирогівська, 21</v>
      </c>
      <c r="R345" s="35">
        <f>IF($O345="","",IFERROR(INDEX('Координати майданчиків'!$H$4:$H$64,MATCH($T345,'Координати майданчиків'!$B$4:$B$64,0)),IFERROR(IF(ABS(INDEX(Геокодування!$C$2:$C$361,MATCH($Q345,Геокодування!$B$2:$B$361,0))-50.5884)+ABS(INDEX(Геокодування!$D$2:$D$361,MATCH($Q345,Геокодування!$B$2:$B$361,0))-32.3876)&gt;0.15,"",INDEX(Геокодування!$C$2:$C$361,MATCH($Q345,Геокодування!$B$2:$B$361,0))),IFERROR(IF(ABS(INDEX(Геокодування!$C$2:$C$361,MATCH("Прилуки, Чернігівська обл., "&amp;$A345,Геокодування!$B$2:$B$361,0))-50.5884)+ABS(INDEX(Геокодування!$D$2:$D$361,MATCH("Прилуки, Чернігівська обл., "&amp;$A345,Геокодування!$B$2:$B$361,0))-32.3876)&gt;0.15,"",INDEX(Геокодування!$C$2:$C$361,MATCH("Прилуки, Чернігівська обл., "&amp;$A345,Геокодування!$B$2:$B$361,0))),""))))</f>
        <v>50.617673000000003</v>
      </c>
      <c r="S345" s="43">
        <f>IF($O345="","",IFERROR(INDEX('Координати майданчиків'!$I$4:$I$64,MATCH($T345,'Координати майданчиків'!$B$4:$B$64,0)),IFERROR(IF(ABS(INDEX(Геокодування!$C$2:$C$361,MATCH($Q345,Геокодування!$B$2:$B$361,0))-50.5884)+ABS(INDEX(Геокодування!$D$2:$D$361,MATCH($Q345,Геокодування!$B$2:$B$361,0))-32.3876)&gt;0.15,"",INDEX(Геокодування!$D$2:$D$361,MATCH($Q345,Геокодування!$B$2:$B$361,0))),IFERROR(IF(ABS(INDEX(Геокодування!$C$2:$C$361,MATCH("Прилуки, Чернігівська обл., "&amp;$A345,Геокодування!$B$2:$B$361,0))-50.5884)+ABS(INDEX(Геокодування!$D$2:$D$361,MATCH("Прилуки, Чернігівська обл., "&amp;$A345,Геокодування!$B$2:$B$361,0))-32.3876)&gt;0.15,"",INDEX(Геокодування!$D$2:$D$361,MATCH("Прилуки, Чернігівська обл., "&amp;$A345,Геокодування!$B$2:$B$361,0))),""))))</f>
        <v>32.370238000000001</v>
      </c>
      <c r="T345" s="44" t="str">
        <f>IF($O345="","",IFERROR(INDEX('Координати майданчиків'!$B$4:$B$64,MATCH($A345&amp;IF($P345="","",", "&amp;$P345),'Координати майданчиків'!$B$4:$B$64,0)),IFERROR(INDEX('Координати майданчиків'!$B$4:$B$64,MATCH($A345,'Координати майданчиків'!$B$4:$B$64,0)),"")))</f>
        <v/>
      </c>
    </row>
    <row r="346" spans="1:20" x14ac:dyDescent="0.35">
      <c r="A346" s="26" t="str">
        <f t="shared" si="15"/>
        <v>вул. Пирятинська</v>
      </c>
      <c r="B346" s="26" t="str">
        <f t="shared" si="16"/>
        <v/>
      </c>
      <c r="C346" s="27" t="str" cm="1">
        <f t="array" ref="C346">IF($O346="","",_xlfn.TEXTJOIN(", ",TRUE,IF(EXACT('Дані_зв''язок'!$J$4:$J$1012,$O346)*('Дані_зв''язок'!$C$4:$C$1012=C$4),'Дані_зв''язок'!$D$4:$D$1012,"")))</f>
        <v/>
      </c>
      <c r="D346" s="27" t="str" cm="1">
        <f t="array" ref="D346">IF($O346="","",_xlfn.TEXTJOIN(", ",TRUE,IF(EXACT('Дані_зв''язок'!$J$4:$J$1012,$O346)*('Дані_зв''язок'!$C$4:$C$1012=D$4),'Дані_зв''язок'!$D$4:$D$1012,"")))</f>
        <v/>
      </c>
      <c r="E346" s="27" t="str" cm="1">
        <f t="array" ref="E346">IF($O346="","",_xlfn.TEXTJOIN(", ",TRUE,IF(EXACT('Дані_зв''язок'!$J$4:$J$1012,$O346)*('Дані_зв''язок'!$C$4:$C$1012=E$4),'Дані_зв''язок'!$D$4:$D$1012,"")))</f>
        <v/>
      </c>
      <c r="F346" s="27" t="str" cm="1">
        <f t="array" ref="F346">IF($O346="","",_xlfn.TEXTJOIN(", ",TRUE,IF(EXACT('Дані_зв''язок'!$J$4:$J$1012,$O346)*('Дані_зв''язок'!$C$4:$C$1012=F$4),'Дані_зв''язок'!$D$4:$D$1012,"")))</f>
        <v>7:25</v>
      </c>
      <c r="G346" s="27" t="str" cm="1">
        <f t="array" ref="G346">IF($O346="","",_xlfn.TEXTJOIN(", ",TRUE,IF(EXACT('Дані_зв''язок'!$J$4:$J$1012,$O346)*('Дані_зв''язок'!$C$4:$C$1012=G$4),'Дані_зв''язок'!$D$4:$D$1012,"")))</f>
        <v/>
      </c>
      <c r="H346" s="27" t="str" cm="1">
        <f t="array" ref="H346">IF($O346="","",_xlfn.TEXTJOIN(", ",TRUE,IF(EXACT('Дані_зв''язок'!$J$4:$J$1012,$O346)*('Дані_зв''язок'!$C$4:$C$1012=H$4),'Дані_зв''язок'!$D$4:$D$1012,"")))</f>
        <v/>
      </c>
      <c r="I346" s="27" t="str" cm="1">
        <f t="array" ref="I346">IF($O346="","",_xlfn.TEXTJOIN(", ",TRUE,IF(EXACT('Дані_зв''язок'!$J$4:$J$1012,$O346)*('Дані_зв''язок'!$C$4:$C$1012=I$4),'Дані_зв''язок'!$D$4:$D$1012,"")))</f>
        <v/>
      </c>
      <c r="J346" s="27" cm="1">
        <f t="array" ref="J346">IF($O346="","",COUNTIF(C346:I346,"?*")+SUMPRODUCT(LEN(C346:I346)-LEN(SUBSTITUTE(C346:I346,",",""))))</f>
        <v>1</v>
      </c>
      <c r="K346" s="28" t="str" cm="1">
        <f t="array" ref="K346">IF($O346="","",_xlfn.TEXTJOIN(", ",TRUE,IF(EXACT('Дані_зв''язок'!$J$4:$J$1012,$O346),'Дані_зв''язок'!$L$4:$L$1012,"")))</f>
        <v>№5</v>
      </c>
      <c r="L346" s="28" t="str" cm="1">
        <f t="array" ref="L346">IF($O346="","",_xlfn.TEXTJOIN(", ",TRUE,IF(EXACT('Дані_зв''язок'!$J$4:$J$1012,$O346),'Дані_зв''язок'!$M$4:$M$1012,"")))</f>
        <v>МАЗ 4381</v>
      </c>
      <c r="M346" s="27" t="str" cm="1">
        <f t="array" ref="M346">IF($O346="","",IF(SUMPRODUCT(MAX(EXACT('Дані_зв''язок'!$J$4:$J$1012,$O346)*IFERROR('Дані_зв''язок'!$H$4:$H$1012,0)))=0,"",SUMPRODUCT(MAX(EXACT('Дані_зв''язок'!$J$4:$J$1012,$O346)*IFERROR('Дані_зв''язок'!$H$4:$H$1012,0)))))</f>
        <v/>
      </c>
      <c r="O346" s="30" t="s">
        <v>1465</v>
      </c>
      <c r="P346" s="24" t="str" cm="1">
        <f t="array" ref="P346">IF($O346="","",IF($B346="","",IFERROR(IF(MIN(IFERROR(VALUE(TRIM(MID(SUBSTITUTE(SUBSTITUTE($B346,","," ")," ",REPT(" ",30)),{1;31;61;91;121;151;181},30))),""))=0,"",MIN(IFERROR(VALUE(TRIM(MID(SUBSTITUTE(SUBSTITUTE($B346,","," ")," ",REPT(" ",30)),{1;31;61;91;121;151;181},30))),""))),"")))</f>
        <v/>
      </c>
      <c r="Q346" s="23" t="str">
        <f t="shared" si="17"/>
        <v>Прилуки, Чернігівська обл., вул. Пирятинська</v>
      </c>
      <c r="R346" s="35">
        <f>IF($O346="","",IFERROR(INDEX('Координати майданчиків'!$H$4:$H$64,MATCH($T346,'Координати майданчиків'!$B$4:$B$64,0)),IFERROR(IF(ABS(INDEX(Геокодування!$C$2:$C$361,MATCH($Q346,Геокодування!$B$2:$B$361,0))-50.5884)+ABS(INDEX(Геокодування!$D$2:$D$361,MATCH($Q346,Геокодування!$B$2:$B$361,0))-32.3876)&gt;0.15,"",INDEX(Геокодування!$C$2:$C$361,MATCH($Q346,Геокодування!$B$2:$B$361,0))),IFERROR(IF(ABS(INDEX(Геокодування!$C$2:$C$361,MATCH("Прилуки, Чернігівська обл., "&amp;$A346,Геокодування!$B$2:$B$361,0))-50.5884)+ABS(INDEX(Геокодування!$D$2:$D$361,MATCH("Прилуки, Чернігівська обл., "&amp;$A346,Геокодування!$B$2:$B$361,0))-32.3876)&gt;0.15,"",INDEX(Геокодування!$C$2:$C$361,MATCH("Прилуки, Чернігівська обл., "&amp;$A346,Геокодування!$B$2:$B$361,0))),""))))</f>
        <v>50.569195999999998</v>
      </c>
      <c r="S346" s="43">
        <f>IF($O346="","",IFERROR(INDEX('Координати майданчиків'!$I$4:$I$64,MATCH($T346,'Координати майданчиків'!$B$4:$B$64,0)),IFERROR(IF(ABS(INDEX(Геокодування!$C$2:$C$361,MATCH($Q346,Геокодування!$B$2:$B$361,0))-50.5884)+ABS(INDEX(Геокодування!$D$2:$D$361,MATCH($Q346,Геокодування!$B$2:$B$361,0))-32.3876)&gt;0.15,"",INDEX(Геокодування!$D$2:$D$361,MATCH($Q346,Геокодування!$B$2:$B$361,0))),IFERROR(IF(ABS(INDEX(Геокодування!$C$2:$C$361,MATCH("Прилуки, Чернігівська обл., "&amp;$A346,Геокодування!$B$2:$B$361,0))-50.5884)+ABS(INDEX(Геокодування!$D$2:$D$361,MATCH("Прилуки, Чернігівська обл., "&amp;$A346,Геокодування!$B$2:$B$361,0))-32.3876)&gt;0.15,"",INDEX(Геокодування!$D$2:$D$361,MATCH("Прилуки, Чернігівська обл., "&amp;$A346,Геокодування!$B$2:$B$361,0))),""))))</f>
        <v>32.396763999999997</v>
      </c>
      <c r="T346" s="44" t="str">
        <f>IF($O346="","",IFERROR(INDEX('Координати майданчиків'!$B$4:$B$64,MATCH($A346&amp;IF($P346="","",", "&amp;$P346),'Координати майданчиків'!$B$4:$B$64,0)),IFERROR(INDEX('Координати майданчиків'!$B$4:$B$64,MATCH($A346,'Координати майданчиків'!$B$4:$B$64,0)),"")))</f>
        <v/>
      </c>
    </row>
    <row r="347" spans="1:20" x14ac:dyDescent="0.35">
      <c r="A347" s="26" t="str">
        <f t="shared" si="15"/>
        <v>вул. Пирятинська</v>
      </c>
      <c r="B347" s="26" t="str">
        <f t="shared" si="16"/>
        <v>115</v>
      </c>
      <c r="C347" s="27" t="str" cm="1">
        <f t="array" ref="C347">IF($O347="","",_xlfn.TEXTJOIN(", ",TRUE,IF(EXACT('Дані_зв''язок'!$J$4:$J$1012,$O347)*('Дані_зв''язок'!$C$4:$C$1012=C$4),'Дані_зв''язок'!$D$4:$D$1012,"")))</f>
        <v>10:40</v>
      </c>
      <c r="D347" s="27" t="str" cm="1">
        <f t="array" ref="D347">IF($O347="","",_xlfn.TEXTJOIN(", ",TRUE,IF(EXACT('Дані_зв''язок'!$J$4:$J$1012,$O347)*('Дані_зв''язок'!$C$4:$C$1012=D$4),'Дані_зв''язок'!$D$4:$D$1012,"")))</f>
        <v/>
      </c>
      <c r="E347" s="27" t="str" cm="1">
        <f t="array" ref="E347">IF($O347="","",_xlfn.TEXTJOIN(", ",TRUE,IF(EXACT('Дані_зв''язок'!$J$4:$J$1012,$O347)*('Дані_зв''язок'!$C$4:$C$1012=E$4),'Дані_зв''язок'!$D$4:$D$1012,"")))</f>
        <v/>
      </c>
      <c r="F347" s="27" t="str" cm="1">
        <f t="array" ref="F347">IF($O347="","",_xlfn.TEXTJOIN(", ",TRUE,IF(EXACT('Дані_зв''язок'!$J$4:$J$1012,$O347)*('Дані_зв''язок'!$C$4:$C$1012=F$4),'Дані_зв''язок'!$D$4:$D$1012,"")))</f>
        <v/>
      </c>
      <c r="G347" s="27" t="str" cm="1">
        <f t="array" ref="G347">IF($O347="","",_xlfn.TEXTJOIN(", ",TRUE,IF(EXACT('Дані_зв''язок'!$J$4:$J$1012,$O347)*('Дані_зв''язок'!$C$4:$C$1012=G$4),'Дані_зв''язок'!$D$4:$D$1012,"")))</f>
        <v>10:20</v>
      </c>
      <c r="H347" s="27" t="str" cm="1">
        <f t="array" ref="H347">IF($O347="","",_xlfn.TEXTJOIN(", ",TRUE,IF(EXACT('Дані_зв''язок'!$J$4:$J$1012,$O347)*('Дані_зв''язок'!$C$4:$C$1012=H$4),'Дані_зв''язок'!$D$4:$D$1012,"")))</f>
        <v/>
      </c>
      <c r="I347" s="27" t="str" cm="1">
        <f t="array" ref="I347">IF($O347="","",_xlfn.TEXTJOIN(", ",TRUE,IF(EXACT('Дані_зв''язок'!$J$4:$J$1012,$O347)*('Дані_зв''язок'!$C$4:$C$1012=I$4),'Дані_зв''язок'!$D$4:$D$1012,"")))</f>
        <v/>
      </c>
      <c r="J347" s="27" cm="1">
        <f t="array" ref="J347">IF($O347="","",COUNTIF(C347:I347,"?*")+SUMPRODUCT(LEN(C347:I347)-LEN(SUBSTITUTE(C347:I347,",",""))))</f>
        <v>2</v>
      </c>
      <c r="K347" s="28" t="str" cm="1">
        <f t="array" ref="K347">IF($O347="","",_xlfn.TEXTJOIN(", ",TRUE,IF(EXACT('Дані_зв''язок'!$J$4:$J$1012,$O347),'Дані_зв''язок'!$L$4:$L$1012,"")))</f>
        <v>№4</v>
      </c>
      <c r="L347" s="28" t="str" cm="1">
        <f t="array" ref="L347">IF($O347="","",_xlfn.TEXTJOIN(", ",TRUE,IF(EXACT('Дані_зв''язок'!$J$4:$J$1012,$O347),'Дані_зв''язок'!$M$4:$M$1012,"")))</f>
        <v>АТ 40-42/ROD21003</v>
      </c>
      <c r="M347" s="27" cm="1">
        <f t="array" ref="M347">IF($O347="","",IF(SUMPRODUCT(MAX(EXACT('Дані_зв''язок'!$J$4:$J$1012,$O347)*IFERROR('Дані_зв''язок'!$H$4:$H$1012,0)))=0,"",SUMPRODUCT(MAX(EXACT('Дані_зв''язок'!$J$4:$J$1012,$O347)*IFERROR('Дані_зв''язок'!$H$4:$H$1012,0)))))</f>
        <v>1</v>
      </c>
      <c r="O347" s="30" t="s">
        <v>1466</v>
      </c>
      <c r="P347" s="24" cm="1">
        <f t="array" ref="P347">IF($O347="","",IF($B347="","",IFERROR(IF(MIN(IFERROR(VALUE(TRIM(MID(SUBSTITUTE(SUBSTITUTE($B347,","," ")," ",REPT(" ",30)),{1;31;61;91;121;151;181},30))),""))=0,"",MIN(IFERROR(VALUE(TRIM(MID(SUBSTITUTE(SUBSTITUTE($B347,","," ")," ",REPT(" ",30)),{1;31;61;91;121;151;181},30))),""))),"")))</f>
        <v>115</v>
      </c>
      <c r="Q347" s="23" t="str">
        <f t="shared" si="17"/>
        <v>Прилуки, Чернігівська обл., вул. Пирятинська, 115</v>
      </c>
      <c r="R347" s="35">
        <f>IF($O347="","",IFERROR(INDEX('Координати майданчиків'!$H$4:$H$64,MATCH($T347,'Координати майданчиків'!$B$4:$B$64,0)),IFERROR(IF(ABS(INDEX(Геокодування!$C$2:$C$361,MATCH($Q347,Геокодування!$B$2:$B$361,0))-50.5884)+ABS(INDEX(Геокодування!$D$2:$D$361,MATCH($Q347,Геокодування!$B$2:$B$361,0))-32.3876)&gt;0.15,"",INDEX(Геокодування!$C$2:$C$361,MATCH($Q347,Геокодування!$B$2:$B$361,0))),IFERROR(IF(ABS(INDEX(Геокодування!$C$2:$C$361,MATCH("Прилуки, Чернігівська обл., "&amp;$A347,Геокодування!$B$2:$B$361,0))-50.5884)+ABS(INDEX(Геокодування!$D$2:$D$361,MATCH("Прилуки, Чернігівська обл., "&amp;$A347,Геокодування!$B$2:$B$361,0))-32.3876)&gt;0.15,"",INDEX(Геокодування!$C$2:$C$361,MATCH("Прилуки, Чернігівська обл., "&amp;$A347,Геокодування!$B$2:$B$361,0))),""))))</f>
        <v>50.569195999999998</v>
      </c>
      <c r="S347" s="43">
        <f>IF($O347="","",IFERROR(INDEX('Координати майданчиків'!$I$4:$I$64,MATCH($T347,'Координати майданчиків'!$B$4:$B$64,0)),IFERROR(IF(ABS(INDEX(Геокодування!$C$2:$C$361,MATCH($Q347,Геокодування!$B$2:$B$361,0))-50.5884)+ABS(INDEX(Геокодування!$D$2:$D$361,MATCH($Q347,Геокодування!$B$2:$B$361,0))-32.3876)&gt;0.15,"",INDEX(Геокодування!$D$2:$D$361,MATCH($Q347,Геокодування!$B$2:$B$361,0))),IFERROR(IF(ABS(INDEX(Геокодування!$C$2:$C$361,MATCH("Прилуки, Чернігівська обл., "&amp;$A347,Геокодування!$B$2:$B$361,0))-50.5884)+ABS(INDEX(Геокодування!$D$2:$D$361,MATCH("Прилуки, Чернігівська обл., "&amp;$A347,Геокодування!$B$2:$B$361,0))-32.3876)&gt;0.15,"",INDEX(Геокодування!$D$2:$D$361,MATCH("Прилуки, Чернігівська обл., "&amp;$A347,Геокодування!$B$2:$B$361,0))),""))))</f>
        <v>32.396763999999997</v>
      </c>
      <c r="T347" s="44" t="str">
        <f>IF($O347="","",IFERROR(INDEX('Координати майданчиків'!$B$4:$B$64,MATCH($A347&amp;IF($P347="","",", "&amp;$P347),'Координати майданчиків'!$B$4:$B$64,0)),IFERROR(INDEX('Координати майданчиків'!$B$4:$B$64,MATCH($A347,'Координати майданчиків'!$B$4:$B$64,0)),"")))</f>
        <v/>
      </c>
    </row>
    <row r="348" spans="1:20" x14ac:dyDescent="0.35">
      <c r="A348" s="26" t="str">
        <f t="shared" si="15"/>
        <v>вул. Пирятинська</v>
      </c>
      <c r="B348" s="26" t="str">
        <f t="shared" si="16"/>
        <v>14</v>
      </c>
      <c r="C348" s="27" t="str" cm="1">
        <f t="array" ref="C348">IF($O348="","",_xlfn.TEXTJOIN(", ",TRUE,IF(EXACT('Дані_зв''язок'!$J$4:$J$1012,$O348)*('Дані_зв''язок'!$C$4:$C$1012=C$4),'Дані_зв''язок'!$D$4:$D$1012,"")))</f>
        <v>15:35</v>
      </c>
      <c r="D348" s="27" t="str" cm="1">
        <f t="array" ref="D348">IF($O348="","",_xlfn.TEXTJOIN(", ",TRUE,IF(EXACT('Дані_зв''язок'!$J$4:$J$1012,$O348)*('Дані_зв''язок'!$C$4:$C$1012=D$4),'Дані_зв''язок'!$D$4:$D$1012,"")))</f>
        <v/>
      </c>
      <c r="E348" s="27" t="str" cm="1">
        <f t="array" ref="E348">IF($O348="","",_xlfn.TEXTJOIN(", ",TRUE,IF(EXACT('Дані_зв''язок'!$J$4:$J$1012,$O348)*('Дані_зв''язок'!$C$4:$C$1012=E$4),'Дані_зв''язок'!$D$4:$D$1012,"")))</f>
        <v/>
      </c>
      <c r="F348" s="27" t="str" cm="1">
        <f t="array" ref="F348">IF($O348="","",_xlfn.TEXTJOIN(", ",TRUE,IF(EXACT('Дані_зв''язок'!$J$4:$J$1012,$O348)*('Дані_зв''язок'!$C$4:$C$1012=F$4),'Дані_зв''язок'!$D$4:$D$1012,"")))</f>
        <v/>
      </c>
      <c r="G348" s="27" t="str" cm="1">
        <f t="array" ref="G348">IF($O348="","",_xlfn.TEXTJOIN(", ",TRUE,IF(EXACT('Дані_зв''язок'!$J$4:$J$1012,$O348)*('Дані_зв''язок'!$C$4:$C$1012=G$4),'Дані_зв''язок'!$D$4:$D$1012,"")))</f>
        <v/>
      </c>
      <c r="H348" s="27" t="str" cm="1">
        <f t="array" ref="H348">IF($O348="","",_xlfn.TEXTJOIN(", ",TRUE,IF(EXACT('Дані_зв''язок'!$J$4:$J$1012,$O348)*('Дані_зв''язок'!$C$4:$C$1012=H$4),'Дані_зв''язок'!$D$4:$D$1012,"")))</f>
        <v/>
      </c>
      <c r="I348" s="27" t="str" cm="1">
        <f t="array" ref="I348">IF($O348="","",_xlfn.TEXTJOIN(", ",TRUE,IF(EXACT('Дані_зв''язок'!$J$4:$J$1012,$O348)*('Дані_зв''язок'!$C$4:$C$1012=I$4),'Дані_зв''язок'!$D$4:$D$1012,"")))</f>
        <v/>
      </c>
      <c r="J348" s="27" cm="1">
        <f t="array" ref="J348">IF($O348="","",COUNTIF(C348:I348,"?*")+SUMPRODUCT(LEN(C348:I348)-LEN(SUBSTITUTE(C348:I348,",",""))))</f>
        <v>1</v>
      </c>
      <c r="K348" s="28" t="str" cm="1">
        <f t="array" ref="K348">IF($O348="","",_xlfn.TEXTJOIN(", ",TRUE,IF(EXACT('Дані_зв''язок'!$J$4:$J$1012,$O348),'Дані_зв''язок'!$L$4:$L$1012,"")))</f>
        <v>№1</v>
      </c>
      <c r="L348" s="28" t="str" cm="1">
        <f t="array" ref="L348">IF($O348="","",_xlfn.TEXTJOIN(", ",TRUE,IF(EXACT('Дані_зв''язок'!$J$4:$J$1012,$O348),'Дані_зв''язок'!$M$4:$M$1012,"")))</f>
        <v>АТ-4021/1120</v>
      </c>
      <c r="M348" s="27" cm="1">
        <f t="array" ref="M348">IF($O348="","",IF(SUMPRODUCT(MAX(EXACT('Дані_зв''язок'!$J$4:$J$1012,$O348)*IFERROR('Дані_зв''язок'!$H$4:$H$1012,0)))=0,"",SUMPRODUCT(MAX(EXACT('Дані_зв''язок'!$J$4:$J$1012,$O348)*IFERROR('Дані_зв''язок'!$H$4:$H$1012,0)))))</f>
        <v>3</v>
      </c>
      <c r="O348" s="30" t="s">
        <v>1467</v>
      </c>
      <c r="P348" s="24" cm="1">
        <f t="array" ref="P348">IF($O348="","",IF($B348="","",IFERROR(IF(MIN(IFERROR(VALUE(TRIM(MID(SUBSTITUTE(SUBSTITUTE($B348,","," ")," ",REPT(" ",30)),{1;31;61;91;121;151;181},30))),""))=0,"",MIN(IFERROR(VALUE(TRIM(MID(SUBSTITUTE(SUBSTITUTE($B348,","," ")," ",REPT(" ",30)),{1;31;61;91;121;151;181},30))),""))),"")))</f>
        <v>14</v>
      </c>
      <c r="Q348" s="23" t="str">
        <f t="shared" si="17"/>
        <v>Прилуки, Чернігівська обл., вул. Пирятинська, 14</v>
      </c>
      <c r="R348" s="35">
        <f>IF($O348="","",IFERROR(INDEX('Координати майданчиків'!$H$4:$H$64,MATCH($T348,'Координати майданчиків'!$B$4:$B$64,0)),IFERROR(IF(ABS(INDEX(Геокодування!$C$2:$C$361,MATCH($Q348,Геокодування!$B$2:$B$361,0))-50.5884)+ABS(INDEX(Геокодування!$D$2:$D$361,MATCH($Q348,Геокодування!$B$2:$B$361,0))-32.3876)&gt;0.15,"",INDEX(Геокодування!$C$2:$C$361,MATCH($Q348,Геокодування!$B$2:$B$361,0))),IFERROR(IF(ABS(INDEX(Геокодування!$C$2:$C$361,MATCH("Прилуки, Чернігівська обл., "&amp;$A348,Геокодування!$B$2:$B$361,0))-50.5884)+ABS(INDEX(Геокодування!$D$2:$D$361,MATCH("Прилуки, Чернігівська обл., "&amp;$A348,Геокодування!$B$2:$B$361,0))-32.3876)&gt;0.15,"",INDEX(Геокодування!$C$2:$C$361,MATCH("Прилуки, Чернігівська обл., "&amp;$A348,Геокодування!$B$2:$B$361,0))),""))))</f>
        <v>50.569195999999998</v>
      </c>
      <c r="S348" s="43">
        <f>IF($O348="","",IFERROR(INDEX('Координати майданчиків'!$I$4:$I$64,MATCH($T348,'Координати майданчиків'!$B$4:$B$64,0)),IFERROR(IF(ABS(INDEX(Геокодування!$C$2:$C$361,MATCH($Q348,Геокодування!$B$2:$B$361,0))-50.5884)+ABS(INDEX(Геокодування!$D$2:$D$361,MATCH($Q348,Геокодування!$B$2:$B$361,0))-32.3876)&gt;0.15,"",INDEX(Геокодування!$D$2:$D$361,MATCH($Q348,Геокодування!$B$2:$B$361,0))),IFERROR(IF(ABS(INDEX(Геокодування!$C$2:$C$361,MATCH("Прилуки, Чернігівська обл., "&amp;$A348,Геокодування!$B$2:$B$361,0))-50.5884)+ABS(INDEX(Геокодування!$D$2:$D$361,MATCH("Прилуки, Чернігівська обл., "&amp;$A348,Геокодування!$B$2:$B$361,0))-32.3876)&gt;0.15,"",INDEX(Геокодування!$D$2:$D$361,MATCH("Прилуки, Чернігівська обл., "&amp;$A348,Геокодування!$B$2:$B$361,0))),""))))</f>
        <v>32.396763999999997</v>
      </c>
      <c r="T348" s="44" t="str">
        <f>IF($O348="","",IFERROR(INDEX('Координати майданчиків'!$B$4:$B$64,MATCH($A348&amp;IF($P348="","",", "&amp;$P348),'Координати майданчиків'!$B$4:$B$64,0)),IFERROR(INDEX('Координати майданчиків'!$B$4:$B$64,MATCH($A348,'Координати майданчиків'!$B$4:$B$64,0)),"")))</f>
        <v/>
      </c>
    </row>
    <row r="349" spans="1:20" x14ac:dyDescent="0.35">
      <c r="A349" s="26" t="str">
        <f t="shared" si="15"/>
        <v>вул. Пирятинська</v>
      </c>
      <c r="B349" s="26" t="str">
        <f t="shared" si="16"/>
        <v>2</v>
      </c>
      <c r="C349" s="27" t="str" cm="1">
        <f t="array" ref="C349">IF($O349="","",_xlfn.TEXTJOIN(", ",TRUE,IF(EXACT('Дані_зв''язок'!$J$4:$J$1012,$O349)*('Дані_зв''язок'!$C$4:$C$1012=C$4),'Дані_зв''язок'!$D$4:$D$1012,"")))</f>
        <v>15:25</v>
      </c>
      <c r="D349" s="27" t="str" cm="1">
        <f t="array" ref="D349">IF($O349="","",_xlfn.TEXTJOIN(", ",TRUE,IF(EXACT('Дані_зв''язок'!$J$4:$J$1012,$O349)*('Дані_зв''язок'!$C$4:$C$1012=D$4),'Дані_зв''язок'!$D$4:$D$1012,"")))</f>
        <v/>
      </c>
      <c r="E349" s="27" t="str" cm="1">
        <f t="array" ref="E349">IF($O349="","",_xlfn.TEXTJOIN(", ",TRUE,IF(EXACT('Дані_зв''язок'!$J$4:$J$1012,$O349)*('Дані_зв''язок'!$C$4:$C$1012=E$4),'Дані_зв''язок'!$D$4:$D$1012,"")))</f>
        <v/>
      </c>
      <c r="F349" s="27" t="str" cm="1">
        <f t="array" ref="F349">IF($O349="","",_xlfn.TEXTJOIN(", ",TRUE,IF(EXACT('Дані_зв''язок'!$J$4:$J$1012,$O349)*('Дані_зв''язок'!$C$4:$C$1012=F$4),'Дані_зв''язок'!$D$4:$D$1012,"")))</f>
        <v/>
      </c>
      <c r="G349" s="27" t="str" cm="1">
        <f t="array" ref="G349">IF($O349="","",_xlfn.TEXTJOIN(", ",TRUE,IF(EXACT('Дані_зв''язок'!$J$4:$J$1012,$O349)*('Дані_зв''язок'!$C$4:$C$1012=G$4),'Дані_зв''язок'!$D$4:$D$1012,"")))</f>
        <v/>
      </c>
      <c r="H349" s="27" t="str" cm="1">
        <f t="array" ref="H349">IF($O349="","",_xlfn.TEXTJOIN(", ",TRUE,IF(EXACT('Дані_зв''язок'!$J$4:$J$1012,$O349)*('Дані_зв''язок'!$C$4:$C$1012=H$4),'Дані_зв''язок'!$D$4:$D$1012,"")))</f>
        <v/>
      </c>
      <c r="I349" s="27" t="str" cm="1">
        <f t="array" ref="I349">IF($O349="","",_xlfn.TEXTJOIN(", ",TRUE,IF(EXACT('Дані_зв''язок'!$J$4:$J$1012,$O349)*('Дані_зв''язок'!$C$4:$C$1012=I$4),'Дані_зв''язок'!$D$4:$D$1012,"")))</f>
        <v/>
      </c>
      <c r="J349" s="27" cm="1">
        <f t="array" ref="J349">IF($O349="","",COUNTIF(C349:I349,"?*")+SUMPRODUCT(LEN(C349:I349)-LEN(SUBSTITUTE(C349:I349,",",""))))</f>
        <v>1</v>
      </c>
      <c r="K349" s="28" t="str" cm="1">
        <f t="array" ref="K349">IF($O349="","",_xlfn.TEXTJOIN(", ",TRUE,IF(EXACT('Дані_зв''язок'!$J$4:$J$1012,$O349),'Дані_зв''язок'!$L$4:$L$1012,"")))</f>
        <v>№1</v>
      </c>
      <c r="L349" s="28" t="str" cm="1">
        <f t="array" ref="L349">IF($O349="","",_xlfn.TEXTJOIN(", ",TRUE,IF(EXACT('Дані_зв''язок'!$J$4:$J$1012,$O349),'Дані_зв''язок'!$M$4:$M$1012,"")))</f>
        <v>АТ-4021/1120</v>
      </c>
      <c r="M349" s="27" cm="1">
        <f t="array" ref="M349">IF($O349="","",IF(SUMPRODUCT(MAX(EXACT('Дані_зв''язок'!$J$4:$J$1012,$O349)*IFERROR('Дані_зв''язок'!$H$4:$H$1012,0)))=0,"",SUMPRODUCT(MAX(EXACT('Дані_зв''язок'!$J$4:$J$1012,$O349)*IFERROR('Дані_зв''язок'!$H$4:$H$1012,0)))))</f>
        <v>2</v>
      </c>
      <c r="O349" s="30" t="s">
        <v>1468</v>
      </c>
      <c r="P349" s="24" cm="1">
        <f t="array" ref="P349">IF($O349="","",IF($B349="","",IFERROR(IF(MIN(IFERROR(VALUE(TRIM(MID(SUBSTITUTE(SUBSTITUTE($B349,","," ")," ",REPT(" ",30)),{1;31;61;91;121;151;181},30))),""))=0,"",MIN(IFERROR(VALUE(TRIM(MID(SUBSTITUTE(SUBSTITUTE($B349,","," ")," ",REPT(" ",30)),{1;31;61;91;121;151;181},30))),""))),"")))</f>
        <v>2</v>
      </c>
      <c r="Q349" s="23" t="str">
        <f t="shared" si="17"/>
        <v>Прилуки, Чернігівська обл., вул. Пирятинська, 2</v>
      </c>
      <c r="R349" s="35">
        <f>IF($O349="","",IFERROR(INDEX('Координати майданчиків'!$H$4:$H$64,MATCH($T349,'Координати майданчиків'!$B$4:$B$64,0)),IFERROR(IF(ABS(INDEX(Геокодування!$C$2:$C$361,MATCH($Q349,Геокодування!$B$2:$B$361,0))-50.5884)+ABS(INDEX(Геокодування!$D$2:$D$361,MATCH($Q349,Геокодування!$B$2:$B$361,0))-32.3876)&gt;0.15,"",INDEX(Геокодування!$C$2:$C$361,MATCH($Q349,Геокодування!$B$2:$B$361,0))),IFERROR(IF(ABS(INDEX(Геокодування!$C$2:$C$361,MATCH("Прилуки, Чернігівська обл., "&amp;$A349,Геокодування!$B$2:$B$361,0))-50.5884)+ABS(INDEX(Геокодування!$D$2:$D$361,MATCH("Прилуки, Чернігівська обл., "&amp;$A349,Геокодування!$B$2:$B$361,0))-32.3876)&gt;0.15,"",INDEX(Геокодування!$C$2:$C$361,MATCH("Прилуки, Чернігівська обл., "&amp;$A349,Геокодування!$B$2:$B$361,0))),""))))</f>
        <v>50.583222999999997</v>
      </c>
      <c r="S349" s="43">
        <f>IF($O349="","",IFERROR(INDEX('Координати майданчиків'!$I$4:$I$64,MATCH($T349,'Координати майданчиків'!$B$4:$B$64,0)),IFERROR(IF(ABS(INDEX(Геокодування!$C$2:$C$361,MATCH($Q349,Геокодування!$B$2:$B$361,0))-50.5884)+ABS(INDEX(Геокодування!$D$2:$D$361,MATCH($Q349,Геокодування!$B$2:$B$361,0))-32.3876)&gt;0.15,"",INDEX(Геокодування!$D$2:$D$361,MATCH($Q349,Геокодування!$B$2:$B$361,0))),IFERROR(IF(ABS(INDEX(Геокодування!$C$2:$C$361,MATCH("Прилуки, Чернігівська обл., "&amp;$A349,Геокодування!$B$2:$B$361,0))-50.5884)+ABS(INDEX(Геокодування!$D$2:$D$361,MATCH("Прилуки, Чернігівська обл., "&amp;$A349,Геокодування!$B$2:$B$361,0))-32.3876)&gt;0.15,"",INDEX(Геокодування!$D$2:$D$361,MATCH("Прилуки, Чернігівська обл., "&amp;$A349,Геокодування!$B$2:$B$361,0))),""))))</f>
        <v>32.393262999999997</v>
      </c>
      <c r="T349" s="44" t="str">
        <f>IF($O349="","",IFERROR(INDEX('Координати майданчиків'!$B$4:$B$64,MATCH($A349&amp;IF($P349="","",", "&amp;$P349),'Координати майданчиків'!$B$4:$B$64,0)),IFERROR(INDEX('Координати майданчиків'!$B$4:$B$64,MATCH($A349,'Координати майданчиків'!$B$4:$B$64,0)),"")))</f>
        <v/>
      </c>
    </row>
    <row r="350" spans="1:20" x14ac:dyDescent="0.35">
      <c r="A350" s="26" t="str">
        <f t="shared" si="15"/>
        <v>вул. Пирятинська</v>
      </c>
      <c r="B350" s="26" t="str">
        <f t="shared" si="16"/>
        <v>98</v>
      </c>
      <c r="C350" s="27" t="str" cm="1">
        <f t="array" ref="C350">IF($O350="","",_xlfn.TEXTJOIN(", ",TRUE,IF(EXACT('Дані_зв''язок'!$J$4:$J$1012,$O350)*('Дані_зв''язок'!$C$4:$C$1012=C$4),'Дані_зв''язок'!$D$4:$D$1012,"")))</f>
        <v>16:00</v>
      </c>
      <c r="D350" s="27" t="str" cm="1">
        <f t="array" ref="D350">IF($O350="","",_xlfn.TEXTJOIN(", ",TRUE,IF(EXACT('Дані_зв''язок'!$J$4:$J$1012,$O350)*('Дані_зв''язок'!$C$4:$C$1012=D$4),'Дані_зв''язок'!$D$4:$D$1012,"")))</f>
        <v/>
      </c>
      <c r="E350" s="27" t="str" cm="1">
        <f t="array" ref="E350">IF($O350="","",_xlfn.TEXTJOIN(", ",TRUE,IF(EXACT('Дані_зв''язок'!$J$4:$J$1012,$O350)*('Дані_зв''язок'!$C$4:$C$1012=E$4),'Дані_зв''язок'!$D$4:$D$1012,"")))</f>
        <v/>
      </c>
      <c r="F350" s="27" t="str" cm="1">
        <f t="array" ref="F350">IF($O350="","",_xlfn.TEXTJOIN(", ",TRUE,IF(EXACT('Дані_зв''язок'!$J$4:$J$1012,$O350)*('Дані_зв''язок'!$C$4:$C$1012=F$4),'Дані_зв''язок'!$D$4:$D$1012,"")))</f>
        <v/>
      </c>
      <c r="G350" s="27" t="str" cm="1">
        <f t="array" ref="G350">IF($O350="","",_xlfn.TEXTJOIN(", ",TRUE,IF(EXACT('Дані_зв''язок'!$J$4:$J$1012,$O350)*('Дані_зв''язок'!$C$4:$C$1012=G$4),'Дані_зв''язок'!$D$4:$D$1012,"")))</f>
        <v/>
      </c>
      <c r="H350" s="27" t="str" cm="1">
        <f t="array" ref="H350">IF($O350="","",_xlfn.TEXTJOIN(", ",TRUE,IF(EXACT('Дані_зв''язок'!$J$4:$J$1012,$O350)*('Дані_зв''язок'!$C$4:$C$1012=H$4),'Дані_зв''язок'!$D$4:$D$1012,"")))</f>
        <v/>
      </c>
      <c r="I350" s="27" t="str" cm="1">
        <f t="array" ref="I350">IF($O350="","",_xlfn.TEXTJOIN(", ",TRUE,IF(EXACT('Дані_зв''язок'!$J$4:$J$1012,$O350)*('Дані_зв''язок'!$C$4:$C$1012=I$4),'Дані_зв''язок'!$D$4:$D$1012,"")))</f>
        <v/>
      </c>
      <c r="J350" s="27" cm="1">
        <f t="array" ref="J350">IF($O350="","",COUNTIF(C350:I350,"?*")+SUMPRODUCT(LEN(C350:I350)-LEN(SUBSTITUTE(C350:I350,",",""))))</f>
        <v>1</v>
      </c>
      <c r="K350" s="28" t="str" cm="1">
        <f t="array" ref="K350">IF($O350="","",_xlfn.TEXTJOIN(", ",TRUE,IF(EXACT('Дані_зв''язок'!$J$4:$J$1012,$O350),'Дані_зв''язок'!$L$4:$L$1012,"")))</f>
        <v>№1</v>
      </c>
      <c r="L350" s="28" t="str" cm="1">
        <f t="array" ref="L350">IF($O350="","",_xlfn.TEXTJOIN(", ",TRUE,IF(EXACT('Дані_зв''язок'!$J$4:$J$1012,$O350),'Дані_зв''язок'!$M$4:$M$1012,"")))</f>
        <v>АТ-4021/1120</v>
      </c>
      <c r="M350" s="27" cm="1">
        <f t="array" ref="M350">IF($O350="","",IF(SUMPRODUCT(MAX(EXACT('Дані_зв''язок'!$J$4:$J$1012,$O350)*IFERROR('Дані_зв''язок'!$H$4:$H$1012,0)))=0,"",SUMPRODUCT(MAX(EXACT('Дані_зв''язок'!$J$4:$J$1012,$O350)*IFERROR('Дані_зв''язок'!$H$4:$H$1012,0)))))</f>
        <v>1</v>
      </c>
      <c r="O350" s="30" t="s">
        <v>1469</v>
      </c>
      <c r="P350" s="24" cm="1">
        <f t="array" ref="P350">IF($O350="","",IF($B350="","",IFERROR(IF(MIN(IFERROR(VALUE(TRIM(MID(SUBSTITUTE(SUBSTITUTE($B350,","," ")," ",REPT(" ",30)),{1;31;61;91;121;151;181},30))),""))=0,"",MIN(IFERROR(VALUE(TRIM(MID(SUBSTITUTE(SUBSTITUTE($B350,","," ")," ",REPT(" ",30)),{1;31;61;91;121;151;181},30))),""))),"")))</f>
        <v>98</v>
      </c>
      <c r="Q350" s="23" t="str">
        <f t="shared" si="17"/>
        <v>Прилуки, Чернігівська обл., вул. Пирятинська, 98</v>
      </c>
      <c r="R350" s="35">
        <f>IF($O350="","",IFERROR(INDEX('Координати майданчиків'!$H$4:$H$64,MATCH($T350,'Координати майданчиків'!$B$4:$B$64,0)),IFERROR(IF(ABS(INDEX(Геокодування!$C$2:$C$361,MATCH($Q350,Геокодування!$B$2:$B$361,0))-50.5884)+ABS(INDEX(Геокодування!$D$2:$D$361,MATCH($Q350,Геокодування!$B$2:$B$361,0))-32.3876)&gt;0.15,"",INDEX(Геокодування!$C$2:$C$361,MATCH($Q350,Геокодування!$B$2:$B$361,0))),IFERROR(IF(ABS(INDEX(Геокодування!$C$2:$C$361,MATCH("Прилуки, Чернігівська обл., "&amp;$A350,Геокодування!$B$2:$B$361,0))-50.5884)+ABS(INDEX(Геокодування!$D$2:$D$361,MATCH("Прилуки, Чернігівська обл., "&amp;$A350,Геокодування!$B$2:$B$361,0))-32.3876)&gt;0.15,"",INDEX(Геокодування!$C$2:$C$361,MATCH("Прилуки, Чернігівська обл., "&amp;$A350,Геокодування!$B$2:$B$361,0))),""))))</f>
        <v>50.561884999999997</v>
      </c>
      <c r="S350" s="43">
        <f>IF($O350="","",IFERROR(INDEX('Координати майданчиків'!$I$4:$I$64,MATCH($T350,'Координати майданчиків'!$B$4:$B$64,0)),IFERROR(IF(ABS(INDEX(Геокодування!$C$2:$C$361,MATCH($Q350,Геокодування!$B$2:$B$361,0))-50.5884)+ABS(INDEX(Геокодування!$D$2:$D$361,MATCH($Q350,Геокодування!$B$2:$B$361,0))-32.3876)&gt;0.15,"",INDEX(Геокодування!$D$2:$D$361,MATCH($Q350,Геокодування!$B$2:$B$361,0))),IFERROR(IF(ABS(INDEX(Геокодування!$C$2:$C$361,MATCH("Прилуки, Чернігівська обл., "&amp;$A350,Геокодування!$B$2:$B$361,0))-50.5884)+ABS(INDEX(Геокодування!$D$2:$D$361,MATCH("Прилуки, Чернігівська обл., "&amp;$A350,Геокодування!$B$2:$B$361,0))-32.3876)&gt;0.15,"",INDEX(Геокодування!$D$2:$D$361,MATCH("Прилуки, Чернігівська обл., "&amp;$A350,Геокодування!$B$2:$B$361,0))),""))))</f>
        <v>32.398859000000002</v>
      </c>
      <c r="T350" s="44" t="str">
        <f>IF($O350="","",IFERROR(INDEX('Координати майданчиків'!$B$4:$B$64,MATCH($A350&amp;IF($P350="","",", "&amp;$P350),'Координати майданчиків'!$B$4:$B$64,0)),IFERROR(INDEX('Координати майданчиків'!$B$4:$B$64,MATCH($A350,'Координати майданчиків'!$B$4:$B$64,0)),"")))</f>
        <v/>
      </c>
    </row>
    <row r="351" spans="1:20" x14ac:dyDescent="0.35">
      <c r="A351" s="26" t="str">
        <f t="shared" si="15"/>
        <v>вул. Пирятинська</v>
      </c>
      <c r="B351" s="26" t="str">
        <f t="shared" si="16"/>
        <v>АІР</v>
      </c>
      <c r="C351" s="27" t="str" cm="1">
        <f t="array" ref="C351">IF($O351="","",_xlfn.TEXTJOIN(", ",TRUE,IF(EXACT('Дані_зв''язок'!$J$4:$J$1012,$O351)*('Дані_зв''язок'!$C$4:$C$1012=C$4),'Дані_зв''язок'!$D$4:$D$1012,"")))</f>
        <v>15:55</v>
      </c>
      <c r="D351" s="27" t="str" cm="1">
        <f t="array" ref="D351">IF($O351="","",_xlfn.TEXTJOIN(", ",TRUE,IF(EXACT('Дані_зв''язок'!$J$4:$J$1012,$O351)*('Дані_зв''язок'!$C$4:$C$1012=D$4),'Дані_зв''язок'!$D$4:$D$1012,"")))</f>
        <v/>
      </c>
      <c r="E351" s="27" t="str" cm="1">
        <f t="array" ref="E351">IF($O351="","",_xlfn.TEXTJOIN(", ",TRUE,IF(EXACT('Дані_зв''язок'!$J$4:$J$1012,$O351)*('Дані_зв''язок'!$C$4:$C$1012=E$4),'Дані_зв''язок'!$D$4:$D$1012,"")))</f>
        <v/>
      </c>
      <c r="F351" s="27" t="str" cm="1">
        <f t="array" ref="F351">IF($O351="","",_xlfn.TEXTJOIN(", ",TRUE,IF(EXACT('Дані_зв''язок'!$J$4:$J$1012,$O351)*('Дані_зв''язок'!$C$4:$C$1012=F$4),'Дані_зв''язок'!$D$4:$D$1012,"")))</f>
        <v/>
      </c>
      <c r="G351" s="27" t="str" cm="1">
        <f t="array" ref="G351">IF($O351="","",_xlfn.TEXTJOIN(", ",TRUE,IF(EXACT('Дані_зв''язок'!$J$4:$J$1012,$O351)*('Дані_зв''язок'!$C$4:$C$1012=G$4),'Дані_зв''язок'!$D$4:$D$1012,"")))</f>
        <v/>
      </c>
      <c r="H351" s="27" t="str" cm="1">
        <f t="array" ref="H351">IF($O351="","",_xlfn.TEXTJOIN(", ",TRUE,IF(EXACT('Дані_зв''язок'!$J$4:$J$1012,$O351)*('Дані_зв''язок'!$C$4:$C$1012=H$4),'Дані_зв''язок'!$D$4:$D$1012,"")))</f>
        <v/>
      </c>
      <c r="I351" s="27" t="str" cm="1">
        <f t="array" ref="I351">IF($O351="","",_xlfn.TEXTJOIN(", ",TRUE,IF(EXACT('Дані_зв''язок'!$J$4:$J$1012,$O351)*('Дані_зв''язок'!$C$4:$C$1012=I$4),'Дані_зв''язок'!$D$4:$D$1012,"")))</f>
        <v/>
      </c>
      <c r="J351" s="27" cm="1">
        <f t="array" ref="J351">IF($O351="","",COUNTIF(C351:I351,"?*")+SUMPRODUCT(LEN(C351:I351)-LEN(SUBSTITUTE(C351:I351,",",""))))</f>
        <v>1</v>
      </c>
      <c r="K351" s="28" t="str" cm="1">
        <f t="array" ref="K351">IF($O351="","",_xlfn.TEXTJOIN(", ",TRUE,IF(EXACT('Дані_зв''язок'!$J$4:$J$1012,$O351),'Дані_зв''язок'!$L$4:$L$1012,"")))</f>
        <v>№1</v>
      </c>
      <c r="L351" s="28" t="str" cm="1">
        <f t="array" ref="L351">IF($O351="","",_xlfn.TEXTJOIN(", ",TRUE,IF(EXACT('Дані_зв''язок'!$J$4:$J$1012,$O351),'Дані_зв''язок'!$M$4:$M$1012,"")))</f>
        <v>АТ-4021/1120</v>
      </c>
      <c r="M351" s="27" cm="1">
        <f t="array" ref="M351">IF($O351="","",IF(SUMPRODUCT(MAX(EXACT('Дані_зв''язок'!$J$4:$J$1012,$O351)*IFERROR('Дані_зв''язок'!$H$4:$H$1012,0)))=0,"",SUMPRODUCT(MAX(EXACT('Дані_зв''язок'!$J$4:$J$1012,$O351)*IFERROR('Дані_зв''язок'!$H$4:$H$1012,0)))))</f>
        <v>2</v>
      </c>
      <c r="O351" s="30" t="s">
        <v>1471</v>
      </c>
      <c r="P351" s="24" t="str" cm="1">
        <f t="array" ref="P351">IF($O351="","",IF($B351="","",IFERROR(IF(MIN(IFERROR(VALUE(TRIM(MID(SUBSTITUTE(SUBSTITUTE($B351,","," ")," ",REPT(" ",30)),{1;31;61;91;121;151;181},30))),""))=0,"",MIN(IFERROR(VALUE(TRIM(MID(SUBSTITUTE(SUBSTITUTE($B351,","," ")," ",REPT(" ",30)),{1;31;61;91;121;151;181},30))),""))),"")))</f>
        <v/>
      </c>
      <c r="Q351" s="23" t="str">
        <f t="shared" si="17"/>
        <v>Прилуки, Чернігівська обл., вул. Пирятинська</v>
      </c>
      <c r="R351" s="35">
        <f>IF($O351="","",IFERROR(INDEX('Координати майданчиків'!$H$4:$H$64,MATCH($T351,'Координати майданчиків'!$B$4:$B$64,0)),IFERROR(IF(ABS(INDEX(Геокодування!$C$2:$C$361,MATCH($Q351,Геокодування!$B$2:$B$361,0))-50.5884)+ABS(INDEX(Геокодування!$D$2:$D$361,MATCH($Q351,Геокодування!$B$2:$B$361,0))-32.3876)&gt;0.15,"",INDEX(Геокодування!$C$2:$C$361,MATCH($Q351,Геокодування!$B$2:$B$361,0))),IFERROR(IF(ABS(INDEX(Геокодування!$C$2:$C$361,MATCH("Прилуки, Чернігівська обл., "&amp;$A351,Геокодування!$B$2:$B$361,0))-50.5884)+ABS(INDEX(Геокодування!$D$2:$D$361,MATCH("Прилуки, Чернігівська обл., "&amp;$A351,Геокодування!$B$2:$B$361,0))-32.3876)&gt;0.15,"",INDEX(Геокодування!$C$2:$C$361,MATCH("Прилуки, Чернігівська обл., "&amp;$A351,Геокодування!$B$2:$B$361,0))),""))))</f>
        <v>50.569195999999998</v>
      </c>
      <c r="S351" s="43">
        <f>IF($O351="","",IFERROR(INDEX('Координати майданчиків'!$I$4:$I$64,MATCH($T351,'Координати майданчиків'!$B$4:$B$64,0)),IFERROR(IF(ABS(INDEX(Геокодування!$C$2:$C$361,MATCH($Q351,Геокодування!$B$2:$B$361,0))-50.5884)+ABS(INDEX(Геокодування!$D$2:$D$361,MATCH($Q351,Геокодування!$B$2:$B$361,0))-32.3876)&gt;0.15,"",INDEX(Геокодування!$D$2:$D$361,MATCH($Q351,Геокодування!$B$2:$B$361,0))),IFERROR(IF(ABS(INDEX(Геокодування!$C$2:$C$361,MATCH("Прилуки, Чернігівська обл., "&amp;$A351,Геокодування!$B$2:$B$361,0))-50.5884)+ABS(INDEX(Геокодування!$D$2:$D$361,MATCH("Прилуки, Чернігівська обл., "&amp;$A351,Геокодування!$B$2:$B$361,0))-32.3876)&gt;0.15,"",INDEX(Геокодування!$D$2:$D$361,MATCH("Прилуки, Чернігівська обл., "&amp;$A351,Геокодування!$B$2:$B$361,0))),""))))</f>
        <v>32.396763999999997</v>
      </c>
      <c r="T351" s="44" t="str">
        <f>IF($O351="","",IFERROR(INDEX('Координати майданчиків'!$B$4:$B$64,MATCH($A351&amp;IF($P351="","",", "&amp;$P351),'Координати майданчиків'!$B$4:$B$64,0)),IFERROR(INDEX('Координати майданчиків'!$B$4:$B$64,MATCH($A351,'Координати майданчиків'!$B$4:$B$64,0)),"")))</f>
        <v/>
      </c>
    </row>
    <row r="352" spans="1:20" x14ac:dyDescent="0.35">
      <c r="A352" s="26" t="str">
        <f t="shared" si="15"/>
        <v>вул. Пирятинська</v>
      </c>
      <c r="B352" s="26" t="str">
        <f t="shared" si="16"/>
        <v>ДЕПО</v>
      </c>
      <c r="C352" s="27" t="str" cm="1">
        <f t="array" ref="C352">IF($O352="","",_xlfn.TEXTJOIN(", ",TRUE,IF(EXACT('Дані_зв''язок'!$J$4:$J$1012,$O352)*('Дані_зв''язок'!$C$4:$C$1012=C$4),'Дані_зв''язок'!$D$4:$D$1012,"")))</f>
        <v/>
      </c>
      <c r="D352" s="27" t="str" cm="1">
        <f t="array" ref="D352">IF($O352="","",_xlfn.TEXTJOIN(", ",TRUE,IF(EXACT('Дані_зв''язок'!$J$4:$J$1012,$O352)*('Дані_зв''язок'!$C$4:$C$1012=D$4),'Дані_зв''язок'!$D$4:$D$1012,"")))</f>
        <v>7:20</v>
      </c>
      <c r="E352" s="27" t="str" cm="1">
        <f t="array" ref="E352">IF($O352="","",_xlfn.TEXTJOIN(", ",TRUE,IF(EXACT('Дані_зв''язок'!$J$4:$J$1012,$O352)*('Дані_зв''язок'!$C$4:$C$1012=E$4),'Дані_зв''язок'!$D$4:$D$1012,"")))</f>
        <v/>
      </c>
      <c r="F352" s="27" t="str" cm="1">
        <f t="array" ref="F352">IF($O352="","",_xlfn.TEXTJOIN(", ",TRUE,IF(EXACT('Дані_зв''язок'!$J$4:$J$1012,$O352)*('Дані_зв''язок'!$C$4:$C$1012=F$4),'Дані_зв''язок'!$D$4:$D$1012,"")))</f>
        <v>9:35</v>
      </c>
      <c r="G352" s="27" t="str" cm="1">
        <f t="array" ref="G352">IF($O352="","",_xlfn.TEXTJOIN(", ",TRUE,IF(EXACT('Дані_зв''язок'!$J$4:$J$1012,$O352)*('Дані_зв''язок'!$C$4:$C$1012=G$4),'Дані_зв''язок'!$D$4:$D$1012,"")))</f>
        <v/>
      </c>
      <c r="H352" s="27" t="str" cm="1">
        <f t="array" ref="H352">IF($O352="","",_xlfn.TEXTJOIN(", ",TRUE,IF(EXACT('Дані_зв''язок'!$J$4:$J$1012,$O352)*('Дані_зв''язок'!$C$4:$C$1012=H$4),'Дані_зв''язок'!$D$4:$D$1012,"")))</f>
        <v/>
      </c>
      <c r="I352" s="27" t="str" cm="1">
        <f t="array" ref="I352">IF($O352="","",_xlfn.TEXTJOIN(", ",TRUE,IF(EXACT('Дані_зв''язок'!$J$4:$J$1012,$O352)*('Дані_зв''язок'!$C$4:$C$1012=I$4),'Дані_зв''язок'!$D$4:$D$1012,"")))</f>
        <v>9:55</v>
      </c>
      <c r="J352" s="27" cm="1">
        <f t="array" ref="J352">IF($O352="","",COUNTIF(C352:I352,"?*")+SUMPRODUCT(LEN(C352:I352)-LEN(SUBSTITUTE(C352:I352,",",""))))</f>
        <v>3</v>
      </c>
      <c r="K352" s="28" t="str" cm="1">
        <f t="array" ref="K352">IF($O352="","",_xlfn.TEXTJOIN(", ",TRUE,IF(EXACT('Дані_зв''язок'!$J$4:$J$1012,$O352),'Дані_зв''язок'!$L$4:$L$1012,"")))</f>
        <v>№4</v>
      </c>
      <c r="L352" s="28" t="str" cm="1">
        <f t="array" ref="L352">IF($O352="","",_xlfn.TEXTJOIN(", ",TRUE,IF(EXACT('Дані_зв''язок'!$J$4:$J$1012,$O352),'Дані_зв''язок'!$M$4:$M$1012,"")))</f>
        <v>АТ 40-42/ROD21003</v>
      </c>
      <c r="M352" s="27" cm="1">
        <f t="array" ref="M352">IF($O352="","",IF(SUMPRODUCT(MAX(EXACT('Дані_зв''язок'!$J$4:$J$1012,$O352)*IFERROR('Дані_зв''язок'!$H$4:$H$1012,0)))=0,"",SUMPRODUCT(MAX(EXACT('Дані_зв''язок'!$J$4:$J$1012,$O352)*IFERROR('Дані_зв''язок'!$H$4:$H$1012,0)))))</f>
        <v>2</v>
      </c>
      <c r="O352" s="30" t="s">
        <v>1472</v>
      </c>
      <c r="P352" s="24" t="str" cm="1">
        <f t="array" ref="P352">IF($O352="","",IF($B352="","",IFERROR(IF(MIN(IFERROR(VALUE(TRIM(MID(SUBSTITUTE(SUBSTITUTE($B352,","," ")," ",REPT(" ",30)),{1;31;61;91;121;151;181},30))),""))=0,"",MIN(IFERROR(VALUE(TRIM(MID(SUBSTITUTE(SUBSTITUTE($B352,","," ")," ",REPT(" ",30)),{1;31;61;91;121;151;181},30))),""))),"")))</f>
        <v/>
      </c>
      <c r="Q352" s="23" t="str">
        <f t="shared" si="17"/>
        <v>Прилуки, Чернігівська обл., вул. Пирятинська</v>
      </c>
      <c r="R352" s="35">
        <f>IF($O352="","",IFERROR(INDEX('Координати майданчиків'!$H$4:$H$64,MATCH($T352,'Координати майданчиків'!$B$4:$B$64,0)),IFERROR(IF(ABS(INDEX(Геокодування!$C$2:$C$361,MATCH($Q352,Геокодування!$B$2:$B$361,0))-50.5884)+ABS(INDEX(Геокодування!$D$2:$D$361,MATCH($Q352,Геокодування!$B$2:$B$361,0))-32.3876)&gt;0.15,"",INDEX(Геокодування!$C$2:$C$361,MATCH($Q352,Геокодування!$B$2:$B$361,0))),IFERROR(IF(ABS(INDEX(Геокодування!$C$2:$C$361,MATCH("Прилуки, Чернігівська обл., "&amp;$A352,Геокодування!$B$2:$B$361,0))-50.5884)+ABS(INDEX(Геокодування!$D$2:$D$361,MATCH("Прилуки, Чернігівська обл., "&amp;$A352,Геокодування!$B$2:$B$361,0))-32.3876)&gt;0.15,"",INDEX(Геокодування!$C$2:$C$361,MATCH("Прилуки, Чернігівська обл., "&amp;$A352,Геокодування!$B$2:$B$361,0))),""))))</f>
        <v>50.569195999999998</v>
      </c>
      <c r="S352" s="43">
        <f>IF($O352="","",IFERROR(INDEX('Координати майданчиків'!$I$4:$I$64,MATCH($T352,'Координати майданчиків'!$B$4:$B$64,0)),IFERROR(IF(ABS(INDEX(Геокодування!$C$2:$C$361,MATCH($Q352,Геокодування!$B$2:$B$361,0))-50.5884)+ABS(INDEX(Геокодування!$D$2:$D$361,MATCH($Q352,Геокодування!$B$2:$B$361,0))-32.3876)&gt;0.15,"",INDEX(Геокодування!$D$2:$D$361,MATCH($Q352,Геокодування!$B$2:$B$361,0))),IFERROR(IF(ABS(INDEX(Геокодування!$C$2:$C$361,MATCH("Прилуки, Чернігівська обл., "&amp;$A352,Геокодування!$B$2:$B$361,0))-50.5884)+ABS(INDEX(Геокодування!$D$2:$D$361,MATCH("Прилуки, Чернігівська обл., "&amp;$A352,Геокодування!$B$2:$B$361,0))-32.3876)&gt;0.15,"",INDEX(Геокодування!$D$2:$D$361,MATCH("Прилуки, Чернігівська обл., "&amp;$A352,Геокодування!$B$2:$B$361,0))),""))))</f>
        <v>32.396763999999997</v>
      </c>
      <c r="T352" s="44" t="str">
        <f>IF($O352="","",IFERROR(INDEX('Координати майданчиків'!$B$4:$B$64,MATCH($A352&amp;IF($P352="","",", "&amp;$P352),'Координати майданчиків'!$B$4:$B$64,0)),IFERROR(INDEX('Координати майданчиків'!$B$4:$B$64,MATCH($A352,'Координати майданчиків'!$B$4:$B$64,0)),"")))</f>
        <v/>
      </c>
    </row>
    <row r="353" spans="1:20" x14ac:dyDescent="0.35">
      <c r="A353" s="26" t="str">
        <f t="shared" si="15"/>
        <v>вул. Пирятинська</v>
      </c>
      <c r="B353" s="26" t="str">
        <f t="shared" si="16"/>
        <v>ППЗТ</v>
      </c>
      <c r="C353" s="27" t="str" cm="1">
        <f t="array" ref="C353">IF($O353="","",_xlfn.TEXTJOIN(", ",TRUE,IF(EXACT('Дані_зв''язок'!$J$4:$J$1012,$O353)*('Дані_зв''язок'!$C$4:$C$1012=C$4),'Дані_зв''язок'!$D$4:$D$1012,"")))</f>
        <v>15:45</v>
      </c>
      <c r="D353" s="27" t="str" cm="1">
        <f t="array" ref="D353">IF($O353="","",_xlfn.TEXTJOIN(", ",TRUE,IF(EXACT('Дані_зв''язок'!$J$4:$J$1012,$O353)*('Дані_зв''язок'!$C$4:$C$1012=D$4),'Дані_зв''язок'!$D$4:$D$1012,"")))</f>
        <v/>
      </c>
      <c r="E353" s="27" t="str" cm="1">
        <f t="array" ref="E353">IF($O353="","",_xlfn.TEXTJOIN(", ",TRUE,IF(EXACT('Дані_зв''язок'!$J$4:$J$1012,$O353)*('Дані_зв''язок'!$C$4:$C$1012=E$4),'Дані_зв''язок'!$D$4:$D$1012,"")))</f>
        <v/>
      </c>
      <c r="F353" s="27" t="str" cm="1">
        <f t="array" ref="F353">IF($O353="","",_xlfn.TEXTJOIN(", ",TRUE,IF(EXACT('Дані_зв''язок'!$J$4:$J$1012,$O353)*('Дані_зв''язок'!$C$4:$C$1012=F$4),'Дані_зв''язок'!$D$4:$D$1012,"")))</f>
        <v/>
      </c>
      <c r="G353" s="27" t="str" cm="1">
        <f t="array" ref="G353">IF($O353="","",_xlfn.TEXTJOIN(", ",TRUE,IF(EXACT('Дані_зв''язок'!$J$4:$J$1012,$O353)*('Дані_зв''язок'!$C$4:$C$1012=G$4),'Дані_зв''язок'!$D$4:$D$1012,"")))</f>
        <v/>
      </c>
      <c r="H353" s="27" t="str" cm="1">
        <f t="array" ref="H353">IF($O353="","",_xlfn.TEXTJOIN(", ",TRUE,IF(EXACT('Дані_зв''язок'!$J$4:$J$1012,$O353)*('Дані_зв''язок'!$C$4:$C$1012=H$4),'Дані_зв''язок'!$D$4:$D$1012,"")))</f>
        <v/>
      </c>
      <c r="I353" s="27" t="str" cm="1">
        <f t="array" ref="I353">IF($O353="","",_xlfn.TEXTJOIN(", ",TRUE,IF(EXACT('Дані_зв''язок'!$J$4:$J$1012,$O353)*('Дані_зв''язок'!$C$4:$C$1012=I$4),'Дані_зв''язок'!$D$4:$D$1012,"")))</f>
        <v/>
      </c>
      <c r="J353" s="27" cm="1">
        <f t="array" ref="J353">IF($O353="","",COUNTIF(C353:I353,"?*")+SUMPRODUCT(LEN(C353:I353)-LEN(SUBSTITUTE(C353:I353,",",""))))</f>
        <v>1</v>
      </c>
      <c r="K353" s="28" t="str" cm="1">
        <f t="array" ref="K353">IF($O353="","",_xlfn.TEXTJOIN(", ",TRUE,IF(EXACT('Дані_зв''язок'!$J$4:$J$1012,$O353),'Дані_зв''язок'!$L$4:$L$1012,"")))</f>
        <v>№1</v>
      </c>
      <c r="L353" s="28" t="str" cm="1">
        <f t="array" ref="L353">IF($O353="","",_xlfn.TEXTJOIN(", ",TRUE,IF(EXACT('Дані_зв''язок'!$J$4:$J$1012,$O353),'Дані_зв''язок'!$M$4:$M$1012,"")))</f>
        <v>АТ-4021/1120</v>
      </c>
      <c r="M353" s="27" cm="1">
        <f t="array" ref="M353">IF($O353="","",IF(SUMPRODUCT(MAX(EXACT('Дані_зв''язок'!$J$4:$J$1012,$O353)*IFERROR('Дані_зв''язок'!$H$4:$H$1012,0)))=0,"",SUMPRODUCT(MAX(EXACT('Дані_зв''язок'!$J$4:$J$1012,$O353)*IFERROR('Дані_зв''язок'!$H$4:$H$1012,0)))))</f>
        <v>1</v>
      </c>
      <c r="O353" s="30" t="s">
        <v>1474</v>
      </c>
      <c r="P353" s="24" t="str" cm="1">
        <f t="array" ref="P353">IF($O353="","",IF($B353="","",IFERROR(IF(MIN(IFERROR(VALUE(TRIM(MID(SUBSTITUTE(SUBSTITUTE($B353,","," ")," ",REPT(" ",30)),{1;31;61;91;121;151;181},30))),""))=0,"",MIN(IFERROR(VALUE(TRIM(MID(SUBSTITUTE(SUBSTITUTE($B353,","," ")," ",REPT(" ",30)),{1;31;61;91;121;151;181},30))),""))),"")))</f>
        <v/>
      </c>
      <c r="Q353" s="23" t="str">
        <f t="shared" si="17"/>
        <v>Прилуки, Чернігівська обл., вул. Пирятинська</v>
      </c>
      <c r="R353" s="35">
        <f>IF($O353="","",IFERROR(INDEX('Координати майданчиків'!$H$4:$H$64,MATCH($T353,'Координати майданчиків'!$B$4:$B$64,0)),IFERROR(IF(ABS(INDEX(Геокодування!$C$2:$C$361,MATCH($Q353,Геокодування!$B$2:$B$361,0))-50.5884)+ABS(INDEX(Геокодування!$D$2:$D$361,MATCH($Q353,Геокодування!$B$2:$B$361,0))-32.3876)&gt;0.15,"",INDEX(Геокодування!$C$2:$C$361,MATCH($Q353,Геокодування!$B$2:$B$361,0))),IFERROR(IF(ABS(INDEX(Геокодування!$C$2:$C$361,MATCH("Прилуки, Чернігівська обл., "&amp;$A353,Геокодування!$B$2:$B$361,0))-50.5884)+ABS(INDEX(Геокодування!$D$2:$D$361,MATCH("Прилуки, Чернігівська обл., "&amp;$A353,Геокодування!$B$2:$B$361,0))-32.3876)&gt;0.15,"",INDEX(Геокодування!$C$2:$C$361,MATCH("Прилуки, Чернігівська обл., "&amp;$A353,Геокодування!$B$2:$B$361,0))),""))))</f>
        <v>50.569195999999998</v>
      </c>
      <c r="S353" s="43">
        <f>IF($O353="","",IFERROR(INDEX('Координати майданчиків'!$I$4:$I$64,MATCH($T353,'Координати майданчиків'!$B$4:$B$64,0)),IFERROR(IF(ABS(INDEX(Геокодування!$C$2:$C$361,MATCH($Q353,Геокодування!$B$2:$B$361,0))-50.5884)+ABS(INDEX(Геокодування!$D$2:$D$361,MATCH($Q353,Геокодування!$B$2:$B$361,0))-32.3876)&gt;0.15,"",INDEX(Геокодування!$D$2:$D$361,MATCH($Q353,Геокодування!$B$2:$B$361,0))),IFERROR(IF(ABS(INDEX(Геокодування!$C$2:$C$361,MATCH("Прилуки, Чернігівська обл., "&amp;$A353,Геокодування!$B$2:$B$361,0))-50.5884)+ABS(INDEX(Геокодування!$D$2:$D$361,MATCH("Прилуки, Чернігівська обл., "&amp;$A353,Геокодування!$B$2:$B$361,0))-32.3876)&gt;0.15,"",INDEX(Геокодування!$D$2:$D$361,MATCH("Прилуки, Чернігівська обл., "&amp;$A353,Геокодування!$B$2:$B$361,0))),""))))</f>
        <v>32.396763999999997</v>
      </c>
      <c r="T353" s="44" t="str">
        <f>IF($O353="","",IFERROR(INDEX('Координати майданчиків'!$B$4:$B$64,MATCH($A353&amp;IF($P353="","",", "&amp;$P353),'Координати майданчиків'!$B$4:$B$64,0)),IFERROR(INDEX('Координати майданчиків'!$B$4:$B$64,MATCH($A353,'Координати майданчиків'!$B$4:$B$64,0)),"")))</f>
        <v/>
      </c>
    </row>
    <row r="354" spans="1:20" x14ac:dyDescent="0.35">
      <c r="A354" s="26" t="str">
        <f t="shared" si="15"/>
        <v>вул. Пирятинська</v>
      </c>
      <c r="B354" s="26" t="str">
        <f t="shared" si="16"/>
        <v>автовокзал</v>
      </c>
      <c r="C354" s="27" t="str" cm="1">
        <f t="array" ref="C354">IF($O354="","",_xlfn.TEXTJOIN(", ",TRUE,IF(EXACT('Дані_зв''язок'!$J$4:$J$1012,$O354)*('Дані_зв''язок'!$C$4:$C$1012=C$4),'Дані_зв''язок'!$D$4:$D$1012,"")))</f>
        <v>9:00, 11:45</v>
      </c>
      <c r="D354" s="27" t="str" cm="1">
        <f t="array" ref="D354">IF($O354="","",_xlfn.TEXTJOIN(", ",TRUE,IF(EXACT('Дані_зв''язок'!$J$4:$J$1012,$O354)*('Дані_зв''язок'!$C$4:$C$1012=D$4),'Дані_зв''язок'!$D$4:$D$1012,"")))</f>
        <v>9:00, 11:30</v>
      </c>
      <c r="E354" s="27" t="str" cm="1">
        <f t="array" ref="E354">IF($O354="","",_xlfn.TEXTJOIN(", ",TRUE,IF(EXACT('Дані_зв''язок'!$J$4:$J$1012,$O354)*('Дані_зв''язок'!$C$4:$C$1012=E$4),'Дані_зв''язок'!$D$4:$D$1012,"")))</f>
        <v>9:00, 9:35</v>
      </c>
      <c r="F354" s="27" t="str" cm="1">
        <f t="array" ref="F354">IF($O354="","",_xlfn.TEXTJOIN(", ",TRUE,IF(EXACT('Дані_зв''язок'!$J$4:$J$1012,$O354)*('Дані_зв''язок'!$C$4:$C$1012=F$4),'Дані_зв''язок'!$D$4:$D$1012,"")))</f>
        <v>9:45</v>
      </c>
      <c r="G354" s="27" t="str" cm="1">
        <f t="array" ref="G354">IF($O354="","",_xlfn.TEXTJOIN(", ",TRUE,IF(EXACT('Дані_зв''язок'!$J$4:$J$1012,$O354)*('Дані_зв''язок'!$C$4:$C$1012=G$4),'Дані_зв''язок'!$D$4:$D$1012,"")))</f>
        <v>9:00</v>
      </c>
      <c r="H354" s="27" t="str" cm="1">
        <f t="array" ref="H354">IF($O354="","",_xlfn.TEXTJOIN(", ",TRUE,IF(EXACT('Дані_зв''язок'!$J$4:$J$1012,$O354)*('Дані_зв''язок'!$C$4:$C$1012=H$4),'Дані_зв''язок'!$D$4:$D$1012,"")))</f>
        <v>9:00, 11:30</v>
      </c>
      <c r="I354" s="27" t="str" cm="1">
        <f t="array" ref="I354">IF($O354="","",_xlfn.TEXTJOIN(", ",TRUE,IF(EXACT('Дані_зв''язок'!$J$4:$J$1012,$O354)*('Дані_зв''язок'!$C$4:$C$1012=I$4),'Дані_зв''язок'!$D$4:$D$1012,"")))</f>
        <v>9:45</v>
      </c>
      <c r="J354" s="27" cm="1">
        <f t="array" ref="J354">IF($O354="","",COUNTIF(C354:I354,"?*")+SUMPRODUCT(LEN(C354:I354)-LEN(SUBSTITUTE(C354:I354,",",""))))</f>
        <v>11</v>
      </c>
      <c r="K354" s="28" t="str" cm="1">
        <f t="array" ref="K354">IF($O354="","",_xlfn.TEXTJOIN(", ",TRUE,IF(EXACT('Дані_зв''язок'!$J$4:$J$1012,$O354),'Дані_зв''язок'!$L$4:$L$1012,"")))</f>
        <v>№1</v>
      </c>
      <c r="L354" s="28" t="str" cm="1">
        <f t="array" ref="L354">IF($O354="","",_xlfn.TEXTJOIN(", ",TRUE,IF(EXACT('Дані_зв''язок'!$J$4:$J$1012,$O354),'Дані_зв''язок'!$M$4:$M$1012,"")))</f>
        <v>КАМАЗ 55111, АТ-4021/1120</v>
      </c>
      <c r="M354" s="27" cm="1">
        <f t="array" ref="M354">IF($O354="","",IF(SUMPRODUCT(MAX(EXACT('Дані_зв''язок'!$J$4:$J$1012,$O354)*IFERROR('Дані_зв''язок'!$H$4:$H$1012,0)))=0,"",SUMPRODUCT(MAX(EXACT('Дані_зв''язок'!$J$4:$J$1012,$O354)*IFERROR('Дані_зв''язок'!$H$4:$H$1012,0)))))</f>
        <v>3</v>
      </c>
      <c r="O354" s="30" t="s">
        <v>1470</v>
      </c>
      <c r="P354" s="24" t="str" cm="1">
        <f t="array" ref="P354">IF($O354="","",IF($B354="","",IFERROR(IF(MIN(IFERROR(VALUE(TRIM(MID(SUBSTITUTE(SUBSTITUTE($B354,","," ")," ",REPT(" ",30)),{1;31;61;91;121;151;181},30))),""))=0,"",MIN(IFERROR(VALUE(TRIM(MID(SUBSTITUTE(SUBSTITUTE($B354,","," ")," ",REPT(" ",30)),{1;31;61;91;121;151;181},30))),""))),"")))</f>
        <v/>
      </c>
      <c r="Q354" s="23" t="str">
        <f t="shared" si="17"/>
        <v>Прилуки, Чернігівська обл., вул. Пирятинська</v>
      </c>
      <c r="R354" s="35">
        <f>IF($O354="","",IFERROR(INDEX('Координати майданчиків'!$H$4:$H$64,MATCH($T354,'Координати майданчиків'!$B$4:$B$64,0)),IFERROR(IF(ABS(INDEX(Геокодування!$C$2:$C$361,MATCH($Q354,Геокодування!$B$2:$B$361,0))-50.5884)+ABS(INDEX(Геокодування!$D$2:$D$361,MATCH($Q354,Геокодування!$B$2:$B$361,0))-32.3876)&gt;0.15,"",INDEX(Геокодування!$C$2:$C$361,MATCH($Q354,Геокодування!$B$2:$B$361,0))),IFERROR(IF(ABS(INDEX(Геокодування!$C$2:$C$361,MATCH("Прилуки, Чернігівська обл., "&amp;$A354,Геокодування!$B$2:$B$361,0))-50.5884)+ABS(INDEX(Геокодування!$D$2:$D$361,MATCH("Прилуки, Чернігівська обл., "&amp;$A354,Геокодування!$B$2:$B$361,0))-32.3876)&gt;0.15,"",INDEX(Геокодування!$C$2:$C$361,MATCH("Прилуки, Чернігівська обл., "&amp;$A354,Геокодування!$B$2:$B$361,0))),""))))</f>
        <v>50.569195999999998</v>
      </c>
      <c r="S354" s="43">
        <f>IF($O354="","",IFERROR(INDEX('Координати майданчиків'!$I$4:$I$64,MATCH($T354,'Координати майданчиків'!$B$4:$B$64,0)),IFERROR(IF(ABS(INDEX(Геокодування!$C$2:$C$361,MATCH($Q354,Геокодування!$B$2:$B$361,0))-50.5884)+ABS(INDEX(Геокодування!$D$2:$D$361,MATCH($Q354,Геокодування!$B$2:$B$361,0))-32.3876)&gt;0.15,"",INDEX(Геокодування!$D$2:$D$361,MATCH($Q354,Геокодування!$B$2:$B$361,0))),IFERROR(IF(ABS(INDEX(Геокодування!$C$2:$C$361,MATCH("Прилуки, Чернігівська обл., "&amp;$A354,Геокодування!$B$2:$B$361,0))-50.5884)+ABS(INDEX(Геокодування!$D$2:$D$361,MATCH("Прилуки, Чернігівська обл., "&amp;$A354,Геокодування!$B$2:$B$361,0))-32.3876)&gt;0.15,"",INDEX(Геокодування!$D$2:$D$361,MATCH("Прилуки, Чернігівська обл., "&amp;$A354,Геокодування!$B$2:$B$361,0))),""))))</f>
        <v>32.396763999999997</v>
      </c>
      <c r="T354" s="44" t="str">
        <f>IF($O354="","",IFERROR(INDEX('Координати майданчиків'!$B$4:$B$64,MATCH($A354&amp;IF($P354="","",", "&amp;$P354),'Координати майданчиків'!$B$4:$B$64,0)),IFERROR(INDEX('Координати майданчиків'!$B$4:$B$64,MATCH($A354,'Координати майданчиків'!$B$4:$B$64,0)),"")))</f>
        <v/>
      </c>
    </row>
    <row r="355" spans="1:20" x14ac:dyDescent="0.35">
      <c r="A355" s="26" t="str">
        <f t="shared" si="15"/>
        <v>вул. Пирятинська</v>
      </c>
      <c r="B355" s="26" t="str">
        <f t="shared" si="16"/>
        <v>машинері</v>
      </c>
      <c r="C355" s="27" t="str" cm="1">
        <f t="array" ref="C355">IF($O355="","",_xlfn.TEXTJOIN(", ",TRUE,IF(EXACT('Дані_зв''язок'!$J$4:$J$1012,$O355)*('Дані_зв''язок'!$C$4:$C$1012=C$4),'Дані_зв''язок'!$D$4:$D$1012,"")))</f>
        <v>10:55</v>
      </c>
      <c r="D355" s="27" t="str" cm="1">
        <f t="array" ref="D355">IF($O355="","",_xlfn.TEXTJOIN(", ",TRUE,IF(EXACT('Дані_зв''язок'!$J$4:$J$1012,$O355)*('Дані_зв''язок'!$C$4:$C$1012=D$4),'Дані_зв''язок'!$D$4:$D$1012,"")))</f>
        <v/>
      </c>
      <c r="E355" s="27" t="str" cm="1">
        <f t="array" ref="E355">IF($O355="","",_xlfn.TEXTJOIN(", ",TRUE,IF(EXACT('Дані_зв''язок'!$J$4:$J$1012,$O355)*('Дані_зв''язок'!$C$4:$C$1012=E$4),'Дані_зв''язок'!$D$4:$D$1012,"")))</f>
        <v/>
      </c>
      <c r="F355" s="27" t="str" cm="1">
        <f t="array" ref="F355">IF($O355="","",_xlfn.TEXTJOIN(", ",TRUE,IF(EXACT('Дані_зв''язок'!$J$4:$J$1012,$O355)*('Дані_зв''язок'!$C$4:$C$1012=F$4),'Дані_зв''язок'!$D$4:$D$1012,"")))</f>
        <v/>
      </c>
      <c r="G355" s="27" t="str" cm="1">
        <f t="array" ref="G355">IF($O355="","",_xlfn.TEXTJOIN(", ",TRUE,IF(EXACT('Дані_зв''язок'!$J$4:$J$1012,$O355)*('Дані_зв''язок'!$C$4:$C$1012=G$4),'Дані_зв''язок'!$D$4:$D$1012,"")))</f>
        <v>10:55</v>
      </c>
      <c r="H355" s="27" t="str" cm="1">
        <f t="array" ref="H355">IF($O355="","",_xlfn.TEXTJOIN(", ",TRUE,IF(EXACT('Дані_зв''язок'!$J$4:$J$1012,$O355)*('Дані_зв''язок'!$C$4:$C$1012=H$4),'Дані_зв''язок'!$D$4:$D$1012,"")))</f>
        <v/>
      </c>
      <c r="I355" s="27" t="str" cm="1">
        <f t="array" ref="I355">IF($O355="","",_xlfn.TEXTJOIN(", ",TRUE,IF(EXACT('Дані_зв''язок'!$J$4:$J$1012,$O355)*('Дані_зв''язок'!$C$4:$C$1012=I$4),'Дані_зв''язок'!$D$4:$D$1012,"")))</f>
        <v/>
      </c>
      <c r="J355" s="27" cm="1">
        <f t="array" ref="J355">IF($O355="","",COUNTIF(C355:I355,"?*")+SUMPRODUCT(LEN(C355:I355)-LEN(SUBSTITUTE(C355:I355,",",""))))</f>
        <v>2</v>
      </c>
      <c r="K355" s="28" t="str" cm="1">
        <f t="array" ref="K355">IF($O355="","",_xlfn.TEXTJOIN(", ",TRUE,IF(EXACT('Дані_зв''язок'!$J$4:$J$1012,$O355),'Дані_зв''язок'!$L$4:$L$1012,"")))</f>
        <v>№4</v>
      </c>
      <c r="L355" s="28" t="str" cm="1">
        <f t="array" ref="L355">IF($O355="","",_xlfn.TEXTJOIN(", ",TRUE,IF(EXACT('Дані_зв''язок'!$J$4:$J$1012,$O355),'Дані_зв''язок'!$M$4:$M$1012,"")))</f>
        <v>АТ 40-42/ROD21003</v>
      </c>
      <c r="M355" s="27" cm="1">
        <f t="array" ref="M355">IF($O355="","",IF(SUMPRODUCT(MAX(EXACT('Дані_зв''язок'!$J$4:$J$1012,$O355)*IFERROR('Дані_зв''язок'!$H$4:$H$1012,0)))=0,"",SUMPRODUCT(MAX(EXACT('Дані_зв''язок'!$J$4:$J$1012,$O355)*IFERROR('Дані_зв''язок'!$H$4:$H$1012,0)))))</f>
        <v>2</v>
      </c>
      <c r="O355" s="30" t="s">
        <v>1473</v>
      </c>
      <c r="P355" s="24" t="str" cm="1">
        <f t="array" ref="P355">IF($O355="","",IF($B355="","",IFERROR(IF(MIN(IFERROR(VALUE(TRIM(MID(SUBSTITUTE(SUBSTITUTE($B355,","," ")," ",REPT(" ",30)),{1;31;61;91;121;151;181},30))),""))=0,"",MIN(IFERROR(VALUE(TRIM(MID(SUBSTITUTE(SUBSTITUTE($B355,","," ")," ",REPT(" ",30)),{1;31;61;91;121;151;181},30))),""))),"")))</f>
        <v/>
      </c>
      <c r="Q355" s="23" t="str">
        <f t="shared" si="17"/>
        <v>Прилуки, Чернігівська обл., вул. Пирятинська</v>
      </c>
      <c r="R355" s="35">
        <f>IF($O355="","",IFERROR(INDEX('Координати майданчиків'!$H$4:$H$64,MATCH($T355,'Координати майданчиків'!$B$4:$B$64,0)),IFERROR(IF(ABS(INDEX(Геокодування!$C$2:$C$361,MATCH($Q355,Геокодування!$B$2:$B$361,0))-50.5884)+ABS(INDEX(Геокодування!$D$2:$D$361,MATCH($Q355,Геокодування!$B$2:$B$361,0))-32.3876)&gt;0.15,"",INDEX(Геокодування!$C$2:$C$361,MATCH($Q355,Геокодування!$B$2:$B$361,0))),IFERROR(IF(ABS(INDEX(Геокодування!$C$2:$C$361,MATCH("Прилуки, Чернігівська обл., "&amp;$A355,Геокодування!$B$2:$B$361,0))-50.5884)+ABS(INDEX(Геокодування!$D$2:$D$361,MATCH("Прилуки, Чернігівська обл., "&amp;$A355,Геокодування!$B$2:$B$361,0))-32.3876)&gt;0.15,"",INDEX(Геокодування!$C$2:$C$361,MATCH("Прилуки, Чернігівська обл., "&amp;$A355,Геокодування!$B$2:$B$361,0))),""))))</f>
        <v>50.569195999999998</v>
      </c>
      <c r="S355" s="43">
        <f>IF($O355="","",IFERROR(INDEX('Координати майданчиків'!$I$4:$I$64,MATCH($T355,'Координати майданчиків'!$B$4:$B$64,0)),IFERROR(IF(ABS(INDEX(Геокодування!$C$2:$C$361,MATCH($Q355,Геокодування!$B$2:$B$361,0))-50.5884)+ABS(INDEX(Геокодування!$D$2:$D$361,MATCH($Q355,Геокодування!$B$2:$B$361,0))-32.3876)&gt;0.15,"",INDEX(Геокодування!$D$2:$D$361,MATCH($Q355,Геокодування!$B$2:$B$361,0))),IFERROR(IF(ABS(INDEX(Геокодування!$C$2:$C$361,MATCH("Прилуки, Чернігівська обл., "&amp;$A355,Геокодування!$B$2:$B$361,0))-50.5884)+ABS(INDEX(Геокодування!$D$2:$D$361,MATCH("Прилуки, Чернігівська обл., "&amp;$A355,Геокодування!$B$2:$B$361,0))-32.3876)&gt;0.15,"",INDEX(Геокодування!$D$2:$D$361,MATCH("Прилуки, Чернігівська обл., "&amp;$A355,Геокодування!$B$2:$B$361,0))),""))))</f>
        <v>32.396763999999997</v>
      </c>
      <c r="T355" s="44" t="str">
        <f>IF($O355="","",IFERROR(INDEX('Координати майданчиків'!$B$4:$B$64,MATCH($A355&amp;IF($P355="","",", "&amp;$P355),'Координати майданчиків'!$B$4:$B$64,0)),IFERROR(INDEX('Координати майданчиків'!$B$4:$B$64,MATCH($A355,'Координати майданчиків'!$B$4:$B$64,0)),"")))</f>
        <v/>
      </c>
    </row>
    <row r="356" spans="1:20" x14ac:dyDescent="0.35">
      <c r="A356" s="26" t="str">
        <f t="shared" si="15"/>
        <v>вул. Плискунівська</v>
      </c>
      <c r="B356" s="26" t="str">
        <f t="shared" si="16"/>
        <v/>
      </c>
      <c r="C356" s="27" t="str" cm="1">
        <f t="array" ref="C356">IF($O356="","",_xlfn.TEXTJOIN(", ",TRUE,IF(EXACT('Дані_зв''язок'!$J$4:$J$1012,$O356)*('Дані_зв''язок'!$C$4:$C$1012=C$4),'Дані_зв''язок'!$D$4:$D$1012,"")))</f>
        <v/>
      </c>
      <c r="D356" s="27" t="str" cm="1">
        <f t="array" ref="D356">IF($O356="","",_xlfn.TEXTJOIN(", ",TRUE,IF(EXACT('Дані_зв''язок'!$J$4:$J$1012,$O356)*('Дані_зв''язок'!$C$4:$C$1012=D$4),'Дані_зв''язок'!$D$4:$D$1012,"")))</f>
        <v/>
      </c>
      <c r="E356" s="27" t="str" cm="1">
        <f t="array" ref="E356">IF($O356="","",_xlfn.TEXTJOIN(", ",TRUE,IF(EXACT('Дані_зв''язок'!$J$4:$J$1012,$O356)*('Дані_зв''язок'!$C$4:$C$1012=E$4),'Дані_зв''язок'!$D$4:$D$1012,"")))</f>
        <v/>
      </c>
      <c r="F356" s="27" t="str" cm="1">
        <f t="array" ref="F356">IF($O356="","",_xlfn.TEXTJOIN(", ",TRUE,IF(EXACT('Дані_зв''язок'!$J$4:$J$1012,$O356)*('Дані_зв''язок'!$C$4:$C$1012=F$4),'Дані_зв''язок'!$D$4:$D$1012,"")))</f>
        <v/>
      </c>
      <c r="G356" s="27" t="str" cm="1">
        <f t="array" ref="G356">IF($O356="","",_xlfn.TEXTJOIN(", ",TRUE,IF(EXACT('Дані_зв''язок'!$J$4:$J$1012,$O356)*('Дані_зв''язок'!$C$4:$C$1012=G$4),'Дані_зв''язок'!$D$4:$D$1012,"")))</f>
        <v>15:30</v>
      </c>
      <c r="H356" s="27" t="str" cm="1">
        <f t="array" ref="H356">IF($O356="","",_xlfn.TEXTJOIN(", ",TRUE,IF(EXACT('Дані_зв''язок'!$J$4:$J$1012,$O356)*('Дані_зв''язок'!$C$4:$C$1012=H$4),'Дані_зв''язок'!$D$4:$D$1012,"")))</f>
        <v/>
      </c>
      <c r="I356" s="27" t="str" cm="1">
        <f t="array" ref="I356">IF($O356="","",_xlfn.TEXTJOIN(", ",TRUE,IF(EXACT('Дані_зв''язок'!$J$4:$J$1012,$O356)*('Дані_зв''язок'!$C$4:$C$1012=I$4),'Дані_зв''язок'!$D$4:$D$1012,"")))</f>
        <v/>
      </c>
      <c r="J356" s="27" cm="1">
        <f t="array" ref="J356">IF($O356="","",COUNTIF(C356:I356,"?*")+SUMPRODUCT(LEN(C356:I356)-LEN(SUBSTITUTE(C356:I356,",",""))))</f>
        <v>1</v>
      </c>
      <c r="K356" s="28" t="str" cm="1">
        <f t="array" ref="K356">IF($O356="","",_xlfn.TEXTJOIN(", ",TRUE,IF(EXACT('Дані_зв''язок'!$J$4:$J$1012,$O356),'Дані_зв''язок'!$L$4:$L$1012,"")))</f>
        <v>№6</v>
      </c>
      <c r="L356" s="28" t="str" cm="1">
        <f t="array" ref="L356">IF($O356="","",_xlfn.TEXTJOIN(", ",TRUE,IF(EXACT('Дані_зв''язок'!$J$4:$J$1012,$O356),'Дані_зв''язок'!$M$4:$M$1012,"")))</f>
        <v>АТ 4021</v>
      </c>
      <c r="M356" s="27" t="str" cm="1">
        <f t="array" ref="M356">IF($O356="","",IF(SUMPRODUCT(MAX(EXACT('Дані_зв''язок'!$J$4:$J$1012,$O356)*IFERROR('Дані_зв''язок'!$H$4:$H$1012,0)))=0,"",SUMPRODUCT(MAX(EXACT('Дані_зв''язок'!$J$4:$J$1012,$O356)*IFERROR('Дані_зв''язок'!$H$4:$H$1012,0)))))</f>
        <v/>
      </c>
      <c r="O356" s="30" t="s">
        <v>1477</v>
      </c>
      <c r="P356" s="24" t="str" cm="1">
        <f t="array" ref="P356">IF($O356="","",IF($B356="","",IFERROR(IF(MIN(IFERROR(VALUE(TRIM(MID(SUBSTITUTE(SUBSTITUTE($B356,","," ")," ",REPT(" ",30)),{1;31;61;91;121;151;181},30))),""))=0,"",MIN(IFERROR(VALUE(TRIM(MID(SUBSTITUTE(SUBSTITUTE($B356,","," ")," ",REPT(" ",30)),{1;31;61;91;121;151;181},30))),""))),"")))</f>
        <v/>
      </c>
      <c r="Q356" s="23" t="str">
        <f t="shared" si="17"/>
        <v>Прилуки, Чернігівська обл., вул. Плискунівська</v>
      </c>
      <c r="R356" s="35">
        <f>IF($O356="","",IFERROR(INDEX('Координати майданчиків'!$H$4:$H$64,MATCH($T356,'Координати майданчиків'!$B$4:$B$64,0)),IFERROR(IF(ABS(INDEX(Геокодування!$C$2:$C$361,MATCH($Q356,Геокодування!$B$2:$B$361,0))-50.5884)+ABS(INDEX(Геокодування!$D$2:$D$361,MATCH($Q356,Геокодування!$B$2:$B$361,0))-32.3876)&gt;0.15,"",INDEX(Геокодування!$C$2:$C$361,MATCH($Q356,Геокодування!$B$2:$B$361,0))),IFERROR(IF(ABS(INDEX(Геокодування!$C$2:$C$361,MATCH("Прилуки, Чернігівська обл., "&amp;$A356,Геокодування!$B$2:$B$361,0))-50.5884)+ABS(INDEX(Геокодування!$D$2:$D$361,MATCH("Прилуки, Чернігівська обл., "&amp;$A356,Геокодування!$B$2:$B$361,0))-32.3876)&gt;0.15,"",INDEX(Геокодування!$C$2:$C$361,MATCH("Прилуки, Чернігівська обл., "&amp;$A356,Геокодування!$B$2:$B$361,0))),""))))</f>
        <v>50.588864000000001</v>
      </c>
      <c r="S356" s="43">
        <f>IF($O356="","",IFERROR(INDEX('Координати майданчиків'!$I$4:$I$64,MATCH($T356,'Координати майданчиків'!$B$4:$B$64,0)),IFERROR(IF(ABS(INDEX(Геокодування!$C$2:$C$361,MATCH($Q356,Геокодування!$B$2:$B$361,0))-50.5884)+ABS(INDEX(Геокодування!$D$2:$D$361,MATCH($Q356,Геокодування!$B$2:$B$361,0))-32.3876)&gt;0.15,"",INDEX(Геокодування!$D$2:$D$361,MATCH($Q356,Геокодування!$B$2:$B$361,0))),IFERROR(IF(ABS(INDEX(Геокодування!$C$2:$C$361,MATCH("Прилуки, Чернігівська обл., "&amp;$A356,Геокодування!$B$2:$B$361,0))-50.5884)+ABS(INDEX(Геокодування!$D$2:$D$361,MATCH("Прилуки, Чернігівська обл., "&amp;$A356,Геокодування!$B$2:$B$361,0))-32.3876)&gt;0.15,"",INDEX(Геокодування!$D$2:$D$361,MATCH("Прилуки, Чернігівська обл., "&amp;$A356,Геокодування!$B$2:$B$361,0))),""))))</f>
        <v>32.440384000000002</v>
      </c>
      <c r="T356" s="44" t="str">
        <f>IF($O356="","",IFERROR(INDEX('Координати майданчиків'!$B$4:$B$64,MATCH($A356&amp;IF($P356="","",", "&amp;$P356),'Координати майданчиків'!$B$4:$B$64,0)),IFERROR(INDEX('Координати майданчиків'!$B$4:$B$64,MATCH($A356,'Координати майданчиків'!$B$4:$B$64,0)),"")))</f>
        <v/>
      </c>
    </row>
    <row r="357" spans="1:20" x14ac:dyDescent="0.35">
      <c r="A357" s="26" t="str">
        <f t="shared" si="15"/>
        <v>вул. Половецька</v>
      </c>
      <c r="B357" s="26" t="str">
        <f t="shared" si="16"/>
        <v/>
      </c>
      <c r="C357" s="27" t="str" cm="1">
        <f t="array" ref="C357">IF($O357="","",_xlfn.TEXTJOIN(", ",TRUE,IF(EXACT('Дані_зв''язок'!$J$4:$J$1012,$O357)*('Дані_зв''язок'!$C$4:$C$1012=C$4),'Дані_зв''язок'!$D$4:$D$1012,"")))</f>
        <v/>
      </c>
      <c r="D357" s="27" t="str" cm="1">
        <f t="array" ref="D357">IF($O357="","",_xlfn.TEXTJOIN(", ",TRUE,IF(EXACT('Дані_зв''язок'!$J$4:$J$1012,$O357)*('Дані_зв''язок'!$C$4:$C$1012=D$4),'Дані_зв''язок'!$D$4:$D$1012,"")))</f>
        <v/>
      </c>
      <c r="E357" s="27" t="str" cm="1">
        <f t="array" ref="E357">IF($O357="","",_xlfn.TEXTJOIN(", ",TRUE,IF(EXACT('Дані_зв''язок'!$J$4:$J$1012,$O357)*('Дані_зв''язок'!$C$4:$C$1012=E$4),'Дані_зв''язок'!$D$4:$D$1012,"")))</f>
        <v/>
      </c>
      <c r="F357" s="27" t="str" cm="1">
        <f t="array" ref="F357">IF($O357="","",_xlfn.TEXTJOIN(", ",TRUE,IF(EXACT('Дані_зв''язок'!$J$4:$J$1012,$O357)*('Дані_зв''язок'!$C$4:$C$1012=F$4),'Дані_зв''язок'!$D$4:$D$1012,"")))</f>
        <v/>
      </c>
      <c r="G357" s="27" t="str" cm="1">
        <f t="array" ref="G357">IF($O357="","",_xlfn.TEXTJOIN(", ",TRUE,IF(EXACT('Дані_зв''язок'!$J$4:$J$1012,$O357)*('Дані_зв''язок'!$C$4:$C$1012=G$4),'Дані_зв''язок'!$D$4:$D$1012,"")))</f>
        <v>13:50</v>
      </c>
      <c r="H357" s="27" t="str" cm="1">
        <f t="array" ref="H357">IF($O357="","",_xlfn.TEXTJOIN(", ",TRUE,IF(EXACT('Дані_зв''язок'!$J$4:$J$1012,$O357)*('Дані_зв''язок'!$C$4:$C$1012=H$4),'Дані_зв''язок'!$D$4:$D$1012,"")))</f>
        <v/>
      </c>
      <c r="I357" s="27" t="str" cm="1">
        <f t="array" ref="I357">IF($O357="","",_xlfn.TEXTJOIN(", ",TRUE,IF(EXACT('Дані_зв''язок'!$J$4:$J$1012,$O357)*('Дані_зв''язок'!$C$4:$C$1012=I$4),'Дані_зв''язок'!$D$4:$D$1012,"")))</f>
        <v/>
      </c>
      <c r="J357" s="27" cm="1">
        <f t="array" ref="J357">IF($O357="","",COUNTIF(C357:I357,"?*")+SUMPRODUCT(LEN(C357:I357)-LEN(SUBSTITUTE(C357:I357,",",""))))</f>
        <v>1</v>
      </c>
      <c r="K357" s="28" t="str" cm="1">
        <f t="array" ref="K357">IF($O357="","",_xlfn.TEXTJOIN(", ",TRUE,IF(EXACT('Дані_зв''язок'!$J$4:$J$1012,$O357),'Дані_зв''язок'!$L$4:$L$1012,"")))</f>
        <v>№5</v>
      </c>
      <c r="L357" s="28" t="str" cm="1">
        <f t="array" ref="L357">IF($O357="","",_xlfn.TEXTJOIN(", ",TRUE,IF(EXACT('Дані_зв''язок'!$J$4:$J$1012,$O357),'Дані_зв''язок'!$M$4:$M$1012,"")))</f>
        <v>МАЗ 4381</v>
      </c>
      <c r="M357" s="27" t="str" cm="1">
        <f t="array" ref="M357">IF($O357="","",IF(SUMPRODUCT(MAX(EXACT('Дані_зв''язок'!$J$4:$J$1012,$O357)*IFERROR('Дані_зв''язок'!$H$4:$H$1012,0)))=0,"",SUMPRODUCT(MAX(EXACT('Дані_зв''язок'!$J$4:$J$1012,$O357)*IFERROR('Дані_зв''язок'!$H$4:$H$1012,0)))))</f>
        <v/>
      </c>
      <c r="O357" s="30" t="s">
        <v>1478</v>
      </c>
      <c r="P357" s="24" t="str" cm="1">
        <f t="array" ref="P357">IF($O357="","",IF($B357="","",IFERROR(IF(MIN(IFERROR(VALUE(TRIM(MID(SUBSTITUTE(SUBSTITUTE($B357,","," ")," ",REPT(" ",30)),{1;31;61;91;121;151;181},30))),""))=0,"",MIN(IFERROR(VALUE(TRIM(MID(SUBSTITUTE(SUBSTITUTE($B357,","," ")," ",REPT(" ",30)),{1;31;61;91;121;151;181},30))),""))),"")))</f>
        <v/>
      </c>
      <c r="Q357" s="23" t="str">
        <f t="shared" si="17"/>
        <v>Прилуки, Чернігівська обл., вул. Половецька</v>
      </c>
      <c r="R357" s="35">
        <f>IF($O357="","",IFERROR(INDEX('Координати майданчиків'!$H$4:$H$64,MATCH($T357,'Координати майданчиків'!$B$4:$B$64,0)),IFERROR(IF(ABS(INDEX(Геокодування!$C$2:$C$361,MATCH($Q357,Геокодування!$B$2:$B$361,0))-50.5884)+ABS(INDEX(Геокодування!$D$2:$D$361,MATCH($Q357,Геокодування!$B$2:$B$361,0))-32.3876)&gt;0.15,"",INDEX(Геокодування!$C$2:$C$361,MATCH($Q357,Геокодування!$B$2:$B$361,0))),IFERROR(IF(ABS(INDEX(Геокодування!$C$2:$C$361,MATCH("Прилуки, Чернігівська обл., "&amp;$A357,Геокодування!$B$2:$B$361,0))-50.5884)+ABS(INDEX(Геокодування!$D$2:$D$361,MATCH("Прилуки, Чернігівська обл., "&amp;$A357,Геокодування!$B$2:$B$361,0))-32.3876)&gt;0.15,"",INDEX(Геокодування!$C$2:$C$361,MATCH("Прилуки, Чернігівська обл., "&amp;$A357,Геокодування!$B$2:$B$361,0))),""))))</f>
        <v>50.577506</v>
      </c>
      <c r="S357" s="43">
        <f>IF($O357="","",IFERROR(INDEX('Координати майданчиків'!$I$4:$I$64,MATCH($T357,'Координати майданчиків'!$B$4:$B$64,0)),IFERROR(IF(ABS(INDEX(Геокодування!$C$2:$C$361,MATCH($Q357,Геокодування!$B$2:$B$361,0))-50.5884)+ABS(INDEX(Геокодування!$D$2:$D$361,MATCH($Q357,Геокодування!$B$2:$B$361,0))-32.3876)&gt;0.15,"",INDEX(Геокодування!$D$2:$D$361,MATCH($Q357,Геокодування!$B$2:$B$361,0))),IFERROR(IF(ABS(INDEX(Геокодування!$C$2:$C$361,MATCH("Прилуки, Чернігівська обл., "&amp;$A357,Геокодування!$B$2:$B$361,0))-50.5884)+ABS(INDEX(Геокодування!$D$2:$D$361,MATCH("Прилуки, Чернігівська обл., "&amp;$A357,Геокодування!$B$2:$B$361,0))-32.3876)&gt;0.15,"",INDEX(Геокодування!$D$2:$D$361,MATCH("Прилуки, Чернігівська обл., "&amp;$A357,Геокодування!$B$2:$B$361,0))),""))))</f>
        <v>32.417931000000003</v>
      </c>
      <c r="T357" s="44" t="str">
        <f>IF($O357="","",IFERROR(INDEX('Координати майданчиків'!$B$4:$B$64,MATCH($A357&amp;IF($P357="","",", "&amp;$P357),'Координати майданчиків'!$B$4:$B$64,0)),IFERROR(INDEX('Координати майданчиків'!$B$4:$B$64,MATCH($A357,'Координати майданчиків'!$B$4:$B$64,0)),"")))</f>
        <v/>
      </c>
    </row>
    <row r="358" spans="1:20" x14ac:dyDescent="0.35">
      <c r="A358" s="26" t="str">
        <f t="shared" si="15"/>
        <v>вул. Польова</v>
      </c>
      <c r="B358" s="26" t="str">
        <f t="shared" si="16"/>
        <v/>
      </c>
      <c r="C358" s="27" t="str" cm="1">
        <f t="array" ref="C358">IF($O358="","",_xlfn.TEXTJOIN(", ",TRUE,IF(EXACT('Дані_зв''язок'!$J$4:$J$1012,$O358)*('Дані_зв''язок'!$C$4:$C$1012=C$4),'Дані_зв''язок'!$D$4:$D$1012,"")))</f>
        <v/>
      </c>
      <c r="D358" s="27" t="str" cm="1">
        <f t="array" ref="D358">IF($O358="","",_xlfn.TEXTJOIN(", ",TRUE,IF(EXACT('Дані_зв''язок'!$J$4:$J$1012,$O358)*('Дані_зв''язок'!$C$4:$C$1012=D$4),'Дані_зв''язок'!$D$4:$D$1012,"")))</f>
        <v/>
      </c>
      <c r="E358" s="27" t="str" cm="1">
        <f t="array" ref="E358">IF($O358="","",_xlfn.TEXTJOIN(", ",TRUE,IF(EXACT('Дані_зв''язок'!$J$4:$J$1012,$O358)*('Дані_зв''язок'!$C$4:$C$1012=E$4),'Дані_зв''язок'!$D$4:$D$1012,"")))</f>
        <v/>
      </c>
      <c r="F358" s="27" t="str" cm="1">
        <f t="array" ref="F358">IF($O358="","",_xlfn.TEXTJOIN(", ",TRUE,IF(EXACT('Дані_зв''язок'!$J$4:$J$1012,$O358)*('Дані_зв''язок'!$C$4:$C$1012=F$4),'Дані_зв''язок'!$D$4:$D$1012,"")))</f>
        <v/>
      </c>
      <c r="G358" s="27" t="str" cm="1">
        <f t="array" ref="G358">IF($O358="","",_xlfn.TEXTJOIN(", ",TRUE,IF(EXACT('Дані_зв''язок'!$J$4:$J$1012,$O358)*('Дані_зв''язок'!$C$4:$C$1012=G$4),'Дані_зв''язок'!$D$4:$D$1012,"")))</f>
        <v>12:25, 12:45, 13:30</v>
      </c>
      <c r="H358" s="27" t="str" cm="1">
        <f t="array" ref="H358">IF($O358="","",_xlfn.TEXTJOIN(", ",TRUE,IF(EXACT('Дані_зв''язок'!$J$4:$J$1012,$O358)*('Дані_зв''язок'!$C$4:$C$1012=H$4),'Дані_зв''язок'!$D$4:$D$1012,"")))</f>
        <v/>
      </c>
      <c r="I358" s="27" t="str" cm="1">
        <f t="array" ref="I358">IF($O358="","",_xlfn.TEXTJOIN(", ",TRUE,IF(EXACT('Дані_зв''язок'!$J$4:$J$1012,$O358)*('Дані_зв''язок'!$C$4:$C$1012=I$4),'Дані_зв''язок'!$D$4:$D$1012,"")))</f>
        <v/>
      </c>
      <c r="J358" s="27" cm="1">
        <f t="array" ref="J358">IF($O358="","",COUNTIF(C358:I358,"?*")+SUMPRODUCT(LEN(C358:I358)-LEN(SUBSTITUTE(C358:I358,",",""))))</f>
        <v>3</v>
      </c>
      <c r="K358" s="28" t="str" cm="1">
        <f t="array" ref="K358">IF($O358="","",_xlfn.TEXTJOIN(", ",TRUE,IF(EXACT('Дані_зв''язок'!$J$4:$J$1012,$O358),'Дані_зв''язок'!$L$4:$L$1012,"")))</f>
        <v>№5</v>
      </c>
      <c r="L358" s="28" t="str" cm="1">
        <f t="array" ref="L358">IF($O358="","",_xlfn.TEXTJOIN(", ",TRUE,IF(EXACT('Дані_зв''язок'!$J$4:$J$1012,$O358),'Дані_зв''язок'!$M$4:$M$1012,"")))</f>
        <v>МАЗ 4381</v>
      </c>
      <c r="M358" s="27" t="str" cm="1">
        <f t="array" ref="M358">IF($O358="","",IF(SUMPRODUCT(MAX(EXACT('Дані_зв''язок'!$J$4:$J$1012,$O358)*IFERROR('Дані_зв''язок'!$H$4:$H$1012,0)))=0,"",SUMPRODUCT(MAX(EXACT('Дані_зв''язок'!$J$4:$J$1012,$O358)*IFERROR('Дані_зв''язок'!$H$4:$H$1012,0)))))</f>
        <v/>
      </c>
      <c r="O358" s="30" t="s">
        <v>1479</v>
      </c>
      <c r="P358" s="24" t="str" cm="1">
        <f t="array" ref="P358">IF($O358="","",IF($B358="","",IFERROR(IF(MIN(IFERROR(VALUE(TRIM(MID(SUBSTITUTE(SUBSTITUTE($B358,","," ")," ",REPT(" ",30)),{1;31;61;91;121;151;181},30))),""))=0,"",MIN(IFERROR(VALUE(TRIM(MID(SUBSTITUTE(SUBSTITUTE($B358,","," ")," ",REPT(" ",30)),{1;31;61;91;121;151;181},30))),""))),"")))</f>
        <v/>
      </c>
      <c r="Q358" s="23" t="str">
        <f t="shared" si="17"/>
        <v>Прилуки, Чернігівська обл., вул. Польова</v>
      </c>
      <c r="R358" s="35">
        <f>IF($O358="","",IFERROR(INDEX('Координати майданчиків'!$H$4:$H$64,MATCH($T358,'Координати майданчиків'!$B$4:$B$64,0)),IFERROR(IF(ABS(INDEX(Геокодування!$C$2:$C$361,MATCH($Q358,Геокодування!$B$2:$B$361,0))-50.5884)+ABS(INDEX(Геокодування!$D$2:$D$361,MATCH($Q358,Геокодування!$B$2:$B$361,0))-32.3876)&gt;0.15,"",INDEX(Геокодування!$C$2:$C$361,MATCH($Q358,Геокодування!$B$2:$B$361,0))),IFERROR(IF(ABS(INDEX(Геокодування!$C$2:$C$361,MATCH("Прилуки, Чернігівська обл., "&amp;$A358,Геокодування!$B$2:$B$361,0))-50.5884)+ABS(INDEX(Геокодування!$D$2:$D$361,MATCH("Прилуки, Чернігівська обл., "&amp;$A358,Геокодування!$B$2:$B$361,0))-32.3876)&gt;0.15,"",INDEX(Геокодування!$C$2:$C$361,MATCH("Прилуки, Чернігівська обл., "&amp;$A358,Геокодування!$B$2:$B$361,0))),""))))</f>
        <v>50.589295</v>
      </c>
      <c r="S358" s="43">
        <f>IF($O358="","",IFERROR(INDEX('Координати майданчиків'!$I$4:$I$64,MATCH($T358,'Координати майданчиків'!$B$4:$B$64,0)),IFERROR(IF(ABS(INDEX(Геокодування!$C$2:$C$361,MATCH($Q358,Геокодування!$B$2:$B$361,0))-50.5884)+ABS(INDEX(Геокодування!$D$2:$D$361,MATCH($Q358,Геокодування!$B$2:$B$361,0))-32.3876)&gt;0.15,"",INDEX(Геокодування!$D$2:$D$361,MATCH($Q358,Геокодування!$B$2:$B$361,0))),IFERROR(IF(ABS(INDEX(Геокодування!$C$2:$C$361,MATCH("Прилуки, Чернігівська обл., "&amp;$A358,Геокодування!$B$2:$B$361,0))-50.5884)+ABS(INDEX(Геокодування!$D$2:$D$361,MATCH("Прилуки, Чернігівська обл., "&amp;$A358,Геокодування!$B$2:$B$361,0))-32.3876)&gt;0.15,"",INDEX(Геокодування!$D$2:$D$361,MATCH("Прилуки, Чернігівська обл., "&amp;$A358,Геокодування!$B$2:$B$361,0))),""))))</f>
        <v>32.423338999999999</v>
      </c>
      <c r="T358" s="44" t="str">
        <f>IF($O358="","",IFERROR(INDEX('Координати майданчиків'!$B$4:$B$64,MATCH($A358&amp;IF($P358="","",", "&amp;$P358),'Координати майданчиків'!$B$4:$B$64,0)),IFERROR(INDEX('Координати майданчиків'!$B$4:$B$64,MATCH($A358,'Координати майданчиків'!$B$4:$B$64,0)),"")))</f>
        <v/>
      </c>
    </row>
    <row r="359" spans="1:20" x14ac:dyDescent="0.35">
      <c r="A359" s="26" t="str">
        <f t="shared" si="15"/>
        <v>вул. Польова</v>
      </c>
      <c r="B359" s="26" t="str">
        <f t="shared" si="16"/>
        <v>"Траш"</v>
      </c>
      <c r="C359" s="27" t="str" cm="1">
        <f t="array" ref="C359">IF($O359="","",_xlfn.TEXTJOIN(", ",TRUE,IF(EXACT('Дані_зв''язок'!$J$4:$J$1012,$O359)*('Дані_зв''язок'!$C$4:$C$1012=C$4),'Дані_зв''язок'!$D$4:$D$1012,"")))</f>
        <v>14:45</v>
      </c>
      <c r="D359" s="27" t="str" cm="1">
        <f t="array" ref="D359">IF($O359="","",_xlfn.TEXTJOIN(", ",TRUE,IF(EXACT('Дані_зв''язок'!$J$4:$J$1012,$O359)*('Дані_зв''язок'!$C$4:$C$1012=D$4),'Дані_зв''язок'!$D$4:$D$1012,"")))</f>
        <v/>
      </c>
      <c r="E359" s="27" t="str" cm="1">
        <f t="array" ref="E359">IF($O359="","",_xlfn.TEXTJOIN(", ",TRUE,IF(EXACT('Дані_зв''язок'!$J$4:$J$1012,$O359)*('Дані_зв''язок'!$C$4:$C$1012=E$4),'Дані_зв''язок'!$D$4:$D$1012,"")))</f>
        <v/>
      </c>
      <c r="F359" s="27" t="str" cm="1">
        <f t="array" ref="F359">IF($O359="","",_xlfn.TEXTJOIN(", ",TRUE,IF(EXACT('Дані_зв''язок'!$J$4:$J$1012,$O359)*('Дані_зв''язок'!$C$4:$C$1012=F$4),'Дані_зв''язок'!$D$4:$D$1012,"")))</f>
        <v/>
      </c>
      <c r="G359" s="27" t="str" cm="1">
        <f t="array" ref="G359">IF($O359="","",_xlfn.TEXTJOIN(", ",TRUE,IF(EXACT('Дані_зв''язок'!$J$4:$J$1012,$O359)*('Дані_зв''язок'!$C$4:$C$1012=G$4),'Дані_зв''язок'!$D$4:$D$1012,"")))</f>
        <v/>
      </c>
      <c r="H359" s="27" t="str" cm="1">
        <f t="array" ref="H359">IF($O359="","",_xlfn.TEXTJOIN(", ",TRUE,IF(EXACT('Дані_зв''язок'!$J$4:$J$1012,$O359)*('Дані_зв''язок'!$C$4:$C$1012=H$4),'Дані_зв''язок'!$D$4:$D$1012,"")))</f>
        <v/>
      </c>
      <c r="I359" s="27" t="str" cm="1">
        <f t="array" ref="I359">IF($O359="","",_xlfn.TEXTJOIN(", ",TRUE,IF(EXACT('Дані_зв''язок'!$J$4:$J$1012,$O359)*('Дані_зв''язок'!$C$4:$C$1012=I$4),'Дані_зв''язок'!$D$4:$D$1012,"")))</f>
        <v/>
      </c>
      <c r="J359" s="27" cm="1">
        <f t="array" ref="J359">IF($O359="","",COUNTIF(C359:I359,"?*")+SUMPRODUCT(LEN(C359:I359)-LEN(SUBSTITUTE(C359:I359,",",""))))</f>
        <v>1</v>
      </c>
      <c r="K359" s="28" t="str" cm="1">
        <f t="array" ref="K359">IF($O359="","",_xlfn.TEXTJOIN(", ",TRUE,IF(EXACT('Дані_зв''язок'!$J$4:$J$1012,$O359),'Дані_зв''язок'!$L$4:$L$1012,"")))</f>
        <v>№1</v>
      </c>
      <c r="L359" s="28" t="str" cm="1">
        <f t="array" ref="L359">IF($O359="","",_xlfn.TEXTJOIN(", ",TRUE,IF(EXACT('Дані_зв''язок'!$J$4:$J$1012,$O359),'Дані_зв''язок'!$M$4:$M$1012,"")))</f>
        <v>АТ-4021/1120</v>
      </c>
      <c r="M359" s="27" cm="1">
        <f t="array" ref="M359">IF($O359="","",IF(SUMPRODUCT(MAX(EXACT('Дані_зв''язок'!$J$4:$J$1012,$O359)*IFERROR('Дані_зв''язок'!$H$4:$H$1012,0)))=0,"",SUMPRODUCT(MAX(EXACT('Дані_зв''язок'!$J$4:$J$1012,$O359)*IFERROR('Дані_зв''язок'!$H$4:$H$1012,0)))))</f>
        <v>1</v>
      </c>
      <c r="O359" s="30" t="s">
        <v>1480</v>
      </c>
      <c r="P359" s="24" t="str" cm="1">
        <f t="array" ref="P359">IF($O359="","",IF($B359="","",IFERROR(IF(MIN(IFERROR(VALUE(TRIM(MID(SUBSTITUTE(SUBSTITUTE($B359,","," ")," ",REPT(" ",30)),{1;31;61;91;121;151;181},30))),""))=0,"",MIN(IFERROR(VALUE(TRIM(MID(SUBSTITUTE(SUBSTITUTE($B359,","," ")," ",REPT(" ",30)),{1;31;61;91;121;151;181},30))),""))),"")))</f>
        <v/>
      </c>
      <c r="Q359" s="23" t="str">
        <f t="shared" si="17"/>
        <v>Прилуки, Чернігівська обл., вул. Польова</v>
      </c>
      <c r="R359" s="35">
        <f>IF($O359="","",IFERROR(INDEX('Координати майданчиків'!$H$4:$H$64,MATCH($T359,'Координати майданчиків'!$B$4:$B$64,0)),IFERROR(IF(ABS(INDEX(Геокодування!$C$2:$C$361,MATCH($Q359,Геокодування!$B$2:$B$361,0))-50.5884)+ABS(INDEX(Геокодування!$D$2:$D$361,MATCH($Q359,Геокодування!$B$2:$B$361,0))-32.3876)&gt;0.15,"",INDEX(Геокодування!$C$2:$C$361,MATCH($Q359,Геокодування!$B$2:$B$361,0))),IFERROR(IF(ABS(INDEX(Геокодування!$C$2:$C$361,MATCH("Прилуки, Чернігівська обл., "&amp;$A359,Геокодування!$B$2:$B$361,0))-50.5884)+ABS(INDEX(Геокодування!$D$2:$D$361,MATCH("Прилуки, Чернігівська обл., "&amp;$A359,Геокодування!$B$2:$B$361,0))-32.3876)&gt;0.15,"",INDEX(Геокодування!$C$2:$C$361,MATCH("Прилуки, Чернігівська обл., "&amp;$A359,Геокодування!$B$2:$B$361,0))),""))))</f>
        <v>50.589295</v>
      </c>
      <c r="S359" s="43">
        <f>IF($O359="","",IFERROR(INDEX('Координати майданчиків'!$I$4:$I$64,MATCH($T359,'Координати майданчиків'!$B$4:$B$64,0)),IFERROR(IF(ABS(INDEX(Геокодування!$C$2:$C$361,MATCH($Q359,Геокодування!$B$2:$B$361,0))-50.5884)+ABS(INDEX(Геокодування!$D$2:$D$361,MATCH($Q359,Геокодування!$B$2:$B$361,0))-32.3876)&gt;0.15,"",INDEX(Геокодування!$D$2:$D$361,MATCH($Q359,Геокодування!$B$2:$B$361,0))),IFERROR(IF(ABS(INDEX(Геокодування!$C$2:$C$361,MATCH("Прилуки, Чернігівська обл., "&amp;$A359,Геокодування!$B$2:$B$361,0))-50.5884)+ABS(INDEX(Геокодування!$D$2:$D$361,MATCH("Прилуки, Чернігівська обл., "&amp;$A359,Геокодування!$B$2:$B$361,0))-32.3876)&gt;0.15,"",INDEX(Геокодування!$D$2:$D$361,MATCH("Прилуки, Чернігівська обл., "&amp;$A359,Геокодування!$B$2:$B$361,0))),""))))</f>
        <v>32.423338999999999</v>
      </c>
      <c r="T359" s="44" t="str">
        <f>IF($O359="","",IFERROR(INDEX('Координати майданчиків'!$B$4:$B$64,MATCH($A359&amp;IF($P359="","",", "&amp;$P359),'Координати майданчиків'!$B$4:$B$64,0)),IFERROR(INDEX('Координати майданчиків'!$B$4:$B$64,MATCH($A359,'Координати майданчиків'!$B$4:$B$64,0)),"")))</f>
        <v/>
      </c>
    </row>
    <row r="360" spans="1:20" x14ac:dyDescent="0.35">
      <c r="A360" s="26" t="str">
        <f t="shared" si="15"/>
        <v>вул. Польова</v>
      </c>
      <c r="B360" s="26" t="str">
        <f t="shared" si="16"/>
        <v>110</v>
      </c>
      <c r="C360" s="27" t="str" cm="1">
        <f t="array" ref="C360">IF($O360="","",_xlfn.TEXTJOIN(", ",TRUE,IF(EXACT('Дані_зв''язок'!$J$4:$J$1012,$O360)*('Дані_зв''язок'!$C$4:$C$1012=C$4),'Дані_зв''язок'!$D$4:$D$1012,"")))</f>
        <v>10:20</v>
      </c>
      <c r="D360" s="27" t="str" cm="1">
        <f t="array" ref="D360">IF($O360="","",_xlfn.TEXTJOIN(", ",TRUE,IF(EXACT('Дані_зв''язок'!$J$4:$J$1012,$O360)*('Дані_зв''язок'!$C$4:$C$1012=D$4),'Дані_зв''язок'!$D$4:$D$1012,"")))</f>
        <v>10:20</v>
      </c>
      <c r="E360" s="27" t="str" cm="1">
        <f t="array" ref="E360">IF($O360="","",_xlfn.TEXTJOIN(", ",TRUE,IF(EXACT('Дані_зв''язок'!$J$4:$J$1012,$O360)*('Дані_зв''язок'!$C$4:$C$1012=E$4),'Дані_зв''язок'!$D$4:$D$1012,"")))</f>
        <v>8:45</v>
      </c>
      <c r="F360" s="27" t="str" cm="1">
        <f t="array" ref="F360">IF($O360="","",_xlfn.TEXTJOIN(", ",TRUE,IF(EXACT('Дані_зв''язок'!$J$4:$J$1012,$O360)*('Дані_зв''язок'!$C$4:$C$1012=F$4),'Дані_зв''язок'!$D$4:$D$1012,"")))</f>
        <v>10:20</v>
      </c>
      <c r="G360" s="27" t="str" cm="1">
        <f t="array" ref="G360">IF($O360="","",_xlfn.TEXTJOIN(", ",TRUE,IF(EXACT('Дані_зв''язок'!$J$4:$J$1012,$O360)*('Дані_зв''язок'!$C$4:$C$1012=G$4),'Дані_зв''язок'!$D$4:$D$1012,"")))</f>
        <v>10:40</v>
      </c>
      <c r="H360" s="27" t="str" cm="1">
        <f t="array" ref="H360">IF($O360="","",_xlfn.TEXTJOIN(", ",TRUE,IF(EXACT('Дані_зв''язок'!$J$4:$J$1012,$O360)*('Дані_зв''язок'!$C$4:$C$1012=H$4),'Дані_зв''язок'!$D$4:$D$1012,"")))</f>
        <v>8:45</v>
      </c>
      <c r="I360" s="27" t="str" cm="1">
        <f t="array" ref="I360">IF($O360="","",_xlfn.TEXTJOIN(", ",TRUE,IF(EXACT('Дані_зв''язок'!$J$4:$J$1012,$O360)*('Дані_зв''язок'!$C$4:$C$1012=I$4),'Дані_зв''язок'!$D$4:$D$1012,"")))</f>
        <v>10:20</v>
      </c>
      <c r="J360" s="27" cm="1">
        <f t="array" ref="J360">IF($O360="","",COUNTIF(C360:I360,"?*")+SUMPRODUCT(LEN(C360:I360)-LEN(SUBSTITUTE(C360:I360,",",""))))</f>
        <v>7</v>
      </c>
      <c r="K360" s="28" t="str" cm="1">
        <f t="array" ref="K360">IF($O360="","",_xlfn.TEXTJOIN(", ",TRUE,IF(EXACT('Дані_зв''язок'!$J$4:$J$1012,$O360),'Дані_зв''язок'!$L$4:$L$1012,"")))</f>
        <v>№4</v>
      </c>
      <c r="L360" s="28" t="str" cm="1">
        <f t="array" ref="L360">IF($O360="","",_xlfn.TEXTJOIN(", ",TRUE,IF(EXACT('Дані_зв''язок'!$J$4:$J$1012,$O360),'Дані_зв''язок'!$M$4:$M$1012,"")))</f>
        <v>АТ 40-42/ROD21003, ГАЗ 3309</v>
      </c>
      <c r="M360" s="27" cm="1">
        <f t="array" ref="M360">IF($O360="","",IF(SUMPRODUCT(MAX(EXACT('Дані_зв''язок'!$J$4:$J$1012,$O360)*IFERROR('Дані_зв''язок'!$H$4:$H$1012,0)))=0,"",SUMPRODUCT(MAX(EXACT('Дані_зв''язок'!$J$4:$J$1012,$O360)*IFERROR('Дані_зв''язок'!$H$4:$H$1012,0)))))</f>
        <v>4</v>
      </c>
      <c r="O360" s="30" t="s">
        <v>1481</v>
      </c>
      <c r="P360" s="24" cm="1">
        <f t="array" ref="P360">IF($O360="","",IF($B360="","",IFERROR(IF(MIN(IFERROR(VALUE(TRIM(MID(SUBSTITUTE(SUBSTITUTE($B360,","," ")," ",REPT(" ",30)),{1;31;61;91;121;151;181},30))),""))=0,"",MIN(IFERROR(VALUE(TRIM(MID(SUBSTITUTE(SUBSTITUTE($B360,","," ")," ",REPT(" ",30)),{1;31;61;91;121;151;181},30))),""))),"")))</f>
        <v>110</v>
      </c>
      <c r="Q360" s="23" t="str">
        <f t="shared" si="17"/>
        <v>Прилуки, Чернігівська обл., вул. Польова, 110</v>
      </c>
      <c r="R360" s="35">
        <f>IF($O360="","",IFERROR(INDEX('Координати майданчиків'!$H$4:$H$64,MATCH($T360,'Координати майданчиків'!$B$4:$B$64,0)),IFERROR(IF(ABS(INDEX(Геокодування!$C$2:$C$361,MATCH($Q360,Геокодування!$B$2:$B$361,0))-50.5884)+ABS(INDEX(Геокодування!$D$2:$D$361,MATCH($Q360,Геокодування!$B$2:$B$361,0))-32.3876)&gt;0.15,"",INDEX(Геокодування!$C$2:$C$361,MATCH($Q360,Геокодування!$B$2:$B$361,0))),IFERROR(IF(ABS(INDEX(Геокодування!$C$2:$C$361,MATCH("Прилуки, Чернігівська обл., "&amp;$A360,Геокодування!$B$2:$B$361,0))-50.5884)+ABS(INDEX(Геокодування!$D$2:$D$361,MATCH("Прилуки, Чернігівська обл., "&amp;$A360,Геокодування!$B$2:$B$361,0))-32.3876)&gt;0.15,"",INDEX(Геокодування!$C$2:$C$361,MATCH("Прилуки, Чернігівська обл., "&amp;$A360,Геокодування!$B$2:$B$361,0))),""))))</f>
        <v>50.571100999999999</v>
      </c>
      <c r="S360" s="43">
        <f>IF($O360="","",IFERROR(INDEX('Координати майданчиків'!$I$4:$I$64,MATCH($T360,'Координати майданчиків'!$B$4:$B$64,0)),IFERROR(IF(ABS(INDEX(Геокодування!$C$2:$C$361,MATCH($Q360,Геокодування!$B$2:$B$361,0))-50.5884)+ABS(INDEX(Геокодування!$D$2:$D$361,MATCH($Q360,Геокодування!$B$2:$B$361,0))-32.3876)&gt;0.15,"",INDEX(Геокодування!$D$2:$D$361,MATCH($Q360,Геокодування!$B$2:$B$361,0))),IFERROR(IF(ABS(INDEX(Геокодування!$C$2:$C$361,MATCH("Прилуки, Чернігівська обл., "&amp;$A360,Геокодування!$B$2:$B$361,0))-50.5884)+ABS(INDEX(Геокодування!$D$2:$D$361,MATCH("Прилуки, Чернігівська обл., "&amp;$A360,Геокодування!$B$2:$B$361,0))-32.3876)&gt;0.15,"",INDEX(Геокодування!$D$2:$D$361,MATCH("Прилуки, Чернігівська обл., "&amp;$A360,Геокодування!$B$2:$B$361,0))),""))))</f>
        <v>32.410730000000001</v>
      </c>
      <c r="T360" s="44" t="str">
        <f>IF($O360="","",IFERROR(INDEX('Координати майданчиків'!$B$4:$B$64,MATCH($A360&amp;IF($P360="","",", "&amp;$P360),'Координати майданчиків'!$B$4:$B$64,0)),IFERROR(INDEX('Координати майданчиків'!$B$4:$B$64,MATCH($A360,'Координати майданчиків'!$B$4:$B$64,0)),"")))</f>
        <v/>
      </c>
    </row>
    <row r="361" spans="1:20" x14ac:dyDescent="0.35">
      <c r="A361" s="26" t="str">
        <f t="shared" si="15"/>
        <v>вул. Польова</v>
      </c>
      <c r="B361" s="26" t="str">
        <f t="shared" si="16"/>
        <v>БАМ</v>
      </c>
      <c r="C361" s="27" t="str" cm="1">
        <f t="array" ref="C361">IF($O361="","",_xlfn.TEXTJOIN(", ",TRUE,IF(EXACT('Дані_зв''язок'!$J$4:$J$1012,$O361)*('Дані_зв''язок'!$C$4:$C$1012=C$4),'Дані_зв''язок'!$D$4:$D$1012,"")))</f>
        <v>9:30</v>
      </c>
      <c r="D361" s="27" t="str" cm="1">
        <f t="array" ref="D361">IF($O361="","",_xlfn.TEXTJOIN(", ",TRUE,IF(EXACT('Дані_зв''язок'!$J$4:$J$1012,$O361)*('Дані_зв''язок'!$C$4:$C$1012=D$4),'Дані_зв''язок'!$D$4:$D$1012,"")))</f>
        <v>11:45</v>
      </c>
      <c r="E361" s="27" t="str" cm="1">
        <f t="array" ref="E361">IF($O361="","",_xlfn.TEXTJOIN(", ",TRUE,IF(EXACT('Дані_зв''язок'!$J$4:$J$1012,$O361)*('Дані_зв''язок'!$C$4:$C$1012=E$4),'Дані_зв''язок'!$D$4:$D$1012,"")))</f>
        <v>11:50</v>
      </c>
      <c r="F361" s="27" t="str" cm="1">
        <f t="array" ref="F361">IF($O361="","",_xlfn.TEXTJOIN(", ",TRUE,IF(EXACT('Дані_зв''язок'!$J$4:$J$1012,$O361)*('Дані_зв''язок'!$C$4:$C$1012=F$4),'Дані_зв''язок'!$D$4:$D$1012,"")))</f>
        <v>12:25</v>
      </c>
      <c r="G361" s="27" t="str" cm="1">
        <f t="array" ref="G361">IF($O361="","",_xlfn.TEXTJOIN(", ",TRUE,IF(EXACT('Дані_зв''язок'!$J$4:$J$1012,$O361)*('Дані_зв''язок'!$C$4:$C$1012=G$4),'Дані_зв''язок'!$D$4:$D$1012,"")))</f>
        <v>12:10</v>
      </c>
      <c r="H361" s="27" t="str" cm="1">
        <f t="array" ref="H361">IF($O361="","",_xlfn.TEXTJOIN(", ",TRUE,IF(EXACT('Дані_зв''язок'!$J$4:$J$1012,$O361)*('Дані_зв''язок'!$C$4:$C$1012=H$4),'Дані_зв''язок'!$D$4:$D$1012,"")))</f>
        <v>11:45</v>
      </c>
      <c r="I361" s="27" t="str" cm="1">
        <f t="array" ref="I361">IF($O361="","",_xlfn.TEXTJOIN(", ",TRUE,IF(EXACT('Дані_зв''язок'!$J$4:$J$1012,$O361)*('Дані_зв''язок'!$C$4:$C$1012=I$4),'Дані_зв''язок'!$D$4:$D$1012,"")))</f>
        <v>12:25</v>
      </c>
      <c r="J361" s="27" cm="1">
        <f t="array" ref="J361">IF($O361="","",COUNTIF(C361:I361,"?*")+SUMPRODUCT(LEN(C361:I361)-LEN(SUBSTITUTE(C361:I361,",",""))))</f>
        <v>7</v>
      </c>
      <c r="K361" s="28" t="str" cm="1">
        <f t="array" ref="K361">IF($O361="","",_xlfn.TEXTJOIN(", ",TRUE,IF(EXACT('Дані_зв''язок'!$J$4:$J$1012,$O361),'Дані_зв''язок'!$L$4:$L$1012,"")))</f>
        <v>№1</v>
      </c>
      <c r="L361" s="28" t="str" cm="1">
        <f t="array" ref="L361">IF($O361="","",_xlfn.TEXTJOIN(", ",TRUE,IF(EXACT('Дані_зв''язок'!$J$4:$J$1012,$O361),'Дані_зв''язок'!$M$4:$M$1012,"")))</f>
        <v>КАМАЗ 55111, АТ-4021/1120</v>
      </c>
      <c r="M361" s="27" cm="1">
        <f t="array" ref="M361">IF($O361="","",IF(SUMPRODUCT(MAX(EXACT('Дані_зв''язок'!$J$4:$J$1012,$O361)*IFERROR('Дані_зв''язок'!$H$4:$H$1012,0)))=0,"",SUMPRODUCT(MAX(EXACT('Дані_зв''язок'!$J$4:$J$1012,$O361)*IFERROR('Дані_зв''язок'!$H$4:$H$1012,0)))))</f>
        <v>5</v>
      </c>
      <c r="O361" s="30" t="s">
        <v>1482</v>
      </c>
      <c r="P361" s="24" t="str" cm="1">
        <f t="array" ref="P361">IF($O361="","",IF($B361="","",IFERROR(IF(MIN(IFERROR(VALUE(TRIM(MID(SUBSTITUTE(SUBSTITUTE($B361,","," ")," ",REPT(" ",30)),{1;31;61;91;121;151;181},30))),""))=0,"",MIN(IFERROR(VALUE(TRIM(MID(SUBSTITUTE(SUBSTITUTE($B361,","," ")," ",REPT(" ",30)),{1;31;61;91;121;151;181},30))),""))),"")))</f>
        <v/>
      </c>
      <c r="Q361" s="23" t="str">
        <f t="shared" si="17"/>
        <v>Прилуки, Чернігівська обл., вул. Польова</v>
      </c>
      <c r="R361" s="69">
        <f>IF($O361="","",IFERROR(INDEX('Координати майданчиків'!$H$4:$H$64,MATCH($T361,'Координати майданчиків'!$B$4:$B$64,0)),IFERROR(IF(ABS(INDEX(Геокодування!$C$2:$C$361,MATCH($Q361,Геокодування!$B$2:$B$361,0))-50.5884)+ABS(INDEX(Геокодування!$D$2:$D$361,MATCH($Q361,Геокодування!$B$2:$B$361,0))-32.3876)&gt;0.15,"",INDEX(Геокодування!$C$2:$C$361,MATCH($Q361,Геокодування!$B$2:$B$361,0))),IFERROR(IF(ABS(INDEX(Геокодування!$C$2:$C$361,MATCH("Прилуки, Чернігівська обл., "&amp;$A361,Геокодування!$B$2:$B$361,0))-50.5884)+ABS(INDEX(Геокодування!$D$2:$D$361,MATCH("Прилуки, Чернігівська обл., "&amp;$A361,Геокодування!$B$2:$B$361,0))-32.3876)&gt;0.15,"",INDEX(Геокодування!$C$2:$C$361,MATCH("Прилуки, Чернігівська обл., "&amp;$A361,Геокодування!$B$2:$B$361,0))),""))))</f>
        <v>50.589295</v>
      </c>
      <c r="S361" s="69">
        <f>IF($O361="","",IFERROR(INDEX('Координати майданчиків'!$I$4:$I$64,MATCH($T361,'Координати майданчиків'!$B$4:$B$64,0)),IFERROR(IF(ABS(INDEX(Геокодування!$C$2:$C$361,MATCH($Q361,Геокодування!$B$2:$B$361,0))-50.5884)+ABS(INDEX(Геокодування!$D$2:$D$361,MATCH($Q361,Геокодування!$B$2:$B$361,0))-32.3876)&gt;0.15,"",INDEX(Геокодування!$D$2:$D$361,MATCH($Q361,Геокодування!$B$2:$B$361,0))),IFERROR(IF(ABS(INDEX(Геокодування!$C$2:$C$361,MATCH("Прилуки, Чернігівська обл., "&amp;$A361,Геокодування!$B$2:$B$361,0))-50.5884)+ABS(INDEX(Геокодування!$D$2:$D$361,MATCH("Прилуки, Чернігівська обл., "&amp;$A361,Геокодування!$B$2:$B$361,0))-32.3876)&gt;0.15,"",INDEX(Геокодування!$D$2:$D$361,MATCH("Прилуки, Чернігівська обл., "&amp;$A361,Геокодування!$B$2:$B$361,0))),""))))</f>
        <v>32.423338999999999</v>
      </c>
      <c r="T361" s="68" t="str">
        <f>IF($O361="","",IFERROR(INDEX('Координати майданчиків'!$B$4:$B$64,MATCH($A361&amp;IF($P361="","",", "&amp;$P361),'Координати майданчиків'!$B$4:$B$64,0)),IFERROR(INDEX('Координати майданчиків'!$B$4:$B$64,MATCH($A361,'Координати майданчиків'!$B$4:$B$64,0)),"")))</f>
        <v/>
      </c>
    </row>
    <row r="362" spans="1:20" x14ac:dyDescent="0.35">
      <c r="A362" s="26" t="str">
        <f t="shared" si="15"/>
        <v>вул. Південна</v>
      </c>
      <c r="B362" s="26" t="str">
        <f t="shared" si="16"/>
        <v/>
      </c>
      <c r="C362" s="27" t="str" cm="1">
        <f t="array" ref="C362">IF($O362="","",_xlfn.TEXTJOIN(", ",TRUE,IF(EXACT('Дані_зв''язок'!$J$4:$J$1012,$O362)*('Дані_зв''язок'!$C$4:$C$1012=C$4),'Дані_зв''язок'!$D$4:$D$1012,"")))</f>
        <v>10:30</v>
      </c>
      <c r="D362" s="27" t="str" cm="1">
        <f t="array" ref="D362">IF($O362="","",_xlfn.TEXTJOIN(", ",TRUE,IF(EXACT('Дані_зв''язок'!$J$4:$J$1012,$O362)*('Дані_зв''язок'!$C$4:$C$1012=D$4),'Дані_зв''язок'!$D$4:$D$1012,"")))</f>
        <v/>
      </c>
      <c r="E362" s="27" t="str" cm="1">
        <f t="array" ref="E362">IF($O362="","",_xlfn.TEXTJOIN(", ",TRUE,IF(EXACT('Дані_зв''язок'!$J$4:$J$1012,$O362)*('Дані_зв''язок'!$C$4:$C$1012=E$4),'Дані_зв''язок'!$D$4:$D$1012,"")))</f>
        <v/>
      </c>
      <c r="F362" s="27" t="str" cm="1">
        <f t="array" ref="F362">IF($O362="","",_xlfn.TEXTJOIN(", ",TRUE,IF(EXACT('Дані_зв''язок'!$J$4:$J$1012,$O362)*('Дані_зв''язок'!$C$4:$C$1012=F$4),'Дані_зв''язок'!$D$4:$D$1012,"")))</f>
        <v/>
      </c>
      <c r="G362" s="27" t="str" cm="1">
        <f t="array" ref="G362">IF($O362="","",_xlfn.TEXTJOIN(", ",TRUE,IF(EXACT('Дані_зв''язок'!$J$4:$J$1012,$O362)*('Дані_зв''язок'!$C$4:$C$1012=G$4),'Дані_зв''язок'!$D$4:$D$1012,"")))</f>
        <v/>
      </c>
      <c r="H362" s="27" t="str" cm="1">
        <f t="array" ref="H362">IF($O362="","",_xlfn.TEXTJOIN(", ",TRUE,IF(EXACT('Дані_зв''язок'!$J$4:$J$1012,$O362)*('Дані_зв''язок'!$C$4:$C$1012=H$4),'Дані_зв''язок'!$D$4:$D$1012,"")))</f>
        <v/>
      </c>
      <c r="I362" s="27" t="str" cm="1">
        <f t="array" ref="I362">IF($O362="","",_xlfn.TEXTJOIN(", ",TRUE,IF(EXACT('Дані_зв''язок'!$J$4:$J$1012,$O362)*('Дані_зв''язок'!$C$4:$C$1012=I$4),'Дані_зв''язок'!$D$4:$D$1012,"")))</f>
        <v/>
      </c>
      <c r="J362" s="27" cm="1">
        <f t="array" ref="J362">IF($O362="","",COUNTIF(C362:I362,"?*")+SUMPRODUCT(LEN(C362:I362)-LEN(SUBSTITUTE(C362:I362,",",""))))</f>
        <v>1</v>
      </c>
      <c r="K362" s="28" t="str" cm="1">
        <f t="array" ref="K362">IF($O362="","",_xlfn.TEXTJOIN(", ",TRUE,IF(EXACT('Дані_зв''язок'!$J$4:$J$1012,$O362),'Дані_зв''язок'!$L$4:$L$1012,"")))</f>
        <v>№5</v>
      </c>
      <c r="L362" s="28" t="str" cm="1">
        <f t="array" ref="L362">IF($O362="","",_xlfn.TEXTJOIN(", ",TRUE,IF(EXACT('Дані_зв''язок'!$J$4:$J$1012,$O362),'Дані_зв''язок'!$M$4:$M$1012,"")))</f>
        <v>МАЗ 4381</v>
      </c>
      <c r="M362" s="27" t="str" cm="1">
        <f t="array" ref="M362">IF($O362="","",IF(SUMPRODUCT(MAX(EXACT('Дані_зв''язок'!$J$4:$J$1012,$O362)*IFERROR('Дані_зв''язок'!$H$4:$H$1012,0)))=0,"",SUMPRODUCT(MAX(EXACT('Дані_зв''язок'!$J$4:$J$1012,$O362)*IFERROR('Дані_зв''язок'!$H$4:$H$1012,0)))))</f>
        <v/>
      </c>
      <c r="O362" s="30" t="s">
        <v>1475</v>
      </c>
      <c r="P362" s="24" t="str" cm="1">
        <f t="array" ref="P362">IF($O362="","",IF($B362="","",IFERROR(IF(MIN(IFERROR(VALUE(TRIM(MID(SUBSTITUTE(SUBSTITUTE($B362,","," ")," ",REPT(" ",30)),{1;31;61;91;121;151;181},30))),""))=0,"",MIN(IFERROR(VALUE(TRIM(MID(SUBSTITUTE(SUBSTITUTE($B362,","," ")," ",REPT(" ",30)),{1;31;61;91;121;151;181},30))),""))),"")))</f>
        <v/>
      </c>
      <c r="Q362" s="23" t="str">
        <f t="shared" si="17"/>
        <v>Прилуки, Чернігівська обл., вул. Південна</v>
      </c>
      <c r="R362" s="35">
        <f>IF($O362="","",IFERROR(INDEX('Координати майданчиків'!$H$4:$H$64,MATCH($T362,'Координати майданчиків'!$B$4:$B$64,0)),IFERROR(IF(ABS(INDEX(Геокодування!$C$2:$C$361,MATCH($Q362,Геокодування!$B$2:$B$361,0))-50.5884)+ABS(INDEX(Геокодування!$D$2:$D$361,MATCH($Q362,Геокодування!$B$2:$B$361,0))-32.3876)&gt;0.15,"",INDEX(Геокодування!$C$2:$C$361,MATCH($Q362,Геокодування!$B$2:$B$361,0))),IFERROR(IF(ABS(INDEX(Геокодування!$C$2:$C$361,MATCH("Прилуки, Чернігівська обл., "&amp;$A362,Геокодування!$B$2:$B$361,0))-50.5884)+ABS(INDEX(Геокодування!$D$2:$D$361,MATCH("Прилуки, Чернігівська обл., "&amp;$A362,Геокодування!$B$2:$B$361,0))-32.3876)&gt;0.15,"",INDEX(Геокодування!$C$2:$C$361,MATCH("Прилуки, Чернігівська обл., "&amp;$A362,Геокодування!$B$2:$B$361,0))),""))))</f>
        <v>50.573889999999999</v>
      </c>
      <c r="S362" s="43">
        <f>IF($O362="","",IFERROR(INDEX('Координати майданчиків'!$I$4:$I$64,MATCH($T362,'Координати майданчиків'!$B$4:$B$64,0)),IFERROR(IF(ABS(INDEX(Геокодування!$C$2:$C$361,MATCH($Q362,Геокодування!$B$2:$B$361,0))-50.5884)+ABS(INDEX(Геокодування!$D$2:$D$361,MATCH($Q362,Геокодування!$B$2:$B$361,0))-32.3876)&gt;0.15,"",INDEX(Геокодування!$D$2:$D$361,MATCH($Q362,Геокодування!$B$2:$B$361,0))),IFERROR(IF(ABS(INDEX(Геокодування!$C$2:$C$361,MATCH("Прилуки, Чернігівська обл., "&amp;$A362,Геокодування!$B$2:$B$361,0))-50.5884)+ABS(INDEX(Геокодування!$D$2:$D$361,MATCH("Прилуки, Чернігівська обл., "&amp;$A362,Геокодування!$B$2:$B$361,0))-32.3876)&gt;0.15,"",INDEX(Геокодування!$D$2:$D$361,MATCH("Прилуки, Чернігівська обл., "&amp;$A362,Геокодування!$B$2:$B$361,0))),""))))</f>
        <v>32.379990999999997</v>
      </c>
      <c r="T362" s="44" t="str">
        <f>IF($O362="","",IFERROR(INDEX('Координати майданчиків'!$B$4:$B$64,MATCH($A362&amp;IF($P362="","",", "&amp;$P362),'Координати майданчиків'!$B$4:$B$64,0)),IFERROR(INDEX('Координати майданчиків'!$B$4:$B$64,MATCH($A362,'Координати майданчиків'!$B$4:$B$64,0)),"")))</f>
        <v/>
      </c>
    </row>
    <row r="363" spans="1:20" x14ac:dyDescent="0.35">
      <c r="A363" s="26" t="str">
        <f t="shared" si="15"/>
        <v>вул. Піщана</v>
      </c>
      <c r="B363" s="26" t="str">
        <f t="shared" si="16"/>
        <v>30,36  20,5</v>
      </c>
      <c r="C363" s="27" t="str" cm="1">
        <f t="array" ref="C363">IF($O363="","",_xlfn.TEXTJOIN(", ",TRUE,IF(EXACT('Дані_зв''язок'!$J$4:$J$1012,$O363)*('Дані_зв''язок'!$C$4:$C$1012=C$4),'Дані_зв''язок'!$D$4:$D$1012,"")))</f>
        <v>7:30</v>
      </c>
      <c r="D363" s="27" t="str" cm="1">
        <f t="array" ref="D363">IF($O363="","",_xlfn.TEXTJOIN(", ",TRUE,IF(EXACT('Дані_зв''язок'!$J$4:$J$1012,$O363)*('Дані_зв''язок'!$C$4:$C$1012=D$4),'Дані_зв''язок'!$D$4:$D$1012,"")))</f>
        <v/>
      </c>
      <c r="E363" s="27" t="str" cm="1">
        <f t="array" ref="E363">IF($O363="","",_xlfn.TEXTJOIN(", ",TRUE,IF(EXACT('Дані_зв''язок'!$J$4:$J$1012,$O363)*('Дані_зв''язок'!$C$4:$C$1012=E$4),'Дані_зв''язок'!$D$4:$D$1012,"")))</f>
        <v/>
      </c>
      <c r="F363" s="27" t="str" cm="1">
        <f t="array" ref="F363">IF($O363="","",_xlfn.TEXTJOIN(", ",TRUE,IF(EXACT('Дані_зв''язок'!$J$4:$J$1012,$O363)*('Дані_зв''язок'!$C$4:$C$1012=F$4),'Дані_зв''язок'!$D$4:$D$1012,"")))</f>
        <v/>
      </c>
      <c r="G363" s="27" t="str" cm="1">
        <f t="array" ref="G363">IF($O363="","",_xlfn.TEXTJOIN(", ",TRUE,IF(EXACT('Дані_зв''язок'!$J$4:$J$1012,$O363)*('Дані_зв''язок'!$C$4:$C$1012=G$4),'Дані_зв''язок'!$D$4:$D$1012,"")))</f>
        <v/>
      </c>
      <c r="H363" s="27" t="str" cm="1">
        <f t="array" ref="H363">IF($O363="","",_xlfn.TEXTJOIN(", ",TRUE,IF(EXACT('Дані_зв''язок'!$J$4:$J$1012,$O363)*('Дані_зв''язок'!$C$4:$C$1012=H$4),'Дані_зв''язок'!$D$4:$D$1012,"")))</f>
        <v/>
      </c>
      <c r="I363" s="27" t="str" cm="1">
        <f t="array" ref="I363">IF($O363="","",_xlfn.TEXTJOIN(", ",TRUE,IF(EXACT('Дані_зв''язок'!$J$4:$J$1012,$O363)*('Дані_зв''язок'!$C$4:$C$1012=I$4),'Дані_зв''язок'!$D$4:$D$1012,"")))</f>
        <v/>
      </c>
      <c r="J363" s="27" cm="1">
        <f t="array" ref="J363">IF($O363="","",COUNTIF(C363:I363,"?*")+SUMPRODUCT(LEN(C363:I363)-LEN(SUBSTITUTE(C363:I363,",",""))))</f>
        <v>1</v>
      </c>
      <c r="K363" s="28" t="str" cm="1">
        <f t="array" ref="K363">IF($O363="","",_xlfn.TEXTJOIN(", ",TRUE,IF(EXACT('Дані_зв''язок'!$J$4:$J$1012,$O363),'Дані_зв''язок'!$L$4:$L$1012,"")))</f>
        <v>№6</v>
      </c>
      <c r="L363" s="28" t="str" cm="1">
        <f t="array" ref="L363">IF($O363="","",_xlfn.TEXTJOIN(", ",TRUE,IF(EXACT('Дані_зв''язок'!$J$4:$J$1012,$O363),'Дані_зв''язок'!$M$4:$M$1012,"")))</f>
        <v>АТ 4021</v>
      </c>
      <c r="M363" s="27" t="str" cm="1">
        <f t="array" ref="M363">IF($O363="","",IF(SUMPRODUCT(MAX(EXACT('Дані_зв''язок'!$J$4:$J$1012,$O363)*IFERROR('Дані_зв''язок'!$H$4:$H$1012,0)))=0,"",SUMPRODUCT(MAX(EXACT('Дані_зв''язок'!$J$4:$J$1012,$O363)*IFERROR('Дані_зв''язок'!$H$4:$H$1012,0)))))</f>
        <v/>
      </c>
      <c r="O363" s="30" t="s">
        <v>1476</v>
      </c>
      <c r="P363" s="24" cm="1">
        <f t="array" ref="P363">IF($O363="","",IF($B363="","",IFERROR(IF(MIN(IFERROR(VALUE(TRIM(MID(SUBSTITUTE(SUBSTITUTE($B363,","," ")," ",REPT(" ",30)),{1;31;61;91;121;151;181},30))),""))=0,"",MIN(IFERROR(VALUE(TRIM(MID(SUBSTITUTE(SUBSTITUTE($B363,","," ")," ",REPT(" ",30)),{1;31;61;91;121;151;181},30))),""))),"")))</f>
        <v>5</v>
      </c>
      <c r="Q363" s="23" t="str">
        <f t="shared" si="17"/>
        <v>Прилуки, Чернігівська обл., вул. Піщана, 5</v>
      </c>
      <c r="R363" s="67" t="s">
        <v>1954</v>
      </c>
      <c r="S363" s="67" t="s">
        <v>1955</v>
      </c>
      <c r="T363" s="44" t="str">
        <f>IF($O363="","",IFERROR(INDEX('Координати майданчиків'!$B$4:$B$64,MATCH($A363&amp;IF($P363="","",", "&amp;$P363),'Координати майданчиків'!$B$4:$B$64,0)),IFERROR(INDEX('Координати майданчиків'!$B$4:$B$64,MATCH($A363,'Координати майданчиків'!$B$4:$B$64,0)),"")))</f>
        <v/>
      </c>
    </row>
    <row r="364" spans="1:20" x14ac:dyDescent="0.35">
      <c r="A364" s="26" t="str">
        <f t="shared" si="15"/>
        <v>вул. Ракітна, П. Комуни</v>
      </c>
      <c r="B364" s="26" t="str">
        <f t="shared" si="16"/>
        <v>2</v>
      </c>
      <c r="C364" s="27" t="str" cm="1">
        <f t="array" ref="C364">IF($O364="","",_xlfn.TEXTJOIN(", ",TRUE,IF(EXACT('Дані_зв''язок'!$J$4:$J$1012,$O364)*('Дані_зв''язок'!$C$4:$C$1012=C$4),'Дані_зв''язок'!$D$4:$D$1012,"")))</f>
        <v>7:20</v>
      </c>
      <c r="D364" s="27" t="str" cm="1">
        <f t="array" ref="D364">IF($O364="","",_xlfn.TEXTJOIN(", ",TRUE,IF(EXACT('Дані_зв''язок'!$J$4:$J$1012,$O364)*('Дані_зв''язок'!$C$4:$C$1012=D$4),'Дані_зв''язок'!$D$4:$D$1012,"")))</f>
        <v>7:45</v>
      </c>
      <c r="E364" s="27" t="str" cm="1">
        <f t="array" ref="E364">IF($O364="","",_xlfn.TEXTJOIN(", ",TRUE,IF(EXACT('Дані_зв''язок'!$J$4:$J$1012,$O364)*('Дані_зв''язок'!$C$4:$C$1012=E$4),'Дані_зв''язок'!$D$4:$D$1012,"")))</f>
        <v/>
      </c>
      <c r="F364" s="27" t="str" cm="1">
        <f t="array" ref="F364">IF($O364="","",_xlfn.TEXTJOIN(", ",TRUE,IF(EXACT('Дані_зв''язок'!$J$4:$J$1012,$O364)*('Дані_зв''язок'!$C$4:$C$1012=F$4),'Дані_зв''язок'!$D$4:$D$1012,"")))</f>
        <v>7:20</v>
      </c>
      <c r="G364" s="27" t="str" cm="1">
        <f t="array" ref="G364">IF($O364="","",_xlfn.TEXTJOIN(", ",TRUE,IF(EXACT('Дані_зв''язок'!$J$4:$J$1012,$O364)*('Дані_зв''язок'!$C$4:$C$1012=G$4),'Дані_зв''язок'!$D$4:$D$1012,"")))</f>
        <v>7:20</v>
      </c>
      <c r="H364" s="27" t="str" cm="1">
        <f t="array" ref="H364">IF($O364="","",_xlfn.TEXTJOIN(", ",TRUE,IF(EXACT('Дані_зв''язок'!$J$4:$J$1012,$O364)*('Дані_зв''язок'!$C$4:$C$1012=H$4),'Дані_зв''язок'!$D$4:$D$1012,"")))</f>
        <v/>
      </c>
      <c r="I364" s="27" t="str" cm="1">
        <f t="array" ref="I364">IF($O364="","",_xlfn.TEXTJOIN(", ",TRUE,IF(EXACT('Дані_зв''язок'!$J$4:$J$1012,$O364)*('Дані_зв''язок'!$C$4:$C$1012=I$4),'Дані_зв''язок'!$D$4:$D$1012,"")))</f>
        <v>7:45</v>
      </c>
      <c r="J364" s="27" cm="1">
        <f t="array" ref="J364">IF($O364="","",COUNTIF(C364:I364,"?*")+SUMPRODUCT(LEN(C364:I364)-LEN(SUBSTITUTE(C364:I364,",",""))))</f>
        <v>5</v>
      </c>
      <c r="K364" s="28" t="str" cm="1">
        <f t="array" ref="K364">IF($O364="","",_xlfn.TEXTJOIN(", ",TRUE,IF(EXACT('Дані_зв''язок'!$J$4:$J$1012,$O364),'Дані_зв''язок'!$L$4:$L$1012,"")))</f>
        <v>№4</v>
      </c>
      <c r="L364" s="28" t="str" cm="1">
        <f t="array" ref="L364">IF($O364="","",_xlfn.TEXTJOIN(", ",TRUE,IF(EXACT('Дані_зв''язок'!$J$4:$J$1012,$O364),'Дані_зв''язок'!$M$4:$M$1012,"")))</f>
        <v>АТ 40-42/ROD21003</v>
      </c>
      <c r="M364" s="27" cm="1">
        <f t="array" ref="M364">IF($O364="","",IF(SUMPRODUCT(MAX(EXACT('Дані_зв''язок'!$J$4:$J$1012,$O364)*IFERROR('Дані_зв''язок'!$H$4:$H$1012,0)))=0,"",SUMPRODUCT(MAX(EXACT('Дані_зв''язок'!$J$4:$J$1012,$O364)*IFERROR('Дані_зв''язок'!$H$4:$H$1012,0)))))</f>
        <v>5</v>
      </c>
      <c r="O364" s="30" t="s">
        <v>1483</v>
      </c>
      <c r="P364" s="24" cm="1">
        <f t="array" ref="P364">IF($O364="","",IF($B364="","",IFERROR(IF(MIN(IFERROR(VALUE(TRIM(MID(SUBSTITUTE(SUBSTITUTE($B364,","," ")," ",REPT(" ",30)),{1;31;61;91;121;151;181},30))),""))=0,"",MIN(IFERROR(VALUE(TRIM(MID(SUBSTITUTE(SUBSTITUTE($B364,","," ")," ",REPT(" ",30)),{1;31;61;91;121;151;181},30))),""))),"")))</f>
        <v>2</v>
      </c>
      <c r="Q364" s="23" t="str">
        <f t="shared" si="17"/>
        <v>Прилуки, Чернігівська обл., вул. Ракітна, П. Комуни, 2</v>
      </c>
      <c r="R364" s="35">
        <f>IF($O364="","",IFERROR(INDEX('Координати майданчиків'!$H$4:$H$64,MATCH($T364,'Координати майданчиків'!$B$4:$B$64,0)),IFERROR(IF(ABS(INDEX(Геокодування!$C$2:$C$361,MATCH($Q364,Геокодування!$B$2:$B$361,0))-50.5884)+ABS(INDEX(Геокодування!$D$2:$D$361,MATCH($Q364,Геокодування!$B$2:$B$361,0))-32.3876)&gt;0.15,"",INDEX(Геокодування!$C$2:$C$361,MATCH($Q364,Геокодування!$B$2:$B$361,0))),IFERROR(IF(ABS(INDEX(Геокодування!$C$2:$C$361,MATCH("Прилуки, Чернігівська обл., "&amp;$A364,Геокодування!$B$2:$B$361,0))-50.5884)+ABS(INDEX(Геокодування!$D$2:$D$361,MATCH("Прилуки, Чернігівська обл., "&amp;$A364,Геокодування!$B$2:$B$361,0))-32.3876)&gt;0.15,"",INDEX(Геокодування!$C$2:$C$361,MATCH("Прилуки, Чернігівська обл., "&amp;$A364,Геокодування!$B$2:$B$361,0))),""))))</f>
        <v>50.58135</v>
      </c>
      <c r="S364" s="43">
        <f>IF($O364="","",IFERROR(INDEX('Координати майданчиків'!$I$4:$I$64,MATCH($T364,'Координати майданчиків'!$B$4:$B$64,0)),IFERROR(IF(ABS(INDEX(Геокодування!$C$2:$C$361,MATCH($Q364,Геокодування!$B$2:$B$361,0))-50.5884)+ABS(INDEX(Геокодування!$D$2:$D$361,MATCH($Q364,Геокодування!$B$2:$B$361,0))-32.3876)&gt;0.15,"",INDEX(Геокодування!$D$2:$D$361,MATCH($Q364,Геокодування!$B$2:$B$361,0))),IFERROR(IF(ABS(INDEX(Геокодування!$C$2:$C$361,MATCH("Прилуки, Чернігівська обл., "&amp;$A364,Геокодування!$B$2:$B$361,0))-50.5884)+ABS(INDEX(Геокодування!$D$2:$D$361,MATCH("Прилуки, Чернігівська обл., "&amp;$A364,Геокодування!$B$2:$B$361,0))-32.3876)&gt;0.15,"",INDEX(Геокодування!$D$2:$D$361,MATCH("Прилуки, Чернігівська обл., "&amp;$A364,Геокодування!$B$2:$B$361,0))),""))))</f>
        <v>32.369866000000002</v>
      </c>
      <c r="T364" s="44" t="str">
        <f>IF($O364="","",IFERROR(INDEX('Координати майданчиків'!$B$4:$B$64,MATCH($A364&amp;IF($P364="","",", "&amp;$P364),'Координати майданчиків'!$B$4:$B$64,0)),IFERROR(INDEX('Координати майданчиків'!$B$4:$B$64,MATCH($A364,'Координати майданчиків'!$B$4:$B$64,0)),"")))</f>
        <v/>
      </c>
    </row>
    <row r="365" spans="1:20" x14ac:dyDescent="0.35">
      <c r="A365" s="26" t="str">
        <f t="shared" si="15"/>
        <v>вул. Раскова</v>
      </c>
      <c r="B365" s="26" t="str">
        <f t="shared" si="16"/>
        <v/>
      </c>
      <c r="C365" s="27" t="str" cm="1">
        <f t="array" ref="C365">IF($O365="","",_xlfn.TEXTJOIN(", ",TRUE,IF(EXACT('Дані_зв''язок'!$J$4:$J$1012,$O365)*('Дані_зв''язок'!$C$4:$C$1012=C$4),'Дані_зв''язок'!$D$4:$D$1012,"")))</f>
        <v/>
      </c>
      <c r="D365" s="27" t="str" cm="1">
        <f t="array" ref="D365">IF($O365="","",_xlfn.TEXTJOIN(", ",TRUE,IF(EXACT('Дані_зв''язок'!$J$4:$J$1012,$O365)*('Дані_зв''язок'!$C$4:$C$1012=D$4),'Дані_зв''язок'!$D$4:$D$1012,"")))</f>
        <v/>
      </c>
      <c r="E365" s="27" t="str" cm="1">
        <f t="array" ref="E365">IF($O365="","",_xlfn.TEXTJOIN(", ",TRUE,IF(EXACT('Дані_зв''язок'!$J$4:$J$1012,$O365)*('Дані_зв''язок'!$C$4:$C$1012=E$4),'Дані_зв''язок'!$D$4:$D$1012,"")))</f>
        <v/>
      </c>
      <c r="F365" s="27" t="str" cm="1">
        <f t="array" ref="F365">IF($O365="","",_xlfn.TEXTJOIN(", ",TRUE,IF(EXACT('Дані_зв''язок'!$J$4:$J$1012,$O365)*('Дані_зв''язок'!$C$4:$C$1012=F$4),'Дані_зв''язок'!$D$4:$D$1012,"")))</f>
        <v/>
      </c>
      <c r="G365" s="27" t="str" cm="1">
        <f t="array" ref="G365">IF($O365="","",_xlfn.TEXTJOIN(", ",TRUE,IF(EXACT('Дані_зв''язок'!$J$4:$J$1012,$O365)*('Дані_зв''язок'!$C$4:$C$1012=G$4),'Дані_зв''язок'!$D$4:$D$1012,"")))</f>
        <v>13:00</v>
      </c>
      <c r="H365" s="27" t="str" cm="1">
        <f t="array" ref="H365">IF($O365="","",_xlfn.TEXTJOIN(", ",TRUE,IF(EXACT('Дані_зв''язок'!$J$4:$J$1012,$O365)*('Дані_зв''язок'!$C$4:$C$1012=H$4),'Дані_зв''язок'!$D$4:$D$1012,"")))</f>
        <v/>
      </c>
      <c r="I365" s="27" t="str" cm="1">
        <f t="array" ref="I365">IF($O365="","",_xlfn.TEXTJOIN(", ",TRUE,IF(EXACT('Дані_зв''язок'!$J$4:$J$1012,$O365)*('Дані_зв''язок'!$C$4:$C$1012=I$4),'Дані_зв''язок'!$D$4:$D$1012,"")))</f>
        <v/>
      </c>
      <c r="J365" s="27" cm="1">
        <f t="array" ref="J365">IF($O365="","",COUNTIF(C365:I365,"?*")+SUMPRODUCT(LEN(C365:I365)-LEN(SUBSTITUTE(C365:I365,",",""))))</f>
        <v>1</v>
      </c>
      <c r="K365" s="28" t="str" cm="1">
        <f t="array" ref="K365">IF($O365="","",_xlfn.TEXTJOIN(", ",TRUE,IF(EXACT('Дані_зв''язок'!$J$4:$J$1012,$O365),'Дані_зв''язок'!$L$4:$L$1012,"")))</f>
        <v>№6</v>
      </c>
      <c r="L365" s="28" t="str" cm="1">
        <f t="array" ref="L365">IF($O365="","",_xlfn.TEXTJOIN(", ",TRUE,IF(EXACT('Дані_зв''язок'!$J$4:$J$1012,$O365),'Дані_зв''язок'!$M$4:$M$1012,"")))</f>
        <v>АТ 4021</v>
      </c>
      <c r="M365" s="27" t="str" cm="1">
        <f t="array" ref="M365">IF($O365="","",IF(SUMPRODUCT(MAX(EXACT('Дані_зв''язок'!$J$4:$J$1012,$O365)*IFERROR('Дані_зв''язок'!$H$4:$H$1012,0)))=0,"",SUMPRODUCT(MAX(EXACT('Дані_зв''язок'!$J$4:$J$1012,$O365)*IFERROR('Дані_зв''язок'!$H$4:$H$1012,0)))))</f>
        <v/>
      </c>
      <c r="O365" s="30" t="s">
        <v>1484</v>
      </c>
      <c r="P365" s="24" t="str" cm="1">
        <f t="array" ref="P365">IF($O365="","",IF($B365="","",IFERROR(IF(MIN(IFERROR(VALUE(TRIM(MID(SUBSTITUTE(SUBSTITUTE($B365,","," ")," ",REPT(" ",30)),{1;31;61;91;121;151;181},30))),""))=0,"",MIN(IFERROR(VALUE(TRIM(MID(SUBSTITUTE(SUBSTITUTE($B365,","," ")," ",REPT(" ",30)),{1;31;61;91;121;151;181},30))),""))),"")))</f>
        <v/>
      </c>
      <c r="Q365" s="23" t="str">
        <f t="shared" si="17"/>
        <v>Прилуки, Чернігівська обл., вул. Раскова</v>
      </c>
      <c r="R365" s="35">
        <f>IF($O365="","",IFERROR(INDEX('Координати майданчиків'!$H$4:$H$64,MATCH($T365,'Координати майданчиків'!$B$4:$B$64,0)),IFERROR(IF(ABS(INDEX(Геокодування!$C$2:$C$361,MATCH($Q365,Геокодування!$B$2:$B$361,0))-50.5884)+ABS(INDEX(Геокодування!$D$2:$D$361,MATCH($Q365,Геокодування!$B$2:$B$361,0))-32.3876)&gt;0.15,"",INDEX(Геокодування!$C$2:$C$361,MATCH($Q365,Геокодування!$B$2:$B$361,0))),IFERROR(IF(ABS(INDEX(Геокодування!$C$2:$C$361,MATCH("Прилуки, Чернігівська обл., "&amp;$A365,Геокодування!$B$2:$B$361,0))-50.5884)+ABS(INDEX(Геокодування!$D$2:$D$361,MATCH("Прилуки, Чернігівська обл., "&amp;$A365,Геокодування!$B$2:$B$361,0))-32.3876)&gt;0.15,"",INDEX(Геокодування!$C$2:$C$361,MATCH("Прилуки, Чернігівська обл., "&amp;$A365,Геокодування!$B$2:$B$361,0))),""))))</f>
        <v>50.581904999999999</v>
      </c>
      <c r="S365" s="43">
        <f>IF($O365="","",IFERROR(INDEX('Координати майданчиків'!$I$4:$I$64,MATCH($T365,'Координати майданчиків'!$B$4:$B$64,0)),IFERROR(IF(ABS(INDEX(Геокодування!$C$2:$C$361,MATCH($Q365,Геокодування!$B$2:$B$361,0))-50.5884)+ABS(INDEX(Геокодування!$D$2:$D$361,MATCH($Q365,Геокодування!$B$2:$B$361,0))-32.3876)&gt;0.15,"",INDEX(Геокодування!$D$2:$D$361,MATCH($Q365,Геокодування!$B$2:$B$361,0))),IFERROR(IF(ABS(INDEX(Геокодування!$C$2:$C$361,MATCH("Прилуки, Чернігівська обл., "&amp;$A365,Геокодування!$B$2:$B$361,0))-50.5884)+ABS(INDEX(Геокодування!$D$2:$D$361,MATCH("Прилуки, Чернігівська обл., "&amp;$A365,Геокодування!$B$2:$B$361,0))-32.3876)&gt;0.15,"",INDEX(Геокодування!$D$2:$D$361,MATCH("Прилуки, Чернігівська обл., "&amp;$A365,Геокодування!$B$2:$B$361,0))),""))))</f>
        <v>32.383752999999999</v>
      </c>
      <c r="T365" s="44" t="str">
        <f>IF($O365="","",IFERROR(INDEX('Координати майданчиків'!$B$4:$B$64,MATCH($A365&amp;IF($P365="","",", "&amp;$P365),'Координати майданчиків'!$B$4:$B$64,0)),IFERROR(INDEX('Координати майданчиків'!$B$4:$B$64,MATCH($A365,'Координати майданчиків'!$B$4:$B$64,0)),"")))</f>
        <v/>
      </c>
    </row>
    <row r="366" spans="1:20" x14ac:dyDescent="0.35">
      <c r="A366" s="26" t="str">
        <f t="shared" si="15"/>
        <v>вул. Родини Горленків</v>
      </c>
      <c r="B366" s="26" t="str">
        <f t="shared" si="16"/>
        <v>7,12  22,18</v>
      </c>
      <c r="C366" s="27" t="str" cm="1">
        <f t="array" ref="C366">IF($O366="","",_xlfn.TEXTJOIN(", ",TRUE,IF(EXACT('Дані_зв''язок'!$J$4:$J$1012,$O366)*('Дані_зв''язок'!$C$4:$C$1012=C$4),'Дані_зв''язок'!$D$4:$D$1012,"")))</f>
        <v>10:10</v>
      </c>
      <c r="D366" s="27" t="str" cm="1">
        <f t="array" ref="D366">IF($O366="","",_xlfn.TEXTJOIN(", ",TRUE,IF(EXACT('Дані_зв''язок'!$J$4:$J$1012,$O366)*('Дані_зв''язок'!$C$4:$C$1012=D$4),'Дані_зв''язок'!$D$4:$D$1012,"")))</f>
        <v/>
      </c>
      <c r="E366" s="27" t="str" cm="1">
        <f t="array" ref="E366">IF($O366="","",_xlfn.TEXTJOIN(", ",TRUE,IF(EXACT('Дані_зв''язок'!$J$4:$J$1012,$O366)*('Дані_зв''язок'!$C$4:$C$1012=E$4),'Дані_зв''язок'!$D$4:$D$1012,"")))</f>
        <v/>
      </c>
      <c r="F366" s="27" t="str" cm="1">
        <f t="array" ref="F366">IF($O366="","",_xlfn.TEXTJOIN(", ",TRUE,IF(EXACT('Дані_зв''язок'!$J$4:$J$1012,$O366)*('Дані_зв''язок'!$C$4:$C$1012=F$4),'Дані_зв''язок'!$D$4:$D$1012,"")))</f>
        <v/>
      </c>
      <c r="G366" s="27" t="str" cm="1">
        <f t="array" ref="G366">IF($O366="","",_xlfn.TEXTJOIN(", ",TRUE,IF(EXACT('Дані_зв''язок'!$J$4:$J$1012,$O366)*('Дані_зв''язок'!$C$4:$C$1012=G$4),'Дані_зв''язок'!$D$4:$D$1012,"")))</f>
        <v/>
      </c>
      <c r="H366" s="27" t="str" cm="1">
        <f t="array" ref="H366">IF($O366="","",_xlfn.TEXTJOIN(", ",TRUE,IF(EXACT('Дані_зв''язок'!$J$4:$J$1012,$O366)*('Дані_зв''язок'!$C$4:$C$1012=H$4),'Дані_зв''язок'!$D$4:$D$1012,"")))</f>
        <v/>
      </c>
      <c r="I366" s="27" t="str" cm="1">
        <f t="array" ref="I366">IF($O366="","",_xlfn.TEXTJOIN(", ",TRUE,IF(EXACT('Дані_зв''язок'!$J$4:$J$1012,$O366)*('Дані_зв''язок'!$C$4:$C$1012=I$4),'Дані_зв''язок'!$D$4:$D$1012,"")))</f>
        <v/>
      </c>
      <c r="J366" s="27" cm="1">
        <f t="array" ref="J366">IF($O366="","",COUNTIF(C366:I366,"?*")+SUMPRODUCT(LEN(C366:I366)-LEN(SUBSTITUTE(C366:I366,",",""))))</f>
        <v>1</v>
      </c>
      <c r="K366" s="28" t="str" cm="1">
        <f t="array" ref="K366">IF($O366="","",_xlfn.TEXTJOIN(", ",TRUE,IF(EXACT('Дані_зв''язок'!$J$4:$J$1012,$O366),'Дані_зв''язок'!$L$4:$L$1012,"")))</f>
        <v>№6</v>
      </c>
      <c r="L366" s="28" t="str" cm="1">
        <f t="array" ref="L366">IF($O366="","",_xlfn.TEXTJOIN(", ",TRUE,IF(EXACT('Дані_зв''язок'!$J$4:$J$1012,$O366),'Дані_зв''язок'!$M$4:$M$1012,"")))</f>
        <v>АТ 4021</v>
      </c>
      <c r="M366" s="27" t="str" cm="1">
        <f t="array" ref="M366">IF($O366="","",IF(SUMPRODUCT(MAX(EXACT('Дані_зв''язок'!$J$4:$J$1012,$O366)*IFERROR('Дані_зв''язок'!$H$4:$H$1012,0)))=0,"",SUMPRODUCT(MAX(EXACT('Дані_зв''язок'!$J$4:$J$1012,$O366)*IFERROR('Дані_зв''язок'!$H$4:$H$1012,0)))))</f>
        <v/>
      </c>
      <c r="O366" s="30" t="s">
        <v>1485</v>
      </c>
      <c r="P366" s="24" cm="1">
        <f t="array" ref="P366">IF($O366="","",IF($B366="","",IFERROR(IF(MIN(IFERROR(VALUE(TRIM(MID(SUBSTITUTE(SUBSTITUTE($B366,","," ")," ",REPT(" ",30)),{1;31;61;91;121;151;181},30))),""))=0,"",MIN(IFERROR(VALUE(TRIM(MID(SUBSTITUTE(SUBSTITUTE($B366,","," ")," ",REPT(" ",30)),{1;31;61;91;121;151;181},30))),""))),"")))</f>
        <v>7</v>
      </c>
      <c r="Q366" s="23" t="str">
        <f t="shared" si="17"/>
        <v>Прилуки, Чернігівська обл., вул. Родини Горленків, 7</v>
      </c>
      <c r="R366" s="35">
        <f>IF($O366="","",IFERROR(INDEX('Координати майданчиків'!$H$4:$H$64,MATCH($T366,'Координати майданчиків'!$B$4:$B$64,0)),IFERROR(IF(ABS(INDEX(Геокодування!$C$2:$C$361,MATCH($Q366,Геокодування!$B$2:$B$361,0))-50.5884)+ABS(INDEX(Геокодування!$D$2:$D$361,MATCH($Q366,Геокодування!$B$2:$B$361,0))-32.3876)&gt;0.15,"",INDEX(Геокодування!$C$2:$C$361,MATCH($Q366,Геокодування!$B$2:$B$361,0))),IFERROR(IF(ABS(INDEX(Геокодування!$C$2:$C$361,MATCH("Прилуки, Чернігівська обл., "&amp;$A366,Геокодування!$B$2:$B$361,0))-50.5884)+ABS(INDEX(Геокодування!$D$2:$D$361,MATCH("Прилуки, Чернігівська обл., "&amp;$A366,Геокодування!$B$2:$B$361,0))-32.3876)&gt;0.15,"",INDEX(Геокодування!$C$2:$C$361,MATCH("Прилуки, Чернігівська обл., "&amp;$A366,Геокодування!$B$2:$B$361,0))),""))))</f>
        <v>50.615569999999998</v>
      </c>
      <c r="S366" s="43">
        <f>IF($O366="","",IFERROR(INDEX('Координати майданчиків'!$I$4:$I$64,MATCH($T366,'Координати майданчиків'!$B$4:$B$64,0)),IFERROR(IF(ABS(INDEX(Геокодування!$C$2:$C$361,MATCH($Q366,Геокодування!$B$2:$B$361,0))-50.5884)+ABS(INDEX(Геокодування!$D$2:$D$361,MATCH($Q366,Геокодування!$B$2:$B$361,0))-32.3876)&gt;0.15,"",INDEX(Геокодування!$D$2:$D$361,MATCH($Q366,Геокодування!$B$2:$B$361,0))),IFERROR(IF(ABS(INDEX(Геокодування!$C$2:$C$361,MATCH("Прилуки, Чернігівська обл., "&amp;$A366,Геокодування!$B$2:$B$361,0))-50.5884)+ABS(INDEX(Геокодування!$D$2:$D$361,MATCH("Прилуки, Чернігівська обл., "&amp;$A366,Геокодування!$B$2:$B$361,0))-32.3876)&gt;0.15,"",INDEX(Геокодування!$D$2:$D$361,MATCH("Прилуки, Чернігівська обл., "&amp;$A366,Геокодування!$B$2:$B$361,0))),""))))</f>
        <v>32.374375000000001</v>
      </c>
      <c r="T366" s="44" t="str">
        <f>IF($O366="","",IFERROR(INDEX('Координати майданчиків'!$B$4:$B$64,MATCH($A366&amp;IF($P366="","",", "&amp;$P366),'Координати майданчиків'!$B$4:$B$64,0)),IFERROR(INDEX('Координати майданчиків'!$B$4:$B$64,MATCH($A366,'Координати майданчиків'!$B$4:$B$64,0)),"")))</f>
        <v/>
      </c>
    </row>
    <row r="367" spans="1:20" x14ac:dyDescent="0.35">
      <c r="A367" s="26" t="str">
        <f t="shared" si="15"/>
        <v>вул. Рокітна</v>
      </c>
      <c r="B367" s="26" t="str">
        <f t="shared" si="16"/>
        <v/>
      </c>
      <c r="C367" s="27" t="str" cm="1">
        <f t="array" ref="C367">IF($O367="","",_xlfn.TEXTJOIN(", ",TRUE,IF(EXACT('Дані_зв''язок'!$J$4:$J$1012,$O367)*('Дані_зв''язок'!$C$4:$C$1012=C$4),'Дані_зв''язок'!$D$4:$D$1012,"")))</f>
        <v/>
      </c>
      <c r="D367" s="27" t="str" cm="1">
        <f t="array" ref="D367">IF($O367="","",_xlfn.TEXTJOIN(", ",TRUE,IF(EXACT('Дані_зв''язок'!$J$4:$J$1012,$O367)*('Дані_зв''язок'!$C$4:$C$1012=D$4),'Дані_зв''язок'!$D$4:$D$1012,"")))</f>
        <v/>
      </c>
      <c r="E367" s="27" t="str" cm="1">
        <f t="array" ref="E367">IF($O367="","",_xlfn.TEXTJOIN(", ",TRUE,IF(EXACT('Дані_зв''язок'!$J$4:$J$1012,$O367)*('Дані_зв''язок'!$C$4:$C$1012=E$4),'Дані_зв''язок'!$D$4:$D$1012,"")))</f>
        <v/>
      </c>
      <c r="F367" s="27" t="str" cm="1">
        <f t="array" ref="F367">IF($O367="","",_xlfn.TEXTJOIN(", ",TRUE,IF(EXACT('Дані_зв''язок'!$J$4:$J$1012,$O367)*('Дані_зв''язок'!$C$4:$C$1012=F$4),'Дані_зв''язок'!$D$4:$D$1012,"")))</f>
        <v>9:55</v>
      </c>
      <c r="G367" s="27" t="str" cm="1">
        <f t="array" ref="G367">IF($O367="","",_xlfn.TEXTJOIN(", ",TRUE,IF(EXACT('Дані_зв''язок'!$J$4:$J$1012,$O367)*('Дані_зв''язок'!$C$4:$C$1012=G$4),'Дані_зв''язок'!$D$4:$D$1012,"")))</f>
        <v/>
      </c>
      <c r="H367" s="27" t="str" cm="1">
        <f t="array" ref="H367">IF($O367="","",_xlfn.TEXTJOIN(", ",TRUE,IF(EXACT('Дані_зв''язок'!$J$4:$J$1012,$O367)*('Дані_зв''язок'!$C$4:$C$1012=H$4),'Дані_зв''язок'!$D$4:$D$1012,"")))</f>
        <v/>
      </c>
      <c r="I367" s="27" t="str" cm="1">
        <f t="array" ref="I367">IF($O367="","",_xlfn.TEXTJOIN(", ",TRUE,IF(EXACT('Дані_зв''язок'!$J$4:$J$1012,$O367)*('Дані_зв''язок'!$C$4:$C$1012=I$4),'Дані_зв''язок'!$D$4:$D$1012,"")))</f>
        <v/>
      </c>
      <c r="J367" s="27" cm="1">
        <f t="array" ref="J367">IF($O367="","",COUNTIF(C367:I367,"?*")+SUMPRODUCT(LEN(C367:I367)-LEN(SUBSTITUTE(C367:I367,",",""))))</f>
        <v>1</v>
      </c>
      <c r="K367" s="28" t="str" cm="1">
        <f t="array" ref="K367">IF($O367="","",_xlfn.TEXTJOIN(", ",TRUE,IF(EXACT('Дані_зв''язок'!$J$4:$J$1012,$O367),'Дані_зв''язок'!$L$4:$L$1012,"")))</f>
        <v>№5</v>
      </c>
      <c r="L367" s="28" t="str" cm="1">
        <f t="array" ref="L367">IF($O367="","",_xlfn.TEXTJOIN(", ",TRUE,IF(EXACT('Дані_зв''язок'!$J$4:$J$1012,$O367),'Дані_зв''язок'!$M$4:$M$1012,"")))</f>
        <v>МАЗ 4381</v>
      </c>
      <c r="M367" s="27" t="str" cm="1">
        <f t="array" ref="M367">IF($O367="","",IF(SUMPRODUCT(MAX(EXACT('Дані_зв''язок'!$J$4:$J$1012,$O367)*IFERROR('Дані_зв''язок'!$H$4:$H$1012,0)))=0,"",SUMPRODUCT(MAX(EXACT('Дані_зв''язок'!$J$4:$J$1012,$O367)*IFERROR('Дані_зв''язок'!$H$4:$H$1012,0)))))</f>
        <v/>
      </c>
      <c r="O367" s="30" t="s">
        <v>1486</v>
      </c>
      <c r="P367" s="24" t="str" cm="1">
        <f t="array" ref="P367">IF($O367="","",IF($B367="","",IFERROR(IF(MIN(IFERROR(VALUE(TRIM(MID(SUBSTITUTE(SUBSTITUTE($B367,","," ")," ",REPT(" ",30)),{1;31;61;91;121;151;181},30))),""))=0,"",MIN(IFERROR(VALUE(TRIM(MID(SUBSTITUTE(SUBSTITUTE($B367,","," ")," ",REPT(" ",30)),{1;31;61;91;121;151;181},30))),""))),"")))</f>
        <v/>
      </c>
      <c r="Q367" s="23" t="str">
        <f t="shared" si="17"/>
        <v>Прилуки, Чернігівська обл., вул. Рокітна</v>
      </c>
      <c r="R367" s="35">
        <f>IF($O367="","",IFERROR(INDEX('Координати майданчиків'!$H$4:$H$64,MATCH($T367,'Координати майданчиків'!$B$4:$B$64,0)),IFERROR(IF(ABS(INDEX(Геокодування!$C$2:$C$361,MATCH($Q367,Геокодування!$B$2:$B$361,0))-50.5884)+ABS(INDEX(Геокодування!$D$2:$D$361,MATCH($Q367,Геокодування!$B$2:$B$361,0))-32.3876)&gt;0.15,"",INDEX(Геокодування!$C$2:$C$361,MATCH($Q367,Геокодування!$B$2:$B$361,0))),IFERROR(IF(ABS(INDEX(Геокодування!$C$2:$C$361,MATCH("Прилуки, Чернігівська обл., "&amp;$A367,Геокодування!$B$2:$B$361,0))-50.5884)+ABS(INDEX(Геокодування!$D$2:$D$361,MATCH("Прилуки, Чернігівська обл., "&amp;$A367,Геокодування!$B$2:$B$361,0))-32.3876)&gt;0.15,"",INDEX(Геокодування!$C$2:$C$361,MATCH("Прилуки, Чернігівська обл., "&amp;$A367,Геокодування!$B$2:$B$361,0))),""))))</f>
        <v>50.581904999999999</v>
      </c>
      <c r="S367" s="43">
        <f>IF($O367="","",IFERROR(INDEX('Координати майданчиків'!$I$4:$I$64,MATCH($T367,'Координати майданчиків'!$B$4:$B$64,0)),IFERROR(IF(ABS(INDEX(Геокодування!$C$2:$C$361,MATCH($Q367,Геокодування!$B$2:$B$361,0))-50.5884)+ABS(INDEX(Геокодування!$D$2:$D$361,MATCH($Q367,Геокодування!$B$2:$B$361,0))-32.3876)&gt;0.15,"",INDEX(Геокодування!$D$2:$D$361,MATCH($Q367,Геокодування!$B$2:$B$361,0))),IFERROR(IF(ABS(INDEX(Геокодування!$C$2:$C$361,MATCH("Прилуки, Чернігівська обл., "&amp;$A367,Геокодування!$B$2:$B$361,0))-50.5884)+ABS(INDEX(Геокодування!$D$2:$D$361,MATCH("Прилуки, Чернігівська обл., "&amp;$A367,Геокодування!$B$2:$B$361,0))-32.3876)&gt;0.15,"",INDEX(Геокодування!$D$2:$D$361,MATCH("Прилуки, Чернігівська обл., "&amp;$A367,Геокодування!$B$2:$B$361,0))),""))))</f>
        <v>32.383752999999999</v>
      </c>
      <c r="T367" s="44" t="str">
        <f>IF($O367="","",IFERROR(INDEX('Координати майданчиків'!$B$4:$B$64,MATCH($A367&amp;IF($P367="","",", "&amp;$P367),'Координати майданчиків'!$B$4:$B$64,0)),IFERROR(INDEX('Координати майданчиків'!$B$4:$B$64,MATCH($A367,'Координати майданчиків'!$B$4:$B$64,0)),"")))</f>
        <v/>
      </c>
    </row>
    <row r="368" spans="1:20" x14ac:dyDescent="0.35">
      <c r="A368" s="26" t="str">
        <f t="shared" si="15"/>
        <v>вул. С. Величка</v>
      </c>
      <c r="B368" s="26" t="str">
        <f t="shared" si="16"/>
        <v/>
      </c>
      <c r="C368" s="27" t="str" cm="1">
        <f t="array" ref="C368">IF($O368="","",_xlfn.TEXTJOIN(", ",TRUE,IF(EXACT('Дані_зв''язок'!$J$4:$J$1012,$O368)*('Дані_зв''язок'!$C$4:$C$1012=C$4),'Дані_зв''язок'!$D$4:$D$1012,"")))</f>
        <v/>
      </c>
      <c r="D368" s="27" t="str" cm="1">
        <f t="array" ref="D368">IF($O368="","",_xlfn.TEXTJOIN(", ",TRUE,IF(EXACT('Дані_зв''язок'!$J$4:$J$1012,$O368)*('Дані_зв''язок'!$C$4:$C$1012=D$4),'Дані_зв''язок'!$D$4:$D$1012,"")))</f>
        <v/>
      </c>
      <c r="E368" s="27" t="str" cm="1">
        <f t="array" ref="E368">IF($O368="","",_xlfn.TEXTJOIN(", ",TRUE,IF(EXACT('Дані_зв''язок'!$J$4:$J$1012,$O368)*('Дані_зв''язок'!$C$4:$C$1012=E$4),'Дані_зв''язок'!$D$4:$D$1012,"")))</f>
        <v/>
      </c>
      <c r="F368" s="27" t="str" cm="1">
        <f t="array" ref="F368">IF($O368="","",_xlfn.TEXTJOIN(", ",TRUE,IF(EXACT('Дані_зв''язок'!$J$4:$J$1012,$O368)*('Дані_зв''язок'!$C$4:$C$1012=F$4),'Дані_зв''язок'!$D$4:$D$1012,"")))</f>
        <v>13:05</v>
      </c>
      <c r="G368" s="27" t="str" cm="1">
        <f t="array" ref="G368">IF($O368="","",_xlfn.TEXTJOIN(", ",TRUE,IF(EXACT('Дані_зв''язок'!$J$4:$J$1012,$O368)*('Дані_зв''язок'!$C$4:$C$1012=G$4),'Дані_зв''язок'!$D$4:$D$1012,"")))</f>
        <v/>
      </c>
      <c r="H368" s="27" t="str" cm="1">
        <f t="array" ref="H368">IF($O368="","",_xlfn.TEXTJOIN(", ",TRUE,IF(EXACT('Дані_зв''язок'!$J$4:$J$1012,$O368)*('Дані_зв''язок'!$C$4:$C$1012=H$4),'Дані_зв''язок'!$D$4:$D$1012,"")))</f>
        <v/>
      </c>
      <c r="I368" s="27" t="str" cm="1">
        <f t="array" ref="I368">IF($O368="","",_xlfn.TEXTJOIN(", ",TRUE,IF(EXACT('Дані_зв''язок'!$J$4:$J$1012,$O368)*('Дані_зв''язок'!$C$4:$C$1012=I$4),'Дані_зв''язок'!$D$4:$D$1012,"")))</f>
        <v/>
      </c>
      <c r="J368" s="27" cm="1">
        <f t="array" ref="J368">IF($O368="","",COUNTIF(C368:I368,"?*")+SUMPRODUCT(LEN(C368:I368)-LEN(SUBSTITUTE(C368:I368,",",""))))</f>
        <v>1</v>
      </c>
      <c r="K368" s="28" t="str" cm="1">
        <f t="array" ref="K368">IF($O368="","",_xlfn.TEXTJOIN(", ",TRUE,IF(EXACT('Дані_зв''язок'!$J$4:$J$1012,$O368),'Дані_зв''язок'!$L$4:$L$1012,"")))</f>
        <v>№5</v>
      </c>
      <c r="L368" s="28" t="str" cm="1">
        <f t="array" ref="L368">IF($O368="","",_xlfn.TEXTJOIN(", ",TRUE,IF(EXACT('Дані_зв''язок'!$J$4:$J$1012,$O368),'Дані_зв''язок'!$M$4:$M$1012,"")))</f>
        <v>МАЗ 4381</v>
      </c>
      <c r="M368" s="27" t="str" cm="1">
        <f t="array" ref="M368">IF($O368="","",IF(SUMPRODUCT(MAX(EXACT('Дані_зв''язок'!$J$4:$J$1012,$O368)*IFERROR('Дані_зв''язок'!$H$4:$H$1012,0)))=0,"",SUMPRODUCT(MAX(EXACT('Дані_зв''язок'!$J$4:$J$1012,$O368)*IFERROR('Дані_зв''язок'!$H$4:$H$1012,0)))))</f>
        <v/>
      </c>
      <c r="O368" s="30" t="s">
        <v>1487</v>
      </c>
      <c r="P368" s="24" t="str" cm="1">
        <f t="array" ref="P368">IF($O368="","",IF($B368="","",IFERROR(IF(MIN(IFERROR(VALUE(TRIM(MID(SUBSTITUTE(SUBSTITUTE($B368,","," ")," ",REPT(" ",30)),{1;31;61;91;121;151;181},30))),""))=0,"",MIN(IFERROR(VALUE(TRIM(MID(SUBSTITUTE(SUBSTITUTE($B368,","," ")," ",REPT(" ",30)),{1;31;61;91;121;151;181},30))),""))),"")))</f>
        <v/>
      </c>
      <c r="Q368" s="23" t="str">
        <f t="shared" si="17"/>
        <v>Прилуки, Чернігівська обл., вул. С. Величка</v>
      </c>
      <c r="R368" s="35">
        <f>IF($O368="","",IFERROR(INDEX('Координати майданчиків'!$H$4:$H$64,MATCH($T368,'Координати майданчиків'!$B$4:$B$64,0)),IFERROR(IF(ABS(INDEX(Геокодування!$C$2:$C$361,MATCH($Q368,Геокодування!$B$2:$B$361,0))-50.5884)+ABS(INDEX(Геокодування!$D$2:$D$361,MATCH($Q368,Геокодування!$B$2:$B$361,0))-32.3876)&gt;0.15,"",INDEX(Геокодування!$C$2:$C$361,MATCH($Q368,Геокодування!$B$2:$B$361,0))),IFERROR(IF(ABS(INDEX(Геокодування!$C$2:$C$361,MATCH("Прилуки, Чернігівська обл., "&amp;$A368,Геокодування!$B$2:$B$361,0))-50.5884)+ABS(INDEX(Геокодування!$D$2:$D$361,MATCH("Прилуки, Чернігівська обл., "&amp;$A368,Геокодування!$B$2:$B$361,0))-32.3876)&gt;0.15,"",INDEX(Геокодування!$C$2:$C$361,MATCH("Прилуки, Чернігівська обл., "&amp;$A368,Геокодування!$B$2:$B$361,0))),""))))</f>
        <v>50.577967000000001</v>
      </c>
      <c r="S368" s="43">
        <f>IF($O368="","",IFERROR(INDEX('Координати майданчиків'!$I$4:$I$64,MATCH($T368,'Координати майданчиків'!$B$4:$B$64,0)),IFERROR(IF(ABS(INDEX(Геокодування!$C$2:$C$361,MATCH($Q368,Геокодування!$B$2:$B$361,0))-50.5884)+ABS(INDEX(Геокодування!$D$2:$D$361,MATCH($Q368,Геокодування!$B$2:$B$361,0))-32.3876)&gt;0.15,"",INDEX(Геокодування!$D$2:$D$361,MATCH($Q368,Геокодування!$B$2:$B$361,0))),IFERROR(IF(ABS(INDEX(Геокодування!$C$2:$C$361,MATCH("Прилуки, Чернігівська обл., "&amp;$A368,Геокодування!$B$2:$B$361,0))-50.5884)+ABS(INDEX(Геокодування!$D$2:$D$361,MATCH("Прилуки, Чернігівська обл., "&amp;$A368,Геокодування!$B$2:$B$361,0))-32.3876)&gt;0.15,"",INDEX(Геокодування!$D$2:$D$361,MATCH("Прилуки, Чернігівська обл., "&amp;$A368,Геокодування!$B$2:$B$361,0))),""))))</f>
        <v>32.424163</v>
      </c>
      <c r="T368" s="44" t="str">
        <f>IF($O368="","",IFERROR(INDEX('Координати майданчиків'!$B$4:$B$64,MATCH($A368&amp;IF($P368="","",", "&amp;$P368),'Координати майданчиків'!$B$4:$B$64,0)),IFERROR(INDEX('Координати майданчиків'!$B$4:$B$64,MATCH($A368,'Координати майданчиків'!$B$4:$B$64,0)),"")))</f>
        <v/>
      </c>
    </row>
    <row r="369" spans="1:20" x14ac:dyDescent="0.35">
      <c r="A369" s="26" t="str">
        <f t="shared" si="15"/>
        <v>вул. Сагайдачного</v>
      </c>
      <c r="B369" s="26" t="str">
        <f t="shared" si="16"/>
        <v>РЕМ</v>
      </c>
      <c r="C369" s="27" t="str" cm="1">
        <f t="array" ref="C369">IF($O369="","",_xlfn.TEXTJOIN(", ",TRUE,IF(EXACT('Дані_зв''язок'!$J$4:$J$1012,$O369)*('Дані_зв''язок'!$C$4:$C$1012=C$4),'Дані_зв''язок'!$D$4:$D$1012,"")))</f>
        <v/>
      </c>
      <c r="D369" s="27" t="str" cm="1">
        <f t="array" ref="D369">IF($O369="","",_xlfn.TEXTJOIN(", ",TRUE,IF(EXACT('Дані_зв''язок'!$J$4:$J$1012,$O369)*('Дані_зв''язок'!$C$4:$C$1012=D$4),'Дані_зв''язок'!$D$4:$D$1012,"")))</f>
        <v/>
      </c>
      <c r="E369" s="27" t="str" cm="1">
        <f t="array" ref="E369">IF($O369="","",_xlfn.TEXTJOIN(", ",TRUE,IF(EXACT('Дані_зв''язок'!$J$4:$J$1012,$O369)*('Дані_зв''язок'!$C$4:$C$1012=E$4),'Дані_зв''язок'!$D$4:$D$1012,"")))</f>
        <v/>
      </c>
      <c r="F369" s="27" t="str" cm="1">
        <f t="array" ref="F369">IF($O369="","",_xlfn.TEXTJOIN(", ",TRUE,IF(EXACT('Дані_зв''язок'!$J$4:$J$1012,$O369)*('Дані_зв''язок'!$C$4:$C$1012=F$4),'Дані_зв''язок'!$D$4:$D$1012,"")))</f>
        <v/>
      </c>
      <c r="G369" s="27" t="str" cm="1">
        <f t="array" ref="G369">IF($O369="","",_xlfn.TEXTJOIN(", ",TRUE,IF(EXACT('Дані_зв''язок'!$J$4:$J$1012,$O369)*('Дані_зв''язок'!$C$4:$C$1012=G$4),'Дані_зв''язок'!$D$4:$D$1012,"")))</f>
        <v>9:55</v>
      </c>
      <c r="H369" s="27" t="str" cm="1">
        <f t="array" ref="H369">IF($O369="","",_xlfn.TEXTJOIN(", ",TRUE,IF(EXACT('Дані_зв''язок'!$J$4:$J$1012,$O369)*('Дані_зв''язок'!$C$4:$C$1012=H$4),'Дані_зв''язок'!$D$4:$D$1012,"")))</f>
        <v/>
      </c>
      <c r="I369" s="27" t="str" cm="1">
        <f t="array" ref="I369">IF($O369="","",_xlfn.TEXTJOIN(", ",TRUE,IF(EXACT('Дані_зв''язок'!$J$4:$J$1012,$O369)*('Дані_зв''язок'!$C$4:$C$1012=I$4),'Дані_зв''язок'!$D$4:$D$1012,"")))</f>
        <v/>
      </c>
      <c r="J369" s="27" cm="1">
        <f t="array" ref="J369">IF($O369="","",COUNTIF(C369:I369,"?*")+SUMPRODUCT(LEN(C369:I369)-LEN(SUBSTITUTE(C369:I369,",",""))))</f>
        <v>1</v>
      </c>
      <c r="K369" s="28" t="str" cm="1">
        <f t="array" ref="K369">IF($O369="","",_xlfn.TEXTJOIN(", ",TRUE,IF(EXACT('Дані_зв''язок'!$J$4:$J$1012,$O369),'Дані_зв''язок'!$L$4:$L$1012,"")))</f>
        <v>№4</v>
      </c>
      <c r="L369" s="28" t="str" cm="1">
        <f t="array" ref="L369">IF($O369="","",_xlfn.TEXTJOIN(", ",TRUE,IF(EXACT('Дані_зв''язок'!$J$4:$J$1012,$O369),'Дані_зв''язок'!$M$4:$M$1012,"")))</f>
        <v>АТ 40-42/ROD21003</v>
      </c>
      <c r="M369" s="27" cm="1">
        <f t="array" ref="M369">IF($O369="","",IF(SUMPRODUCT(MAX(EXACT('Дані_зв''язок'!$J$4:$J$1012,$O369)*IFERROR('Дані_зв''язок'!$H$4:$H$1012,0)))=0,"",SUMPRODUCT(MAX(EXACT('Дані_зв''язок'!$J$4:$J$1012,$O369)*IFERROR('Дані_зв''язок'!$H$4:$H$1012,0)))))</f>
        <v>2</v>
      </c>
      <c r="O369" s="30" t="s">
        <v>1488</v>
      </c>
      <c r="P369" s="24" t="str" cm="1">
        <f t="array" ref="P369">IF($O369="","",IF($B369="","",IFERROR(IF(MIN(IFERROR(VALUE(TRIM(MID(SUBSTITUTE(SUBSTITUTE($B369,","," ")," ",REPT(" ",30)),{1;31;61;91;121;151;181},30))),""))=0,"",MIN(IFERROR(VALUE(TRIM(MID(SUBSTITUTE(SUBSTITUTE($B369,","," ")," ",REPT(" ",30)),{1;31;61;91;121;151;181},30))),""))),"")))</f>
        <v/>
      </c>
      <c r="Q369" s="23" t="str">
        <f t="shared" si="17"/>
        <v>Прилуки, Чернігівська обл., вул. Сагайдачного</v>
      </c>
      <c r="R369" s="69">
        <f>IF($O369="","",IFERROR(INDEX('Координати майданчиків'!$H$4:$H$64,MATCH($T369,'Координати майданчиків'!$B$4:$B$64,0)),IFERROR(IF(ABS(INDEX(Геокодування!$C$2:$C$361,MATCH($Q369,Геокодування!$B$2:$B$361,0))-50.5884)+ABS(INDEX(Геокодування!$D$2:$D$361,MATCH($Q369,Геокодування!$B$2:$B$361,0))-32.3876)&gt;0.15,"",INDEX(Геокодування!$C$2:$C$361,MATCH($Q369,Геокодування!$B$2:$B$361,0))),IFERROR(IF(ABS(INDEX(Геокодування!$C$2:$C$361,MATCH("Прилуки, Чернігівська обл., "&amp;$A369,Геокодування!$B$2:$B$361,0))-50.5884)+ABS(INDEX(Геокодування!$D$2:$D$361,MATCH("Прилуки, Чернігівська обл., "&amp;$A369,Геокодування!$B$2:$B$361,0))-32.3876)&gt;0.15,"",INDEX(Геокодування!$C$2:$C$361,MATCH("Прилуки, Чернігівська обл., "&amp;$A369,Геокодування!$B$2:$B$361,0))),""))))</f>
        <v>50.583993</v>
      </c>
      <c r="S369" s="69">
        <f>IF($O369="","",IFERROR(INDEX('Координати майданчиків'!$I$4:$I$64,MATCH($T369,'Координати майданчиків'!$B$4:$B$64,0)),IFERROR(IF(ABS(INDEX(Геокодування!$C$2:$C$361,MATCH($Q369,Геокодування!$B$2:$B$361,0))-50.5884)+ABS(INDEX(Геокодування!$D$2:$D$361,MATCH($Q369,Геокодування!$B$2:$B$361,0))-32.3876)&gt;0.15,"",INDEX(Геокодування!$D$2:$D$361,MATCH($Q369,Геокодування!$B$2:$B$361,0))),IFERROR(IF(ABS(INDEX(Геокодування!$C$2:$C$361,MATCH("Прилуки, Чернігівська обл., "&amp;$A369,Геокодування!$B$2:$B$361,0))-50.5884)+ABS(INDEX(Геокодування!$D$2:$D$361,MATCH("Прилуки, Чернігівська обл., "&amp;$A369,Геокодування!$B$2:$B$361,0))-32.3876)&gt;0.15,"",INDEX(Геокодування!$D$2:$D$361,MATCH("Прилуки, Чернігівська обл., "&amp;$A369,Геокодування!$B$2:$B$361,0))),""))))</f>
        <v>32.377982000000003</v>
      </c>
      <c r="T369" s="44" t="str">
        <f>IF($O369="","",IFERROR(INDEX('Координати майданчиків'!$B$4:$B$64,MATCH($A369&amp;IF($P369="","",", "&amp;$P369),'Координати майданчиків'!$B$4:$B$64,0)),IFERROR(INDEX('Координати майданчиків'!$B$4:$B$64,MATCH($A369,'Координати майданчиків'!$B$4:$B$64,0)),"")))</f>
        <v/>
      </c>
    </row>
    <row r="370" spans="1:20" x14ac:dyDescent="0.35">
      <c r="A370" s="26" t="str">
        <f t="shared" si="15"/>
        <v>вул. Садова</v>
      </c>
      <c r="B370" s="26" t="str">
        <f t="shared" si="16"/>
        <v>3,23  49,55</v>
      </c>
      <c r="C370" s="27" t="str" cm="1">
        <f t="array" ref="C370">IF($O370="","",_xlfn.TEXTJOIN(", ",TRUE,IF(EXACT('Дані_зв''язок'!$J$4:$J$1012,$O370)*('Дані_зв''язок'!$C$4:$C$1012=C$4),'Дані_зв''язок'!$D$4:$D$1012,"")))</f>
        <v/>
      </c>
      <c r="D370" s="27" t="str" cm="1">
        <f t="array" ref="D370">IF($O370="","",_xlfn.TEXTJOIN(", ",TRUE,IF(EXACT('Дані_зв''язок'!$J$4:$J$1012,$O370)*('Дані_зв''язок'!$C$4:$C$1012=D$4),'Дані_зв''язок'!$D$4:$D$1012,"")))</f>
        <v/>
      </c>
      <c r="E370" s="27" t="str" cm="1">
        <f t="array" ref="E370">IF($O370="","",_xlfn.TEXTJOIN(", ",TRUE,IF(EXACT('Дані_зв''язок'!$J$4:$J$1012,$O370)*('Дані_зв''язок'!$C$4:$C$1012=E$4),'Дані_зв''язок'!$D$4:$D$1012,"")))</f>
        <v/>
      </c>
      <c r="F370" s="27" t="str" cm="1">
        <f t="array" ref="F370">IF($O370="","",_xlfn.TEXTJOIN(", ",TRUE,IF(EXACT('Дані_зв''язок'!$J$4:$J$1012,$O370)*('Дані_зв''язок'!$C$4:$C$1012=F$4),'Дані_зв''язок'!$D$4:$D$1012,"")))</f>
        <v>12:20</v>
      </c>
      <c r="G370" s="27" t="str" cm="1">
        <f t="array" ref="G370">IF($O370="","",_xlfn.TEXTJOIN(", ",TRUE,IF(EXACT('Дані_зв''язок'!$J$4:$J$1012,$O370)*('Дані_зв''язок'!$C$4:$C$1012=G$4),'Дані_зв''язок'!$D$4:$D$1012,"")))</f>
        <v/>
      </c>
      <c r="H370" s="27" t="str" cm="1">
        <f t="array" ref="H370">IF($O370="","",_xlfn.TEXTJOIN(", ",TRUE,IF(EXACT('Дані_зв''язок'!$J$4:$J$1012,$O370)*('Дані_зв''язок'!$C$4:$C$1012=H$4),'Дані_зв''язок'!$D$4:$D$1012,"")))</f>
        <v/>
      </c>
      <c r="I370" s="27" t="str" cm="1">
        <f t="array" ref="I370">IF($O370="","",_xlfn.TEXTJOIN(", ",TRUE,IF(EXACT('Дані_зв''язок'!$J$4:$J$1012,$O370)*('Дані_зв''язок'!$C$4:$C$1012=I$4),'Дані_зв''язок'!$D$4:$D$1012,"")))</f>
        <v/>
      </c>
      <c r="J370" s="27" cm="1">
        <f t="array" ref="J370">IF($O370="","",COUNTIF(C370:I370,"?*")+SUMPRODUCT(LEN(C370:I370)-LEN(SUBSTITUTE(C370:I370,",",""))))</f>
        <v>1</v>
      </c>
      <c r="K370" s="28" t="str" cm="1">
        <f t="array" ref="K370">IF($O370="","",_xlfn.TEXTJOIN(", ",TRUE,IF(EXACT('Дані_зв''язок'!$J$4:$J$1012,$O370),'Дані_зв''язок'!$L$4:$L$1012,"")))</f>
        <v>№6</v>
      </c>
      <c r="L370" s="28" t="str" cm="1">
        <f t="array" ref="L370">IF($O370="","",_xlfn.TEXTJOIN(", ",TRUE,IF(EXACT('Дані_зв''язок'!$J$4:$J$1012,$O370),'Дані_зв''язок'!$M$4:$M$1012,"")))</f>
        <v>АТ 4021</v>
      </c>
      <c r="M370" s="27" t="str" cm="1">
        <f t="array" ref="M370">IF($O370="","",IF(SUMPRODUCT(MAX(EXACT('Дані_зв''язок'!$J$4:$J$1012,$O370)*IFERROR('Дані_зв''язок'!$H$4:$H$1012,0)))=0,"",SUMPRODUCT(MAX(EXACT('Дані_зв''язок'!$J$4:$J$1012,$O370)*IFERROR('Дані_зв''язок'!$H$4:$H$1012,0)))))</f>
        <v/>
      </c>
      <c r="O370" s="30" t="s">
        <v>1489</v>
      </c>
      <c r="P370" s="24" cm="1">
        <f t="array" ref="P370">IF($O370="","",IF($B370="","",IFERROR(IF(MIN(IFERROR(VALUE(TRIM(MID(SUBSTITUTE(SUBSTITUTE($B370,","," ")," ",REPT(" ",30)),{1;31;61;91;121;151;181},30))),""))=0,"",MIN(IFERROR(VALUE(TRIM(MID(SUBSTITUTE(SUBSTITUTE($B370,","," ")," ",REPT(" ",30)),{1;31;61;91;121;151;181},30))),""))),"")))</f>
        <v>3</v>
      </c>
      <c r="Q370" s="23" t="str">
        <f t="shared" si="17"/>
        <v>Прилуки, Чернігівська обл., вул. Садова, 3</v>
      </c>
      <c r="R370" s="35">
        <f>IF($O370="","",IFERROR(INDEX('Координати майданчиків'!$H$4:$H$64,MATCH($T370,'Координати майданчиків'!$B$4:$B$64,0)),IFERROR(IF(ABS(INDEX(Геокодування!$C$2:$C$361,MATCH($Q370,Геокодування!$B$2:$B$361,0))-50.5884)+ABS(INDEX(Геокодування!$D$2:$D$361,MATCH($Q370,Геокодування!$B$2:$B$361,0))-32.3876)&gt;0.15,"",INDEX(Геокодування!$C$2:$C$361,MATCH($Q370,Геокодування!$B$2:$B$361,0))),IFERROR(IF(ABS(INDEX(Геокодування!$C$2:$C$361,MATCH("Прилуки, Чернігівська обл., "&amp;$A370,Геокодування!$B$2:$B$361,0))-50.5884)+ABS(INDEX(Геокодування!$D$2:$D$361,MATCH("Прилуки, Чернігівська обл., "&amp;$A370,Геокодування!$B$2:$B$361,0))-32.3876)&gt;0.15,"",INDEX(Геокодування!$C$2:$C$361,MATCH("Прилуки, Чернігівська обл., "&amp;$A370,Геокодування!$B$2:$B$361,0))),""))))</f>
        <v>50.592098</v>
      </c>
      <c r="S370" s="43">
        <f>IF($O370="","",IFERROR(INDEX('Координати майданчиків'!$I$4:$I$64,MATCH($T370,'Координати майданчиків'!$B$4:$B$64,0)),IFERROR(IF(ABS(INDEX(Геокодування!$C$2:$C$361,MATCH($Q370,Геокодування!$B$2:$B$361,0))-50.5884)+ABS(INDEX(Геокодування!$D$2:$D$361,MATCH($Q370,Геокодування!$B$2:$B$361,0))-32.3876)&gt;0.15,"",INDEX(Геокодування!$D$2:$D$361,MATCH($Q370,Геокодування!$B$2:$B$361,0))),IFERROR(IF(ABS(INDEX(Геокодування!$C$2:$C$361,MATCH("Прилуки, Чернігівська обл., "&amp;$A370,Геокодування!$B$2:$B$361,0))-50.5884)+ABS(INDEX(Геокодування!$D$2:$D$361,MATCH("Прилуки, Чернігівська обл., "&amp;$A370,Геокодування!$B$2:$B$361,0))-32.3876)&gt;0.15,"",INDEX(Геокодування!$D$2:$D$361,MATCH("Прилуки, Чернігівська обл., "&amp;$A370,Геокодування!$B$2:$B$361,0))),""))))</f>
        <v>32.389178999999999</v>
      </c>
      <c r="T370" s="44" t="str">
        <f>IF($O370="","",IFERROR(INDEX('Координати майданчиків'!$B$4:$B$64,MATCH($A370&amp;IF($P370="","",", "&amp;$P370),'Координати майданчиків'!$B$4:$B$64,0)),IFERROR(INDEX('Координати майданчиків'!$B$4:$B$64,MATCH($A370,'Координати майданчиків'!$B$4:$B$64,0)),"")))</f>
        <v/>
      </c>
    </row>
    <row r="371" spans="1:20" x14ac:dyDescent="0.35">
      <c r="A371" s="26" t="str">
        <f t="shared" si="15"/>
        <v>вул. Садова</v>
      </c>
      <c r="B371" s="26" t="str">
        <f t="shared" si="16"/>
        <v>64</v>
      </c>
      <c r="C371" s="27" t="str" cm="1">
        <f t="array" ref="C371">IF($O371="","",_xlfn.TEXTJOIN(", ",TRUE,IF(EXACT('Дані_зв''язок'!$J$4:$J$1012,$O371)*('Дані_зв''язок'!$C$4:$C$1012=C$4),'Дані_зв''язок'!$D$4:$D$1012,"")))</f>
        <v>12:50</v>
      </c>
      <c r="D371" s="27" t="str" cm="1">
        <f t="array" ref="D371">IF($O371="","",_xlfn.TEXTJOIN(", ",TRUE,IF(EXACT('Дані_зв''язок'!$J$4:$J$1012,$O371)*('Дані_зв''язок'!$C$4:$C$1012=D$4),'Дані_зв''язок'!$D$4:$D$1012,"")))</f>
        <v>12:50</v>
      </c>
      <c r="E371" s="27" t="str" cm="1">
        <f t="array" ref="E371">IF($O371="","",_xlfn.TEXTJOIN(", ",TRUE,IF(EXACT('Дані_зв''язок'!$J$4:$J$1012,$O371)*('Дані_зв''язок'!$C$4:$C$1012=E$4),'Дані_зв''язок'!$D$4:$D$1012,"")))</f>
        <v>14:10</v>
      </c>
      <c r="F371" s="27" t="str" cm="1">
        <f t="array" ref="F371">IF($O371="","",_xlfn.TEXTJOIN(", ",TRUE,IF(EXACT('Дані_зв''язок'!$J$4:$J$1012,$O371)*('Дані_зв''язок'!$C$4:$C$1012=F$4),'Дані_зв''язок'!$D$4:$D$1012,"")))</f>
        <v>12:50</v>
      </c>
      <c r="G371" s="27" t="str" cm="1">
        <f t="array" ref="G371">IF($O371="","",_xlfn.TEXTJOIN(", ",TRUE,IF(EXACT('Дані_зв''язок'!$J$4:$J$1012,$O371)*('Дані_зв''язок'!$C$4:$C$1012=G$4),'Дані_зв''язок'!$D$4:$D$1012,"")))</f>
        <v>12:50</v>
      </c>
      <c r="H371" s="27" t="str" cm="1">
        <f t="array" ref="H371">IF($O371="","",_xlfn.TEXTJOIN(", ",TRUE,IF(EXACT('Дані_зв''язок'!$J$4:$J$1012,$O371)*('Дані_зв''язок'!$C$4:$C$1012=H$4),'Дані_зв''язок'!$D$4:$D$1012,"")))</f>
        <v>14:10</v>
      </c>
      <c r="I371" s="27" t="str" cm="1">
        <f t="array" ref="I371">IF($O371="","",_xlfn.TEXTJOIN(", ",TRUE,IF(EXACT('Дані_зв''язок'!$J$4:$J$1012,$O371)*('Дані_зв''язок'!$C$4:$C$1012=I$4),'Дані_зв''язок'!$D$4:$D$1012,"")))</f>
        <v>12:50</v>
      </c>
      <c r="J371" s="27" cm="1">
        <f t="array" ref="J371">IF($O371="","",COUNTIF(C371:I371,"?*")+SUMPRODUCT(LEN(C371:I371)-LEN(SUBSTITUTE(C371:I371,",",""))))</f>
        <v>7</v>
      </c>
      <c r="K371" s="28" t="str" cm="1">
        <f t="array" ref="K371">IF($O371="","",_xlfn.TEXTJOIN(", ",TRUE,IF(EXACT('Дані_зв''язок'!$J$4:$J$1012,$O371),'Дані_зв''язок'!$L$4:$L$1012,"")))</f>
        <v>№2</v>
      </c>
      <c r="L371" s="28" t="str" cm="1">
        <f t="array" ref="L371">IF($O371="","",_xlfn.TEXTJOIN(", ",TRUE,IF(EXACT('Дані_зв''язок'!$J$4:$J$1012,$O371),'Дані_зв''язок'!$M$4:$M$1012,"")))</f>
        <v>АТ 4021/1120, АТ-4021/1120</v>
      </c>
      <c r="M371" s="27" cm="1">
        <f t="array" ref="M371">IF($O371="","",IF(SUMPRODUCT(MAX(EXACT('Дані_зв''язок'!$J$4:$J$1012,$O371)*IFERROR('Дані_зв''язок'!$H$4:$H$1012,0)))=0,"",SUMPRODUCT(MAX(EXACT('Дані_зв''язок'!$J$4:$J$1012,$O371)*IFERROR('Дані_зв''язок'!$H$4:$H$1012,0)))))</f>
        <v>4</v>
      </c>
      <c r="O371" s="30" t="s">
        <v>1490</v>
      </c>
      <c r="P371" s="24" cm="1">
        <f t="array" ref="P371">IF($O371="","",IF($B371="","",IFERROR(IF(MIN(IFERROR(VALUE(TRIM(MID(SUBSTITUTE(SUBSTITUTE($B371,","," ")," ",REPT(" ",30)),{1;31;61;91;121;151;181},30))),""))=0,"",MIN(IFERROR(VALUE(TRIM(MID(SUBSTITUTE(SUBSTITUTE($B371,","," ")," ",REPT(" ",30)),{1;31;61;91;121;151;181},30))),""))),"")))</f>
        <v>64</v>
      </c>
      <c r="Q371" s="23" t="str">
        <f t="shared" si="17"/>
        <v>Прилуки, Чернігівська обл., вул. Садова, 64</v>
      </c>
      <c r="R371" s="35">
        <f>IF($O371="","",IFERROR(INDEX('Координати майданчиків'!$H$4:$H$64,MATCH($T371,'Координати майданчиків'!$B$4:$B$64,0)),IFERROR(IF(ABS(INDEX(Геокодування!$C$2:$C$361,MATCH($Q371,Геокодування!$B$2:$B$361,0))-50.5884)+ABS(INDEX(Геокодування!$D$2:$D$361,MATCH($Q371,Геокодування!$B$2:$B$361,0))-32.3876)&gt;0.15,"",INDEX(Геокодування!$C$2:$C$361,MATCH($Q371,Геокодування!$B$2:$B$361,0))),IFERROR(IF(ABS(INDEX(Геокодування!$C$2:$C$361,MATCH("Прилуки, Чернігівська обл., "&amp;$A371,Геокодування!$B$2:$B$361,0))-50.5884)+ABS(INDEX(Геокодування!$D$2:$D$361,MATCH("Прилуки, Чернігівська обл., "&amp;$A371,Геокодування!$B$2:$B$361,0))-32.3876)&gt;0.15,"",INDEX(Геокодування!$C$2:$C$361,MATCH("Прилуки, Чернігівська обл., "&amp;$A371,Геокодування!$B$2:$B$361,0))),""))))</f>
        <v>50.591180000000001</v>
      </c>
      <c r="S371" s="43">
        <f>IF($O371="","",IFERROR(INDEX('Координати майданчиків'!$I$4:$I$64,MATCH($T371,'Координати майданчиків'!$B$4:$B$64,0)),IFERROR(IF(ABS(INDEX(Геокодування!$C$2:$C$361,MATCH($Q371,Геокодування!$B$2:$B$361,0))-50.5884)+ABS(INDEX(Геокодування!$D$2:$D$361,MATCH($Q371,Геокодування!$B$2:$B$361,0))-32.3876)&gt;0.15,"",INDEX(Геокодування!$D$2:$D$361,MATCH($Q371,Геокодування!$B$2:$B$361,0))),IFERROR(IF(ABS(INDEX(Геокодування!$C$2:$C$361,MATCH("Прилуки, Чернігівська обл., "&amp;$A371,Геокодування!$B$2:$B$361,0))-50.5884)+ABS(INDEX(Геокодування!$D$2:$D$361,MATCH("Прилуки, Чернігівська обл., "&amp;$A371,Геокодування!$B$2:$B$361,0))-32.3876)&gt;0.15,"",INDEX(Геокодування!$D$2:$D$361,MATCH("Прилуки, Чернігівська обл., "&amp;$A371,Геокодування!$B$2:$B$361,0))),""))))</f>
        <v>32.387889999999999</v>
      </c>
      <c r="T371" s="44" t="str">
        <f>IF($O371="","",IFERROR(INDEX('Координати майданчиків'!$B$4:$B$64,MATCH($A371&amp;IF($P371="","",", "&amp;$P371),'Координати майданчиків'!$B$4:$B$64,0)),IFERROR(INDEX('Координати майданчиків'!$B$4:$B$64,MATCH($A371,'Координати майданчиків'!$B$4:$B$64,0)),"")))</f>
        <v>вул. Садова, 64</v>
      </c>
    </row>
    <row r="372" spans="1:20" x14ac:dyDescent="0.35">
      <c r="A372" s="26" t="str">
        <f t="shared" si="15"/>
        <v>вул. Садова</v>
      </c>
      <c r="B372" s="26" t="str">
        <f t="shared" si="16"/>
        <v>Нова пошта</v>
      </c>
      <c r="C372" s="27" t="str" cm="1">
        <f t="array" ref="C372">IF($O372="","",_xlfn.TEXTJOIN(", ",TRUE,IF(EXACT('Дані_зв''язок'!$J$4:$J$1012,$O372)*('Дані_зв''язок'!$C$4:$C$1012=C$4),'Дані_зв''язок'!$D$4:$D$1012,"")))</f>
        <v>7:45</v>
      </c>
      <c r="D372" s="27" t="str" cm="1">
        <f t="array" ref="D372">IF($O372="","",_xlfn.TEXTJOIN(", ",TRUE,IF(EXACT('Дані_зв''язок'!$J$4:$J$1012,$O372)*('Дані_зв''язок'!$C$4:$C$1012=D$4),'Дані_зв''язок'!$D$4:$D$1012,"")))</f>
        <v>7:45, 15:35</v>
      </c>
      <c r="E372" s="27" t="str" cm="1">
        <f t="array" ref="E372">IF($O372="","",_xlfn.TEXTJOIN(", ",TRUE,IF(EXACT('Дані_зв''язок'!$J$4:$J$1012,$O372)*('Дані_зв''язок'!$C$4:$C$1012=E$4),'Дані_зв''язок'!$D$4:$D$1012,"")))</f>
        <v>8:00, 14:30</v>
      </c>
      <c r="F372" s="27" t="str" cm="1">
        <f t="array" ref="F372">IF($O372="","",_xlfn.TEXTJOIN(", ",TRUE,IF(EXACT('Дані_зв''язок'!$J$4:$J$1012,$O372)*('Дані_зв''язок'!$C$4:$C$1012=F$4),'Дані_зв''язок'!$D$4:$D$1012,"")))</f>
        <v>7:45</v>
      </c>
      <c r="G372" s="27" t="str" cm="1">
        <f t="array" ref="G372">IF($O372="","",_xlfn.TEXTJOIN(", ",TRUE,IF(EXACT('Дані_зв''язок'!$J$4:$J$1012,$O372)*('Дані_зв''язок'!$C$4:$C$1012=G$4),'Дані_зв''язок'!$D$4:$D$1012,"")))</f>
        <v>7:45</v>
      </c>
      <c r="H372" s="27" t="str" cm="1">
        <f t="array" ref="H372">IF($O372="","",_xlfn.TEXTJOIN(", ",TRUE,IF(EXACT('Дані_зв''язок'!$J$4:$J$1012,$O372)*('Дані_зв''язок'!$C$4:$C$1012=H$4),'Дані_зв''язок'!$D$4:$D$1012,"")))</f>
        <v>8:00, 14:30</v>
      </c>
      <c r="I372" s="27" t="str" cm="1">
        <f t="array" ref="I372">IF($O372="","",_xlfn.TEXTJOIN(", ",TRUE,IF(EXACT('Дані_зв''язок'!$J$4:$J$1012,$O372)*('Дані_зв''язок'!$C$4:$C$1012=I$4),'Дані_зв''язок'!$D$4:$D$1012,"")))</f>
        <v>7:45, 15:15</v>
      </c>
      <c r="J372" s="27" cm="1">
        <f t="array" ref="J372">IF($O372="","",COUNTIF(C372:I372,"?*")+SUMPRODUCT(LEN(C372:I372)-LEN(SUBSTITUTE(C372:I372,",",""))))</f>
        <v>11</v>
      </c>
      <c r="K372" s="28" t="str" cm="1">
        <f t="array" ref="K372">IF($O372="","",_xlfn.TEXTJOIN(", ",TRUE,IF(EXACT('Дані_зв''язок'!$J$4:$J$1012,$O372),'Дані_зв''язок'!$L$4:$L$1012,"")))</f>
        <v>№2</v>
      </c>
      <c r="L372" s="28" t="str" cm="1">
        <f t="array" ref="L372">IF($O372="","",_xlfn.TEXTJOIN(", ",TRUE,IF(EXACT('Дані_зв''язок'!$J$4:$J$1012,$O372),'Дані_зв''язок'!$M$4:$M$1012,"")))</f>
        <v>АТ 4021/1120, АТ-4021/1120</v>
      </c>
      <c r="M372" s="27" cm="1">
        <f t="array" ref="M372">IF($O372="","",IF(SUMPRODUCT(MAX(EXACT('Дані_зв''язок'!$J$4:$J$1012,$O372)*IFERROR('Дані_зв''язок'!$H$4:$H$1012,0)))=0,"",SUMPRODUCT(MAX(EXACT('Дані_зв''язок'!$J$4:$J$1012,$O372)*IFERROR('Дані_зв''язок'!$H$4:$H$1012,0)))))</f>
        <v>3</v>
      </c>
      <c r="O372" s="30" t="s">
        <v>1492</v>
      </c>
      <c r="P372" s="24" t="str" cm="1">
        <f t="array" ref="P372">IF($O372="","",IF($B372="","",IFERROR(IF(MIN(IFERROR(VALUE(TRIM(MID(SUBSTITUTE(SUBSTITUTE($B372,","," ")," ",REPT(" ",30)),{1;31;61;91;121;151;181},30))),""))=0,"",MIN(IFERROR(VALUE(TRIM(MID(SUBSTITUTE(SUBSTITUTE($B372,","," ")," ",REPT(" ",30)),{1;31;61;91;121;151;181},30))),""))),"")))</f>
        <v/>
      </c>
      <c r="Q372" s="23" t="str">
        <f t="shared" si="17"/>
        <v>Прилуки, Чернігівська обл., вул. Садова</v>
      </c>
      <c r="R372" s="69">
        <f>IF($O372="","",IFERROR(INDEX('Координати майданчиків'!$H$4:$H$64,MATCH($T372,'Координати майданчиків'!$B$4:$B$64,0)),IFERROR(IF(ABS(INDEX(Геокодування!$C$2:$C$361,MATCH($Q372,Геокодування!$B$2:$B$361,0))-50.5884)+ABS(INDEX(Геокодування!$D$2:$D$361,MATCH($Q372,Геокодування!$B$2:$B$361,0))-32.3876)&gt;0.15,"",INDEX(Геокодування!$C$2:$C$361,MATCH($Q372,Геокодування!$B$2:$B$361,0))),IFERROR(IF(ABS(INDEX(Геокодування!$C$2:$C$361,MATCH("Прилуки, Чернігівська обл., "&amp;$A372,Геокодування!$B$2:$B$361,0))-50.5884)+ABS(INDEX(Геокодування!$D$2:$D$361,MATCH("Прилуки, Чернігівська обл., "&amp;$A372,Геокодування!$B$2:$B$361,0))-32.3876)&gt;0.15,"",INDEX(Геокодування!$C$2:$C$361,MATCH("Прилуки, Чернігівська обл., "&amp;$A372,Геокодування!$B$2:$B$361,0))),""))))</f>
        <v>50.592098</v>
      </c>
      <c r="S372" s="69">
        <f>IF($O372="","",IFERROR(INDEX('Координати майданчиків'!$I$4:$I$64,MATCH($T372,'Координати майданчиків'!$B$4:$B$64,0)),IFERROR(IF(ABS(INDEX(Геокодування!$C$2:$C$361,MATCH($Q372,Геокодування!$B$2:$B$361,0))-50.5884)+ABS(INDEX(Геокодування!$D$2:$D$361,MATCH($Q372,Геокодування!$B$2:$B$361,0))-32.3876)&gt;0.15,"",INDEX(Геокодування!$D$2:$D$361,MATCH($Q372,Геокодування!$B$2:$B$361,0))),IFERROR(IF(ABS(INDEX(Геокодування!$C$2:$C$361,MATCH("Прилуки, Чернігівська обл., "&amp;$A372,Геокодування!$B$2:$B$361,0))-50.5884)+ABS(INDEX(Геокодування!$D$2:$D$361,MATCH("Прилуки, Чернігівська обл., "&amp;$A372,Геокодування!$B$2:$B$361,0))-32.3876)&gt;0.15,"",INDEX(Геокодування!$D$2:$D$361,MATCH("Прилуки, Чернігівська обл., "&amp;$A372,Геокодування!$B$2:$B$361,0))),""))))</f>
        <v>32.389178999999999</v>
      </c>
      <c r="T372" s="44" t="str">
        <f>IF($O372="","",IFERROR(INDEX('Координати майданчиків'!$B$4:$B$64,MATCH($A372&amp;IF($P372="","",", "&amp;$P372),'Координати майданчиків'!$B$4:$B$64,0)),IFERROR(INDEX('Координати майданчиків'!$B$4:$B$64,MATCH($A372,'Координати майданчиків'!$B$4:$B$64,0)),"")))</f>
        <v/>
      </c>
    </row>
    <row r="373" spans="1:20" x14ac:dyDescent="0.35">
      <c r="A373" s="26" t="str">
        <f t="shared" si="15"/>
        <v>вул. Садова</v>
      </c>
      <c r="B373" s="26" t="str">
        <f t="shared" si="16"/>
        <v>УПО</v>
      </c>
      <c r="C373" s="27" t="str" cm="1">
        <f t="array" ref="C373">IF($O373="","",_xlfn.TEXTJOIN(", ",TRUE,IF(EXACT('Дані_зв''язок'!$J$4:$J$1012,$O373)*('Дані_зв''язок'!$C$4:$C$1012=C$4),'Дані_зв''язок'!$D$4:$D$1012,"")))</f>
        <v>12:45</v>
      </c>
      <c r="D373" s="27" t="str" cm="1">
        <f t="array" ref="D373">IF($O373="","",_xlfn.TEXTJOIN(", ",TRUE,IF(EXACT('Дані_зв''язок'!$J$4:$J$1012,$O373)*('Дані_зв''язок'!$C$4:$C$1012=D$4),'Дані_зв''язок'!$D$4:$D$1012,"")))</f>
        <v/>
      </c>
      <c r="E373" s="27" t="str" cm="1">
        <f t="array" ref="E373">IF($O373="","",_xlfn.TEXTJOIN(", ",TRUE,IF(EXACT('Дані_зв''язок'!$J$4:$J$1012,$O373)*('Дані_зв''язок'!$C$4:$C$1012=E$4),'Дані_зв''язок'!$D$4:$D$1012,"")))</f>
        <v/>
      </c>
      <c r="F373" s="27" t="str" cm="1">
        <f t="array" ref="F373">IF($O373="","",_xlfn.TEXTJOIN(", ",TRUE,IF(EXACT('Дані_зв''язок'!$J$4:$J$1012,$O373)*('Дані_зв''язок'!$C$4:$C$1012=F$4),'Дані_зв''язок'!$D$4:$D$1012,"")))</f>
        <v/>
      </c>
      <c r="G373" s="27" t="str" cm="1">
        <f t="array" ref="G373">IF($O373="","",_xlfn.TEXTJOIN(", ",TRUE,IF(EXACT('Дані_зв''язок'!$J$4:$J$1012,$O373)*('Дані_зв''язок'!$C$4:$C$1012=G$4),'Дані_зв''язок'!$D$4:$D$1012,"")))</f>
        <v/>
      </c>
      <c r="H373" s="27" t="str" cm="1">
        <f t="array" ref="H373">IF($O373="","",_xlfn.TEXTJOIN(", ",TRUE,IF(EXACT('Дані_зв''язок'!$J$4:$J$1012,$O373)*('Дані_зв''язок'!$C$4:$C$1012=H$4),'Дані_зв''язок'!$D$4:$D$1012,"")))</f>
        <v/>
      </c>
      <c r="I373" s="27" t="str" cm="1">
        <f t="array" ref="I373">IF($O373="","",_xlfn.TEXTJOIN(", ",TRUE,IF(EXACT('Дані_зв''язок'!$J$4:$J$1012,$O373)*('Дані_зв''язок'!$C$4:$C$1012=I$4),'Дані_зв''язок'!$D$4:$D$1012,"")))</f>
        <v/>
      </c>
      <c r="J373" s="27" cm="1">
        <f t="array" ref="J373">IF($O373="","",COUNTIF(C373:I373,"?*")+SUMPRODUCT(LEN(C373:I373)-LEN(SUBSTITUTE(C373:I373,",",""))))</f>
        <v>1</v>
      </c>
      <c r="K373" s="28" t="str" cm="1">
        <f t="array" ref="K373">IF($O373="","",_xlfn.TEXTJOIN(", ",TRUE,IF(EXACT('Дані_зв''язок'!$J$4:$J$1012,$O373),'Дані_зв''язок'!$L$4:$L$1012,"")))</f>
        <v>№1</v>
      </c>
      <c r="L373" s="28" t="str" cm="1">
        <f t="array" ref="L373">IF($O373="","",_xlfn.TEXTJOIN(", ",TRUE,IF(EXACT('Дані_зв''язок'!$J$4:$J$1012,$O373),'Дані_зв''язок'!$M$4:$M$1012,"")))</f>
        <v>АТ-4021/1120</v>
      </c>
      <c r="M373" s="27" cm="1">
        <f t="array" ref="M373">IF($O373="","",IF(SUMPRODUCT(MAX(EXACT('Дані_зв''язок'!$J$4:$J$1012,$O373)*IFERROR('Дані_зв''язок'!$H$4:$H$1012,0)))=0,"",SUMPRODUCT(MAX(EXACT('Дані_зв''язок'!$J$4:$J$1012,$O373)*IFERROR('Дані_зв''язок'!$H$4:$H$1012,0)))))</f>
        <v>1</v>
      </c>
      <c r="O373" s="30" t="s">
        <v>1493</v>
      </c>
      <c r="P373" s="24" t="str" cm="1">
        <f t="array" ref="P373">IF($O373="","",IF($B373="","",IFERROR(IF(MIN(IFERROR(VALUE(TRIM(MID(SUBSTITUTE(SUBSTITUTE($B373,","," ")," ",REPT(" ",30)),{1;31;61;91;121;151;181},30))),""))=0,"",MIN(IFERROR(VALUE(TRIM(MID(SUBSTITUTE(SUBSTITUTE($B373,","," ")," ",REPT(" ",30)),{1;31;61;91;121;151;181},30))),""))),"")))</f>
        <v/>
      </c>
      <c r="Q373" s="23" t="str">
        <f t="shared" si="17"/>
        <v>Прилуки, Чернігівська обл., вул. Садова</v>
      </c>
      <c r="R373" s="69">
        <f>IF($O373="","",IFERROR(INDEX('Координати майданчиків'!$H$4:$H$64,MATCH($T373,'Координати майданчиків'!$B$4:$B$64,0)),IFERROR(IF(ABS(INDEX(Геокодування!$C$2:$C$361,MATCH($Q373,Геокодування!$B$2:$B$361,0))-50.5884)+ABS(INDEX(Геокодування!$D$2:$D$361,MATCH($Q373,Геокодування!$B$2:$B$361,0))-32.3876)&gt;0.15,"",INDEX(Геокодування!$C$2:$C$361,MATCH($Q373,Геокодування!$B$2:$B$361,0))),IFERROR(IF(ABS(INDEX(Геокодування!$C$2:$C$361,MATCH("Прилуки, Чернігівська обл., "&amp;$A373,Геокодування!$B$2:$B$361,0))-50.5884)+ABS(INDEX(Геокодування!$D$2:$D$361,MATCH("Прилуки, Чернігівська обл., "&amp;$A373,Геокодування!$B$2:$B$361,0))-32.3876)&gt;0.15,"",INDEX(Геокодування!$C$2:$C$361,MATCH("Прилуки, Чернігівська обл., "&amp;$A373,Геокодування!$B$2:$B$361,0))),""))))</f>
        <v>50.592098</v>
      </c>
      <c r="S373" s="69">
        <f>IF($O373="","",IFERROR(INDEX('Координати майданчиків'!$I$4:$I$64,MATCH($T373,'Координати майданчиків'!$B$4:$B$64,0)),IFERROR(IF(ABS(INDEX(Геокодування!$C$2:$C$361,MATCH($Q373,Геокодування!$B$2:$B$361,0))-50.5884)+ABS(INDEX(Геокодування!$D$2:$D$361,MATCH($Q373,Геокодування!$B$2:$B$361,0))-32.3876)&gt;0.15,"",INDEX(Геокодування!$D$2:$D$361,MATCH($Q373,Геокодування!$B$2:$B$361,0))),IFERROR(IF(ABS(INDEX(Геокодування!$C$2:$C$361,MATCH("Прилуки, Чернігівська обл., "&amp;$A373,Геокодування!$B$2:$B$361,0))-50.5884)+ABS(INDEX(Геокодування!$D$2:$D$361,MATCH("Прилуки, Чернігівська обл., "&amp;$A373,Геокодування!$B$2:$B$361,0))-32.3876)&gt;0.15,"",INDEX(Геокодування!$D$2:$D$361,MATCH("Прилуки, Чернігівська обл., "&amp;$A373,Геокодування!$B$2:$B$361,0))),""))))</f>
        <v>32.389178999999999</v>
      </c>
      <c r="T373" s="44" t="str">
        <f>IF($O373="","",IFERROR(INDEX('Координати майданчиків'!$B$4:$B$64,MATCH($A373&amp;IF($P373="","",", "&amp;$P373),'Координати майданчиків'!$B$4:$B$64,0)),IFERROR(INDEX('Координати майданчиків'!$B$4:$B$64,MATCH($A373,'Координати майданчиків'!$B$4:$B$64,0)),"")))</f>
        <v/>
      </c>
    </row>
    <row r="374" spans="1:20" x14ac:dyDescent="0.35">
      <c r="A374" s="26" t="str">
        <f t="shared" si="15"/>
        <v>вул. Садова</v>
      </c>
      <c r="B374" s="26" t="str">
        <f t="shared" si="16"/>
        <v>м-н М'ясний край</v>
      </c>
      <c r="C374" s="27" t="str" cm="1">
        <f t="array" ref="C374">IF($O374="","",_xlfn.TEXTJOIN(", ",TRUE,IF(EXACT('Дані_зв''язок'!$J$4:$J$1012,$O374)*('Дані_зв''язок'!$C$4:$C$1012=C$4),'Дані_зв''язок'!$D$4:$D$1012,"")))</f>
        <v>9:50</v>
      </c>
      <c r="D374" s="27" t="str" cm="1">
        <f t="array" ref="D374">IF($O374="","",_xlfn.TEXTJOIN(", ",TRUE,IF(EXACT('Дані_зв''язок'!$J$4:$J$1012,$O374)*('Дані_зв''язок'!$C$4:$C$1012=D$4),'Дані_зв''язок'!$D$4:$D$1012,"")))</f>
        <v/>
      </c>
      <c r="E374" s="27" t="str" cm="1">
        <f t="array" ref="E374">IF($O374="","",_xlfn.TEXTJOIN(", ",TRUE,IF(EXACT('Дані_зв''язок'!$J$4:$J$1012,$O374)*('Дані_зв''язок'!$C$4:$C$1012=E$4),'Дані_зв''язок'!$D$4:$D$1012,"")))</f>
        <v/>
      </c>
      <c r="F374" s="27" t="str" cm="1">
        <f t="array" ref="F374">IF($O374="","",_xlfn.TEXTJOIN(", ",TRUE,IF(EXACT('Дані_зв''язок'!$J$4:$J$1012,$O374)*('Дані_зв''язок'!$C$4:$C$1012=F$4),'Дані_зв''язок'!$D$4:$D$1012,"")))</f>
        <v/>
      </c>
      <c r="G374" s="27" t="str" cm="1">
        <f t="array" ref="G374">IF($O374="","",_xlfn.TEXTJOIN(", ",TRUE,IF(EXACT('Дані_зв''язок'!$J$4:$J$1012,$O374)*('Дані_зв''язок'!$C$4:$C$1012=G$4),'Дані_зв''язок'!$D$4:$D$1012,"")))</f>
        <v>9:40</v>
      </c>
      <c r="H374" s="27" t="str" cm="1">
        <f t="array" ref="H374">IF($O374="","",_xlfn.TEXTJOIN(", ",TRUE,IF(EXACT('Дані_зв''язок'!$J$4:$J$1012,$O374)*('Дані_зв''язок'!$C$4:$C$1012=H$4),'Дані_зв''язок'!$D$4:$D$1012,"")))</f>
        <v/>
      </c>
      <c r="I374" s="27" t="str" cm="1">
        <f t="array" ref="I374">IF($O374="","",_xlfn.TEXTJOIN(", ",TRUE,IF(EXACT('Дані_зв''язок'!$J$4:$J$1012,$O374)*('Дані_зв''язок'!$C$4:$C$1012=I$4),'Дані_зв''язок'!$D$4:$D$1012,"")))</f>
        <v/>
      </c>
      <c r="J374" s="27" cm="1">
        <f t="array" ref="J374">IF($O374="","",COUNTIF(C374:I374,"?*")+SUMPRODUCT(LEN(C374:I374)-LEN(SUBSTITUTE(C374:I374,",",""))))</f>
        <v>2</v>
      </c>
      <c r="K374" s="28" t="str" cm="1">
        <f t="array" ref="K374">IF($O374="","",_xlfn.TEXTJOIN(", ",TRUE,IF(EXACT('Дані_зв''язок'!$J$4:$J$1012,$O374),'Дані_зв''язок'!$L$4:$L$1012,"")))</f>
        <v>№1</v>
      </c>
      <c r="L374" s="28" t="str" cm="1">
        <f t="array" ref="L374">IF($O374="","",_xlfn.TEXTJOIN(", ",TRUE,IF(EXACT('Дані_зв''язок'!$J$4:$J$1012,$O374),'Дані_зв''язок'!$M$4:$M$1012,"")))</f>
        <v>КАМАЗ 55111</v>
      </c>
      <c r="M374" s="27" cm="1">
        <f t="array" ref="M374">IF($O374="","",IF(SUMPRODUCT(MAX(EXACT('Дані_зв''язок'!$J$4:$J$1012,$O374)*IFERROR('Дані_зв''язок'!$H$4:$H$1012,0)))=0,"",SUMPRODUCT(MAX(EXACT('Дані_зв''язок'!$J$4:$J$1012,$O374)*IFERROR('Дані_зв''язок'!$H$4:$H$1012,0)))))</f>
        <v>1</v>
      </c>
      <c r="O374" s="30" t="s">
        <v>1491</v>
      </c>
      <c r="P374" s="24" t="str" cm="1">
        <f t="array" ref="P374">IF($O374="","",IF($B374="","",IFERROR(IF(MIN(IFERROR(VALUE(TRIM(MID(SUBSTITUTE(SUBSTITUTE($B374,","," ")," ",REPT(" ",30)),{1;31;61;91;121;151;181},30))),""))=0,"",MIN(IFERROR(VALUE(TRIM(MID(SUBSTITUTE(SUBSTITUTE($B374,","," ")," ",REPT(" ",30)),{1;31;61;91;121;151;181},30))),""))),"")))</f>
        <v/>
      </c>
      <c r="Q374" s="23" t="str">
        <f t="shared" si="17"/>
        <v>Прилуки, Чернігівська обл., вул. Садова</v>
      </c>
      <c r="R374" s="69">
        <f>IF($O374="","",IFERROR(INDEX('Координати майданчиків'!$H$4:$H$64,MATCH($T374,'Координати майданчиків'!$B$4:$B$64,0)),IFERROR(IF(ABS(INDEX(Геокодування!$C$2:$C$361,MATCH($Q374,Геокодування!$B$2:$B$361,0))-50.5884)+ABS(INDEX(Геокодування!$D$2:$D$361,MATCH($Q374,Геокодування!$B$2:$B$361,0))-32.3876)&gt;0.15,"",INDEX(Геокодування!$C$2:$C$361,MATCH($Q374,Геокодування!$B$2:$B$361,0))),IFERROR(IF(ABS(INDEX(Геокодування!$C$2:$C$361,MATCH("Прилуки, Чернігівська обл., "&amp;$A374,Геокодування!$B$2:$B$361,0))-50.5884)+ABS(INDEX(Геокодування!$D$2:$D$361,MATCH("Прилуки, Чернігівська обл., "&amp;$A374,Геокодування!$B$2:$B$361,0))-32.3876)&gt;0.15,"",INDEX(Геокодування!$C$2:$C$361,MATCH("Прилуки, Чернігівська обл., "&amp;$A374,Геокодування!$B$2:$B$361,0))),""))))</f>
        <v>50.592098</v>
      </c>
      <c r="S374" s="69">
        <f>IF($O374="","",IFERROR(INDEX('Координати майданчиків'!$I$4:$I$64,MATCH($T374,'Координати майданчиків'!$B$4:$B$64,0)),IFERROR(IF(ABS(INDEX(Геокодування!$C$2:$C$361,MATCH($Q374,Геокодування!$B$2:$B$361,0))-50.5884)+ABS(INDEX(Геокодування!$D$2:$D$361,MATCH($Q374,Геокодування!$B$2:$B$361,0))-32.3876)&gt;0.15,"",INDEX(Геокодування!$D$2:$D$361,MATCH($Q374,Геокодування!$B$2:$B$361,0))),IFERROR(IF(ABS(INDEX(Геокодування!$C$2:$C$361,MATCH("Прилуки, Чернігівська обл., "&amp;$A374,Геокодування!$B$2:$B$361,0))-50.5884)+ABS(INDEX(Геокодування!$D$2:$D$361,MATCH("Прилуки, Чернігівська обл., "&amp;$A374,Геокодування!$B$2:$B$361,0))-32.3876)&gt;0.15,"",INDEX(Геокодування!$D$2:$D$361,MATCH("Прилуки, Чернігівська обл., "&amp;$A374,Геокодування!$B$2:$B$361,0))),""))))</f>
        <v>32.389178999999999</v>
      </c>
      <c r="T374" s="44" t="str">
        <f>IF($O374="","",IFERROR(INDEX('Координати майданчиків'!$B$4:$B$64,MATCH($A374&amp;IF($P374="","",", "&amp;$P374),'Координати майданчиків'!$B$4:$B$64,0)),IFERROR(INDEX('Координати майданчиків'!$B$4:$B$64,MATCH($A374,'Координати майданчиків'!$B$4:$B$64,0)),"")))</f>
        <v/>
      </c>
    </row>
    <row r="375" spans="1:20" x14ac:dyDescent="0.35">
      <c r="A375" s="26" t="str">
        <f t="shared" si="15"/>
        <v>вул. Саксаганського</v>
      </c>
      <c r="B375" s="26" t="str">
        <f t="shared" si="16"/>
        <v>1</v>
      </c>
      <c r="C375" s="27" t="str" cm="1">
        <f t="array" ref="C375">IF($O375="","",_xlfn.TEXTJOIN(", ",TRUE,IF(EXACT('Дані_зв''язок'!$J$4:$J$1012,$O375)*('Дані_зв''язок'!$C$4:$C$1012=C$4),'Дані_зв''язок'!$D$4:$D$1012,"")))</f>
        <v/>
      </c>
      <c r="D375" s="27" t="str" cm="1">
        <f t="array" ref="D375">IF($O375="","",_xlfn.TEXTJOIN(", ",TRUE,IF(EXACT('Дані_зв''язок'!$J$4:$J$1012,$O375)*('Дані_зв''язок'!$C$4:$C$1012=D$4),'Дані_зв''язок'!$D$4:$D$1012,"")))</f>
        <v/>
      </c>
      <c r="E375" s="27" t="str" cm="1">
        <f t="array" ref="E375">IF($O375="","",_xlfn.TEXTJOIN(", ",TRUE,IF(EXACT('Дані_зв''язок'!$J$4:$J$1012,$O375)*('Дані_зв''язок'!$C$4:$C$1012=E$4),'Дані_зв''язок'!$D$4:$D$1012,"")))</f>
        <v>7:25</v>
      </c>
      <c r="F375" s="27" t="str" cm="1">
        <f t="array" ref="F375">IF($O375="","",_xlfn.TEXTJOIN(", ",TRUE,IF(EXACT('Дані_зв''язок'!$J$4:$J$1012,$O375)*('Дані_зв''язок'!$C$4:$C$1012=F$4),'Дані_зв''язок'!$D$4:$D$1012,"")))</f>
        <v/>
      </c>
      <c r="G375" s="27" t="str" cm="1">
        <f t="array" ref="G375">IF($O375="","",_xlfn.TEXTJOIN(", ",TRUE,IF(EXACT('Дані_зв''язок'!$J$4:$J$1012,$O375)*('Дані_зв''язок'!$C$4:$C$1012=G$4),'Дані_зв''язок'!$D$4:$D$1012,"")))</f>
        <v/>
      </c>
      <c r="H375" s="27" t="str" cm="1">
        <f t="array" ref="H375">IF($O375="","",_xlfn.TEXTJOIN(", ",TRUE,IF(EXACT('Дані_зв''язок'!$J$4:$J$1012,$O375)*('Дані_зв''язок'!$C$4:$C$1012=H$4),'Дані_зв''язок'!$D$4:$D$1012,"")))</f>
        <v>7:25</v>
      </c>
      <c r="I375" s="27" t="str" cm="1">
        <f t="array" ref="I375">IF($O375="","",_xlfn.TEXTJOIN(", ",TRUE,IF(EXACT('Дані_зв''язок'!$J$4:$J$1012,$O375)*('Дані_зв''язок'!$C$4:$C$1012=I$4),'Дані_зв''язок'!$D$4:$D$1012,"")))</f>
        <v/>
      </c>
      <c r="J375" s="27" cm="1">
        <f t="array" ref="J375">IF($O375="","",COUNTIF(C375:I375,"?*")+SUMPRODUCT(LEN(C375:I375)-LEN(SUBSTITUTE(C375:I375,",",""))))</f>
        <v>2</v>
      </c>
      <c r="K375" s="28" t="str" cm="1">
        <f t="array" ref="K375">IF($O375="","",_xlfn.TEXTJOIN(", ",TRUE,IF(EXACT('Дані_зв''язок'!$J$4:$J$1012,$O375),'Дані_зв''язок'!$L$4:$L$1012,"")))</f>
        <v>№4</v>
      </c>
      <c r="L375" s="28" t="str" cm="1">
        <f t="array" ref="L375">IF($O375="","",_xlfn.TEXTJOIN(", ",TRUE,IF(EXACT('Дані_зв''язок'!$J$4:$J$1012,$O375),'Дані_зв''язок'!$M$4:$M$1012,"")))</f>
        <v>ГАЗ 3309</v>
      </c>
      <c r="M375" s="27" cm="1">
        <f t="array" ref="M375">IF($O375="","",IF(SUMPRODUCT(MAX(EXACT('Дані_зв''язок'!$J$4:$J$1012,$O375)*IFERROR('Дані_зв''язок'!$H$4:$H$1012,0)))=0,"",SUMPRODUCT(MAX(EXACT('Дані_зв''язок'!$J$4:$J$1012,$O375)*IFERROR('Дані_зв''язок'!$H$4:$H$1012,0)))))</f>
        <v>3</v>
      </c>
      <c r="O375" s="30" t="s">
        <v>1494</v>
      </c>
      <c r="P375" s="24" cm="1">
        <f t="array" ref="P375">IF($O375="","",IF($B375="","",IFERROR(IF(MIN(IFERROR(VALUE(TRIM(MID(SUBSTITUTE(SUBSTITUTE($B375,","," ")," ",REPT(" ",30)),{1;31;61;91;121;151;181},30))),""))=0,"",MIN(IFERROR(VALUE(TRIM(MID(SUBSTITUTE(SUBSTITUTE($B375,","," ")," ",REPT(" ",30)),{1;31;61;91;121;151;181},30))),""))),"")))</f>
        <v>1</v>
      </c>
      <c r="Q375" s="23" t="str">
        <f t="shared" si="17"/>
        <v>Прилуки, Чернігівська обл., вул. Саксаганського, 1</v>
      </c>
      <c r="R375" s="35">
        <f>IF($O375="","",IFERROR(INDEX('Координати майданчиків'!$H$4:$H$64,MATCH($T375,'Координати майданчиків'!$B$4:$B$64,0)),IFERROR(IF(ABS(INDEX(Геокодування!$C$2:$C$361,MATCH($Q375,Геокодування!$B$2:$B$361,0))-50.5884)+ABS(INDEX(Геокодування!$D$2:$D$361,MATCH($Q375,Геокодування!$B$2:$B$361,0))-32.3876)&gt;0.15,"",INDEX(Геокодування!$C$2:$C$361,MATCH($Q375,Геокодування!$B$2:$B$361,0))),IFERROR(IF(ABS(INDEX(Геокодування!$C$2:$C$361,MATCH("Прилуки, Чернігівська обл., "&amp;$A375,Геокодування!$B$2:$B$361,0))-50.5884)+ABS(INDEX(Геокодування!$D$2:$D$361,MATCH("Прилуки, Чернігівська обл., "&amp;$A375,Геокодування!$B$2:$B$361,0))-32.3876)&gt;0.15,"",INDEX(Геокодування!$C$2:$C$361,MATCH("Прилуки, Чернігівська обл., "&amp;$A375,Геокодування!$B$2:$B$361,0))),""))))</f>
        <v>50.585149000000001</v>
      </c>
      <c r="S375" s="43">
        <f>IF($O375="","",IFERROR(INDEX('Координати майданчиків'!$I$4:$I$64,MATCH($T375,'Координати майданчиків'!$B$4:$B$64,0)),IFERROR(IF(ABS(INDEX(Геокодування!$C$2:$C$361,MATCH($Q375,Геокодування!$B$2:$B$361,0))-50.5884)+ABS(INDEX(Геокодування!$D$2:$D$361,MATCH($Q375,Геокодування!$B$2:$B$361,0))-32.3876)&gt;0.15,"",INDEX(Геокодування!$D$2:$D$361,MATCH($Q375,Геокодування!$B$2:$B$361,0))),IFERROR(IF(ABS(INDEX(Геокодування!$C$2:$C$361,MATCH("Прилуки, Чернігівська обл., "&amp;$A375,Геокодування!$B$2:$B$361,0))-50.5884)+ABS(INDEX(Геокодування!$D$2:$D$361,MATCH("Прилуки, Чернігівська обл., "&amp;$A375,Геокодування!$B$2:$B$361,0))-32.3876)&gt;0.15,"",INDEX(Геокодування!$D$2:$D$361,MATCH("Прилуки, Чернігівська обл., "&amp;$A375,Геокодування!$B$2:$B$361,0))),""))))</f>
        <v>32.372700999999999</v>
      </c>
      <c r="T375" s="44" t="str">
        <f>IF($O375="","",IFERROR(INDEX('Координати майданчиків'!$B$4:$B$64,MATCH($A375&amp;IF($P375="","",", "&amp;$P375),'Координати майданчиків'!$B$4:$B$64,0)),IFERROR(INDEX('Координати майданчиків'!$B$4:$B$64,MATCH($A375,'Координати майданчиків'!$B$4:$B$64,0)),"")))</f>
        <v/>
      </c>
    </row>
    <row r="376" spans="1:20" x14ac:dyDescent="0.35">
      <c r="A376" s="26" t="str">
        <f t="shared" si="15"/>
        <v>вул. Саксаганського</v>
      </c>
      <c r="B376" s="26" t="str">
        <f t="shared" si="16"/>
        <v>20</v>
      </c>
      <c r="C376" s="27" t="str" cm="1">
        <f t="array" ref="C376">IF($O376="","",_xlfn.TEXTJOIN(", ",TRUE,IF(EXACT('Дані_зв''язок'!$J$4:$J$1012,$O376)*('Дані_зв''язок'!$C$4:$C$1012=C$4),'Дані_зв''язок'!$D$4:$D$1012,"")))</f>
        <v>11:15</v>
      </c>
      <c r="D376" s="27" t="str" cm="1">
        <f t="array" ref="D376">IF($O376="","",_xlfn.TEXTJOIN(", ",TRUE,IF(EXACT('Дані_зв''язок'!$J$4:$J$1012,$O376)*('Дані_зв''язок'!$C$4:$C$1012=D$4),'Дані_зв''язок'!$D$4:$D$1012,"")))</f>
        <v>9:40</v>
      </c>
      <c r="E376" s="27" t="str" cm="1">
        <f t="array" ref="E376">IF($O376="","",_xlfn.TEXTJOIN(", ",TRUE,IF(EXACT('Дані_зв''язок'!$J$4:$J$1012,$O376)*('Дані_зв''язок'!$C$4:$C$1012=E$4),'Дані_зв''язок'!$D$4:$D$1012,"")))</f>
        <v>10:00</v>
      </c>
      <c r="F376" s="27" t="str" cm="1">
        <f t="array" ref="F376">IF($O376="","",_xlfn.TEXTJOIN(", ",TRUE,IF(EXACT('Дані_зв''язок'!$J$4:$J$1012,$O376)*('Дані_зв''язок'!$C$4:$C$1012=F$4),'Дані_зв''язок'!$D$4:$D$1012,"")))</f>
        <v>15:10</v>
      </c>
      <c r="G376" s="27" t="str" cm="1">
        <f t="array" ref="G376">IF($O376="","",_xlfn.TEXTJOIN(", ",TRUE,IF(EXACT('Дані_зв''язок'!$J$4:$J$1012,$O376)*('Дані_зв''язок'!$C$4:$C$1012=G$4),'Дані_зв''язок'!$D$4:$D$1012,"")))</f>
        <v>10:35</v>
      </c>
      <c r="H376" s="27" t="str" cm="1">
        <f t="array" ref="H376">IF($O376="","",_xlfn.TEXTJOIN(", ",TRUE,IF(EXACT('Дані_зв''язок'!$J$4:$J$1012,$O376)*('Дані_зв''язок'!$C$4:$C$1012=H$4),'Дані_зв''язок'!$D$4:$D$1012,"")))</f>
        <v>9:40</v>
      </c>
      <c r="I376" s="27" t="str" cm="1">
        <f t="array" ref="I376">IF($O376="","",_xlfn.TEXTJOIN(", ",TRUE,IF(EXACT('Дані_зв''язок'!$J$4:$J$1012,$O376)*('Дані_зв''язок'!$C$4:$C$1012=I$4),'Дані_зв''язок'!$D$4:$D$1012,"")))</f>
        <v>15:10</v>
      </c>
      <c r="J376" s="27" cm="1">
        <f t="array" ref="J376">IF($O376="","",COUNTIF(C376:I376,"?*")+SUMPRODUCT(LEN(C376:I376)-LEN(SUBSTITUTE(C376:I376,",",""))))</f>
        <v>7</v>
      </c>
      <c r="K376" s="28" t="str" cm="1">
        <f t="array" ref="K376">IF($O376="","",_xlfn.TEXTJOIN(", ",TRUE,IF(EXACT('Дані_зв''язок'!$J$4:$J$1012,$O376),'Дані_зв''язок'!$L$4:$L$1012,"")))</f>
        <v>№1</v>
      </c>
      <c r="L376" s="28" t="str" cm="1">
        <f t="array" ref="L376">IF($O376="","",_xlfn.TEXTJOIN(", ",TRUE,IF(EXACT('Дані_зв''язок'!$J$4:$J$1012,$O376),'Дані_зв''язок'!$M$4:$M$1012,"")))</f>
        <v>КАМАЗ 55111, АТ-4021/1120</v>
      </c>
      <c r="M376" s="27" cm="1">
        <f t="array" ref="M376">IF($O376="","",IF(SUMPRODUCT(MAX(EXACT('Дані_зв''язок'!$J$4:$J$1012,$O376)*IFERROR('Дані_зв''язок'!$H$4:$H$1012,0)))=0,"",SUMPRODUCT(MAX(EXACT('Дані_зв''язок'!$J$4:$J$1012,$O376)*IFERROR('Дані_зв''язок'!$H$4:$H$1012,0)))))</f>
        <v>6</v>
      </c>
      <c r="O376" s="30" t="s">
        <v>1495</v>
      </c>
      <c r="P376" s="24" cm="1">
        <f t="array" ref="P376">IF($O376="","",IF($B376="","",IFERROR(IF(MIN(IFERROR(VALUE(TRIM(MID(SUBSTITUTE(SUBSTITUTE($B376,","," ")," ",REPT(" ",30)),{1;31;61;91;121;151;181},30))),""))=0,"",MIN(IFERROR(VALUE(TRIM(MID(SUBSTITUTE(SUBSTITUTE($B376,","," ")," ",REPT(" ",30)),{1;31;61;91;121;151;181},30))),""))),"")))</f>
        <v>20</v>
      </c>
      <c r="Q376" s="23" t="str">
        <f t="shared" si="17"/>
        <v>Прилуки, Чернігівська обл., вул. Саксаганського, 20</v>
      </c>
      <c r="R376" s="35">
        <f>IF($O376="","",IFERROR(INDEX('Координати майданчиків'!$H$4:$H$64,MATCH($T376,'Координати майданчиків'!$B$4:$B$64,0)),IFERROR(IF(ABS(INDEX(Геокодування!$C$2:$C$361,MATCH($Q376,Геокодування!$B$2:$B$361,0))-50.5884)+ABS(INDEX(Геокодування!$D$2:$D$361,MATCH($Q376,Геокодування!$B$2:$B$361,0))-32.3876)&gt;0.15,"",INDEX(Геокодування!$C$2:$C$361,MATCH($Q376,Геокодування!$B$2:$B$361,0))),IFERROR(IF(ABS(INDEX(Геокодування!$C$2:$C$361,MATCH("Прилуки, Чернігівська обл., "&amp;$A376,Геокодування!$B$2:$B$361,0))-50.5884)+ABS(INDEX(Геокодування!$D$2:$D$361,MATCH("Прилуки, Чернігівська обл., "&amp;$A376,Геокодування!$B$2:$B$361,0))-32.3876)&gt;0.15,"",INDEX(Геокодування!$C$2:$C$361,MATCH("Прилуки, Чернігівська обл., "&amp;$A376,Геокодування!$B$2:$B$361,0))),""))))</f>
        <v>50.583038000000002</v>
      </c>
      <c r="S376" s="43">
        <f>IF($O376="","",IFERROR(INDEX('Координати майданчиків'!$I$4:$I$64,MATCH($T376,'Координати майданчиків'!$B$4:$B$64,0)),IFERROR(IF(ABS(INDEX(Геокодування!$C$2:$C$361,MATCH($Q376,Геокодування!$B$2:$B$361,0))-50.5884)+ABS(INDEX(Геокодування!$D$2:$D$361,MATCH($Q376,Геокодування!$B$2:$B$361,0))-32.3876)&gt;0.15,"",INDEX(Геокодування!$D$2:$D$361,MATCH($Q376,Геокодування!$B$2:$B$361,0))),IFERROR(IF(ABS(INDEX(Геокодування!$C$2:$C$361,MATCH("Прилуки, Чернігівська обл., "&amp;$A376,Геокодування!$B$2:$B$361,0))-50.5884)+ABS(INDEX(Геокодування!$D$2:$D$361,MATCH("Прилуки, Чернігівська обл., "&amp;$A376,Геокодування!$B$2:$B$361,0))-32.3876)&gt;0.15,"",INDEX(Геокодування!$D$2:$D$361,MATCH("Прилуки, Чернігівська обл., "&amp;$A376,Геокодування!$B$2:$B$361,0))),""))))</f>
        <v>32.369377</v>
      </c>
      <c r="T376" s="44" t="str">
        <f>IF($O376="","",IFERROR(INDEX('Координати майданчиків'!$B$4:$B$64,MATCH($A376&amp;IF($P376="","",", "&amp;$P376),'Координати майданчиків'!$B$4:$B$64,0)),IFERROR(INDEX('Координати майданчиків'!$B$4:$B$64,MATCH($A376,'Координати майданчиків'!$B$4:$B$64,0)),"")))</f>
        <v/>
      </c>
    </row>
    <row r="377" spans="1:20" x14ac:dyDescent="0.35">
      <c r="A377" s="26" t="str">
        <f t="shared" si="15"/>
        <v>вул. Саксаганського</v>
      </c>
      <c r="B377" s="26" t="str">
        <f t="shared" si="16"/>
        <v>52</v>
      </c>
      <c r="C377" s="27" t="str" cm="1">
        <f t="array" ref="C377">IF($O377="","",_xlfn.TEXTJOIN(", ",TRUE,IF(EXACT('Дані_зв''язок'!$J$4:$J$1012,$O377)*('Дані_зв''язок'!$C$4:$C$1012=C$4),'Дані_зв''язок'!$D$4:$D$1012,"")))</f>
        <v/>
      </c>
      <c r="D377" s="27" t="str" cm="1">
        <f t="array" ref="D377">IF($O377="","",_xlfn.TEXTJOIN(", ",TRUE,IF(EXACT('Дані_зв''язок'!$J$4:$J$1012,$O377)*('Дані_зв''язок'!$C$4:$C$1012=D$4),'Дані_зв''язок'!$D$4:$D$1012,"")))</f>
        <v>×</v>
      </c>
      <c r="E377" s="27" t="str" cm="1">
        <f t="array" ref="E377">IF($O377="","",_xlfn.TEXTJOIN(", ",TRUE,IF(EXACT('Дані_зв''язок'!$J$4:$J$1012,$O377)*('Дані_зв''язок'!$C$4:$C$1012=E$4),'Дані_зв''язок'!$D$4:$D$1012,"")))</f>
        <v/>
      </c>
      <c r="F377" s="27" t="str" cm="1">
        <f t="array" ref="F377">IF($O377="","",_xlfn.TEXTJOIN(", ",TRUE,IF(EXACT('Дані_зв''язок'!$J$4:$J$1012,$O377)*('Дані_зв''язок'!$C$4:$C$1012=F$4),'Дані_зв''язок'!$D$4:$D$1012,"")))</f>
        <v/>
      </c>
      <c r="G377" s="27" t="str" cm="1">
        <f t="array" ref="G377">IF($O377="","",_xlfn.TEXTJOIN(", ",TRUE,IF(EXACT('Дані_зв''язок'!$J$4:$J$1012,$O377)*('Дані_зв''язок'!$C$4:$C$1012=G$4),'Дані_зв''язок'!$D$4:$D$1012,"")))</f>
        <v/>
      </c>
      <c r="H377" s="27" t="str" cm="1">
        <f t="array" ref="H377">IF($O377="","",_xlfn.TEXTJOIN(", ",TRUE,IF(EXACT('Дані_зв''язок'!$J$4:$J$1012,$O377)*('Дані_зв''язок'!$C$4:$C$1012=H$4),'Дані_зв''язок'!$D$4:$D$1012,"")))</f>
        <v/>
      </c>
      <c r="I377" s="27" t="str" cm="1">
        <f t="array" ref="I377">IF($O377="","",_xlfn.TEXTJOIN(", ",TRUE,IF(EXACT('Дані_зв''язок'!$J$4:$J$1012,$O377)*('Дані_зв''язок'!$C$4:$C$1012=I$4),'Дані_зв''язок'!$D$4:$D$1012,"")))</f>
        <v/>
      </c>
      <c r="J377" s="27" cm="1">
        <f t="array" ref="J377">IF($O377="","",COUNTIF(C377:I377,"?*")+SUMPRODUCT(LEN(C377:I377)-LEN(SUBSTITUTE(C377:I377,",",""))))</f>
        <v>1</v>
      </c>
      <c r="K377" s="28" t="str" cm="1">
        <f t="array" ref="K377">IF($O377="","",_xlfn.TEXTJOIN(", ",TRUE,IF(EXACT('Дані_зв''язок'!$J$4:$J$1012,$O377),'Дані_зв''язок'!$L$4:$L$1012,"")))</f>
        <v>№2 (ВГВ)</v>
      </c>
      <c r="L377" s="28" t="str" cm="1">
        <f t="array" ref="L377">IF($O377="","",_xlfn.TEXTJOIN(", ",TRUE,IF(EXACT('Дані_зв''язок'!$J$4:$J$1012,$O377),'Дані_зв''язок'!$M$4:$M$1012,"")))</f>
        <v>Рено Лендер</v>
      </c>
      <c r="M377" s="27" t="str" cm="1">
        <f t="array" ref="M377">IF($O377="","",IF(SUMPRODUCT(MAX(EXACT('Дані_зв''язок'!$J$4:$J$1012,$O377)*IFERROR('Дані_зв''язок'!$H$4:$H$1012,0)))=0,"",SUMPRODUCT(MAX(EXACT('Дані_зв''язок'!$J$4:$J$1012,$O377)*IFERROR('Дані_зв''язок'!$H$4:$H$1012,0)))))</f>
        <v/>
      </c>
      <c r="O377" s="30" t="s">
        <v>1496</v>
      </c>
      <c r="P377" s="24" cm="1">
        <f t="array" ref="P377">IF($O377="","",IF($B377="","",IFERROR(IF(MIN(IFERROR(VALUE(TRIM(MID(SUBSTITUTE(SUBSTITUTE($B377,","," ")," ",REPT(" ",30)),{1;31;61;91;121;151;181},30))),""))=0,"",MIN(IFERROR(VALUE(TRIM(MID(SUBSTITUTE(SUBSTITUTE($B377,","," ")," ",REPT(" ",30)),{1;31;61;91;121;151;181},30))),""))),"")))</f>
        <v>52</v>
      </c>
      <c r="Q377" s="23" t="str">
        <f t="shared" si="17"/>
        <v>Прилуки, Чернігівська обл., вул. Саксаганського, 52</v>
      </c>
      <c r="R377" s="35">
        <f>IF($O377="","",IFERROR(INDEX('Координати майданчиків'!$H$4:$H$64,MATCH($T377,'Координати майданчиків'!$B$4:$B$64,0)),IFERROR(IF(ABS(INDEX(Геокодування!$C$2:$C$361,MATCH($Q377,Геокодування!$B$2:$B$361,0))-50.5884)+ABS(INDEX(Геокодування!$D$2:$D$361,MATCH($Q377,Геокодування!$B$2:$B$361,0))-32.3876)&gt;0.15,"",INDEX(Геокодування!$C$2:$C$361,MATCH($Q377,Геокодування!$B$2:$B$361,0))),IFERROR(IF(ABS(INDEX(Геокодування!$C$2:$C$361,MATCH("Прилуки, Чернігівська обл., "&amp;$A377,Геокодування!$B$2:$B$361,0))-50.5884)+ABS(INDEX(Геокодування!$D$2:$D$361,MATCH("Прилуки, Чернігівська обл., "&amp;$A377,Геокодування!$B$2:$B$361,0))-32.3876)&gt;0.15,"",INDEX(Геокодування!$C$2:$C$361,MATCH("Прилуки, Чернігівська обл., "&amp;$A377,Геокодування!$B$2:$B$361,0))),""))))</f>
        <v>50.58164</v>
      </c>
      <c r="S377" s="43">
        <f>IF($O377="","",IFERROR(INDEX('Координати майданчиків'!$I$4:$I$64,MATCH($T377,'Координати майданчиків'!$B$4:$B$64,0)),IFERROR(IF(ABS(INDEX(Геокодування!$C$2:$C$361,MATCH($Q377,Геокодування!$B$2:$B$361,0))-50.5884)+ABS(INDEX(Геокодування!$D$2:$D$361,MATCH($Q377,Геокодування!$B$2:$B$361,0))-32.3876)&gt;0.15,"",INDEX(Геокодування!$D$2:$D$361,MATCH($Q377,Геокодування!$B$2:$B$361,0))),IFERROR(IF(ABS(INDEX(Геокодування!$C$2:$C$361,MATCH("Прилуки, Чернігівська обл., "&amp;$A377,Геокодування!$B$2:$B$361,0))-50.5884)+ABS(INDEX(Геокодування!$D$2:$D$361,MATCH("Прилуки, Чернігівська обл., "&amp;$A377,Геокодування!$B$2:$B$361,0))-32.3876)&gt;0.15,"",INDEX(Геокодування!$D$2:$D$361,MATCH("Прилуки, Чернігівська обл., "&amp;$A377,Геокодування!$B$2:$B$361,0))),""))))</f>
        <v>32.36786</v>
      </c>
      <c r="T377" s="44" t="str">
        <f>IF($O377="","",IFERROR(INDEX('Координати майданчиків'!$B$4:$B$64,MATCH($A377&amp;IF($P377="","",", "&amp;$P377),'Координати майданчиків'!$B$4:$B$64,0)),IFERROR(INDEX('Координати майданчиків'!$B$4:$B$64,MATCH($A377,'Координати майданчиків'!$B$4:$B$64,0)),"")))</f>
        <v>вул. Саксаганського, 52</v>
      </c>
    </row>
    <row r="378" spans="1:20" x14ac:dyDescent="0.35">
      <c r="A378" s="26" t="str">
        <f t="shared" si="15"/>
        <v>вул. Світанкова</v>
      </c>
      <c r="B378" s="26" t="str">
        <f t="shared" si="16"/>
        <v/>
      </c>
      <c r="C378" s="27" t="str" cm="1">
        <f t="array" ref="C378">IF($O378="","",_xlfn.TEXTJOIN(", ",TRUE,IF(EXACT('Дані_зв''язок'!$J$4:$J$1012,$O378)*('Дані_зв''язок'!$C$4:$C$1012=C$4),'Дані_зв''язок'!$D$4:$D$1012,"")))</f>
        <v/>
      </c>
      <c r="D378" s="27" t="str" cm="1">
        <f t="array" ref="D378">IF($O378="","",_xlfn.TEXTJOIN(", ",TRUE,IF(EXACT('Дані_зв''язок'!$J$4:$J$1012,$O378)*('Дані_зв''язок'!$C$4:$C$1012=D$4),'Дані_зв''язок'!$D$4:$D$1012,"")))</f>
        <v>7:50</v>
      </c>
      <c r="E378" s="27" t="str" cm="1">
        <f t="array" ref="E378">IF($O378="","",_xlfn.TEXTJOIN(", ",TRUE,IF(EXACT('Дані_зв''язок'!$J$4:$J$1012,$O378)*('Дані_зв''язок'!$C$4:$C$1012=E$4),'Дані_зв''язок'!$D$4:$D$1012,"")))</f>
        <v/>
      </c>
      <c r="F378" s="27" t="str" cm="1">
        <f t="array" ref="F378">IF($O378="","",_xlfn.TEXTJOIN(", ",TRUE,IF(EXACT('Дані_зв''язок'!$J$4:$J$1012,$O378)*('Дані_зв''язок'!$C$4:$C$1012=F$4),'Дані_зв''язок'!$D$4:$D$1012,"")))</f>
        <v/>
      </c>
      <c r="G378" s="27" t="str" cm="1">
        <f t="array" ref="G378">IF($O378="","",_xlfn.TEXTJOIN(", ",TRUE,IF(EXACT('Дані_зв''язок'!$J$4:$J$1012,$O378)*('Дані_зв''язок'!$C$4:$C$1012=G$4),'Дані_зв''язок'!$D$4:$D$1012,"")))</f>
        <v/>
      </c>
      <c r="H378" s="27" t="str" cm="1">
        <f t="array" ref="H378">IF($O378="","",_xlfn.TEXTJOIN(", ",TRUE,IF(EXACT('Дані_зв''язок'!$J$4:$J$1012,$O378)*('Дані_зв''язок'!$C$4:$C$1012=H$4),'Дані_зв''язок'!$D$4:$D$1012,"")))</f>
        <v/>
      </c>
      <c r="I378" s="27" t="str" cm="1">
        <f t="array" ref="I378">IF($O378="","",_xlfn.TEXTJOIN(", ",TRUE,IF(EXACT('Дані_зв''язок'!$J$4:$J$1012,$O378)*('Дані_зв''язок'!$C$4:$C$1012=I$4),'Дані_зв''язок'!$D$4:$D$1012,"")))</f>
        <v/>
      </c>
      <c r="J378" s="27" cm="1">
        <f t="array" ref="J378">IF($O378="","",COUNTIF(C378:I378,"?*")+SUMPRODUCT(LEN(C378:I378)-LEN(SUBSTITUTE(C378:I378,",",""))))</f>
        <v>1</v>
      </c>
      <c r="K378" s="28" t="str" cm="1">
        <f t="array" ref="K378">IF($O378="","",_xlfn.TEXTJOIN(", ",TRUE,IF(EXACT('Дані_зв''язок'!$J$4:$J$1012,$O378),'Дані_зв''язок'!$L$4:$L$1012,"")))</f>
        <v>№5</v>
      </c>
      <c r="L378" s="28" t="str" cm="1">
        <f t="array" ref="L378">IF($O378="","",_xlfn.TEXTJOIN(", ",TRUE,IF(EXACT('Дані_зв''язок'!$J$4:$J$1012,$O378),'Дані_зв''язок'!$M$4:$M$1012,"")))</f>
        <v>МАЗ 4381</v>
      </c>
      <c r="M378" s="27" t="str" cm="1">
        <f t="array" ref="M378">IF($O378="","",IF(SUMPRODUCT(MAX(EXACT('Дані_зв''язок'!$J$4:$J$1012,$O378)*IFERROR('Дані_зв''язок'!$H$4:$H$1012,0)))=0,"",SUMPRODUCT(MAX(EXACT('Дані_зв''язок'!$J$4:$J$1012,$O378)*IFERROR('Дані_зв''язок'!$H$4:$H$1012,0)))))</f>
        <v/>
      </c>
      <c r="O378" s="30" t="s">
        <v>1497</v>
      </c>
      <c r="P378" s="24" t="str" cm="1">
        <f t="array" ref="P378">IF($O378="","",IF($B378="","",IFERROR(IF(MIN(IFERROR(VALUE(TRIM(MID(SUBSTITUTE(SUBSTITUTE($B378,","," ")," ",REPT(" ",30)),{1;31;61;91;121;151;181},30))),""))=0,"",MIN(IFERROR(VALUE(TRIM(MID(SUBSTITUTE(SUBSTITUTE($B378,","," ")," ",REPT(" ",30)),{1;31;61;91;121;151;181},30))),""))),"")))</f>
        <v/>
      </c>
      <c r="Q378" s="23" t="str">
        <f t="shared" si="17"/>
        <v>Прилуки, Чернігівська обл., вул. Світанкова</v>
      </c>
      <c r="R378" s="35">
        <f>IF($O378="","",IFERROR(INDEX('Координати майданчиків'!$H$4:$H$64,MATCH($T378,'Координати майданчиків'!$B$4:$B$64,0)),IFERROR(IF(ABS(INDEX(Геокодування!$C$2:$C$361,MATCH($Q378,Геокодування!$B$2:$B$361,0))-50.5884)+ABS(INDEX(Геокодування!$D$2:$D$361,MATCH($Q378,Геокодування!$B$2:$B$361,0))-32.3876)&gt;0.15,"",INDEX(Геокодування!$C$2:$C$361,MATCH($Q378,Геокодування!$B$2:$B$361,0))),IFERROR(IF(ABS(INDEX(Геокодування!$C$2:$C$361,MATCH("Прилуки, Чернігівська обл., "&amp;$A378,Геокодування!$B$2:$B$361,0))-50.5884)+ABS(INDEX(Геокодування!$D$2:$D$361,MATCH("Прилуки, Чернігівська обл., "&amp;$A378,Геокодування!$B$2:$B$361,0))-32.3876)&gt;0.15,"",INDEX(Геокодування!$C$2:$C$361,MATCH("Прилуки, Чернігівська обл., "&amp;$A378,Геокодування!$B$2:$B$361,0))),""))))</f>
        <v>50.576298999999999</v>
      </c>
      <c r="S378" s="43">
        <f>IF($O378="","",IFERROR(INDEX('Координати майданчиків'!$I$4:$I$64,MATCH($T378,'Координати майданчиків'!$B$4:$B$64,0)),IFERROR(IF(ABS(INDEX(Геокодування!$C$2:$C$361,MATCH($Q378,Геокодування!$B$2:$B$361,0))-50.5884)+ABS(INDEX(Геокодування!$D$2:$D$361,MATCH($Q378,Геокодування!$B$2:$B$361,0))-32.3876)&gt;0.15,"",INDEX(Геокодування!$D$2:$D$361,MATCH($Q378,Геокодування!$B$2:$B$361,0))),IFERROR(IF(ABS(INDEX(Геокодування!$C$2:$C$361,MATCH("Прилуки, Чернігівська обл., "&amp;$A378,Геокодування!$B$2:$B$361,0))-50.5884)+ABS(INDEX(Геокодування!$D$2:$D$361,MATCH("Прилуки, Чернігівська обл., "&amp;$A378,Геокодування!$B$2:$B$361,0))-32.3876)&gt;0.15,"",INDEX(Геокодування!$D$2:$D$361,MATCH("Прилуки, Чернігівська обл., "&amp;$A378,Геокодування!$B$2:$B$361,0))),""))))</f>
        <v>32.401814999999999</v>
      </c>
      <c r="T378" s="44" t="str">
        <f>IF($O378="","",IFERROR(INDEX('Координати майданчиків'!$B$4:$B$64,MATCH($A378&amp;IF($P378="","",", "&amp;$P378),'Координати майданчиків'!$B$4:$B$64,0)),IFERROR(INDEX('Координати майданчиків'!$B$4:$B$64,MATCH($A378,'Координати майданчиків'!$B$4:$B$64,0)),"")))</f>
        <v/>
      </c>
    </row>
    <row r="379" spans="1:20" x14ac:dyDescent="0.35">
      <c r="A379" s="26" t="str">
        <f t="shared" si="15"/>
        <v>вул. Сковороди</v>
      </c>
      <c r="B379" s="26" t="str">
        <f t="shared" si="16"/>
        <v/>
      </c>
      <c r="C379" s="27" t="str" cm="1">
        <f t="array" ref="C379">IF($O379="","",_xlfn.TEXTJOIN(", ",TRUE,IF(EXACT('Дані_зв''язок'!$J$4:$J$1012,$O379)*('Дані_зв''язок'!$C$4:$C$1012=C$4),'Дані_зв''язок'!$D$4:$D$1012,"")))</f>
        <v/>
      </c>
      <c r="D379" s="27" t="str" cm="1">
        <f t="array" ref="D379">IF($O379="","",_xlfn.TEXTJOIN(", ",TRUE,IF(EXACT('Дані_зв''язок'!$J$4:$J$1012,$O379)*('Дані_зв''язок'!$C$4:$C$1012=D$4),'Дані_зв''язок'!$D$4:$D$1012,"")))</f>
        <v/>
      </c>
      <c r="E379" s="27" t="str" cm="1">
        <f t="array" ref="E379">IF($O379="","",_xlfn.TEXTJOIN(", ",TRUE,IF(EXACT('Дані_зв''язок'!$J$4:$J$1012,$O379)*('Дані_зв''язок'!$C$4:$C$1012=E$4),'Дані_зв''язок'!$D$4:$D$1012,"")))</f>
        <v>14:30</v>
      </c>
      <c r="F379" s="27" t="str" cm="1">
        <f t="array" ref="F379">IF($O379="","",_xlfn.TEXTJOIN(", ",TRUE,IF(EXACT('Дані_зв''язок'!$J$4:$J$1012,$O379)*('Дані_зв''язок'!$C$4:$C$1012=F$4),'Дані_зв''язок'!$D$4:$D$1012,"")))</f>
        <v/>
      </c>
      <c r="G379" s="27" t="str" cm="1">
        <f t="array" ref="G379">IF($O379="","",_xlfn.TEXTJOIN(", ",TRUE,IF(EXACT('Дані_зв''язок'!$J$4:$J$1012,$O379)*('Дані_зв''язок'!$C$4:$C$1012=G$4),'Дані_зв''язок'!$D$4:$D$1012,"")))</f>
        <v/>
      </c>
      <c r="H379" s="27" t="str" cm="1">
        <f t="array" ref="H379">IF($O379="","",_xlfn.TEXTJOIN(", ",TRUE,IF(EXACT('Дані_зв''язок'!$J$4:$J$1012,$O379)*('Дані_зв''язок'!$C$4:$C$1012=H$4),'Дані_зв''язок'!$D$4:$D$1012,"")))</f>
        <v/>
      </c>
      <c r="I379" s="27" t="str" cm="1">
        <f t="array" ref="I379">IF($O379="","",_xlfn.TEXTJOIN(", ",TRUE,IF(EXACT('Дані_зв''язок'!$J$4:$J$1012,$O379)*('Дані_зв''язок'!$C$4:$C$1012=I$4),'Дані_зв''язок'!$D$4:$D$1012,"")))</f>
        <v/>
      </c>
      <c r="J379" s="27" cm="1">
        <f t="array" ref="J379">IF($O379="","",COUNTIF(C379:I379,"?*")+SUMPRODUCT(LEN(C379:I379)-LEN(SUBSTITUTE(C379:I379,",",""))))</f>
        <v>1</v>
      </c>
      <c r="K379" s="28" t="str" cm="1">
        <f t="array" ref="K379">IF($O379="","",_xlfn.TEXTJOIN(", ",TRUE,IF(EXACT('Дані_зв''язок'!$J$4:$J$1012,$O379),'Дані_зв''язок'!$L$4:$L$1012,"")))</f>
        <v>№5</v>
      </c>
      <c r="L379" s="28" t="str" cm="1">
        <f t="array" ref="L379">IF($O379="","",_xlfn.TEXTJOIN(", ",TRUE,IF(EXACT('Дані_зв''язок'!$J$4:$J$1012,$O379),'Дані_зв''язок'!$M$4:$M$1012,"")))</f>
        <v>МАЗ 4381</v>
      </c>
      <c r="M379" s="27" t="str" cm="1">
        <f t="array" ref="M379">IF($O379="","",IF(SUMPRODUCT(MAX(EXACT('Дані_зв''язок'!$J$4:$J$1012,$O379)*IFERROR('Дані_зв''язок'!$H$4:$H$1012,0)))=0,"",SUMPRODUCT(MAX(EXACT('Дані_зв''язок'!$J$4:$J$1012,$O379)*IFERROR('Дані_зв''язок'!$H$4:$H$1012,0)))))</f>
        <v/>
      </c>
      <c r="O379" s="30" t="s">
        <v>1499</v>
      </c>
      <c r="P379" s="24" t="str" cm="1">
        <f t="array" ref="P379">IF($O379="","",IF($B379="","",IFERROR(IF(MIN(IFERROR(VALUE(TRIM(MID(SUBSTITUTE(SUBSTITUTE($B379,","," ")," ",REPT(" ",30)),{1;31;61;91;121;151;181},30))),""))=0,"",MIN(IFERROR(VALUE(TRIM(MID(SUBSTITUTE(SUBSTITUTE($B379,","," ")," ",REPT(" ",30)),{1;31;61;91;121;151;181},30))),""))),"")))</f>
        <v/>
      </c>
      <c r="Q379" s="23" t="str">
        <f t="shared" si="17"/>
        <v>Прилуки, Чернігівська обл., вул. Сковороди</v>
      </c>
      <c r="R379" s="35">
        <f>IF($O379="","",IFERROR(INDEX('Координати майданчиків'!$H$4:$H$64,MATCH($T379,'Координати майданчиків'!$B$4:$B$64,0)),IFERROR(IF(ABS(INDEX(Геокодування!$C$2:$C$361,MATCH($Q379,Геокодування!$B$2:$B$361,0))-50.5884)+ABS(INDEX(Геокодування!$D$2:$D$361,MATCH($Q379,Геокодування!$B$2:$B$361,0))-32.3876)&gt;0.15,"",INDEX(Геокодування!$C$2:$C$361,MATCH($Q379,Геокодування!$B$2:$B$361,0))),IFERROR(IF(ABS(INDEX(Геокодування!$C$2:$C$361,MATCH("Прилуки, Чернігівська обл., "&amp;$A379,Геокодування!$B$2:$B$361,0))-50.5884)+ABS(INDEX(Геокодування!$D$2:$D$361,MATCH("Прилуки, Чернігівська обл., "&amp;$A379,Геокодування!$B$2:$B$361,0))-32.3876)&gt;0.15,"",INDEX(Геокодування!$C$2:$C$361,MATCH("Прилуки, Чернігівська обл., "&amp;$A379,Геокодування!$B$2:$B$361,0))),""))))</f>
        <v>50.581904999999999</v>
      </c>
      <c r="S379" s="43">
        <f>IF($O379="","",IFERROR(INDEX('Координати майданчиків'!$I$4:$I$64,MATCH($T379,'Координати майданчиків'!$B$4:$B$64,0)),IFERROR(IF(ABS(INDEX(Геокодування!$C$2:$C$361,MATCH($Q379,Геокодування!$B$2:$B$361,0))-50.5884)+ABS(INDEX(Геокодування!$D$2:$D$361,MATCH($Q379,Геокодування!$B$2:$B$361,0))-32.3876)&gt;0.15,"",INDEX(Геокодування!$D$2:$D$361,MATCH($Q379,Геокодування!$B$2:$B$361,0))),IFERROR(IF(ABS(INDEX(Геокодування!$C$2:$C$361,MATCH("Прилуки, Чернігівська обл., "&amp;$A379,Геокодування!$B$2:$B$361,0))-50.5884)+ABS(INDEX(Геокодування!$D$2:$D$361,MATCH("Прилуки, Чернігівська обл., "&amp;$A379,Геокодування!$B$2:$B$361,0))-32.3876)&gt;0.15,"",INDEX(Геокодування!$D$2:$D$361,MATCH("Прилуки, Чернігівська обл., "&amp;$A379,Геокодування!$B$2:$B$361,0))),""))))</f>
        <v>32.383752999999999</v>
      </c>
      <c r="T379" s="44" t="str">
        <f>IF($O379="","",IFERROR(INDEX('Координати майданчиків'!$B$4:$B$64,MATCH($A379&amp;IF($P379="","",", "&amp;$P379),'Координати майданчиків'!$B$4:$B$64,0)),IFERROR(INDEX('Координати майданчиків'!$B$4:$B$64,MATCH($A379,'Координати майданчиків'!$B$4:$B$64,0)),"")))</f>
        <v/>
      </c>
    </row>
    <row r="380" spans="1:20" x14ac:dyDescent="0.35">
      <c r="A380" s="26" t="str">
        <f t="shared" si="15"/>
        <v>вул. Скоропадського</v>
      </c>
      <c r="B380" s="26" t="str">
        <f t="shared" si="16"/>
        <v/>
      </c>
      <c r="C380" s="27" t="str" cm="1">
        <f t="array" ref="C380">IF($O380="","",_xlfn.TEXTJOIN(", ",TRUE,IF(EXACT('Дані_зв''язок'!$J$4:$J$1012,$O380)*('Дані_зв''язок'!$C$4:$C$1012=C$4),'Дані_зв''язок'!$D$4:$D$1012,"")))</f>
        <v/>
      </c>
      <c r="D380" s="27" t="str" cm="1">
        <f t="array" ref="D380">IF($O380="","",_xlfn.TEXTJOIN(", ",TRUE,IF(EXACT('Дані_зв''язок'!$J$4:$J$1012,$O380)*('Дані_зв''язок'!$C$4:$C$1012=D$4),'Дані_зв''язок'!$D$4:$D$1012,"")))</f>
        <v>15:00</v>
      </c>
      <c r="E380" s="27" t="str" cm="1">
        <f t="array" ref="E380">IF($O380="","",_xlfn.TEXTJOIN(", ",TRUE,IF(EXACT('Дані_зв''язок'!$J$4:$J$1012,$O380)*('Дані_зв''язок'!$C$4:$C$1012=E$4),'Дані_зв''язок'!$D$4:$D$1012,"")))</f>
        <v>12:10</v>
      </c>
      <c r="F380" s="27" t="str" cm="1">
        <f t="array" ref="F380">IF($O380="","",_xlfn.TEXTJOIN(", ",TRUE,IF(EXACT('Дані_зв''язок'!$J$4:$J$1012,$O380)*('Дані_зв''язок'!$C$4:$C$1012=F$4),'Дані_зв''язок'!$D$4:$D$1012,"")))</f>
        <v/>
      </c>
      <c r="G380" s="27" t="str" cm="1">
        <f t="array" ref="G380">IF($O380="","",_xlfn.TEXTJOIN(", ",TRUE,IF(EXACT('Дані_зв''язок'!$J$4:$J$1012,$O380)*('Дані_зв''язок'!$C$4:$C$1012=G$4),'Дані_зв''язок'!$D$4:$D$1012,"")))</f>
        <v/>
      </c>
      <c r="H380" s="27" t="str" cm="1">
        <f t="array" ref="H380">IF($O380="","",_xlfn.TEXTJOIN(", ",TRUE,IF(EXACT('Дані_зв''язок'!$J$4:$J$1012,$O380)*('Дані_зв''язок'!$C$4:$C$1012=H$4),'Дані_зв''язок'!$D$4:$D$1012,"")))</f>
        <v/>
      </c>
      <c r="I380" s="27" t="str" cm="1">
        <f t="array" ref="I380">IF($O380="","",_xlfn.TEXTJOIN(", ",TRUE,IF(EXACT('Дані_зв''язок'!$J$4:$J$1012,$O380)*('Дані_зв''язок'!$C$4:$C$1012=I$4),'Дані_зв''язок'!$D$4:$D$1012,"")))</f>
        <v/>
      </c>
      <c r="J380" s="27" cm="1">
        <f t="array" ref="J380">IF($O380="","",COUNTIF(C380:I380,"?*")+SUMPRODUCT(LEN(C380:I380)-LEN(SUBSTITUTE(C380:I380,",",""))))</f>
        <v>2</v>
      </c>
      <c r="K380" s="28" t="str" cm="1">
        <f t="array" ref="K380">IF($O380="","",_xlfn.TEXTJOIN(", ",TRUE,IF(EXACT('Дані_зв''язок'!$J$4:$J$1012,$O380),'Дані_зв''язок'!$L$4:$L$1012,"")))</f>
        <v>№5</v>
      </c>
      <c r="L380" s="28" t="str" cm="1">
        <f t="array" ref="L380">IF($O380="","",_xlfn.TEXTJOIN(", ",TRUE,IF(EXACT('Дані_зв''язок'!$J$4:$J$1012,$O380),'Дані_зв''язок'!$M$4:$M$1012,"")))</f>
        <v>МАЗ 4381</v>
      </c>
      <c r="M380" s="27" t="str" cm="1">
        <f t="array" ref="M380">IF($O380="","",IF(SUMPRODUCT(MAX(EXACT('Дані_зв''язок'!$J$4:$J$1012,$O380)*IFERROR('Дані_зв''язок'!$H$4:$H$1012,0)))=0,"",SUMPRODUCT(MAX(EXACT('Дані_зв''язок'!$J$4:$J$1012,$O380)*IFERROR('Дані_зв''язок'!$H$4:$H$1012,0)))))</f>
        <v/>
      </c>
      <c r="O380" s="30" t="s">
        <v>1500</v>
      </c>
      <c r="P380" s="24" t="str" cm="1">
        <f t="array" ref="P380">IF($O380="","",IF($B380="","",IFERROR(IF(MIN(IFERROR(VALUE(TRIM(MID(SUBSTITUTE(SUBSTITUTE($B380,","," ")," ",REPT(" ",30)),{1;31;61;91;121;151;181},30))),""))=0,"",MIN(IFERROR(VALUE(TRIM(MID(SUBSTITUTE(SUBSTITUTE($B380,","," ")," ",REPT(" ",30)),{1;31;61;91;121;151;181},30))),""))),"")))</f>
        <v/>
      </c>
      <c r="Q380" s="23" t="str">
        <f t="shared" si="17"/>
        <v>Прилуки, Чернігівська обл., вул. Скоропадського</v>
      </c>
      <c r="R380" s="35">
        <f>IF($O380="","",IFERROR(INDEX('Координати майданчиків'!$H$4:$H$64,MATCH($T380,'Координати майданчиків'!$B$4:$B$64,0)),IFERROR(IF(ABS(INDEX(Геокодування!$C$2:$C$361,MATCH($Q380,Геокодування!$B$2:$B$361,0))-50.5884)+ABS(INDEX(Геокодування!$D$2:$D$361,MATCH($Q380,Геокодування!$B$2:$B$361,0))-32.3876)&gt;0.15,"",INDEX(Геокодування!$C$2:$C$361,MATCH($Q380,Геокодування!$B$2:$B$361,0))),IFERROR(IF(ABS(INDEX(Геокодування!$C$2:$C$361,MATCH("Прилуки, Чернігівська обл., "&amp;$A380,Геокодування!$B$2:$B$361,0))-50.5884)+ABS(INDEX(Геокодування!$D$2:$D$361,MATCH("Прилуки, Чернігівська обл., "&amp;$A380,Геокодування!$B$2:$B$361,0))-32.3876)&gt;0.15,"",INDEX(Геокодування!$C$2:$C$361,MATCH("Прилуки, Чернігівська обл., "&amp;$A380,Геокодування!$B$2:$B$361,0))),""))))</f>
        <v>50.598255000000002</v>
      </c>
      <c r="S380" s="43">
        <f>IF($O380="","",IFERROR(INDEX('Координати майданчиків'!$I$4:$I$64,MATCH($T380,'Координати майданчиків'!$B$4:$B$64,0)),IFERROR(IF(ABS(INDEX(Геокодування!$C$2:$C$361,MATCH($Q380,Геокодування!$B$2:$B$361,0))-50.5884)+ABS(INDEX(Геокодування!$D$2:$D$361,MATCH($Q380,Геокодування!$B$2:$B$361,0))-32.3876)&gt;0.15,"",INDEX(Геокодування!$D$2:$D$361,MATCH($Q380,Геокодування!$B$2:$B$361,0))),IFERROR(IF(ABS(INDEX(Геокодування!$C$2:$C$361,MATCH("Прилуки, Чернігівська обл., "&amp;$A380,Геокодування!$B$2:$B$361,0))-50.5884)+ABS(INDEX(Геокодування!$D$2:$D$361,MATCH("Прилуки, Чернігівська обл., "&amp;$A380,Геокодування!$B$2:$B$361,0))-32.3876)&gt;0.15,"",INDEX(Геокодування!$D$2:$D$361,MATCH("Прилуки, Чернігівська обл., "&amp;$A380,Геокодування!$B$2:$B$361,0))),""))))</f>
        <v>32.374329000000003</v>
      </c>
      <c r="T380" s="44" t="str">
        <f>IF($O380="","",IFERROR(INDEX('Координати майданчиків'!$B$4:$B$64,MATCH($A380&amp;IF($P380="","",", "&amp;$P380),'Координати майданчиків'!$B$4:$B$64,0)),IFERROR(INDEX('Координати майданчиків'!$B$4:$B$64,MATCH($A380,'Координати майданчиків'!$B$4:$B$64,0)),"")))</f>
        <v/>
      </c>
    </row>
    <row r="381" spans="1:20" x14ac:dyDescent="0.35">
      <c r="A381" s="26" t="str">
        <f t="shared" si="15"/>
        <v>вул. Скоропадського</v>
      </c>
      <c r="B381" s="26" t="str">
        <f t="shared" si="16"/>
        <v>108</v>
      </c>
      <c r="C381" s="27" t="str" cm="1">
        <f t="array" ref="C381">IF($O381="","",_xlfn.TEXTJOIN(", ",TRUE,IF(EXACT('Дані_зв''язок'!$J$4:$J$1012,$O381)*('Дані_зв''язок'!$C$4:$C$1012=C$4),'Дані_зв''язок'!$D$4:$D$1012,"")))</f>
        <v>7:50</v>
      </c>
      <c r="D381" s="27" t="str" cm="1">
        <f t="array" ref="D381">IF($O381="","",_xlfn.TEXTJOIN(", ",TRUE,IF(EXACT('Дані_зв''язок'!$J$4:$J$1012,$O381)*('Дані_зв''язок'!$C$4:$C$1012=D$4),'Дані_зв''язок'!$D$4:$D$1012,"")))</f>
        <v>8:00</v>
      </c>
      <c r="E381" s="27" t="str" cm="1">
        <f t="array" ref="E381">IF($O381="","",_xlfn.TEXTJOIN(", ",TRUE,IF(EXACT('Дані_зв''язок'!$J$4:$J$1012,$O381)*('Дані_зв''язок'!$C$4:$C$1012=E$4),'Дані_зв''язок'!$D$4:$D$1012,"")))</f>
        <v>8:00, 14:15</v>
      </c>
      <c r="F381" s="27" t="str" cm="1">
        <f t="array" ref="F381">IF($O381="","",_xlfn.TEXTJOIN(", ",TRUE,IF(EXACT('Дані_зв''язок'!$J$4:$J$1012,$O381)*('Дані_зв''язок'!$C$4:$C$1012=F$4),'Дані_зв''язок'!$D$4:$D$1012,"")))</f>
        <v>7:55, 15:35</v>
      </c>
      <c r="G381" s="27" t="str" cm="1">
        <f t="array" ref="G381">IF($O381="","",_xlfn.TEXTJOIN(", ",TRUE,IF(EXACT('Дані_зв''язок'!$J$4:$J$1012,$O381)*('Дані_зв''язок'!$C$4:$C$1012=G$4),'Дані_зв''язок'!$D$4:$D$1012,"")))</f>
        <v>8:10, 14:15</v>
      </c>
      <c r="H381" s="27" t="str" cm="1">
        <f t="array" ref="H381">IF($O381="","",_xlfn.TEXTJOIN(", ",TRUE,IF(EXACT('Дані_зв''язок'!$J$4:$J$1012,$O381)*('Дані_зв''язок'!$C$4:$C$1012=H$4),'Дані_зв''язок'!$D$4:$D$1012,"")))</f>
        <v>7:40</v>
      </c>
      <c r="I381" s="27" t="str" cm="1">
        <f t="array" ref="I381">IF($O381="","",_xlfn.TEXTJOIN(", ",TRUE,IF(EXACT('Дані_зв''язок'!$J$4:$J$1012,$O381)*('Дані_зв''язок'!$C$4:$C$1012=I$4),'Дані_зв''язок'!$D$4:$D$1012,"")))</f>
        <v>7:55, 15:35</v>
      </c>
      <c r="J381" s="27" cm="1">
        <f t="array" ref="J381">IF($O381="","",COUNTIF(C381:I381,"?*")+SUMPRODUCT(LEN(C381:I381)-LEN(SUBSTITUTE(C381:I381,",",""))))</f>
        <v>11</v>
      </c>
      <c r="K381" s="28" t="str" cm="1">
        <f t="array" ref="K381">IF($O381="","",_xlfn.TEXTJOIN(", ",TRUE,IF(EXACT('Дані_зв''язок'!$J$4:$J$1012,$O381),'Дані_зв''язок'!$L$4:$L$1012,"")))</f>
        <v>№3</v>
      </c>
      <c r="L381" s="28" t="str" cm="1">
        <f t="array" ref="L381">IF($O381="","",_xlfn.TEXTJOIN(", ",TRUE,IF(EXACT('Дані_зв''язок'!$J$4:$J$1012,$O381),'Дані_зв''язок'!$M$4:$M$1012,"")))</f>
        <v>МАЗ-4371, ГАЗ 3309</v>
      </c>
      <c r="M381" s="27" cm="1">
        <f t="array" ref="M381">IF($O381="","",IF(SUMPRODUCT(MAX(EXACT('Дані_зв''язок'!$J$4:$J$1012,$O381)*IFERROR('Дані_зв''язок'!$H$4:$H$1012,0)))=0,"",SUMPRODUCT(MAX(EXACT('Дані_зв''язок'!$J$4:$J$1012,$O381)*IFERROR('Дані_зв''язок'!$H$4:$H$1012,0)))))</f>
        <v>4</v>
      </c>
      <c r="O381" s="30" t="s">
        <v>1501</v>
      </c>
      <c r="P381" s="24" cm="1">
        <f t="array" ref="P381">IF($O381="","",IF($B381="","",IFERROR(IF(MIN(IFERROR(VALUE(TRIM(MID(SUBSTITUTE(SUBSTITUTE($B381,","," ")," ",REPT(" ",30)),{1;31;61;91;121;151;181},30))),""))=0,"",MIN(IFERROR(VALUE(TRIM(MID(SUBSTITUTE(SUBSTITUTE($B381,","," ")," ",REPT(" ",30)),{1;31;61;91;121;151;181},30))),""))),"")))</f>
        <v>108</v>
      </c>
      <c r="Q381" s="23" t="str">
        <f t="shared" si="17"/>
        <v>Прилуки, Чернігівська обл., вул. Скоропадського, 108</v>
      </c>
      <c r="R381" s="35">
        <f>IF($O381="","",IFERROR(INDEX('Координати майданчиків'!$H$4:$H$64,MATCH($T381,'Координати майданчиків'!$B$4:$B$64,0)),IFERROR(IF(ABS(INDEX(Геокодування!$C$2:$C$361,MATCH($Q381,Геокодування!$B$2:$B$361,0))-50.5884)+ABS(INDEX(Геокодування!$D$2:$D$361,MATCH($Q381,Геокодування!$B$2:$B$361,0))-32.3876)&gt;0.15,"",INDEX(Геокодування!$C$2:$C$361,MATCH($Q381,Геокодування!$B$2:$B$361,0))),IFERROR(IF(ABS(INDEX(Геокодування!$C$2:$C$361,MATCH("Прилуки, Чернігівська обл., "&amp;$A381,Геокодування!$B$2:$B$361,0))-50.5884)+ABS(INDEX(Геокодування!$D$2:$D$361,MATCH("Прилуки, Чернігівська обл., "&amp;$A381,Геокодування!$B$2:$B$361,0))-32.3876)&gt;0.15,"",INDEX(Геокодування!$C$2:$C$361,MATCH("Прилуки, Чернігівська обл., "&amp;$A381,Геокодування!$B$2:$B$361,0))),""))))</f>
        <v>50.598255000000002</v>
      </c>
      <c r="S381" s="43">
        <f>IF($O381="","",IFERROR(INDEX('Координати майданчиків'!$I$4:$I$64,MATCH($T381,'Координати майданчиків'!$B$4:$B$64,0)),IFERROR(IF(ABS(INDEX(Геокодування!$C$2:$C$361,MATCH($Q381,Геокодування!$B$2:$B$361,0))-50.5884)+ABS(INDEX(Геокодування!$D$2:$D$361,MATCH($Q381,Геокодування!$B$2:$B$361,0))-32.3876)&gt;0.15,"",INDEX(Геокодування!$D$2:$D$361,MATCH($Q381,Геокодування!$B$2:$B$361,0))),IFERROR(IF(ABS(INDEX(Геокодування!$C$2:$C$361,MATCH("Прилуки, Чернігівська обл., "&amp;$A381,Геокодування!$B$2:$B$361,0))-50.5884)+ABS(INDEX(Геокодування!$D$2:$D$361,MATCH("Прилуки, Чернігівська обл., "&amp;$A381,Геокодування!$B$2:$B$361,0))-32.3876)&gt;0.15,"",INDEX(Геокодування!$D$2:$D$361,MATCH("Прилуки, Чернігівська обл., "&amp;$A381,Геокодування!$B$2:$B$361,0))),""))))</f>
        <v>32.374329000000003</v>
      </c>
      <c r="T381" s="44" t="str">
        <f>IF($O381="","",IFERROR(INDEX('Координати майданчиків'!$B$4:$B$64,MATCH($A381&amp;IF($P381="","",", "&amp;$P381),'Координати майданчиків'!$B$4:$B$64,0)),IFERROR(INDEX('Координати майданчиків'!$B$4:$B$64,MATCH($A381,'Координати майданчиків'!$B$4:$B$64,0)),"")))</f>
        <v/>
      </c>
    </row>
    <row r="382" spans="1:20" x14ac:dyDescent="0.35">
      <c r="A382" s="26" t="str">
        <f t="shared" si="15"/>
        <v>вул. Соборна</v>
      </c>
      <c r="B382" s="26" t="str">
        <f t="shared" si="16"/>
        <v>"Дача"</v>
      </c>
      <c r="C382" s="27" t="str" cm="1">
        <f t="array" ref="C382">IF($O382="","",_xlfn.TEXTJOIN(", ",TRUE,IF(EXACT('Дані_зв''язок'!$J$4:$J$1012,$O382)*('Дані_зв''язок'!$C$4:$C$1012=C$4),'Дані_зв''язок'!$D$4:$D$1012,"")))</f>
        <v/>
      </c>
      <c r="D382" s="27" t="str" cm="1">
        <f t="array" ref="D382">IF($O382="","",_xlfn.TEXTJOIN(", ",TRUE,IF(EXACT('Дані_зв''язок'!$J$4:$J$1012,$O382)*('Дані_зв''язок'!$C$4:$C$1012=D$4),'Дані_зв''язок'!$D$4:$D$1012,"")))</f>
        <v/>
      </c>
      <c r="E382" s="27" t="str" cm="1">
        <f t="array" ref="E382">IF($O382="","",_xlfn.TEXTJOIN(", ",TRUE,IF(EXACT('Дані_зв''язок'!$J$4:$J$1012,$O382)*('Дані_зв''язок'!$C$4:$C$1012=E$4),'Дані_зв''язок'!$D$4:$D$1012,"")))</f>
        <v/>
      </c>
      <c r="F382" s="27" t="str" cm="1">
        <f t="array" ref="F382">IF($O382="","",_xlfn.TEXTJOIN(", ",TRUE,IF(EXACT('Дані_зв''язок'!$J$4:$J$1012,$O382)*('Дані_зв''язок'!$C$4:$C$1012=F$4),'Дані_зв''язок'!$D$4:$D$1012,"")))</f>
        <v/>
      </c>
      <c r="G382" s="27" t="str" cm="1">
        <f t="array" ref="G382">IF($O382="","",_xlfn.TEXTJOIN(", ",TRUE,IF(EXACT('Дані_зв''язок'!$J$4:$J$1012,$O382)*('Дані_зв''язок'!$C$4:$C$1012=G$4),'Дані_зв''язок'!$D$4:$D$1012,"")))</f>
        <v>15:30</v>
      </c>
      <c r="H382" s="27" t="str" cm="1">
        <f t="array" ref="H382">IF($O382="","",_xlfn.TEXTJOIN(", ",TRUE,IF(EXACT('Дані_зв''язок'!$J$4:$J$1012,$O382)*('Дані_зв''язок'!$C$4:$C$1012=H$4),'Дані_зв''язок'!$D$4:$D$1012,"")))</f>
        <v/>
      </c>
      <c r="I382" s="27" t="str" cm="1">
        <f t="array" ref="I382">IF($O382="","",_xlfn.TEXTJOIN(", ",TRUE,IF(EXACT('Дані_зв''язок'!$J$4:$J$1012,$O382)*('Дані_зв''язок'!$C$4:$C$1012=I$4),'Дані_зв''язок'!$D$4:$D$1012,"")))</f>
        <v/>
      </c>
      <c r="J382" s="27" cm="1">
        <f t="array" ref="J382">IF($O382="","",COUNTIF(C382:I382,"?*")+SUMPRODUCT(LEN(C382:I382)-LEN(SUBSTITUTE(C382:I382,",",""))))</f>
        <v>1</v>
      </c>
      <c r="K382" s="28" t="str" cm="1">
        <f t="array" ref="K382">IF($O382="","",_xlfn.TEXTJOIN(", ",TRUE,IF(EXACT('Дані_зв''язок'!$J$4:$J$1012,$O382),'Дані_зв''язок'!$L$4:$L$1012,"")))</f>
        <v>№2</v>
      </c>
      <c r="L382" s="28" t="str" cm="1">
        <f t="array" ref="L382">IF($O382="","",_xlfn.TEXTJOIN(", ",TRUE,IF(EXACT('Дані_зв''язок'!$J$4:$J$1012,$O382),'Дані_зв''язок'!$M$4:$M$1012,"")))</f>
        <v>АТ 4021/1120</v>
      </c>
      <c r="M382" s="27" cm="1">
        <f t="array" ref="M382">IF($O382="","",IF(SUMPRODUCT(MAX(EXACT('Дані_зв''язок'!$J$4:$J$1012,$O382)*IFERROR('Дані_зв''язок'!$H$4:$H$1012,0)))=0,"",SUMPRODUCT(MAX(EXACT('Дані_зв''язок'!$J$4:$J$1012,$O382)*IFERROR('Дані_зв''язок'!$H$4:$H$1012,0)))))</f>
        <v>2</v>
      </c>
      <c r="O382" s="30" t="s">
        <v>1502</v>
      </c>
      <c r="P382" s="24" t="str" cm="1">
        <f t="array" ref="P382">IF($O382="","",IF($B382="","",IFERROR(IF(MIN(IFERROR(VALUE(TRIM(MID(SUBSTITUTE(SUBSTITUTE($B382,","," ")," ",REPT(" ",30)),{1;31;61;91;121;151;181},30))),""))=0,"",MIN(IFERROR(VALUE(TRIM(MID(SUBSTITUTE(SUBSTITUTE($B382,","," ")," ",REPT(" ",30)),{1;31;61;91;121;151;181},30))),""))),"")))</f>
        <v/>
      </c>
      <c r="Q382" s="23" t="str">
        <f t="shared" si="17"/>
        <v>Прилуки, Чернігівська обл., вул. Соборна</v>
      </c>
      <c r="R382" s="69">
        <f>IF($O382="","",IFERROR(INDEX('Координати майданчиків'!$H$4:$H$64,MATCH($T382,'Координати майданчиків'!$B$4:$B$64,0)),IFERROR(IF(ABS(INDEX(Геокодування!$C$2:$C$361,MATCH($Q382,Геокодування!$B$2:$B$361,0))-50.5884)+ABS(INDEX(Геокодування!$D$2:$D$361,MATCH($Q382,Геокодування!$B$2:$B$361,0))-32.3876)&gt;0.15,"",INDEX(Геокодування!$C$2:$C$361,MATCH($Q382,Геокодування!$B$2:$B$361,0))),IFERROR(IF(ABS(INDEX(Геокодування!$C$2:$C$361,MATCH("Прилуки, Чернігівська обл., "&amp;$A382,Геокодування!$B$2:$B$361,0))-50.5884)+ABS(INDEX(Геокодування!$D$2:$D$361,MATCH("Прилуки, Чернігівська обл., "&amp;$A382,Геокодування!$B$2:$B$361,0))-32.3876)&gt;0.15,"",INDEX(Геокодування!$C$2:$C$361,MATCH("Прилуки, Чернігівська обл., "&amp;$A382,Геокодування!$B$2:$B$361,0))),""))))</f>
        <v>50.590646</v>
      </c>
      <c r="S382" s="69">
        <f>IF($O382="","",IFERROR(INDEX('Координати майданчиків'!$I$4:$I$64,MATCH($T382,'Координати майданчиків'!$B$4:$B$64,0)),IFERROR(IF(ABS(INDEX(Геокодування!$C$2:$C$361,MATCH($Q382,Геокодування!$B$2:$B$361,0))-50.5884)+ABS(INDEX(Геокодування!$D$2:$D$361,MATCH($Q382,Геокодування!$B$2:$B$361,0))-32.3876)&gt;0.15,"",INDEX(Геокодування!$D$2:$D$361,MATCH($Q382,Геокодування!$B$2:$B$361,0))),IFERROR(IF(ABS(INDEX(Геокодування!$C$2:$C$361,MATCH("Прилуки, Чернігівська обл., "&amp;$A382,Геокодування!$B$2:$B$361,0))-50.5884)+ABS(INDEX(Геокодування!$D$2:$D$361,MATCH("Прилуки, Чернігівська обл., "&amp;$A382,Геокодування!$B$2:$B$361,0))-32.3876)&gt;0.15,"",INDEX(Геокодування!$D$2:$D$361,MATCH("Прилуки, Чернігівська обл., "&amp;$A382,Геокодування!$B$2:$B$361,0))),""))))</f>
        <v>32.424137999999999</v>
      </c>
      <c r="T382" s="44" t="str">
        <f>IF($O382="","",IFERROR(INDEX('Координати майданчиків'!$B$4:$B$64,MATCH($A382&amp;IF($P382="","",", "&amp;$P382),'Координати майданчиків'!$B$4:$B$64,0)),IFERROR(INDEX('Координати майданчиків'!$B$4:$B$64,MATCH($A382,'Координати майданчиків'!$B$4:$B$64,0)),"")))</f>
        <v/>
      </c>
    </row>
    <row r="383" spans="1:20" x14ac:dyDescent="0.35">
      <c r="A383" s="26" t="str">
        <f t="shared" si="15"/>
        <v>вул. Соборна</v>
      </c>
      <c r="B383" s="26" t="str">
        <f t="shared" si="16"/>
        <v>125</v>
      </c>
      <c r="C383" s="27" t="str" cm="1">
        <f t="array" ref="C383">IF($O383="","",_xlfn.TEXTJOIN(", ",TRUE,IF(EXACT('Дані_зв''язок'!$J$4:$J$1012,$O383)*('Дані_зв''язок'!$C$4:$C$1012=C$4),'Дані_зв''язок'!$D$4:$D$1012,"")))</f>
        <v>8:40</v>
      </c>
      <c r="D383" s="27" t="str" cm="1">
        <f t="array" ref="D383">IF($O383="","",_xlfn.TEXTJOIN(", ",TRUE,IF(EXACT('Дані_зв''язок'!$J$4:$J$1012,$O383)*('Дані_зв''язок'!$C$4:$C$1012=D$4),'Дані_зв''язок'!$D$4:$D$1012,"")))</f>
        <v>9:55</v>
      </c>
      <c r="E383" s="27" t="str" cm="1">
        <f t="array" ref="E383">IF($O383="","",_xlfn.TEXTJOIN(", ",TRUE,IF(EXACT('Дані_зв''язок'!$J$4:$J$1012,$O383)*('Дані_зв''язок'!$C$4:$C$1012=E$4),'Дані_зв''язок'!$D$4:$D$1012,"")))</f>
        <v>9:40</v>
      </c>
      <c r="F383" s="27" t="str" cm="1">
        <f t="array" ref="F383">IF($O383="","",_xlfn.TEXTJOIN(", ",TRUE,IF(EXACT('Дані_зв''язок'!$J$4:$J$1012,$O383)*('Дані_зв''язок'!$C$4:$C$1012=F$4),'Дані_зв''язок'!$D$4:$D$1012,"")))</f>
        <v>8:25</v>
      </c>
      <c r="G383" s="27" t="str" cm="1">
        <f t="array" ref="G383">IF($O383="","",_xlfn.TEXTJOIN(", ",TRUE,IF(EXACT('Дані_зв''язок'!$J$4:$J$1012,$O383)*('Дані_зв''язок'!$C$4:$C$1012=G$4),'Дані_зв''язок'!$D$4:$D$1012,"")))</f>
        <v>8:40</v>
      </c>
      <c r="H383" s="27" t="str" cm="1">
        <f t="array" ref="H383">IF($O383="","",_xlfn.TEXTJOIN(", ",TRUE,IF(EXACT('Дані_зв''язок'!$J$4:$J$1012,$O383)*('Дані_зв''язок'!$C$4:$C$1012=H$4),'Дані_зв''язок'!$D$4:$D$1012,"")))</f>
        <v>9:40</v>
      </c>
      <c r="I383" s="27" t="str" cm="1">
        <f t="array" ref="I383">IF($O383="","",_xlfn.TEXTJOIN(", ",TRUE,IF(EXACT('Дані_зв''язок'!$J$4:$J$1012,$O383)*('Дані_зв''язок'!$C$4:$C$1012=I$4),'Дані_зв''язок'!$D$4:$D$1012,"")))</f>
        <v>9:10</v>
      </c>
      <c r="J383" s="27" cm="1">
        <f t="array" ref="J383">IF($O383="","",COUNTIF(C383:I383,"?*")+SUMPRODUCT(LEN(C383:I383)-LEN(SUBSTITUTE(C383:I383,",",""))))</f>
        <v>7</v>
      </c>
      <c r="K383" s="28" t="str" cm="1">
        <f t="array" ref="K383">IF($O383="","",_xlfn.TEXTJOIN(", ",TRUE,IF(EXACT('Дані_зв''язок'!$J$4:$J$1012,$O383),'Дані_зв''язок'!$L$4:$L$1012,"")))</f>
        <v>№4</v>
      </c>
      <c r="L383" s="28" t="str" cm="1">
        <f t="array" ref="L383">IF($O383="","",_xlfn.TEXTJOIN(", ",TRUE,IF(EXACT('Дані_зв''язок'!$J$4:$J$1012,$O383),'Дані_зв''язок'!$M$4:$M$1012,"")))</f>
        <v>АТ 40-42/ROD21003, ГАЗ 3309</v>
      </c>
      <c r="M383" s="27" cm="1">
        <f t="array" ref="M383">IF($O383="","",IF(SUMPRODUCT(MAX(EXACT('Дані_зв''язок'!$J$4:$J$1012,$O383)*IFERROR('Дані_зв''язок'!$H$4:$H$1012,0)))=0,"",SUMPRODUCT(MAX(EXACT('Дані_зв''язок'!$J$4:$J$1012,$O383)*IFERROR('Дані_зв''язок'!$H$4:$H$1012,0)))))</f>
        <v>4</v>
      </c>
      <c r="O383" s="30" t="s">
        <v>1503</v>
      </c>
      <c r="P383" s="24" cm="1">
        <f t="array" ref="P383">IF($O383="","",IF($B383="","",IFERROR(IF(MIN(IFERROR(VALUE(TRIM(MID(SUBSTITUTE(SUBSTITUTE($B383,","," ")," ",REPT(" ",30)),{1;31;61;91;121;151;181},30))),""))=0,"",MIN(IFERROR(VALUE(TRIM(MID(SUBSTITUTE(SUBSTITUTE($B383,","," ")," ",REPT(" ",30)),{1;31;61;91;121;151;181},30))),""))),"")))</f>
        <v>125</v>
      </c>
      <c r="Q383" s="23" t="str">
        <f t="shared" si="17"/>
        <v>Прилуки, Чернігівська обл., вул. Соборна, 125</v>
      </c>
      <c r="R383" s="35">
        <f>IF($O383="","",IFERROR(INDEX('Координати майданчиків'!$H$4:$H$64,MATCH($T383,'Координати майданчиків'!$B$4:$B$64,0)),IFERROR(IF(ABS(INDEX(Геокодування!$C$2:$C$361,MATCH($Q383,Геокодування!$B$2:$B$361,0))-50.5884)+ABS(INDEX(Геокодування!$D$2:$D$361,MATCH($Q383,Геокодування!$B$2:$B$361,0))-32.3876)&gt;0.15,"",INDEX(Геокодування!$C$2:$C$361,MATCH($Q383,Геокодування!$B$2:$B$361,0))),IFERROR(IF(ABS(INDEX(Геокодування!$C$2:$C$361,MATCH("Прилуки, Чернігівська обл., "&amp;$A383,Геокодування!$B$2:$B$361,0))-50.5884)+ABS(INDEX(Геокодування!$D$2:$D$361,MATCH("Прилуки, Чернігівська обл., "&amp;$A383,Геокодування!$B$2:$B$361,0))-32.3876)&gt;0.15,"",INDEX(Геокодування!$C$2:$C$361,MATCH("Прилуки, Чернігівська обл., "&amp;$A383,Геокодування!$B$2:$B$361,0))),""))))</f>
        <v>50.592419999999997</v>
      </c>
      <c r="S383" s="43">
        <f>IF($O383="","",IFERROR(INDEX('Координати майданчиків'!$I$4:$I$64,MATCH($T383,'Координати майданчиків'!$B$4:$B$64,0)),IFERROR(IF(ABS(INDEX(Геокодування!$C$2:$C$361,MATCH($Q383,Геокодування!$B$2:$B$361,0))-50.5884)+ABS(INDEX(Геокодування!$D$2:$D$361,MATCH($Q383,Геокодування!$B$2:$B$361,0))-32.3876)&gt;0.15,"",INDEX(Геокодування!$D$2:$D$361,MATCH($Q383,Геокодування!$B$2:$B$361,0))),IFERROR(IF(ABS(INDEX(Геокодування!$C$2:$C$361,MATCH("Прилуки, Чернігівська обл., "&amp;$A383,Геокодування!$B$2:$B$361,0))-50.5884)+ABS(INDEX(Геокодування!$D$2:$D$361,MATCH("Прилуки, Чернігівська обл., "&amp;$A383,Геокодування!$B$2:$B$361,0))-32.3876)&gt;0.15,"",INDEX(Геокодування!$D$2:$D$361,MATCH("Прилуки, Чернігівська обл., "&amp;$A383,Геокодування!$B$2:$B$361,0))),""))))</f>
        <v>32.412939999999999</v>
      </c>
      <c r="T383" s="44" t="str">
        <f>IF($O383="","",IFERROR(INDEX('Координати майданчиків'!$B$4:$B$64,MATCH($A383&amp;IF($P383="","",", "&amp;$P383),'Координати майданчиків'!$B$4:$B$64,0)),IFERROR(INDEX('Координати майданчиків'!$B$4:$B$64,MATCH($A383,'Координати майданчиків'!$B$4:$B$64,0)),"")))</f>
        <v>вул. Соборна, 125</v>
      </c>
    </row>
    <row r="384" spans="1:20" x14ac:dyDescent="0.35">
      <c r="A384" s="26" t="str">
        <f t="shared" si="15"/>
        <v>вул. Соборна</v>
      </c>
      <c r="B384" s="26" t="str">
        <f t="shared" si="16"/>
        <v>161,157,145</v>
      </c>
      <c r="C384" s="27" t="str" cm="1">
        <f t="array" ref="C384">IF($O384="","",_xlfn.TEXTJOIN(", ",TRUE,IF(EXACT('Дані_зв''язок'!$J$4:$J$1012,$O384)*('Дані_зв''язок'!$C$4:$C$1012=C$4),'Дані_зв''язок'!$D$4:$D$1012,"")))</f>
        <v>13:55</v>
      </c>
      <c r="D384" s="27" t="str" cm="1">
        <f t="array" ref="D384">IF($O384="","",_xlfn.TEXTJOIN(", ",TRUE,IF(EXACT('Дані_зв''язок'!$J$4:$J$1012,$O384)*('Дані_зв''язок'!$C$4:$C$1012=D$4),'Дані_зв''язок'!$D$4:$D$1012,"")))</f>
        <v/>
      </c>
      <c r="E384" s="27" t="str" cm="1">
        <f t="array" ref="E384">IF($O384="","",_xlfn.TEXTJOIN(", ",TRUE,IF(EXACT('Дані_зв''язок'!$J$4:$J$1012,$O384)*('Дані_зв''язок'!$C$4:$C$1012=E$4),'Дані_зв''язок'!$D$4:$D$1012,"")))</f>
        <v/>
      </c>
      <c r="F384" s="27" t="str" cm="1">
        <f t="array" ref="F384">IF($O384="","",_xlfn.TEXTJOIN(", ",TRUE,IF(EXACT('Дані_зв''язок'!$J$4:$J$1012,$O384)*('Дані_зв''язок'!$C$4:$C$1012=F$4),'Дані_зв''язок'!$D$4:$D$1012,"")))</f>
        <v/>
      </c>
      <c r="G384" s="27" t="str" cm="1">
        <f t="array" ref="G384">IF($O384="","",_xlfn.TEXTJOIN(", ",TRUE,IF(EXACT('Дані_зв''язок'!$J$4:$J$1012,$O384)*('Дані_зв''язок'!$C$4:$C$1012=G$4),'Дані_зв''язок'!$D$4:$D$1012,"")))</f>
        <v/>
      </c>
      <c r="H384" s="27" t="str" cm="1">
        <f t="array" ref="H384">IF($O384="","",_xlfn.TEXTJOIN(", ",TRUE,IF(EXACT('Дані_зв''язок'!$J$4:$J$1012,$O384)*('Дані_зв''язок'!$C$4:$C$1012=H$4),'Дані_зв''язок'!$D$4:$D$1012,"")))</f>
        <v/>
      </c>
      <c r="I384" s="27" t="str" cm="1">
        <f t="array" ref="I384">IF($O384="","",_xlfn.TEXTJOIN(", ",TRUE,IF(EXACT('Дані_зв''язок'!$J$4:$J$1012,$O384)*('Дані_зв''язок'!$C$4:$C$1012=I$4),'Дані_зв''язок'!$D$4:$D$1012,"")))</f>
        <v/>
      </c>
      <c r="J384" s="27" cm="1">
        <f t="array" ref="J384">IF($O384="","",COUNTIF(C384:I384,"?*")+SUMPRODUCT(LEN(C384:I384)-LEN(SUBSTITUTE(C384:I384,",",""))))</f>
        <v>1</v>
      </c>
      <c r="K384" s="28" t="str" cm="1">
        <f t="array" ref="K384">IF($O384="","",_xlfn.TEXTJOIN(", ",TRUE,IF(EXACT('Дані_зв''язок'!$J$4:$J$1012,$O384),'Дані_зв''язок'!$L$4:$L$1012,"")))</f>
        <v>№6</v>
      </c>
      <c r="L384" s="28" t="str" cm="1">
        <f t="array" ref="L384">IF($O384="","",_xlfn.TEXTJOIN(", ",TRUE,IF(EXACT('Дані_зв''язок'!$J$4:$J$1012,$O384),'Дані_зв''язок'!$M$4:$M$1012,"")))</f>
        <v>АТ 4021</v>
      </c>
      <c r="M384" s="27" t="str" cm="1">
        <f t="array" ref="M384">IF($O384="","",IF(SUMPRODUCT(MAX(EXACT('Дані_зв''язок'!$J$4:$J$1012,$O384)*IFERROR('Дані_зв''язок'!$H$4:$H$1012,0)))=0,"",SUMPRODUCT(MAX(EXACT('Дані_зв''язок'!$J$4:$J$1012,$O384)*IFERROR('Дані_зв''язок'!$H$4:$H$1012,0)))))</f>
        <v/>
      </c>
      <c r="O384" s="30" t="s">
        <v>1504</v>
      </c>
      <c r="P384" s="24" cm="1">
        <f t="array" ref="P384">IF($O384="","",IF($B384="","",IFERROR(IF(MIN(IFERROR(VALUE(TRIM(MID(SUBSTITUTE(SUBSTITUTE($B384,","," ")," ",REPT(" ",30)),{1;31;61;91;121;151;181},30))),""))=0,"",MIN(IFERROR(VALUE(TRIM(MID(SUBSTITUTE(SUBSTITUTE($B384,","," ")," ",REPT(" ",30)),{1;31;61;91;121;151;181},30))),""))),"")))</f>
        <v>145</v>
      </c>
      <c r="Q384" s="23" t="str">
        <f t="shared" si="17"/>
        <v>Прилуки, Чернігівська обл., вул. Соборна, 145</v>
      </c>
      <c r="R384" s="35">
        <f>IF($O384="","",IFERROR(INDEX('Координати майданчиків'!$H$4:$H$64,MATCH($T384,'Координати майданчиків'!$B$4:$B$64,0)),IFERROR(IF(ABS(INDEX(Геокодування!$C$2:$C$361,MATCH($Q384,Геокодування!$B$2:$B$361,0))-50.5884)+ABS(INDEX(Геокодування!$D$2:$D$361,MATCH($Q384,Геокодування!$B$2:$B$361,0))-32.3876)&gt;0.15,"",INDEX(Геокодування!$C$2:$C$361,MATCH($Q384,Геокодування!$B$2:$B$361,0))),IFERROR(IF(ABS(INDEX(Геокодування!$C$2:$C$361,MATCH("Прилуки, Чернігівська обл., "&amp;$A384,Геокодування!$B$2:$B$361,0))-50.5884)+ABS(INDEX(Геокодування!$D$2:$D$361,MATCH("Прилуки, Чернігівська обл., "&amp;$A384,Геокодування!$B$2:$B$361,0))-32.3876)&gt;0.15,"",INDEX(Геокодування!$C$2:$C$361,MATCH("Прилуки, Чернігівська обл., "&amp;$A384,Геокодування!$B$2:$B$361,0))),""))))</f>
        <v>50.590646</v>
      </c>
      <c r="S384" s="43">
        <f>IF($O384="","",IFERROR(INDEX('Координати майданчиків'!$I$4:$I$64,MATCH($T384,'Координати майданчиків'!$B$4:$B$64,0)),IFERROR(IF(ABS(INDEX(Геокодування!$C$2:$C$361,MATCH($Q384,Геокодування!$B$2:$B$361,0))-50.5884)+ABS(INDEX(Геокодування!$D$2:$D$361,MATCH($Q384,Геокодування!$B$2:$B$361,0))-32.3876)&gt;0.15,"",INDEX(Геокодування!$D$2:$D$361,MATCH($Q384,Геокодування!$B$2:$B$361,0))),IFERROR(IF(ABS(INDEX(Геокодування!$C$2:$C$361,MATCH("Прилуки, Чернігівська обл., "&amp;$A384,Геокодування!$B$2:$B$361,0))-50.5884)+ABS(INDEX(Геокодування!$D$2:$D$361,MATCH("Прилуки, Чернігівська обл., "&amp;$A384,Геокодування!$B$2:$B$361,0))-32.3876)&gt;0.15,"",INDEX(Геокодування!$D$2:$D$361,MATCH("Прилуки, Чернігівська обл., "&amp;$A384,Геокодування!$B$2:$B$361,0))),""))))</f>
        <v>32.424137999999999</v>
      </c>
      <c r="T384" s="44" t="str">
        <f>IF($O384="","",IFERROR(INDEX('Координати майданчиків'!$B$4:$B$64,MATCH($A384&amp;IF($P384="","",", "&amp;$P384),'Координати майданчиків'!$B$4:$B$64,0)),IFERROR(INDEX('Координати майданчиків'!$B$4:$B$64,MATCH($A384,'Координати майданчиків'!$B$4:$B$64,0)),"")))</f>
        <v/>
      </c>
    </row>
    <row r="385" spans="1:20" x14ac:dyDescent="0.35">
      <c r="A385" s="26" t="str">
        <f t="shared" si="15"/>
        <v>вул. Соборна</v>
      </c>
      <c r="B385" s="26" t="str">
        <f t="shared" si="16"/>
        <v>30,28  19,17</v>
      </c>
      <c r="C385" s="27" t="str" cm="1">
        <f t="array" ref="C385">IF($O385="","",_xlfn.TEXTJOIN(", ",TRUE,IF(EXACT('Дані_зв''язок'!$J$4:$J$1012,$O385)*('Дані_зв''язок'!$C$4:$C$1012=C$4),'Дані_зв''язок'!$D$4:$D$1012,"")))</f>
        <v/>
      </c>
      <c r="D385" s="27" t="str" cm="1">
        <f t="array" ref="D385">IF($O385="","",_xlfn.TEXTJOIN(", ",TRUE,IF(EXACT('Дані_зв''язок'!$J$4:$J$1012,$O385)*('Дані_зв''язок'!$C$4:$C$1012=D$4),'Дані_зв''язок'!$D$4:$D$1012,"")))</f>
        <v/>
      </c>
      <c r="E385" s="27" t="str" cm="1">
        <f t="array" ref="E385">IF($O385="","",_xlfn.TEXTJOIN(", ",TRUE,IF(EXACT('Дані_зв''язок'!$J$4:$J$1012,$O385)*('Дані_зв''язок'!$C$4:$C$1012=E$4),'Дані_зв''язок'!$D$4:$D$1012,"")))</f>
        <v>11:35</v>
      </c>
      <c r="F385" s="27" t="str" cm="1">
        <f t="array" ref="F385">IF($O385="","",_xlfn.TEXTJOIN(", ",TRUE,IF(EXACT('Дані_зв''язок'!$J$4:$J$1012,$O385)*('Дані_зв''язок'!$C$4:$C$1012=F$4),'Дані_зв''язок'!$D$4:$D$1012,"")))</f>
        <v/>
      </c>
      <c r="G385" s="27" t="str" cm="1">
        <f t="array" ref="G385">IF($O385="","",_xlfn.TEXTJOIN(", ",TRUE,IF(EXACT('Дані_зв''язок'!$J$4:$J$1012,$O385)*('Дані_зв''язок'!$C$4:$C$1012=G$4),'Дані_зв''язок'!$D$4:$D$1012,"")))</f>
        <v/>
      </c>
      <c r="H385" s="27" t="str" cm="1">
        <f t="array" ref="H385">IF($O385="","",_xlfn.TEXTJOIN(", ",TRUE,IF(EXACT('Дані_зв''язок'!$J$4:$J$1012,$O385)*('Дані_зв''язок'!$C$4:$C$1012=H$4),'Дані_зв''язок'!$D$4:$D$1012,"")))</f>
        <v/>
      </c>
      <c r="I385" s="27" t="str" cm="1">
        <f t="array" ref="I385">IF($O385="","",_xlfn.TEXTJOIN(", ",TRUE,IF(EXACT('Дані_зв''язок'!$J$4:$J$1012,$O385)*('Дані_зв''язок'!$C$4:$C$1012=I$4),'Дані_зв''язок'!$D$4:$D$1012,"")))</f>
        <v/>
      </c>
      <c r="J385" s="27" cm="1">
        <f t="array" ref="J385">IF($O385="","",COUNTIF(C385:I385,"?*")+SUMPRODUCT(LEN(C385:I385)-LEN(SUBSTITUTE(C385:I385,",",""))))</f>
        <v>1</v>
      </c>
      <c r="K385" s="28" t="str" cm="1">
        <f t="array" ref="K385">IF($O385="","",_xlfn.TEXTJOIN(", ",TRUE,IF(EXACT('Дані_зв''язок'!$J$4:$J$1012,$O385),'Дані_зв''язок'!$L$4:$L$1012,"")))</f>
        <v>№6</v>
      </c>
      <c r="L385" s="28" t="str" cm="1">
        <f t="array" ref="L385">IF($O385="","",_xlfn.TEXTJOIN(", ",TRUE,IF(EXACT('Дані_зв''язок'!$J$4:$J$1012,$O385),'Дані_зв''язок'!$M$4:$M$1012,"")))</f>
        <v>АТ 4021</v>
      </c>
      <c r="M385" s="27" t="str" cm="1">
        <f t="array" ref="M385">IF($O385="","",IF(SUMPRODUCT(MAX(EXACT('Дані_зв''язок'!$J$4:$J$1012,$O385)*IFERROR('Дані_зв''язок'!$H$4:$H$1012,0)))=0,"",SUMPRODUCT(MAX(EXACT('Дані_зв''язок'!$J$4:$J$1012,$O385)*IFERROR('Дані_зв''язок'!$H$4:$H$1012,0)))))</f>
        <v/>
      </c>
      <c r="O385" s="30" t="s">
        <v>1505</v>
      </c>
      <c r="P385" s="24" cm="1">
        <f t="array" ref="P385">IF($O385="","",IF($B385="","",IFERROR(IF(MIN(IFERROR(VALUE(TRIM(MID(SUBSTITUTE(SUBSTITUTE($B385,","," ")," ",REPT(" ",30)),{1;31;61;91;121;151;181},30))),""))=0,"",MIN(IFERROR(VALUE(TRIM(MID(SUBSTITUTE(SUBSTITUTE($B385,","," ")," ",REPT(" ",30)),{1;31;61;91;121;151;181},30))),""))),"")))</f>
        <v>17</v>
      </c>
      <c r="Q385" s="23" t="str">
        <f t="shared" si="17"/>
        <v>Прилуки, Чернігівська обл., вул. Соборна, 17</v>
      </c>
      <c r="R385" s="35">
        <f>IF($O385="","",IFERROR(INDEX('Координати майданчиків'!$H$4:$H$64,MATCH($T385,'Координати майданчиків'!$B$4:$B$64,0)),IFERROR(IF(ABS(INDEX(Геокодування!$C$2:$C$361,MATCH($Q385,Геокодування!$B$2:$B$361,0))-50.5884)+ABS(INDEX(Геокодування!$D$2:$D$361,MATCH($Q385,Геокодування!$B$2:$B$361,0))-32.3876)&gt;0.15,"",INDEX(Геокодування!$C$2:$C$361,MATCH($Q385,Геокодування!$B$2:$B$361,0))),IFERROR(IF(ABS(INDEX(Геокодування!$C$2:$C$361,MATCH("Прилуки, Чернігівська обл., "&amp;$A385,Геокодування!$B$2:$B$361,0))-50.5884)+ABS(INDEX(Геокодування!$D$2:$D$361,MATCH("Прилуки, Чернігівська обл., "&amp;$A385,Геокодування!$B$2:$B$361,0))-32.3876)&gt;0.15,"",INDEX(Геокодування!$C$2:$C$361,MATCH("Прилуки, Чернігівська обл., "&amp;$A385,Геокодування!$B$2:$B$361,0))),""))))</f>
        <v>50.590646</v>
      </c>
      <c r="S385" s="43">
        <f>IF($O385="","",IFERROR(INDEX('Координати майданчиків'!$I$4:$I$64,MATCH($T385,'Координати майданчиків'!$B$4:$B$64,0)),IFERROR(IF(ABS(INDEX(Геокодування!$C$2:$C$361,MATCH($Q385,Геокодування!$B$2:$B$361,0))-50.5884)+ABS(INDEX(Геокодування!$D$2:$D$361,MATCH($Q385,Геокодування!$B$2:$B$361,0))-32.3876)&gt;0.15,"",INDEX(Геокодування!$D$2:$D$361,MATCH($Q385,Геокодування!$B$2:$B$361,0))),IFERROR(IF(ABS(INDEX(Геокодування!$C$2:$C$361,MATCH("Прилуки, Чернігівська обл., "&amp;$A385,Геокодування!$B$2:$B$361,0))-50.5884)+ABS(INDEX(Геокодування!$D$2:$D$361,MATCH("Прилуки, Чернігівська обл., "&amp;$A385,Геокодування!$B$2:$B$361,0))-32.3876)&gt;0.15,"",INDEX(Геокодування!$D$2:$D$361,MATCH("Прилуки, Чернігівська обл., "&amp;$A385,Геокодування!$B$2:$B$361,0))),""))))</f>
        <v>32.424137999999999</v>
      </c>
      <c r="T385" s="44" t="str">
        <f>IF($O385="","",IFERROR(INDEX('Координати майданчиків'!$B$4:$B$64,MATCH($A385&amp;IF($P385="","",", "&amp;$P385),'Координати майданчиків'!$B$4:$B$64,0)),IFERROR(INDEX('Координати майданчиків'!$B$4:$B$64,MATCH($A385,'Координати майданчиків'!$B$4:$B$64,0)),"")))</f>
        <v/>
      </c>
    </row>
    <row r="386" spans="1:20" x14ac:dyDescent="0.35">
      <c r="A386" s="26" t="str">
        <f t="shared" si="15"/>
        <v>вул. Соборна</v>
      </c>
      <c r="B386" s="26" t="str">
        <f t="shared" si="16"/>
        <v>80,64  94  103</v>
      </c>
      <c r="C386" s="27" t="str" cm="1">
        <f t="array" ref="C386">IF($O386="","",_xlfn.TEXTJOIN(", ",TRUE,IF(EXACT('Дані_зв''язок'!$J$4:$J$1012,$O386)*('Дані_зв''язок'!$C$4:$C$1012=C$4),'Дані_зв''язок'!$D$4:$D$1012,"")))</f>
        <v/>
      </c>
      <c r="D386" s="27" t="str" cm="1">
        <f t="array" ref="D386">IF($O386="","",_xlfn.TEXTJOIN(", ",TRUE,IF(EXACT('Дані_зв''язок'!$J$4:$J$1012,$O386)*('Дані_зв''язок'!$C$4:$C$1012=D$4),'Дані_зв''язок'!$D$4:$D$1012,"")))</f>
        <v>10:40</v>
      </c>
      <c r="E386" s="27" t="str" cm="1">
        <f t="array" ref="E386">IF($O386="","",_xlfn.TEXTJOIN(", ",TRUE,IF(EXACT('Дані_зв''язок'!$J$4:$J$1012,$O386)*('Дані_зв''язок'!$C$4:$C$1012=E$4),'Дані_зв''язок'!$D$4:$D$1012,"")))</f>
        <v/>
      </c>
      <c r="F386" s="27" t="str" cm="1">
        <f t="array" ref="F386">IF($O386="","",_xlfn.TEXTJOIN(", ",TRUE,IF(EXACT('Дані_зв''язок'!$J$4:$J$1012,$O386)*('Дані_зв''язок'!$C$4:$C$1012=F$4),'Дані_зв''язок'!$D$4:$D$1012,"")))</f>
        <v/>
      </c>
      <c r="G386" s="27" t="str" cm="1">
        <f t="array" ref="G386">IF($O386="","",_xlfn.TEXTJOIN(", ",TRUE,IF(EXACT('Дані_зв''язок'!$J$4:$J$1012,$O386)*('Дані_зв''язок'!$C$4:$C$1012=G$4),'Дані_зв''язок'!$D$4:$D$1012,"")))</f>
        <v/>
      </c>
      <c r="H386" s="27" t="str" cm="1">
        <f t="array" ref="H386">IF($O386="","",_xlfn.TEXTJOIN(", ",TRUE,IF(EXACT('Дані_зв''язок'!$J$4:$J$1012,$O386)*('Дані_зв''язок'!$C$4:$C$1012=H$4),'Дані_зв''язок'!$D$4:$D$1012,"")))</f>
        <v/>
      </c>
      <c r="I386" s="27" t="str" cm="1">
        <f t="array" ref="I386">IF($O386="","",_xlfn.TEXTJOIN(", ",TRUE,IF(EXACT('Дані_зв''язок'!$J$4:$J$1012,$O386)*('Дані_зв''язок'!$C$4:$C$1012=I$4),'Дані_зв''язок'!$D$4:$D$1012,"")))</f>
        <v/>
      </c>
      <c r="J386" s="27" cm="1">
        <f t="array" ref="J386">IF($O386="","",COUNTIF(C386:I386,"?*")+SUMPRODUCT(LEN(C386:I386)-LEN(SUBSTITUTE(C386:I386,",",""))))</f>
        <v>1</v>
      </c>
      <c r="K386" s="28" t="str" cm="1">
        <f t="array" ref="K386">IF($O386="","",_xlfn.TEXTJOIN(", ",TRUE,IF(EXACT('Дані_зв''язок'!$J$4:$J$1012,$O386),'Дані_зв''язок'!$L$4:$L$1012,"")))</f>
        <v>№6</v>
      </c>
      <c r="L386" s="28" t="str" cm="1">
        <f t="array" ref="L386">IF($O386="","",_xlfn.TEXTJOIN(", ",TRUE,IF(EXACT('Дані_зв''язок'!$J$4:$J$1012,$O386),'Дані_зв''язок'!$M$4:$M$1012,"")))</f>
        <v>АТ 4021</v>
      </c>
      <c r="M386" s="27" t="str" cm="1">
        <f t="array" ref="M386">IF($O386="","",IF(SUMPRODUCT(MAX(EXACT('Дані_зв''язок'!$J$4:$J$1012,$O386)*IFERROR('Дані_зв''язок'!$H$4:$H$1012,0)))=0,"",SUMPRODUCT(MAX(EXACT('Дані_зв''язок'!$J$4:$J$1012,$O386)*IFERROR('Дані_зв''язок'!$H$4:$H$1012,0)))))</f>
        <v/>
      </c>
      <c r="O386" s="30" t="s">
        <v>1506</v>
      </c>
      <c r="P386" s="24" cm="1">
        <f t="array" ref="P386">IF($O386="","",IF($B386="","",IFERROR(IF(MIN(IFERROR(VALUE(TRIM(MID(SUBSTITUTE(SUBSTITUTE($B386,","," ")," ",REPT(" ",30)),{1;31;61;91;121;151;181},30))),""))=0,"",MIN(IFERROR(VALUE(TRIM(MID(SUBSTITUTE(SUBSTITUTE($B386,","," ")," ",REPT(" ",30)),{1;31;61;91;121;151;181},30))),""))),"")))</f>
        <v>64</v>
      </c>
      <c r="Q386" s="23" t="str">
        <f t="shared" si="17"/>
        <v>Прилуки, Чернігівська обл., вул. Соборна, 64</v>
      </c>
      <c r="R386" s="35">
        <f>IF($O386="","",IFERROR(INDEX('Координати майданчиків'!$H$4:$H$64,MATCH($T386,'Координати майданчиків'!$B$4:$B$64,0)),IFERROR(IF(ABS(INDEX(Геокодування!$C$2:$C$361,MATCH($Q386,Геокодування!$B$2:$B$361,0))-50.5884)+ABS(INDEX(Геокодування!$D$2:$D$361,MATCH($Q386,Геокодування!$B$2:$B$361,0))-32.3876)&gt;0.15,"",INDEX(Геокодування!$C$2:$C$361,MATCH($Q386,Геокодування!$B$2:$B$361,0))),IFERROR(IF(ABS(INDEX(Геокодування!$C$2:$C$361,MATCH("Прилуки, Чернігівська обл., "&amp;$A386,Геокодування!$B$2:$B$361,0))-50.5884)+ABS(INDEX(Геокодування!$D$2:$D$361,MATCH("Прилуки, Чернігівська обл., "&amp;$A386,Геокодування!$B$2:$B$361,0))-32.3876)&gt;0.15,"",INDEX(Геокодування!$C$2:$C$361,MATCH("Прилуки, Чернігівська обл., "&amp;$A386,Геокодування!$B$2:$B$361,0))),""))))</f>
        <v>50.590646</v>
      </c>
      <c r="S386" s="43">
        <f>IF($O386="","",IFERROR(INDEX('Координати майданчиків'!$I$4:$I$64,MATCH($T386,'Координати майданчиків'!$B$4:$B$64,0)),IFERROR(IF(ABS(INDEX(Геокодування!$C$2:$C$361,MATCH($Q386,Геокодування!$B$2:$B$361,0))-50.5884)+ABS(INDEX(Геокодування!$D$2:$D$361,MATCH($Q386,Геокодування!$B$2:$B$361,0))-32.3876)&gt;0.15,"",INDEX(Геокодування!$D$2:$D$361,MATCH($Q386,Геокодування!$B$2:$B$361,0))),IFERROR(IF(ABS(INDEX(Геокодування!$C$2:$C$361,MATCH("Прилуки, Чернігівська обл., "&amp;$A386,Геокодування!$B$2:$B$361,0))-50.5884)+ABS(INDEX(Геокодування!$D$2:$D$361,MATCH("Прилуки, Чернігівська обл., "&amp;$A386,Геокодування!$B$2:$B$361,0))-32.3876)&gt;0.15,"",INDEX(Геокодування!$D$2:$D$361,MATCH("Прилуки, Чернігівська обл., "&amp;$A386,Геокодування!$B$2:$B$361,0))),""))))</f>
        <v>32.424137999999999</v>
      </c>
      <c r="T386" s="44" t="str">
        <f>IF($O386="","",IFERROR(INDEX('Координати майданчиків'!$B$4:$B$64,MATCH($A386&amp;IF($P386="","",", "&amp;$P386),'Координати майданчиків'!$B$4:$B$64,0)),IFERROR(INDEX('Координати майданчиків'!$B$4:$B$64,MATCH($A386,'Координати майданчиків'!$B$4:$B$64,0)),"")))</f>
        <v/>
      </c>
    </row>
    <row r="387" spans="1:20" x14ac:dyDescent="0.35">
      <c r="A387" s="26" t="str">
        <f t="shared" si="15"/>
        <v>вул. Соборна</v>
      </c>
      <c r="B387" s="26" t="str">
        <f t="shared" si="16"/>
        <v>Д/с 8</v>
      </c>
      <c r="C387" s="27" t="str" cm="1">
        <f t="array" ref="C387">IF($O387="","",_xlfn.TEXTJOIN(", ",TRUE,IF(EXACT('Дані_зв''язок'!$J$4:$J$1012,$O387)*('Дані_зв''язок'!$C$4:$C$1012=C$4),'Дані_зв''язок'!$D$4:$D$1012,"")))</f>
        <v>13:05</v>
      </c>
      <c r="D387" s="27" t="str" cm="1">
        <f t="array" ref="D387">IF($O387="","",_xlfn.TEXTJOIN(", ",TRUE,IF(EXACT('Дані_зв''язок'!$J$4:$J$1012,$O387)*('Дані_зв''язок'!$C$4:$C$1012=D$4),'Дані_зв''язок'!$D$4:$D$1012,"")))</f>
        <v/>
      </c>
      <c r="E387" s="27" t="str" cm="1">
        <f t="array" ref="E387">IF($O387="","",_xlfn.TEXTJOIN(", ",TRUE,IF(EXACT('Дані_зв''язок'!$J$4:$J$1012,$O387)*('Дані_зв''язок'!$C$4:$C$1012=E$4),'Дані_зв''язок'!$D$4:$D$1012,"")))</f>
        <v/>
      </c>
      <c r="F387" s="27" t="str" cm="1">
        <f t="array" ref="F387">IF($O387="","",_xlfn.TEXTJOIN(", ",TRUE,IF(EXACT('Дані_зв''язок'!$J$4:$J$1012,$O387)*('Дані_зв''язок'!$C$4:$C$1012=F$4),'Дані_зв''язок'!$D$4:$D$1012,"")))</f>
        <v/>
      </c>
      <c r="G387" s="27" t="str" cm="1">
        <f t="array" ref="G387">IF($O387="","",_xlfn.TEXTJOIN(", ",TRUE,IF(EXACT('Дані_зв''язок'!$J$4:$J$1012,$O387)*('Дані_зв''язок'!$C$4:$C$1012=G$4),'Дані_зв''язок'!$D$4:$D$1012,"")))</f>
        <v/>
      </c>
      <c r="H387" s="27" t="str" cm="1">
        <f t="array" ref="H387">IF($O387="","",_xlfn.TEXTJOIN(", ",TRUE,IF(EXACT('Дані_зв''язок'!$J$4:$J$1012,$O387)*('Дані_зв''язок'!$C$4:$C$1012=H$4),'Дані_зв''язок'!$D$4:$D$1012,"")))</f>
        <v/>
      </c>
      <c r="I387" s="27" t="str" cm="1">
        <f t="array" ref="I387">IF($O387="","",_xlfn.TEXTJOIN(", ",TRUE,IF(EXACT('Дані_зв''язок'!$J$4:$J$1012,$O387)*('Дані_зв''язок'!$C$4:$C$1012=I$4),'Дані_зв''язок'!$D$4:$D$1012,"")))</f>
        <v/>
      </c>
      <c r="J387" s="27" cm="1">
        <f t="array" ref="J387">IF($O387="","",COUNTIF(C387:I387,"?*")+SUMPRODUCT(LEN(C387:I387)-LEN(SUBSTITUTE(C387:I387,",",""))))</f>
        <v>1</v>
      </c>
      <c r="K387" s="28" t="str" cm="1">
        <f t="array" ref="K387">IF($O387="","",_xlfn.TEXTJOIN(", ",TRUE,IF(EXACT('Дані_зв''язок'!$J$4:$J$1012,$O387),'Дані_зв''язок'!$L$4:$L$1012,"")))</f>
        <v>№1</v>
      </c>
      <c r="L387" s="28" t="str" cm="1">
        <f t="array" ref="L387">IF($O387="","",_xlfn.TEXTJOIN(", ",TRUE,IF(EXACT('Дані_зв''язок'!$J$4:$J$1012,$O387),'Дані_зв''язок'!$M$4:$M$1012,"")))</f>
        <v>АТ-4021/1120</v>
      </c>
      <c r="M387" s="27" cm="1">
        <f t="array" ref="M387">IF($O387="","",IF(SUMPRODUCT(MAX(EXACT('Дані_зв''язок'!$J$4:$J$1012,$O387)*IFERROR('Дані_зв''язок'!$H$4:$H$1012,0)))=0,"",SUMPRODUCT(MAX(EXACT('Дані_зв''язок'!$J$4:$J$1012,$O387)*IFERROR('Дані_зв''язок'!$H$4:$H$1012,0)))))</f>
        <v>1</v>
      </c>
      <c r="O387" s="30" t="s">
        <v>1507</v>
      </c>
      <c r="P387" s="24" cm="1">
        <f t="array" ref="P387">IF($O387="","",IF($B387="","",IFERROR(IF(MIN(IFERROR(VALUE(TRIM(MID(SUBSTITUTE(SUBSTITUTE($B387,","," ")," ",REPT(" ",30)),{1;31;61;91;121;151;181},30))),""))=0,"",MIN(IFERROR(VALUE(TRIM(MID(SUBSTITUTE(SUBSTITUTE($B387,","," ")," ",REPT(" ",30)),{1;31;61;91;121;151;181},30))),""))),"")))</f>
        <v>8</v>
      </c>
      <c r="Q387" s="23" t="str">
        <f t="shared" si="17"/>
        <v>Прилуки, Чернігівська обл., вул. Соборна, 8</v>
      </c>
      <c r="R387" s="35">
        <f>IF($O387="","",IFERROR(INDEX('Координати майданчиків'!$H$4:$H$64,MATCH($T387,'Координати майданчиків'!$B$4:$B$64,0)),IFERROR(IF(ABS(INDEX(Геокодування!$C$2:$C$361,MATCH($Q387,Геокодування!$B$2:$B$361,0))-50.5884)+ABS(INDEX(Геокодування!$D$2:$D$361,MATCH($Q387,Геокодування!$B$2:$B$361,0))-32.3876)&gt;0.15,"",INDEX(Геокодування!$C$2:$C$361,MATCH($Q387,Геокодування!$B$2:$B$361,0))),IFERROR(IF(ABS(INDEX(Геокодування!$C$2:$C$361,MATCH("Прилуки, Чернігівська обл., "&amp;$A387,Геокодування!$B$2:$B$361,0))-50.5884)+ABS(INDEX(Геокодування!$D$2:$D$361,MATCH("Прилуки, Чернігівська обл., "&amp;$A387,Геокодування!$B$2:$B$361,0))-32.3876)&gt;0.15,"",INDEX(Геокодування!$C$2:$C$361,MATCH("Прилуки, Чернігівська обл., "&amp;$A387,Геокодування!$B$2:$B$361,0))),""))))</f>
        <v>50.590646</v>
      </c>
      <c r="S387" s="43">
        <f>IF($O387="","",IFERROR(INDEX('Координати майданчиків'!$I$4:$I$64,MATCH($T387,'Координати майданчиків'!$B$4:$B$64,0)),IFERROR(IF(ABS(INDEX(Геокодування!$C$2:$C$361,MATCH($Q387,Геокодування!$B$2:$B$361,0))-50.5884)+ABS(INDEX(Геокодування!$D$2:$D$361,MATCH($Q387,Геокодування!$B$2:$B$361,0))-32.3876)&gt;0.15,"",INDEX(Геокодування!$D$2:$D$361,MATCH($Q387,Геокодування!$B$2:$B$361,0))),IFERROR(IF(ABS(INDEX(Геокодування!$C$2:$C$361,MATCH("Прилуки, Чернігівська обл., "&amp;$A387,Геокодування!$B$2:$B$361,0))-50.5884)+ABS(INDEX(Геокодування!$D$2:$D$361,MATCH("Прилуки, Чернігівська обл., "&amp;$A387,Геокодування!$B$2:$B$361,0))-32.3876)&gt;0.15,"",INDEX(Геокодування!$D$2:$D$361,MATCH("Прилуки, Чернігівська обл., "&amp;$A387,Геокодування!$B$2:$B$361,0))),""))))</f>
        <v>32.424137999999999</v>
      </c>
      <c r="T387" s="44" t="str">
        <f>IF($O387="","",IFERROR(INDEX('Координати майданчиків'!$B$4:$B$64,MATCH($A387&amp;IF($P387="","",", "&amp;$P387),'Координати майданчиків'!$B$4:$B$64,0)),IFERROR(INDEX('Координати майданчиків'!$B$4:$B$64,MATCH($A387,'Координати майданчиків'!$B$4:$B$64,0)),"")))</f>
        <v/>
      </c>
    </row>
    <row r="388" spans="1:20" x14ac:dyDescent="0.35">
      <c r="A388" s="26" t="str">
        <f t="shared" si="15"/>
        <v>вул. Сорочинська</v>
      </c>
      <c r="B388" s="26" t="str">
        <f t="shared" si="16"/>
        <v>145,150  152</v>
      </c>
      <c r="C388" s="27" t="str" cm="1">
        <f t="array" ref="C388">IF($O388="","",_xlfn.TEXTJOIN(", ",TRUE,IF(EXACT('Дані_зв''язок'!$J$4:$J$1012,$O388)*('Дані_зв''язок'!$C$4:$C$1012=C$4),'Дані_зв''язок'!$D$4:$D$1012,"")))</f>
        <v/>
      </c>
      <c r="D388" s="27" t="str" cm="1">
        <f t="array" ref="D388">IF($O388="","",_xlfn.TEXTJOIN(", ",TRUE,IF(EXACT('Дані_зв''язок'!$J$4:$J$1012,$O388)*('Дані_зв''язок'!$C$4:$C$1012=D$4),'Дані_зв''язок'!$D$4:$D$1012,"")))</f>
        <v/>
      </c>
      <c r="E388" s="27" t="str" cm="1">
        <f t="array" ref="E388">IF($O388="","",_xlfn.TEXTJOIN(", ",TRUE,IF(EXACT('Дані_зв''язок'!$J$4:$J$1012,$O388)*('Дані_зв''язок'!$C$4:$C$1012=E$4),'Дані_зв''язок'!$D$4:$D$1012,"")))</f>
        <v/>
      </c>
      <c r="F388" s="27" t="str" cm="1">
        <f t="array" ref="F388">IF($O388="","",_xlfn.TEXTJOIN(", ",TRUE,IF(EXACT('Дані_зв''язок'!$J$4:$J$1012,$O388)*('Дані_зв''язок'!$C$4:$C$1012=F$4),'Дані_зв''язок'!$D$4:$D$1012,"")))</f>
        <v>7:30</v>
      </c>
      <c r="G388" s="27" t="str" cm="1">
        <f t="array" ref="G388">IF($O388="","",_xlfn.TEXTJOIN(", ",TRUE,IF(EXACT('Дані_зв''язок'!$J$4:$J$1012,$O388)*('Дані_зв''язок'!$C$4:$C$1012=G$4),'Дані_зв''язок'!$D$4:$D$1012,"")))</f>
        <v/>
      </c>
      <c r="H388" s="27" t="str" cm="1">
        <f t="array" ref="H388">IF($O388="","",_xlfn.TEXTJOIN(", ",TRUE,IF(EXACT('Дані_зв''язок'!$J$4:$J$1012,$O388)*('Дані_зв''язок'!$C$4:$C$1012=H$4),'Дані_зв''язок'!$D$4:$D$1012,"")))</f>
        <v/>
      </c>
      <c r="I388" s="27" t="str" cm="1">
        <f t="array" ref="I388">IF($O388="","",_xlfn.TEXTJOIN(", ",TRUE,IF(EXACT('Дані_зв''язок'!$J$4:$J$1012,$O388)*('Дані_зв''язок'!$C$4:$C$1012=I$4),'Дані_зв''язок'!$D$4:$D$1012,"")))</f>
        <v/>
      </c>
      <c r="J388" s="27" cm="1">
        <f t="array" ref="J388">IF($O388="","",COUNTIF(C388:I388,"?*")+SUMPRODUCT(LEN(C388:I388)-LEN(SUBSTITUTE(C388:I388,",",""))))</f>
        <v>1</v>
      </c>
      <c r="K388" s="28" t="str" cm="1">
        <f t="array" ref="K388">IF($O388="","",_xlfn.TEXTJOIN(", ",TRUE,IF(EXACT('Дані_зв''язок'!$J$4:$J$1012,$O388),'Дані_зв''язок'!$L$4:$L$1012,"")))</f>
        <v>№6</v>
      </c>
      <c r="L388" s="28" t="str" cm="1">
        <f t="array" ref="L388">IF($O388="","",_xlfn.TEXTJOIN(", ",TRUE,IF(EXACT('Дані_зв''язок'!$J$4:$J$1012,$O388),'Дані_зв''язок'!$M$4:$M$1012,"")))</f>
        <v>АТ 4021</v>
      </c>
      <c r="M388" s="27" t="str" cm="1">
        <f t="array" ref="M388">IF($O388="","",IF(SUMPRODUCT(MAX(EXACT('Дані_зв''язок'!$J$4:$J$1012,$O388)*IFERROR('Дані_зв''язок'!$H$4:$H$1012,0)))=0,"",SUMPRODUCT(MAX(EXACT('Дані_зв''язок'!$J$4:$J$1012,$O388)*IFERROR('Дані_зв''язок'!$H$4:$H$1012,0)))))</f>
        <v/>
      </c>
      <c r="O388" s="30" t="s">
        <v>1508</v>
      </c>
      <c r="P388" s="24" cm="1">
        <f t="array" ref="P388">IF($O388="","",IF($B388="","",IFERROR(IF(MIN(IFERROR(VALUE(TRIM(MID(SUBSTITUTE(SUBSTITUTE($B388,","," ")," ",REPT(" ",30)),{1;31;61;91;121;151;181},30))),""))=0,"",MIN(IFERROR(VALUE(TRIM(MID(SUBSTITUTE(SUBSTITUTE($B388,","," ")," ",REPT(" ",30)),{1;31;61;91;121;151;181},30))),""))),"")))</f>
        <v>145</v>
      </c>
      <c r="Q388" s="23" t="str">
        <f t="shared" si="17"/>
        <v>Прилуки, Чернігівська обл., вул. Сорочинська, 145</v>
      </c>
      <c r="R388" s="35">
        <f>IF($O388="","",IFERROR(INDEX('Координати майданчиків'!$H$4:$H$64,MATCH($T388,'Координати майданчиків'!$B$4:$B$64,0)),IFERROR(IF(ABS(INDEX(Геокодування!$C$2:$C$361,MATCH($Q388,Геокодування!$B$2:$B$361,0))-50.5884)+ABS(INDEX(Геокодування!$D$2:$D$361,MATCH($Q388,Геокодування!$B$2:$B$361,0))-32.3876)&gt;0.15,"",INDEX(Геокодування!$C$2:$C$361,MATCH($Q388,Геокодування!$B$2:$B$361,0))),IFERROR(IF(ABS(INDEX(Геокодування!$C$2:$C$361,MATCH("Прилуки, Чернігівська обл., "&amp;$A388,Геокодування!$B$2:$B$361,0))-50.5884)+ABS(INDEX(Геокодування!$D$2:$D$361,MATCH("Прилуки, Чернігівська обл., "&amp;$A388,Геокодування!$B$2:$B$361,0))-32.3876)&gt;0.15,"",INDEX(Геокодування!$C$2:$C$361,MATCH("Прилуки, Чернігівська обл., "&amp;$A388,Геокодування!$B$2:$B$361,0))),""))))</f>
        <v>50.611628000000003</v>
      </c>
      <c r="S388" s="43">
        <f>IF($O388="","",IFERROR(INDEX('Координати майданчиків'!$I$4:$I$64,MATCH($T388,'Координати майданчиків'!$B$4:$B$64,0)),IFERROR(IF(ABS(INDEX(Геокодування!$C$2:$C$361,MATCH($Q388,Геокодування!$B$2:$B$361,0))-50.5884)+ABS(INDEX(Геокодування!$D$2:$D$361,MATCH($Q388,Геокодування!$B$2:$B$361,0))-32.3876)&gt;0.15,"",INDEX(Геокодування!$D$2:$D$361,MATCH($Q388,Геокодування!$B$2:$B$361,0))),IFERROR(IF(ABS(INDEX(Геокодування!$C$2:$C$361,MATCH("Прилуки, Чернігівська обл., "&amp;$A388,Геокодування!$B$2:$B$361,0))-50.5884)+ABS(INDEX(Геокодування!$D$2:$D$361,MATCH("Прилуки, Чернігівська обл., "&amp;$A388,Геокодування!$B$2:$B$361,0))-32.3876)&gt;0.15,"",INDEX(Геокодування!$D$2:$D$361,MATCH("Прилуки, Чернігівська обл., "&amp;$A388,Геокодування!$B$2:$B$361,0))),""))))</f>
        <v>32.382745</v>
      </c>
      <c r="T388" s="44" t="str">
        <f>IF($O388="","",IFERROR(INDEX('Координати майданчиків'!$B$4:$B$64,MATCH($A388&amp;IF($P388="","",", "&amp;$P388),'Координати майданчиків'!$B$4:$B$64,0)),IFERROR(INDEX('Координати майданчиків'!$B$4:$B$64,MATCH($A388,'Координати майданчиків'!$B$4:$B$64,0)),"")))</f>
        <v/>
      </c>
    </row>
    <row r="389" spans="1:20" x14ac:dyDescent="0.35">
      <c r="A389" s="26" t="str">
        <f t="shared" si="15"/>
        <v>вул. Сорочинська</v>
      </c>
      <c r="B389" s="26" t="str">
        <f t="shared" si="16"/>
        <v>4</v>
      </c>
      <c r="C389" s="27" t="str" cm="1">
        <f t="array" ref="C389">IF($O389="","",_xlfn.TEXTJOIN(", ",TRUE,IF(EXACT('Дані_зв''язок'!$J$4:$J$1012,$O389)*('Дані_зв''язок'!$C$4:$C$1012=C$4),'Дані_зв''язок'!$D$4:$D$1012,"")))</f>
        <v/>
      </c>
      <c r="D389" s="27" t="str" cm="1">
        <f t="array" ref="D389">IF($O389="","",_xlfn.TEXTJOIN(", ",TRUE,IF(EXACT('Дані_зв''язок'!$J$4:$J$1012,$O389)*('Дані_зв''язок'!$C$4:$C$1012=D$4),'Дані_зв''язок'!$D$4:$D$1012,"")))</f>
        <v/>
      </c>
      <c r="E389" s="27" t="str" cm="1">
        <f t="array" ref="E389">IF($O389="","",_xlfn.TEXTJOIN(", ",TRUE,IF(EXACT('Дані_зв''язок'!$J$4:$J$1012,$O389)*('Дані_зв''язок'!$C$4:$C$1012=E$4),'Дані_зв''язок'!$D$4:$D$1012,"")))</f>
        <v>7:00</v>
      </c>
      <c r="F389" s="27" t="str" cm="1">
        <f t="array" ref="F389">IF($O389="","",_xlfn.TEXTJOIN(", ",TRUE,IF(EXACT('Дані_зв''язок'!$J$4:$J$1012,$O389)*('Дані_зв''язок'!$C$4:$C$1012=F$4),'Дані_зв''язок'!$D$4:$D$1012,"")))</f>
        <v/>
      </c>
      <c r="G389" s="27" t="str" cm="1">
        <f t="array" ref="G389">IF($O389="","",_xlfn.TEXTJOIN(", ",TRUE,IF(EXACT('Дані_зв''язок'!$J$4:$J$1012,$O389)*('Дані_зв''язок'!$C$4:$C$1012=G$4),'Дані_зв''язок'!$D$4:$D$1012,"")))</f>
        <v/>
      </c>
      <c r="H389" s="27" t="str" cm="1">
        <f t="array" ref="H389">IF($O389="","",_xlfn.TEXTJOIN(", ",TRUE,IF(EXACT('Дані_зв''язок'!$J$4:$J$1012,$O389)*('Дані_зв''язок'!$C$4:$C$1012=H$4),'Дані_зв''язок'!$D$4:$D$1012,"")))</f>
        <v/>
      </c>
      <c r="I389" s="27" t="str" cm="1">
        <f t="array" ref="I389">IF($O389="","",_xlfn.TEXTJOIN(", ",TRUE,IF(EXACT('Дані_зв''язок'!$J$4:$J$1012,$O389)*('Дані_зв''язок'!$C$4:$C$1012=I$4),'Дані_зв''язок'!$D$4:$D$1012,"")))</f>
        <v/>
      </c>
      <c r="J389" s="27" cm="1">
        <f t="array" ref="J389">IF($O389="","",COUNTIF(C389:I389,"?*")+SUMPRODUCT(LEN(C389:I389)-LEN(SUBSTITUTE(C389:I389,",",""))))</f>
        <v>1</v>
      </c>
      <c r="K389" s="28" t="str" cm="1">
        <f t="array" ref="K389">IF($O389="","",_xlfn.TEXTJOIN(", ",TRUE,IF(EXACT('Дані_зв''язок'!$J$4:$J$1012,$O389),'Дані_зв''язок'!$L$4:$L$1012,"")))</f>
        <v>№6</v>
      </c>
      <c r="L389" s="28" t="str" cm="1">
        <f t="array" ref="L389">IF($O389="","",_xlfn.TEXTJOIN(", ",TRUE,IF(EXACT('Дані_зв''язок'!$J$4:$J$1012,$O389),'Дані_зв''язок'!$M$4:$M$1012,"")))</f>
        <v>АТ 4021</v>
      </c>
      <c r="M389" s="27" t="str" cm="1">
        <f t="array" ref="M389">IF($O389="","",IF(SUMPRODUCT(MAX(EXACT('Дані_зв''язок'!$J$4:$J$1012,$O389)*IFERROR('Дані_зв''язок'!$H$4:$H$1012,0)))=0,"",SUMPRODUCT(MAX(EXACT('Дані_зв''язок'!$J$4:$J$1012,$O389)*IFERROR('Дані_зв''язок'!$H$4:$H$1012,0)))))</f>
        <v/>
      </c>
      <c r="O389" s="30" t="s">
        <v>1509</v>
      </c>
      <c r="P389" s="24" cm="1">
        <f t="array" ref="P389">IF($O389="","",IF($B389="","",IFERROR(IF(MIN(IFERROR(VALUE(TRIM(MID(SUBSTITUTE(SUBSTITUTE($B389,","," ")," ",REPT(" ",30)),{1;31;61;91;121;151;181},30))),""))=0,"",MIN(IFERROR(VALUE(TRIM(MID(SUBSTITUTE(SUBSTITUTE($B389,","," ")," ",REPT(" ",30)),{1;31;61;91;121;151;181},30))),""))),"")))</f>
        <v>4</v>
      </c>
      <c r="Q389" s="23" t="str">
        <f t="shared" si="17"/>
        <v>Прилуки, Чернігівська обл., вул. Сорочинська, 4</v>
      </c>
      <c r="R389" s="35">
        <f>IF($O389="","",IFERROR(INDEX('Координати майданчиків'!$H$4:$H$64,MATCH($T389,'Координати майданчиків'!$B$4:$B$64,0)),IFERROR(IF(ABS(INDEX(Геокодування!$C$2:$C$361,MATCH($Q389,Геокодування!$B$2:$B$361,0))-50.5884)+ABS(INDEX(Геокодування!$D$2:$D$361,MATCH($Q389,Геокодування!$B$2:$B$361,0))-32.3876)&gt;0.15,"",INDEX(Геокодування!$C$2:$C$361,MATCH($Q389,Геокодування!$B$2:$B$361,0))),IFERROR(IF(ABS(INDEX(Геокодування!$C$2:$C$361,MATCH("Прилуки, Чернігівська обл., "&amp;$A389,Геокодування!$B$2:$B$361,0))-50.5884)+ABS(INDEX(Геокодування!$D$2:$D$361,MATCH("Прилуки, Чернігівська обл., "&amp;$A389,Геокодування!$B$2:$B$361,0))-32.3876)&gt;0.15,"",INDEX(Геокодування!$C$2:$C$361,MATCH("Прилуки, Чернігівська обл., "&amp;$A389,Геокодування!$B$2:$B$361,0))),""))))</f>
        <v>50.611628000000003</v>
      </c>
      <c r="S389" s="43">
        <f>IF($O389="","",IFERROR(INDEX('Координати майданчиків'!$I$4:$I$64,MATCH($T389,'Координати майданчиків'!$B$4:$B$64,0)),IFERROR(IF(ABS(INDEX(Геокодування!$C$2:$C$361,MATCH($Q389,Геокодування!$B$2:$B$361,0))-50.5884)+ABS(INDEX(Геокодування!$D$2:$D$361,MATCH($Q389,Геокодування!$B$2:$B$361,0))-32.3876)&gt;0.15,"",INDEX(Геокодування!$D$2:$D$361,MATCH($Q389,Геокодування!$B$2:$B$361,0))),IFERROR(IF(ABS(INDEX(Геокодування!$C$2:$C$361,MATCH("Прилуки, Чернігівська обл., "&amp;$A389,Геокодування!$B$2:$B$361,0))-50.5884)+ABS(INDEX(Геокодування!$D$2:$D$361,MATCH("Прилуки, Чернігівська обл., "&amp;$A389,Геокодування!$B$2:$B$361,0))-32.3876)&gt;0.15,"",INDEX(Геокодування!$D$2:$D$361,MATCH("Прилуки, Чернігівська обл., "&amp;$A389,Геокодування!$B$2:$B$361,0))),""))))</f>
        <v>32.382745</v>
      </c>
      <c r="T389" s="44" t="str">
        <f>IF($O389="","",IFERROR(INDEX('Координати майданчиків'!$B$4:$B$64,MATCH($A389&amp;IF($P389="","",", "&amp;$P389),'Координати майданчиків'!$B$4:$B$64,0)),IFERROR(INDEX('Координати майданчиків'!$B$4:$B$64,MATCH($A389,'Координати майданчиків'!$B$4:$B$64,0)),"")))</f>
        <v/>
      </c>
    </row>
    <row r="390" spans="1:20" x14ac:dyDescent="0.35">
      <c r="A390" s="26" t="str">
        <f t="shared" ref="A390:A453" si="18">IF($O390="","",LEFT($O390,FIND("|",$O390)-1))</f>
        <v>вул. Сорочинська</v>
      </c>
      <c r="B390" s="26" t="str">
        <f t="shared" ref="B390:B453" si="19">IF($O390="","",MID($O390,FIND("|",$O390)+1,999))</f>
        <v>5</v>
      </c>
      <c r="C390" s="27" t="str" cm="1">
        <f t="array" ref="C390">IF($O390="","",_xlfn.TEXTJOIN(", ",TRUE,IF(EXACT('Дані_зв''язок'!$J$4:$J$1012,$O390)*('Дані_зв''язок'!$C$4:$C$1012=C$4),'Дані_зв''язок'!$D$4:$D$1012,"")))</f>
        <v>7:45</v>
      </c>
      <c r="D390" s="27" t="str" cm="1">
        <f t="array" ref="D390">IF($O390="","",_xlfn.TEXTJOIN(", ",TRUE,IF(EXACT('Дані_зв''язок'!$J$4:$J$1012,$O390)*('Дані_зв''язок'!$C$4:$C$1012=D$4),'Дані_зв''язок'!$D$4:$D$1012,"")))</f>
        <v/>
      </c>
      <c r="E390" s="27" t="str" cm="1">
        <f t="array" ref="E390">IF($O390="","",_xlfn.TEXTJOIN(", ",TRUE,IF(EXACT('Дані_зв''язок'!$J$4:$J$1012,$O390)*('Дані_зв''язок'!$C$4:$C$1012=E$4),'Дані_зв''язок'!$D$4:$D$1012,"")))</f>
        <v/>
      </c>
      <c r="F390" s="27" t="str" cm="1">
        <f t="array" ref="F390">IF($O390="","",_xlfn.TEXTJOIN(", ",TRUE,IF(EXACT('Дані_зв''язок'!$J$4:$J$1012,$O390)*('Дані_зв''язок'!$C$4:$C$1012=F$4),'Дані_зв''язок'!$D$4:$D$1012,"")))</f>
        <v/>
      </c>
      <c r="G390" s="27" t="str" cm="1">
        <f t="array" ref="G390">IF($O390="","",_xlfn.TEXTJOIN(", ",TRUE,IF(EXACT('Дані_зв''язок'!$J$4:$J$1012,$O390)*('Дані_зв''язок'!$C$4:$C$1012=G$4),'Дані_зв''язок'!$D$4:$D$1012,"")))</f>
        <v/>
      </c>
      <c r="H390" s="27" t="str" cm="1">
        <f t="array" ref="H390">IF($O390="","",_xlfn.TEXTJOIN(", ",TRUE,IF(EXACT('Дані_зв''язок'!$J$4:$J$1012,$O390)*('Дані_зв''язок'!$C$4:$C$1012=H$4),'Дані_зв''язок'!$D$4:$D$1012,"")))</f>
        <v/>
      </c>
      <c r="I390" s="27" t="str" cm="1">
        <f t="array" ref="I390">IF($O390="","",_xlfn.TEXTJOIN(", ",TRUE,IF(EXACT('Дані_зв''язок'!$J$4:$J$1012,$O390)*('Дані_зв''язок'!$C$4:$C$1012=I$4),'Дані_зв''язок'!$D$4:$D$1012,"")))</f>
        <v/>
      </c>
      <c r="J390" s="27" cm="1">
        <f t="array" ref="J390">IF($O390="","",COUNTIF(C390:I390,"?*")+SUMPRODUCT(LEN(C390:I390)-LEN(SUBSTITUTE(C390:I390,",",""))))</f>
        <v>1</v>
      </c>
      <c r="K390" s="28" t="str" cm="1">
        <f t="array" ref="K390">IF($O390="","",_xlfn.TEXTJOIN(", ",TRUE,IF(EXACT('Дані_зв''язок'!$J$4:$J$1012,$O390),'Дані_зв''язок'!$L$4:$L$1012,"")))</f>
        <v>№6</v>
      </c>
      <c r="L390" s="28" t="str" cm="1">
        <f t="array" ref="L390">IF($O390="","",_xlfn.TEXTJOIN(", ",TRUE,IF(EXACT('Дані_зв''язок'!$J$4:$J$1012,$O390),'Дані_зв''язок'!$M$4:$M$1012,"")))</f>
        <v>АТ 4021</v>
      </c>
      <c r="M390" s="27" t="str" cm="1">
        <f t="array" ref="M390">IF($O390="","",IF(SUMPRODUCT(MAX(EXACT('Дані_зв''язок'!$J$4:$J$1012,$O390)*IFERROR('Дані_зв''язок'!$H$4:$H$1012,0)))=0,"",SUMPRODUCT(MAX(EXACT('Дані_зв''язок'!$J$4:$J$1012,$O390)*IFERROR('Дані_зв''язок'!$H$4:$H$1012,0)))))</f>
        <v/>
      </c>
      <c r="O390" s="30" t="s">
        <v>1510</v>
      </c>
      <c r="P390" s="24" cm="1">
        <f t="array" ref="P390">IF($O390="","",IF($B390="","",IFERROR(IF(MIN(IFERROR(VALUE(TRIM(MID(SUBSTITUTE(SUBSTITUTE($B390,","," ")," ",REPT(" ",30)),{1;31;61;91;121;151;181},30))),""))=0,"",MIN(IFERROR(VALUE(TRIM(MID(SUBSTITUTE(SUBSTITUTE($B390,","," ")," ",REPT(" ",30)),{1;31;61;91;121;151;181},30))),""))),"")))</f>
        <v>5</v>
      </c>
      <c r="Q390" s="23" t="str">
        <f t="shared" ref="Q390:Q453" si="20">IF($O390="","","Прилуки, Чернігівська обл., "&amp;$A390&amp;IF($P390="","",", "&amp;$P390))</f>
        <v>Прилуки, Чернігівська обл., вул. Сорочинська, 5</v>
      </c>
      <c r="R390" s="35">
        <f>IF($O390="","",IFERROR(INDEX('Координати майданчиків'!$H$4:$H$64,MATCH($T390,'Координати майданчиків'!$B$4:$B$64,0)),IFERROR(IF(ABS(INDEX(Геокодування!$C$2:$C$361,MATCH($Q390,Геокодування!$B$2:$B$361,0))-50.5884)+ABS(INDEX(Геокодування!$D$2:$D$361,MATCH($Q390,Геокодування!$B$2:$B$361,0))-32.3876)&gt;0.15,"",INDEX(Геокодування!$C$2:$C$361,MATCH($Q390,Геокодування!$B$2:$B$361,0))),IFERROR(IF(ABS(INDEX(Геокодування!$C$2:$C$361,MATCH("Прилуки, Чернігівська обл., "&amp;$A390,Геокодування!$B$2:$B$361,0))-50.5884)+ABS(INDEX(Геокодування!$D$2:$D$361,MATCH("Прилуки, Чернігівська обл., "&amp;$A390,Геокодування!$B$2:$B$361,0))-32.3876)&gt;0.15,"",INDEX(Геокодування!$C$2:$C$361,MATCH("Прилуки, Чернігівська обл., "&amp;$A390,Геокодування!$B$2:$B$361,0))),""))))</f>
        <v>50.611628000000003</v>
      </c>
      <c r="S390" s="43">
        <f>IF($O390="","",IFERROR(INDEX('Координати майданчиків'!$I$4:$I$64,MATCH($T390,'Координати майданчиків'!$B$4:$B$64,0)),IFERROR(IF(ABS(INDEX(Геокодування!$C$2:$C$361,MATCH($Q390,Геокодування!$B$2:$B$361,0))-50.5884)+ABS(INDEX(Геокодування!$D$2:$D$361,MATCH($Q390,Геокодування!$B$2:$B$361,0))-32.3876)&gt;0.15,"",INDEX(Геокодування!$D$2:$D$361,MATCH($Q390,Геокодування!$B$2:$B$361,0))),IFERROR(IF(ABS(INDEX(Геокодування!$C$2:$C$361,MATCH("Прилуки, Чернігівська обл., "&amp;$A390,Геокодування!$B$2:$B$361,0))-50.5884)+ABS(INDEX(Геокодування!$D$2:$D$361,MATCH("Прилуки, Чернігівська обл., "&amp;$A390,Геокодування!$B$2:$B$361,0))-32.3876)&gt;0.15,"",INDEX(Геокодування!$D$2:$D$361,MATCH("Прилуки, Чернігівська обл., "&amp;$A390,Геокодування!$B$2:$B$361,0))),""))))</f>
        <v>32.382745</v>
      </c>
      <c r="T390" s="44" t="str">
        <f>IF($O390="","",IFERROR(INDEX('Координати майданчиків'!$B$4:$B$64,MATCH($A390&amp;IF($P390="","",", "&amp;$P390),'Координати майданчиків'!$B$4:$B$64,0)),IFERROR(INDEX('Координати майданчиків'!$B$4:$B$64,MATCH($A390,'Координати майданчиків'!$B$4:$B$64,0)),"")))</f>
        <v/>
      </c>
    </row>
    <row r="391" spans="1:20" x14ac:dyDescent="0.35">
      <c r="A391" s="26" t="str">
        <f t="shared" si="18"/>
        <v>вул. Сорочинська</v>
      </c>
      <c r="B391" s="26" t="str">
        <f t="shared" si="19"/>
        <v>87,69  27,20</v>
      </c>
      <c r="C391" s="27" t="str" cm="1">
        <f t="array" ref="C391">IF($O391="","",_xlfn.TEXTJOIN(", ",TRUE,IF(EXACT('Дані_зв''язок'!$J$4:$J$1012,$O391)*('Дані_зв''язок'!$C$4:$C$1012=C$4),'Дані_зв''язок'!$D$4:$D$1012,"")))</f>
        <v/>
      </c>
      <c r="D391" s="27" t="str" cm="1">
        <f t="array" ref="D391">IF($O391="","",_xlfn.TEXTJOIN(", ",TRUE,IF(EXACT('Дані_зв''язок'!$J$4:$J$1012,$O391)*('Дані_зв''язок'!$C$4:$C$1012=D$4),'Дані_зв''язок'!$D$4:$D$1012,"")))</f>
        <v>7:00</v>
      </c>
      <c r="E391" s="27" t="str" cm="1">
        <f t="array" ref="E391">IF($O391="","",_xlfn.TEXTJOIN(", ",TRUE,IF(EXACT('Дані_зв''язок'!$J$4:$J$1012,$O391)*('Дані_зв''язок'!$C$4:$C$1012=E$4),'Дані_зв''язок'!$D$4:$D$1012,"")))</f>
        <v/>
      </c>
      <c r="F391" s="27" t="str" cm="1">
        <f t="array" ref="F391">IF($O391="","",_xlfn.TEXTJOIN(", ",TRUE,IF(EXACT('Дані_зв''язок'!$J$4:$J$1012,$O391)*('Дані_зв''язок'!$C$4:$C$1012=F$4),'Дані_зв''язок'!$D$4:$D$1012,"")))</f>
        <v/>
      </c>
      <c r="G391" s="27" t="str" cm="1">
        <f t="array" ref="G391">IF($O391="","",_xlfn.TEXTJOIN(", ",TRUE,IF(EXACT('Дані_зв''язок'!$J$4:$J$1012,$O391)*('Дані_зв''язок'!$C$4:$C$1012=G$4),'Дані_зв''язок'!$D$4:$D$1012,"")))</f>
        <v/>
      </c>
      <c r="H391" s="27" t="str" cm="1">
        <f t="array" ref="H391">IF($O391="","",_xlfn.TEXTJOIN(", ",TRUE,IF(EXACT('Дані_зв''язок'!$J$4:$J$1012,$O391)*('Дані_зв''язок'!$C$4:$C$1012=H$4),'Дані_зв''язок'!$D$4:$D$1012,"")))</f>
        <v/>
      </c>
      <c r="I391" s="27" t="str" cm="1">
        <f t="array" ref="I391">IF($O391="","",_xlfn.TEXTJOIN(", ",TRUE,IF(EXACT('Дані_зв''язок'!$J$4:$J$1012,$O391)*('Дані_зв''язок'!$C$4:$C$1012=I$4),'Дані_зв''язок'!$D$4:$D$1012,"")))</f>
        <v/>
      </c>
      <c r="J391" s="27" cm="1">
        <f t="array" ref="J391">IF($O391="","",COUNTIF(C391:I391,"?*")+SUMPRODUCT(LEN(C391:I391)-LEN(SUBSTITUTE(C391:I391,",",""))))</f>
        <v>1</v>
      </c>
      <c r="K391" s="28" t="str" cm="1">
        <f t="array" ref="K391">IF($O391="","",_xlfn.TEXTJOIN(", ",TRUE,IF(EXACT('Дані_зв''язок'!$J$4:$J$1012,$O391),'Дані_зв''язок'!$L$4:$L$1012,"")))</f>
        <v>№6</v>
      </c>
      <c r="L391" s="28" t="str" cm="1">
        <f t="array" ref="L391">IF($O391="","",_xlfn.TEXTJOIN(", ",TRUE,IF(EXACT('Дані_зв''язок'!$J$4:$J$1012,$O391),'Дані_зв''язок'!$M$4:$M$1012,"")))</f>
        <v>АТ 4021</v>
      </c>
      <c r="M391" s="27" t="str" cm="1">
        <f t="array" ref="M391">IF($O391="","",IF(SUMPRODUCT(MAX(EXACT('Дані_зв''язок'!$J$4:$J$1012,$O391)*IFERROR('Дані_зв''язок'!$H$4:$H$1012,0)))=0,"",SUMPRODUCT(MAX(EXACT('Дані_зв''язок'!$J$4:$J$1012,$O391)*IFERROR('Дані_зв''язок'!$H$4:$H$1012,0)))))</f>
        <v/>
      </c>
      <c r="O391" s="30" t="s">
        <v>1511</v>
      </c>
      <c r="P391" s="24" cm="1">
        <f t="array" ref="P391">IF($O391="","",IF($B391="","",IFERROR(IF(MIN(IFERROR(VALUE(TRIM(MID(SUBSTITUTE(SUBSTITUTE($B391,","," ")," ",REPT(" ",30)),{1;31;61;91;121;151;181},30))),""))=0,"",MIN(IFERROR(VALUE(TRIM(MID(SUBSTITUTE(SUBSTITUTE($B391,","," ")," ",REPT(" ",30)),{1;31;61;91;121;151;181},30))),""))),"")))</f>
        <v>20</v>
      </c>
      <c r="Q391" s="23" t="str">
        <f t="shared" si="20"/>
        <v>Прилуки, Чернігівська обл., вул. Сорочинська, 20</v>
      </c>
      <c r="R391" s="35">
        <f>IF($O391="","",IFERROR(INDEX('Координати майданчиків'!$H$4:$H$64,MATCH($T391,'Координати майданчиків'!$B$4:$B$64,0)),IFERROR(IF(ABS(INDEX(Геокодування!$C$2:$C$361,MATCH($Q391,Геокодування!$B$2:$B$361,0))-50.5884)+ABS(INDEX(Геокодування!$D$2:$D$361,MATCH($Q391,Геокодування!$B$2:$B$361,0))-32.3876)&gt;0.15,"",INDEX(Геокодування!$C$2:$C$361,MATCH($Q391,Геокодування!$B$2:$B$361,0))),IFERROR(IF(ABS(INDEX(Геокодування!$C$2:$C$361,MATCH("Прилуки, Чернігівська обл., "&amp;$A391,Геокодування!$B$2:$B$361,0))-50.5884)+ABS(INDEX(Геокодування!$D$2:$D$361,MATCH("Прилуки, Чернігівська обл., "&amp;$A391,Геокодування!$B$2:$B$361,0))-32.3876)&gt;0.15,"",INDEX(Геокодування!$C$2:$C$361,MATCH("Прилуки, Чернігівська обл., "&amp;$A391,Геокодування!$B$2:$B$361,0))),""))))</f>
        <v>50.611628000000003</v>
      </c>
      <c r="S391" s="43">
        <f>IF($O391="","",IFERROR(INDEX('Координати майданчиків'!$I$4:$I$64,MATCH($T391,'Координати майданчиків'!$B$4:$B$64,0)),IFERROR(IF(ABS(INDEX(Геокодування!$C$2:$C$361,MATCH($Q391,Геокодування!$B$2:$B$361,0))-50.5884)+ABS(INDEX(Геокодування!$D$2:$D$361,MATCH($Q391,Геокодування!$B$2:$B$361,0))-32.3876)&gt;0.15,"",INDEX(Геокодування!$D$2:$D$361,MATCH($Q391,Геокодування!$B$2:$B$361,0))),IFERROR(IF(ABS(INDEX(Геокодування!$C$2:$C$361,MATCH("Прилуки, Чернігівська обл., "&amp;$A391,Геокодування!$B$2:$B$361,0))-50.5884)+ABS(INDEX(Геокодування!$D$2:$D$361,MATCH("Прилуки, Чернігівська обл., "&amp;$A391,Геокодування!$B$2:$B$361,0))-32.3876)&gt;0.15,"",INDEX(Геокодування!$D$2:$D$361,MATCH("Прилуки, Чернігівська обл., "&amp;$A391,Геокодування!$B$2:$B$361,0))),""))))</f>
        <v>32.382745</v>
      </c>
      <c r="T391" s="44" t="str">
        <f>IF($O391="","",IFERROR(INDEX('Координати майданчиків'!$B$4:$B$64,MATCH($A391&amp;IF($P391="","",", "&amp;$P391),'Координати майданчиків'!$B$4:$B$64,0)),IFERROR(INDEX('Координати майданчиків'!$B$4:$B$64,MATCH($A391,'Координати майданчиків'!$B$4:$B$64,0)),"")))</f>
        <v/>
      </c>
    </row>
    <row r="392" spans="1:20" x14ac:dyDescent="0.35">
      <c r="A392" s="26" t="str">
        <f t="shared" si="18"/>
        <v>вул. Сорочинська</v>
      </c>
      <c r="B392" s="26" t="str">
        <f t="shared" si="19"/>
        <v>ФОП Лупоненко</v>
      </c>
      <c r="C392" s="27" t="str" cm="1">
        <f t="array" ref="C392">IF($O392="","",_xlfn.TEXTJOIN(", ",TRUE,IF(EXACT('Дані_зв''язок'!$J$4:$J$1012,$O392)*('Дані_зв''язок'!$C$4:$C$1012=C$4),'Дані_зв''язок'!$D$4:$D$1012,"")))</f>
        <v/>
      </c>
      <c r="D392" s="27" t="str" cm="1">
        <f t="array" ref="D392">IF($O392="","",_xlfn.TEXTJOIN(", ",TRUE,IF(EXACT('Дані_зв''язок'!$J$4:$J$1012,$O392)*('Дані_зв''язок'!$C$4:$C$1012=D$4),'Дані_зв''язок'!$D$4:$D$1012,"")))</f>
        <v>15:05</v>
      </c>
      <c r="E392" s="27" t="str" cm="1">
        <f t="array" ref="E392">IF($O392="","",_xlfn.TEXTJOIN(", ",TRUE,IF(EXACT('Дані_зв''язок'!$J$4:$J$1012,$O392)*('Дані_зв''язок'!$C$4:$C$1012=E$4),'Дані_зв''язок'!$D$4:$D$1012,"")))</f>
        <v/>
      </c>
      <c r="F392" s="27" t="str" cm="1">
        <f t="array" ref="F392">IF($O392="","",_xlfn.TEXTJOIN(", ",TRUE,IF(EXACT('Дані_зв''язок'!$J$4:$J$1012,$O392)*('Дані_зв''язок'!$C$4:$C$1012=F$4),'Дані_зв''язок'!$D$4:$D$1012,"")))</f>
        <v/>
      </c>
      <c r="G392" s="27" t="str" cm="1">
        <f t="array" ref="G392">IF($O392="","",_xlfn.TEXTJOIN(", ",TRUE,IF(EXACT('Дані_зв''язок'!$J$4:$J$1012,$O392)*('Дані_зв''язок'!$C$4:$C$1012=G$4),'Дані_зв''язок'!$D$4:$D$1012,"")))</f>
        <v/>
      </c>
      <c r="H392" s="27" t="str" cm="1">
        <f t="array" ref="H392">IF($O392="","",_xlfn.TEXTJOIN(", ",TRUE,IF(EXACT('Дані_зв''язок'!$J$4:$J$1012,$O392)*('Дані_зв''язок'!$C$4:$C$1012=H$4),'Дані_зв''язок'!$D$4:$D$1012,"")))</f>
        <v/>
      </c>
      <c r="I392" s="27" t="str" cm="1">
        <f t="array" ref="I392">IF($O392="","",_xlfn.TEXTJOIN(", ",TRUE,IF(EXACT('Дані_зв''язок'!$J$4:$J$1012,$O392)*('Дані_зв''язок'!$C$4:$C$1012=I$4),'Дані_зв''язок'!$D$4:$D$1012,"")))</f>
        <v/>
      </c>
      <c r="J392" s="27" cm="1">
        <f t="array" ref="J392">IF($O392="","",COUNTIF(C392:I392,"?*")+SUMPRODUCT(LEN(C392:I392)-LEN(SUBSTITUTE(C392:I392,",",""))))</f>
        <v>1</v>
      </c>
      <c r="K392" s="28" t="str" cm="1">
        <f t="array" ref="K392">IF($O392="","",_xlfn.TEXTJOIN(", ",TRUE,IF(EXACT('Дані_зв''язок'!$J$4:$J$1012,$O392),'Дані_зв''язок'!$L$4:$L$1012,"")))</f>
        <v>№2</v>
      </c>
      <c r="L392" s="28" t="str" cm="1">
        <f t="array" ref="L392">IF($O392="","",_xlfn.TEXTJOIN(", ",TRUE,IF(EXACT('Дані_зв''язок'!$J$4:$J$1012,$O392),'Дані_зв''язок'!$M$4:$M$1012,"")))</f>
        <v>АТ 4021/1120</v>
      </c>
      <c r="M392" s="27" cm="1">
        <f t="array" ref="M392">IF($O392="","",IF(SUMPRODUCT(MAX(EXACT('Дані_зв''язок'!$J$4:$J$1012,$O392)*IFERROR('Дані_зв''язок'!$H$4:$H$1012,0)))=0,"",SUMPRODUCT(MAX(EXACT('Дані_зв''язок'!$J$4:$J$1012,$O392)*IFERROR('Дані_зв''язок'!$H$4:$H$1012,0)))))</f>
        <v>1</v>
      </c>
      <c r="O392" s="30" t="s">
        <v>1512</v>
      </c>
      <c r="P392" s="24" t="str" cm="1">
        <f t="array" ref="P392">IF($O392="","",IF($B392="","",IFERROR(IF(MIN(IFERROR(VALUE(TRIM(MID(SUBSTITUTE(SUBSTITUTE($B392,","," ")," ",REPT(" ",30)),{1;31;61;91;121;151;181},30))),""))=0,"",MIN(IFERROR(VALUE(TRIM(MID(SUBSTITUTE(SUBSTITUTE($B392,","," ")," ",REPT(" ",30)),{1;31;61;91;121;151;181},30))),""))),"")))</f>
        <v/>
      </c>
      <c r="Q392" s="23" t="str">
        <f t="shared" si="20"/>
        <v>Прилуки, Чернігівська обл., вул. Сорочинська</v>
      </c>
      <c r="R392" s="69">
        <f>IF($O392="","",IFERROR(INDEX('Координати майданчиків'!$H$4:$H$64,MATCH($T392,'Координати майданчиків'!$B$4:$B$64,0)),IFERROR(IF(ABS(INDEX(Геокодування!$C$2:$C$361,MATCH($Q392,Геокодування!$B$2:$B$361,0))-50.5884)+ABS(INDEX(Геокодування!$D$2:$D$361,MATCH($Q392,Геокодування!$B$2:$B$361,0))-32.3876)&gt;0.15,"",INDEX(Геокодування!$C$2:$C$361,MATCH($Q392,Геокодування!$B$2:$B$361,0))),IFERROR(IF(ABS(INDEX(Геокодування!$C$2:$C$361,MATCH("Прилуки, Чернігівська обл., "&amp;$A392,Геокодування!$B$2:$B$361,0))-50.5884)+ABS(INDEX(Геокодування!$D$2:$D$361,MATCH("Прилуки, Чернігівська обл., "&amp;$A392,Геокодування!$B$2:$B$361,0))-32.3876)&gt;0.15,"",INDEX(Геокодування!$C$2:$C$361,MATCH("Прилуки, Чернігівська обл., "&amp;$A392,Геокодування!$B$2:$B$361,0))),""))))</f>
        <v>50.611628000000003</v>
      </c>
      <c r="S392" s="69">
        <f>IF($O392="","",IFERROR(INDEX('Координати майданчиків'!$I$4:$I$64,MATCH($T392,'Координати майданчиків'!$B$4:$B$64,0)),IFERROR(IF(ABS(INDEX(Геокодування!$C$2:$C$361,MATCH($Q392,Геокодування!$B$2:$B$361,0))-50.5884)+ABS(INDEX(Геокодування!$D$2:$D$361,MATCH($Q392,Геокодування!$B$2:$B$361,0))-32.3876)&gt;0.15,"",INDEX(Геокодування!$D$2:$D$361,MATCH($Q392,Геокодування!$B$2:$B$361,0))),IFERROR(IF(ABS(INDEX(Геокодування!$C$2:$C$361,MATCH("Прилуки, Чернігівська обл., "&amp;$A392,Геокодування!$B$2:$B$361,0))-50.5884)+ABS(INDEX(Геокодування!$D$2:$D$361,MATCH("Прилуки, Чернігівська обл., "&amp;$A392,Геокодування!$B$2:$B$361,0))-32.3876)&gt;0.15,"",INDEX(Геокодування!$D$2:$D$361,MATCH("Прилуки, Чернігівська обл., "&amp;$A392,Геокодування!$B$2:$B$361,0))),""))))</f>
        <v>32.382745</v>
      </c>
      <c r="T392" s="44" t="str">
        <f>IF($O392="","",IFERROR(INDEX('Координати майданчиків'!$B$4:$B$64,MATCH($A392&amp;IF($P392="","",", "&amp;$P392),'Координати майданчиків'!$B$4:$B$64,0)),IFERROR(INDEX('Координати майданчиків'!$B$4:$B$64,MATCH($A392,'Координати майданчиків'!$B$4:$B$64,0)),"")))</f>
        <v/>
      </c>
    </row>
    <row r="393" spans="1:20" ht="19" customHeight="1" x14ac:dyDescent="0.35">
      <c r="A393" s="26" t="str">
        <f t="shared" si="18"/>
        <v>вул. Сорочинська</v>
      </c>
      <c r="B393" s="26" t="str">
        <f t="shared" si="19"/>
        <v>шк. 13</v>
      </c>
      <c r="C393" s="27" t="str" cm="1">
        <f t="array" ref="C393">IF($O393="","",_xlfn.TEXTJOIN(", ",TRUE,IF(EXACT('Дані_зв''язок'!$J$4:$J$1012,$O393)*('Дані_зв''язок'!$C$4:$C$1012=C$4),'Дані_зв''язок'!$D$4:$D$1012,"")))</f>
        <v>7:25</v>
      </c>
      <c r="D393" s="27" t="str" cm="1">
        <f t="array" ref="D393">IF($O393="","",_xlfn.TEXTJOIN(", ",TRUE,IF(EXACT('Дані_зв''язок'!$J$4:$J$1012,$O393)*('Дані_зв''язок'!$C$4:$C$1012=D$4),'Дані_зв''язок'!$D$4:$D$1012,"")))</f>
        <v/>
      </c>
      <c r="E393" s="27" t="str" cm="1">
        <f t="array" ref="E393">IF($O393="","",_xlfn.TEXTJOIN(", ",TRUE,IF(EXACT('Дані_зв''язок'!$J$4:$J$1012,$O393)*('Дані_зв''язок'!$C$4:$C$1012=E$4),'Дані_зв''язок'!$D$4:$D$1012,"")))</f>
        <v/>
      </c>
      <c r="F393" s="27" t="str" cm="1">
        <f t="array" ref="F393">IF($O393="","",_xlfn.TEXTJOIN(", ",TRUE,IF(EXACT('Дані_зв''язок'!$J$4:$J$1012,$O393)*('Дані_зв''язок'!$C$4:$C$1012=F$4),'Дані_зв''язок'!$D$4:$D$1012,"")))</f>
        <v/>
      </c>
      <c r="G393" s="27" t="str" cm="1">
        <f t="array" ref="G393">IF($O393="","",_xlfn.TEXTJOIN(", ",TRUE,IF(EXACT('Дані_зв''язок'!$J$4:$J$1012,$O393)*('Дані_зв''язок'!$C$4:$C$1012=G$4),'Дані_зв''язок'!$D$4:$D$1012,"")))</f>
        <v/>
      </c>
      <c r="H393" s="27" t="str" cm="1">
        <f t="array" ref="H393">IF($O393="","",_xlfn.TEXTJOIN(", ",TRUE,IF(EXACT('Дані_зв''язок'!$J$4:$J$1012,$O393)*('Дані_зв''язок'!$C$4:$C$1012=H$4),'Дані_зв''язок'!$D$4:$D$1012,"")))</f>
        <v/>
      </c>
      <c r="I393" s="27" t="str" cm="1">
        <f t="array" ref="I393">IF($O393="","",_xlfn.TEXTJOIN(", ",TRUE,IF(EXACT('Дані_зв''язок'!$J$4:$J$1012,$O393)*('Дані_зв''язок'!$C$4:$C$1012=I$4),'Дані_зв''язок'!$D$4:$D$1012,"")))</f>
        <v/>
      </c>
      <c r="J393" s="27" cm="1">
        <f t="array" ref="J393">IF($O393="","",COUNTIF(C393:I393,"?*")+SUMPRODUCT(LEN(C393:I393)-LEN(SUBSTITUTE(C393:I393,",",""))))</f>
        <v>1</v>
      </c>
      <c r="K393" s="28" t="str" cm="1">
        <f t="array" ref="K393">IF($O393="","",_xlfn.TEXTJOIN(", ",TRUE,IF(EXACT('Дані_зв''язок'!$J$4:$J$1012,$O393),'Дані_зв''язок'!$L$4:$L$1012,"")))</f>
        <v>№3</v>
      </c>
      <c r="L393" s="28" t="str" cm="1">
        <f t="array" ref="L393">IF($O393="","",_xlfn.TEXTJOIN(", ",TRUE,IF(EXACT('Дані_зв''язок'!$J$4:$J$1012,$O393),'Дані_зв''язок'!$M$4:$M$1012,"")))</f>
        <v>ГАЗ 3309</v>
      </c>
      <c r="M393" s="27" cm="1">
        <f t="array" ref="M393">IF($O393="","",IF(SUMPRODUCT(MAX(EXACT('Дані_зв''язок'!$J$4:$J$1012,$O393)*IFERROR('Дані_зв''язок'!$H$4:$H$1012,0)))=0,"",SUMPRODUCT(MAX(EXACT('Дані_зв''язок'!$J$4:$J$1012,$O393)*IFERROR('Дані_зв''язок'!$H$4:$H$1012,0)))))</f>
        <v>3</v>
      </c>
      <c r="O393" s="30" t="s">
        <v>1513</v>
      </c>
      <c r="P393" s="24" cm="1">
        <f t="array" ref="P393">IF($O393="","",IF($B393="","",IFERROR(IF(MIN(IFERROR(VALUE(TRIM(MID(SUBSTITUTE(SUBSTITUTE($B393,","," ")," ",REPT(" ",30)),{1;31;61;91;121;151;181},30))),""))=0,"",MIN(IFERROR(VALUE(TRIM(MID(SUBSTITUTE(SUBSTITUTE($B393,","," ")," ",REPT(" ",30)),{1;31;61;91;121;151;181},30))),""))),"")))</f>
        <v>13</v>
      </c>
      <c r="Q393" s="23" t="str">
        <f t="shared" si="20"/>
        <v>Прилуки, Чернігівська обл., вул. Сорочинська, 13</v>
      </c>
      <c r="R393" s="35">
        <f>IF($O393="","",IFERROR(INDEX('Координати майданчиків'!$H$4:$H$64,MATCH($T393,'Координати майданчиків'!$B$4:$B$64,0)),IFERROR(IF(ABS(INDEX(Геокодування!$C$2:$C$361,MATCH($Q393,Геокодування!$B$2:$B$361,0))-50.5884)+ABS(INDEX(Геокодування!$D$2:$D$361,MATCH($Q393,Геокодування!$B$2:$B$361,0))-32.3876)&gt;0.15,"",INDEX(Геокодування!$C$2:$C$361,MATCH($Q393,Геокодування!$B$2:$B$361,0))),IFERROR(IF(ABS(INDEX(Геокодування!$C$2:$C$361,MATCH("Прилуки, Чернігівська обл., "&amp;$A393,Геокодування!$B$2:$B$361,0))-50.5884)+ABS(INDEX(Геокодування!$D$2:$D$361,MATCH("Прилуки, Чернігівська обл., "&amp;$A393,Геокодування!$B$2:$B$361,0))-32.3876)&gt;0.15,"",INDEX(Геокодування!$C$2:$C$361,MATCH("Прилуки, Чернігівська обл., "&amp;$A393,Геокодування!$B$2:$B$361,0))),""))))</f>
        <v>50.611628000000003</v>
      </c>
      <c r="S393" s="43">
        <f>IF($O393="","",IFERROR(INDEX('Координати майданчиків'!$I$4:$I$64,MATCH($T393,'Координати майданчиків'!$B$4:$B$64,0)),IFERROR(IF(ABS(INDEX(Геокодування!$C$2:$C$361,MATCH($Q393,Геокодування!$B$2:$B$361,0))-50.5884)+ABS(INDEX(Геокодування!$D$2:$D$361,MATCH($Q393,Геокодування!$B$2:$B$361,0))-32.3876)&gt;0.15,"",INDEX(Геокодування!$D$2:$D$361,MATCH($Q393,Геокодування!$B$2:$B$361,0))),IFERROR(IF(ABS(INDEX(Геокодування!$C$2:$C$361,MATCH("Прилуки, Чернігівська обл., "&amp;$A393,Геокодування!$B$2:$B$361,0))-50.5884)+ABS(INDEX(Геокодування!$D$2:$D$361,MATCH("Прилуки, Чернігівська обл., "&amp;$A393,Геокодування!$B$2:$B$361,0))-32.3876)&gt;0.15,"",INDEX(Геокодування!$D$2:$D$361,MATCH("Прилуки, Чернігівська обл., "&amp;$A393,Геокодування!$B$2:$B$361,0))),""))))</f>
        <v>32.382745</v>
      </c>
      <c r="T393" s="44" t="str">
        <f>IF($O393="","",IFERROR(INDEX('Координати майданчиків'!$B$4:$B$64,MATCH($A393&amp;IF($P393="","",", "&amp;$P393),'Координати майданчиків'!$B$4:$B$64,0)),IFERROR(INDEX('Координати майданчиків'!$B$4:$B$64,MATCH($A393,'Координати майданчиків'!$B$4:$B$64,0)),"")))</f>
        <v/>
      </c>
    </row>
    <row r="394" spans="1:20" x14ac:dyDescent="0.35">
      <c r="A394" s="26" t="str">
        <f t="shared" si="18"/>
        <v>вул. Степова</v>
      </c>
      <c r="B394" s="26" t="str">
        <f t="shared" si="19"/>
        <v>8,13</v>
      </c>
      <c r="C394" s="27" t="str" cm="1">
        <f t="array" ref="C394">IF($O394="","",_xlfn.TEXTJOIN(", ",TRUE,IF(EXACT('Дані_зв''язок'!$J$4:$J$1012,$O394)*('Дані_зв''язок'!$C$4:$C$1012=C$4),'Дані_зв''язок'!$D$4:$D$1012,"")))</f>
        <v/>
      </c>
      <c r="D394" s="27" t="str" cm="1">
        <f t="array" ref="D394">IF($O394="","",_xlfn.TEXTJOIN(", ",TRUE,IF(EXACT('Дані_зв''язок'!$J$4:$J$1012,$O394)*('Дані_зв''язок'!$C$4:$C$1012=D$4),'Дані_зв''язок'!$D$4:$D$1012,"")))</f>
        <v/>
      </c>
      <c r="E394" s="27" t="str" cm="1">
        <f t="array" ref="E394">IF($O394="","",_xlfn.TEXTJOIN(", ",TRUE,IF(EXACT('Дані_зв''язок'!$J$4:$J$1012,$O394)*('Дані_зв''язок'!$C$4:$C$1012=E$4),'Дані_зв''язок'!$D$4:$D$1012,"")))</f>
        <v/>
      </c>
      <c r="F394" s="27" t="str" cm="1">
        <f t="array" ref="F394">IF($O394="","",_xlfn.TEXTJOIN(", ",TRUE,IF(EXACT('Дані_зв''язок'!$J$4:$J$1012,$O394)*('Дані_зв''язок'!$C$4:$C$1012=F$4),'Дані_зв''язок'!$D$4:$D$1012,"")))</f>
        <v>15:10</v>
      </c>
      <c r="G394" s="27" t="str" cm="1">
        <f t="array" ref="G394">IF($O394="","",_xlfn.TEXTJOIN(", ",TRUE,IF(EXACT('Дані_зв''язок'!$J$4:$J$1012,$O394)*('Дані_зв''язок'!$C$4:$C$1012=G$4),'Дані_зв''язок'!$D$4:$D$1012,"")))</f>
        <v/>
      </c>
      <c r="H394" s="27" t="str" cm="1">
        <f t="array" ref="H394">IF($O394="","",_xlfn.TEXTJOIN(", ",TRUE,IF(EXACT('Дані_зв''язок'!$J$4:$J$1012,$O394)*('Дані_зв''язок'!$C$4:$C$1012=H$4),'Дані_зв''язок'!$D$4:$D$1012,"")))</f>
        <v/>
      </c>
      <c r="I394" s="27" t="str" cm="1">
        <f t="array" ref="I394">IF($O394="","",_xlfn.TEXTJOIN(", ",TRUE,IF(EXACT('Дані_зв''язок'!$J$4:$J$1012,$O394)*('Дані_зв''язок'!$C$4:$C$1012=I$4),'Дані_зв''язок'!$D$4:$D$1012,"")))</f>
        <v/>
      </c>
      <c r="J394" s="27" cm="1">
        <f t="array" ref="J394">IF($O394="","",COUNTIF(C394:I394,"?*")+SUMPRODUCT(LEN(C394:I394)-LEN(SUBSTITUTE(C394:I394,",",""))))</f>
        <v>1</v>
      </c>
      <c r="K394" s="28" t="str" cm="1">
        <f t="array" ref="K394">IF($O394="","",_xlfn.TEXTJOIN(", ",TRUE,IF(EXACT('Дані_зв''язок'!$J$4:$J$1012,$O394),'Дані_зв''язок'!$L$4:$L$1012,"")))</f>
        <v>№6</v>
      </c>
      <c r="L394" s="28" t="str" cm="1">
        <f t="array" ref="L394">IF($O394="","",_xlfn.TEXTJOIN(", ",TRUE,IF(EXACT('Дані_зв''язок'!$J$4:$J$1012,$O394),'Дані_зв''язок'!$M$4:$M$1012,"")))</f>
        <v>АТ 4021</v>
      </c>
      <c r="M394" s="27" t="str" cm="1">
        <f t="array" ref="M394">IF($O394="","",IF(SUMPRODUCT(MAX(EXACT('Дані_зв''язок'!$J$4:$J$1012,$O394)*IFERROR('Дані_зв''язок'!$H$4:$H$1012,0)))=0,"",SUMPRODUCT(MAX(EXACT('Дані_зв''язок'!$J$4:$J$1012,$O394)*IFERROR('Дані_зв''язок'!$H$4:$H$1012,0)))))</f>
        <v/>
      </c>
      <c r="O394" s="30" t="s">
        <v>1514</v>
      </c>
      <c r="P394" s="24" cm="1">
        <f t="array" ref="P394">IF($O394="","",IF($B394="","",IFERROR(IF(MIN(IFERROR(VALUE(TRIM(MID(SUBSTITUTE(SUBSTITUTE($B394,","," ")," ",REPT(" ",30)),{1;31;61;91;121;151;181},30))),""))=0,"",MIN(IFERROR(VALUE(TRIM(MID(SUBSTITUTE(SUBSTITUTE($B394,","," ")," ",REPT(" ",30)),{1;31;61;91;121;151;181},30))),""))),"")))</f>
        <v>8</v>
      </c>
      <c r="Q394" s="23" t="str">
        <f t="shared" si="20"/>
        <v>Прилуки, Чернігівська обл., вул. Степова, 8</v>
      </c>
      <c r="R394" s="35">
        <f>IF($O394="","",IFERROR(INDEX('Координати майданчиків'!$H$4:$H$64,MATCH($T394,'Координати майданчиків'!$B$4:$B$64,0)),IFERROR(IF(ABS(INDEX(Геокодування!$C$2:$C$361,MATCH($Q394,Геокодування!$B$2:$B$361,0))-50.5884)+ABS(INDEX(Геокодування!$D$2:$D$361,MATCH($Q394,Геокодування!$B$2:$B$361,0))-32.3876)&gt;0.15,"",INDEX(Геокодування!$C$2:$C$361,MATCH($Q394,Геокодування!$B$2:$B$361,0))),IFERROR(IF(ABS(INDEX(Геокодування!$C$2:$C$361,MATCH("Прилуки, Чернігівська обл., "&amp;$A394,Геокодування!$B$2:$B$361,0))-50.5884)+ABS(INDEX(Геокодування!$D$2:$D$361,MATCH("Прилуки, Чернігівська обл., "&amp;$A394,Геокодування!$B$2:$B$361,0))-32.3876)&gt;0.15,"",INDEX(Геокодування!$C$2:$C$361,MATCH("Прилуки, Чернігівська обл., "&amp;$A394,Геокодування!$B$2:$B$361,0))),""))))</f>
        <v>50.571435000000001</v>
      </c>
      <c r="S394" s="43">
        <f>IF($O394="","",IFERROR(INDEX('Координати майданчиків'!$I$4:$I$64,MATCH($T394,'Координати майданчиків'!$B$4:$B$64,0)),IFERROR(IF(ABS(INDEX(Геокодування!$C$2:$C$361,MATCH($Q394,Геокодування!$B$2:$B$361,0))-50.5884)+ABS(INDEX(Геокодування!$D$2:$D$361,MATCH($Q394,Геокодування!$B$2:$B$361,0))-32.3876)&gt;0.15,"",INDEX(Геокодування!$D$2:$D$361,MATCH($Q394,Геокодування!$B$2:$B$361,0))),IFERROR(IF(ABS(INDEX(Геокодування!$C$2:$C$361,MATCH("Прилуки, Чернігівська обл., "&amp;$A394,Геокодування!$B$2:$B$361,0))-50.5884)+ABS(INDEX(Геокодування!$D$2:$D$361,MATCH("Прилуки, Чернігівська обл., "&amp;$A394,Геокодування!$B$2:$B$361,0))-32.3876)&gt;0.15,"",INDEX(Геокодування!$D$2:$D$361,MATCH("Прилуки, Чернігівська обл., "&amp;$A394,Геокодування!$B$2:$B$361,0))),""))))</f>
        <v>32.423915000000001</v>
      </c>
      <c r="T394" s="44" t="str">
        <f>IF($O394="","",IFERROR(INDEX('Координати майданчиків'!$B$4:$B$64,MATCH($A394&amp;IF($P394="","",", "&amp;$P394),'Координати майданчиків'!$B$4:$B$64,0)),IFERROR(INDEX('Координати майданчиків'!$B$4:$B$64,MATCH($A394,'Координати майданчиків'!$B$4:$B$64,0)),"")))</f>
        <v/>
      </c>
    </row>
    <row r="395" spans="1:20" x14ac:dyDescent="0.35">
      <c r="A395" s="26" t="str">
        <f t="shared" si="18"/>
        <v>вул. Січових Стрільців</v>
      </c>
      <c r="B395" s="26" t="str">
        <f t="shared" si="19"/>
        <v/>
      </c>
      <c r="C395" s="27" t="str" cm="1">
        <f t="array" ref="C395">IF($O395="","",_xlfn.TEXTJOIN(", ",TRUE,IF(EXACT('Дані_зв''язок'!$J$4:$J$1012,$O395)*('Дані_зв''язок'!$C$4:$C$1012=C$4),'Дані_зв''язок'!$D$4:$D$1012,"")))</f>
        <v/>
      </c>
      <c r="D395" s="27" t="str" cm="1">
        <f t="array" ref="D395">IF($O395="","",_xlfn.TEXTJOIN(", ",TRUE,IF(EXACT('Дані_зв''язок'!$J$4:$J$1012,$O395)*('Дані_зв''язок'!$C$4:$C$1012=D$4),'Дані_зв''язок'!$D$4:$D$1012,"")))</f>
        <v>7:10</v>
      </c>
      <c r="E395" s="27" t="str" cm="1">
        <f t="array" ref="E395">IF($O395="","",_xlfn.TEXTJOIN(", ",TRUE,IF(EXACT('Дані_зв''язок'!$J$4:$J$1012,$O395)*('Дані_зв''язок'!$C$4:$C$1012=E$4),'Дані_зв''язок'!$D$4:$D$1012,"")))</f>
        <v/>
      </c>
      <c r="F395" s="27" t="str" cm="1">
        <f t="array" ref="F395">IF($O395="","",_xlfn.TEXTJOIN(", ",TRUE,IF(EXACT('Дані_зв''язок'!$J$4:$J$1012,$O395)*('Дані_зв''язок'!$C$4:$C$1012=F$4),'Дані_зв''язок'!$D$4:$D$1012,"")))</f>
        <v/>
      </c>
      <c r="G395" s="27" t="str" cm="1">
        <f t="array" ref="G395">IF($O395="","",_xlfn.TEXTJOIN(", ",TRUE,IF(EXACT('Дані_зв''язок'!$J$4:$J$1012,$O395)*('Дані_зв''язок'!$C$4:$C$1012=G$4),'Дані_зв''язок'!$D$4:$D$1012,"")))</f>
        <v/>
      </c>
      <c r="H395" s="27" t="str" cm="1">
        <f t="array" ref="H395">IF($O395="","",_xlfn.TEXTJOIN(", ",TRUE,IF(EXACT('Дані_зв''язок'!$J$4:$J$1012,$O395)*('Дані_зв''язок'!$C$4:$C$1012=H$4),'Дані_зв''язок'!$D$4:$D$1012,"")))</f>
        <v/>
      </c>
      <c r="I395" s="27" t="str" cm="1">
        <f t="array" ref="I395">IF($O395="","",_xlfn.TEXTJOIN(", ",TRUE,IF(EXACT('Дані_зв''язок'!$J$4:$J$1012,$O395)*('Дані_зв''язок'!$C$4:$C$1012=I$4),'Дані_зв''язок'!$D$4:$D$1012,"")))</f>
        <v/>
      </c>
      <c r="J395" s="27" cm="1">
        <f t="array" ref="J395">IF($O395="","",COUNTIF(C395:I395,"?*")+SUMPRODUCT(LEN(C395:I395)-LEN(SUBSTITUTE(C395:I395,",",""))))</f>
        <v>1</v>
      </c>
      <c r="K395" s="28" t="str" cm="1">
        <f t="array" ref="K395">IF($O395="","",_xlfn.TEXTJOIN(", ",TRUE,IF(EXACT('Дані_зв''язок'!$J$4:$J$1012,$O395),'Дані_зв''язок'!$L$4:$L$1012,"")))</f>
        <v>№5</v>
      </c>
      <c r="L395" s="28" t="str" cm="1">
        <f t="array" ref="L395">IF($O395="","",_xlfn.TEXTJOIN(", ",TRUE,IF(EXACT('Дані_зв''язок'!$J$4:$J$1012,$O395),'Дані_зв''язок'!$M$4:$M$1012,"")))</f>
        <v>МАЗ 4381</v>
      </c>
      <c r="M395" s="27" t="str" cm="1">
        <f t="array" ref="M395">IF($O395="","",IF(SUMPRODUCT(MAX(EXACT('Дані_зв''язок'!$J$4:$J$1012,$O395)*IFERROR('Дані_зв''язок'!$H$4:$H$1012,0)))=0,"",SUMPRODUCT(MAX(EXACT('Дані_зв''язок'!$J$4:$J$1012,$O395)*IFERROR('Дані_зв''язок'!$H$4:$H$1012,0)))))</f>
        <v/>
      </c>
      <c r="O395" s="30" t="s">
        <v>1498</v>
      </c>
      <c r="P395" s="24" t="str" cm="1">
        <f t="array" ref="P395">IF($O395="","",IF($B395="","",IFERROR(IF(MIN(IFERROR(VALUE(TRIM(MID(SUBSTITUTE(SUBSTITUTE($B395,","," ")," ",REPT(" ",30)),{1;31;61;91;121;151;181},30))),""))=0,"",MIN(IFERROR(VALUE(TRIM(MID(SUBSTITUTE(SUBSTITUTE($B395,","," ")," ",REPT(" ",30)),{1;31;61;91;121;151;181},30))),""))),"")))</f>
        <v/>
      </c>
      <c r="Q395" s="23" t="str">
        <f t="shared" si="20"/>
        <v>Прилуки, Чернігівська обл., вул. Січових Стрільців</v>
      </c>
      <c r="R395" s="35">
        <f>IF($O395="","",IFERROR(INDEX('Координати майданчиків'!$H$4:$H$64,MATCH($T395,'Координати майданчиків'!$B$4:$B$64,0)),IFERROR(IF(ABS(INDEX(Геокодування!$C$2:$C$361,MATCH($Q395,Геокодування!$B$2:$B$361,0))-50.5884)+ABS(INDEX(Геокодування!$D$2:$D$361,MATCH($Q395,Геокодування!$B$2:$B$361,0))-32.3876)&gt;0.15,"",INDEX(Геокодування!$C$2:$C$361,MATCH($Q395,Геокодування!$B$2:$B$361,0))),IFERROR(IF(ABS(INDEX(Геокодування!$C$2:$C$361,MATCH("Прилуки, Чернігівська обл., "&amp;$A395,Геокодування!$B$2:$B$361,0))-50.5884)+ABS(INDEX(Геокодування!$D$2:$D$361,MATCH("Прилуки, Чернігівська обл., "&amp;$A395,Геокодування!$B$2:$B$361,0))-32.3876)&gt;0.15,"",INDEX(Геокодування!$C$2:$C$361,MATCH("Прилуки, Чернігівська обл., "&amp;$A395,Геокодування!$B$2:$B$361,0))),""))))</f>
        <v>50.577714</v>
      </c>
      <c r="S395" s="43">
        <f>IF($O395="","",IFERROR(INDEX('Координати майданчиків'!$I$4:$I$64,MATCH($T395,'Координати майданчиків'!$B$4:$B$64,0)),IFERROR(IF(ABS(INDEX(Геокодування!$C$2:$C$361,MATCH($Q395,Геокодування!$B$2:$B$361,0))-50.5884)+ABS(INDEX(Геокодування!$D$2:$D$361,MATCH($Q395,Геокодування!$B$2:$B$361,0))-32.3876)&gt;0.15,"",INDEX(Геокодування!$D$2:$D$361,MATCH($Q395,Геокодування!$B$2:$B$361,0))),IFERROR(IF(ABS(INDEX(Геокодування!$C$2:$C$361,MATCH("Прилуки, Чернігівська обл., "&amp;$A395,Геокодування!$B$2:$B$361,0))-50.5884)+ABS(INDEX(Геокодування!$D$2:$D$361,MATCH("Прилуки, Чернігівська обл., "&amp;$A395,Геокодування!$B$2:$B$361,0))-32.3876)&gt;0.15,"",INDEX(Геокодування!$D$2:$D$361,MATCH("Прилуки, Чернігівська обл., "&amp;$A395,Геокодування!$B$2:$B$361,0))),""))))</f>
        <v>32.401702</v>
      </c>
      <c r="T395" s="44" t="str">
        <f>IF($O395="","",IFERROR(INDEX('Координати майданчиків'!$B$4:$B$64,MATCH($A395&amp;IF($P395="","",", "&amp;$P395),'Координати майданчиків'!$B$4:$B$64,0)),IFERROR(INDEX('Координати майданчиків'!$B$4:$B$64,MATCH($A395,'Координати майданчиків'!$B$4:$B$64,0)),"")))</f>
        <v/>
      </c>
    </row>
    <row r="396" spans="1:20" x14ac:dyDescent="0.35">
      <c r="A396" s="26" t="str">
        <f t="shared" si="18"/>
        <v>вул. Трубарівська</v>
      </c>
      <c r="B396" s="26" t="str">
        <f t="shared" si="19"/>
        <v/>
      </c>
      <c r="C396" s="27" t="str" cm="1">
        <f t="array" ref="C396">IF($O396="","",_xlfn.TEXTJOIN(", ",TRUE,IF(EXACT('Дані_зв''язок'!$J$4:$J$1012,$O396)*('Дані_зв''язок'!$C$4:$C$1012=C$4),'Дані_зв''язок'!$D$4:$D$1012,"")))</f>
        <v/>
      </c>
      <c r="D396" s="27" t="str" cm="1">
        <f t="array" ref="D396">IF($O396="","",_xlfn.TEXTJOIN(", ",TRUE,IF(EXACT('Дані_зв''язок'!$J$4:$J$1012,$O396)*('Дані_зв''язок'!$C$4:$C$1012=D$4),'Дані_зв''язок'!$D$4:$D$1012,"")))</f>
        <v>12:50</v>
      </c>
      <c r="E396" s="27" t="str" cm="1">
        <f t="array" ref="E396">IF($O396="","",_xlfn.TEXTJOIN(", ",TRUE,IF(EXACT('Дані_зв''язок'!$J$4:$J$1012,$O396)*('Дані_зв''язок'!$C$4:$C$1012=E$4),'Дані_зв''язок'!$D$4:$D$1012,"")))</f>
        <v/>
      </c>
      <c r="F396" s="27" t="str" cm="1">
        <f t="array" ref="F396">IF($O396="","",_xlfn.TEXTJOIN(", ",TRUE,IF(EXACT('Дані_зв''язок'!$J$4:$J$1012,$O396)*('Дані_зв''язок'!$C$4:$C$1012=F$4),'Дані_зв''язок'!$D$4:$D$1012,"")))</f>
        <v/>
      </c>
      <c r="G396" s="27" t="str" cm="1">
        <f t="array" ref="G396">IF($O396="","",_xlfn.TEXTJOIN(", ",TRUE,IF(EXACT('Дані_зв''язок'!$J$4:$J$1012,$O396)*('Дані_зв''язок'!$C$4:$C$1012=G$4),'Дані_зв''язок'!$D$4:$D$1012,"")))</f>
        <v>8:25</v>
      </c>
      <c r="H396" s="27" t="str" cm="1">
        <f t="array" ref="H396">IF($O396="","",_xlfn.TEXTJOIN(", ",TRUE,IF(EXACT('Дані_зв''язок'!$J$4:$J$1012,$O396)*('Дані_зв''язок'!$C$4:$C$1012=H$4),'Дані_зв''язок'!$D$4:$D$1012,"")))</f>
        <v/>
      </c>
      <c r="I396" s="27" t="str" cm="1">
        <f t="array" ref="I396">IF($O396="","",_xlfn.TEXTJOIN(", ",TRUE,IF(EXACT('Дані_зв''язок'!$J$4:$J$1012,$O396)*('Дані_зв''язок'!$C$4:$C$1012=I$4),'Дані_зв''язок'!$D$4:$D$1012,"")))</f>
        <v/>
      </c>
      <c r="J396" s="27" cm="1">
        <f t="array" ref="J396">IF($O396="","",COUNTIF(C396:I396,"?*")+SUMPRODUCT(LEN(C396:I396)-LEN(SUBSTITUTE(C396:I396,",",""))))</f>
        <v>2</v>
      </c>
      <c r="K396" s="28" t="str" cm="1">
        <f t="array" ref="K396">IF($O396="","",_xlfn.TEXTJOIN(", ",TRUE,IF(EXACT('Дані_зв''язок'!$J$4:$J$1012,$O396),'Дані_зв''язок'!$L$4:$L$1012,"")))</f>
        <v>№5</v>
      </c>
      <c r="L396" s="28" t="str" cm="1">
        <f t="array" ref="L396">IF($O396="","",_xlfn.TEXTJOIN(", ",TRUE,IF(EXACT('Дані_зв''язок'!$J$4:$J$1012,$O396),'Дані_зв''язок'!$M$4:$M$1012,"")))</f>
        <v>МАЗ 4381</v>
      </c>
      <c r="M396" s="27" t="str" cm="1">
        <f t="array" ref="M396">IF($O396="","",IF(SUMPRODUCT(MAX(EXACT('Дані_зв''язок'!$J$4:$J$1012,$O396)*IFERROR('Дані_зв''язок'!$H$4:$H$1012,0)))=0,"",SUMPRODUCT(MAX(EXACT('Дані_зв''язок'!$J$4:$J$1012,$O396)*IFERROR('Дані_зв''язок'!$H$4:$H$1012,0)))))</f>
        <v/>
      </c>
      <c r="O396" s="30" t="s">
        <v>1515</v>
      </c>
      <c r="P396" s="24" t="str" cm="1">
        <f t="array" ref="P396">IF($O396="","",IF($B396="","",IFERROR(IF(MIN(IFERROR(VALUE(TRIM(MID(SUBSTITUTE(SUBSTITUTE($B396,","," ")," ",REPT(" ",30)),{1;31;61;91;121;151;181},30))),""))=0,"",MIN(IFERROR(VALUE(TRIM(MID(SUBSTITUTE(SUBSTITUTE($B396,","," ")," ",REPT(" ",30)),{1;31;61;91;121;151;181},30))),""))),"")))</f>
        <v/>
      </c>
      <c r="Q396" s="23" t="str">
        <f t="shared" si="20"/>
        <v>Прилуки, Чернігівська обл., вул. Трубарівська</v>
      </c>
      <c r="R396" s="35">
        <f>IF($O396="","",IFERROR(INDEX('Координати майданчиків'!$H$4:$H$64,MATCH($T396,'Координати майданчиків'!$B$4:$B$64,0)),IFERROR(IF(ABS(INDEX(Геокодування!$C$2:$C$361,MATCH($Q396,Геокодування!$B$2:$B$361,0))-50.5884)+ABS(INDEX(Геокодування!$D$2:$D$361,MATCH($Q396,Геокодування!$B$2:$B$361,0))-32.3876)&gt;0.15,"",INDEX(Геокодування!$C$2:$C$361,MATCH($Q396,Геокодування!$B$2:$B$361,0))),IFERROR(IF(ABS(INDEX(Геокодування!$C$2:$C$361,MATCH("Прилуки, Чернігівська обл., "&amp;$A396,Геокодування!$B$2:$B$361,0))-50.5884)+ABS(INDEX(Геокодування!$D$2:$D$361,MATCH("Прилуки, Чернігівська обл., "&amp;$A396,Геокодування!$B$2:$B$361,0))-32.3876)&gt;0.15,"",INDEX(Геокодування!$C$2:$C$361,MATCH("Прилуки, Чернігівська обл., "&amp;$A396,Геокодування!$B$2:$B$361,0))),""))))</f>
        <v>50.600527</v>
      </c>
      <c r="S396" s="43">
        <f>IF($O396="","",IFERROR(INDEX('Координати майданчиків'!$I$4:$I$64,MATCH($T396,'Координати майданчиків'!$B$4:$B$64,0)),IFERROR(IF(ABS(INDEX(Геокодування!$C$2:$C$361,MATCH($Q396,Геокодування!$B$2:$B$361,0))-50.5884)+ABS(INDEX(Геокодування!$D$2:$D$361,MATCH($Q396,Геокодування!$B$2:$B$361,0))-32.3876)&gt;0.15,"",INDEX(Геокодування!$D$2:$D$361,MATCH($Q396,Геокодування!$B$2:$B$361,0))),IFERROR(IF(ABS(INDEX(Геокодування!$C$2:$C$361,MATCH("Прилуки, Чернігівська обл., "&amp;$A396,Геокодування!$B$2:$B$361,0))-50.5884)+ABS(INDEX(Геокодування!$D$2:$D$361,MATCH("Прилуки, Чернігівська обл., "&amp;$A396,Геокодування!$B$2:$B$361,0))-32.3876)&gt;0.15,"",INDEX(Геокодування!$D$2:$D$361,MATCH("Прилуки, Чернігівська обл., "&amp;$A396,Геокодування!$B$2:$B$361,0))),""))))</f>
        <v>32.341042000000002</v>
      </c>
      <c r="T396" s="44" t="str">
        <f>IF($O396="","",IFERROR(INDEX('Координати майданчиків'!$B$4:$B$64,MATCH($A396&amp;IF($P396="","",", "&amp;$P396),'Координати майданчиків'!$B$4:$B$64,0)),IFERROR(INDEX('Координати майданчиків'!$B$4:$B$64,MATCH($A396,'Координати майданчиків'!$B$4:$B$64,0)),"")))</f>
        <v/>
      </c>
    </row>
    <row r="397" spans="1:20" x14ac:dyDescent="0.35">
      <c r="A397" s="26" t="str">
        <f t="shared" si="18"/>
        <v>вул. Фабрична</v>
      </c>
      <c r="B397" s="26" t="str">
        <f t="shared" si="19"/>
        <v>46,30  22,12</v>
      </c>
      <c r="C397" s="27" t="str" cm="1">
        <f t="array" ref="C397">IF($O397="","",_xlfn.TEXTJOIN(", ",TRUE,IF(EXACT('Дані_зв''язок'!$J$4:$J$1012,$O397)*('Дані_зв''язок'!$C$4:$C$1012=C$4),'Дані_зв''язок'!$D$4:$D$1012,"")))</f>
        <v>9:55</v>
      </c>
      <c r="D397" s="27" t="str" cm="1">
        <f t="array" ref="D397">IF($O397="","",_xlfn.TEXTJOIN(", ",TRUE,IF(EXACT('Дані_зв''язок'!$J$4:$J$1012,$O397)*('Дані_зв''язок'!$C$4:$C$1012=D$4),'Дані_зв''язок'!$D$4:$D$1012,"")))</f>
        <v/>
      </c>
      <c r="E397" s="27" t="str" cm="1">
        <f t="array" ref="E397">IF($O397="","",_xlfn.TEXTJOIN(", ",TRUE,IF(EXACT('Дані_зв''язок'!$J$4:$J$1012,$O397)*('Дані_зв''язок'!$C$4:$C$1012=E$4),'Дані_зв''язок'!$D$4:$D$1012,"")))</f>
        <v/>
      </c>
      <c r="F397" s="27" t="str" cm="1">
        <f t="array" ref="F397">IF($O397="","",_xlfn.TEXTJOIN(", ",TRUE,IF(EXACT('Дані_зв''язок'!$J$4:$J$1012,$O397)*('Дані_зв''язок'!$C$4:$C$1012=F$4),'Дані_зв''язок'!$D$4:$D$1012,"")))</f>
        <v/>
      </c>
      <c r="G397" s="27" t="str" cm="1">
        <f t="array" ref="G397">IF($O397="","",_xlfn.TEXTJOIN(", ",TRUE,IF(EXACT('Дані_зв''язок'!$J$4:$J$1012,$O397)*('Дані_зв''язок'!$C$4:$C$1012=G$4),'Дані_зв''язок'!$D$4:$D$1012,"")))</f>
        <v/>
      </c>
      <c r="H397" s="27" t="str" cm="1">
        <f t="array" ref="H397">IF($O397="","",_xlfn.TEXTJOIN(", ",TRUE,IF(EXACT('Дані_зв''язок'!$J$4:$J$1012,$O397)*('Дані_зв''язок'!$C$4:$C$1012=H$4),'Дані_зв''язок'!$D$4:$D$1012,"")))</f>
        <v/>
      </c>
      <c r="I397" s="27" t="str" cm="1">
        <f t="array" ref="I397">IF($O397="","",_xlfn.TEXTJOIN(", ",TRUE,IF(EXACT('Дані_зв''язок'!$J$4:$J$1012,$O397)*('Дані_зв''язок'!$C$4:$C$1012=I$4),'Дані_зв''язок'!$D$4:$D$1012,"")))</f>
        <v/>
      </c>
      <c r="J397" s="27" cm="1">
        <f t="array" ref="J397">IF($O397="","",COUNTIF(C397:I397,"?*")+SUMPRODUCT(LEN(C397:I397)-LEN(SUBSTITUTE(C397:I397,",",""))))</f>
        <v>1</v>
      </c>
      <c r="K397" s="28" t="str" cm="1">
        <f t="array" ref="K397">IF($O397="","",_xlfn.TEXTJOIN(", ",TRUE,IF(EXACT('Дані_зв''язок'!$J$4:$J$1012,$O397),'Дані_зв''язок'!$L$4:$L$1012,"")))</f>
        <v>№6</v>
      </c>
      <c r="L397" s="28" t="str" cm="1">
        <f t="array" ref="L397">IF($O397="","",_xlfn.TEXTJOIN(", ",TRUE,IF(EXACT('Дані_зв''язок'!$J$4:$J$1012,$O397),'Дані_зв''язок'!$M$4:$M$1012,"")))</f>
        <v>АТ 4021</v>
      </c>
      <c r="M397" s="27" t="str" cm="1">
        <f t="array" ref="M397">IF($O397="","",IF(SUMPRODUCT(MAX(EXACT('Дані_зв''язок'!$J$4:$J$1012,$O397)*IFERROR('Дані_зв''язок'!$H$4:$H$1012,0)))=0,"",SUMPRODUCT(MAX(EXACT('Дані_зв''язок'!$J$4:$J$1012,$O397)*IFERROR('Дані_зв''язок'!$H$4:$H$1012,0)))))</f>
        <v/>
      </c>
      <c r="O397" s="30" t="s">
        <v>1516</v>
      </c>
      <c r="P397" s="24" cm="1">
        <f t="array" ref="P397">IF($O397="","",IF($B397="","",IFERROR(IF(MIN(IFERROR(VALUE(TRIM(MID(SUBSTITUTE(SUBSTITUTE($B397,","," ")," ",REPT(" ",30)),{1;31;61;91;121;151;181},30))),""))=0,"",MIN(IFERROR(VALUE(TRIM(MID(SUBSTITUTE(SUBSTITUTE($B397,","," ")," ",REPT(" ",30)),{1;31;61;91;121;151;181},30))),""))),"")))</f>
        <v>12</v>
      </c>
      <c r="Q397" s="23" t="str">
        <f t="shared" si="20"/>
        <v>Прилуки, Чернігівська обл., вул. Фабрична, 12</v>
      </c>
      <c r="R397" s="35">
        <f>IF($O397="","",IFERROR(INDEX('Координати майданчиків'!$H$4:$H$64,MATCH($T397,'Координати майданчиків'!$B$4:$B$64,0)),IFERROR(IF(ABS(INDEX(Геокодування!$C$2:$C$361,MATCH($Q397,Геокодування!$B$2:$B$361,0))-50.5884)+ABS(INDEX(Геокодування!$D$2:$D$361,MATCH($Q397,Геокодування!$B$2:$B$361,0))-32.3876)&gt;0.15,"",INDEX(Геокодування!$C$2:$C$361,MATCH($Q397,Геокодування!$B$2:$B$361,0))),IFERROR(IF(ABS(INDEX(Геокодування!$C$2:$C$361,MATCH("Прилуки, Чернігівська обл., "&amp;$A397,Геокодування!$B$2:$B$361,0))-50.5884)+ABS(INDEX(Геокодування!$D$2:$D$361,MATCH("Прилуки, Чернігівська обл., "&amp;$A397,Геокодування!$B$2:$B$361,0))-32.3876)&gt;0.15,"",INDEX(Геокодування!$C$2:$C$361,MATCH("Прилуки, Чернігівська обл., "&amp;$A397,Геокодування!$B$2:$B$361,0))),""))))</f>
        <v>50.619517000000002</v>
      </c>
      <c r="S397" s="43">
        <f>IF($O397="","",IFERROR(INDEX('Координати майданчиків'!$I$4:$I$64,MATCH($T397,'Координати майданчиків'!$B$4:$B$64,0)),IFERROR(IF(ABS(INDEX(Геокодування!$C$2:$C$361,MATCH($Q397,Геокодування!$B$2:$B$361,0))-50.5884)+ABS(INDEX(Геокодування!$D$2:$D$361,MATCH($Q397,Геокодування!$B$2:$B$361,0))-32.3876)&gt;0.15,"",INDEX(Геокодування!$D$2:$D$361,MATCH($Q397,Геокодування!$B$2:$B$361,0))),IFERROR(IF(ABS(INDEX(Геокодування!$C$2:$C$361,MATCH("Прилуки, Чернігівська обл., "&amp;$A397,Геокодування!$B$2:$B$361,0))-50.5884)+ABS(INDEX(Геокодування!$D$2:$D$361,MATCH("Прилуки, Чернігівська обл., "&amp;$A397,Геокодування!$B$2:$B$361,0))-32.3876)&gt;0.15,"",INDEX(Геокодування!$D$2:$D$361,MATCH("Прилуки, Чернігівська обл., "&amp;$A397,Геокодування!$B$2:$B$361,0))),""))))</f>
        <v>32.371887999999998</v>
      </c>
      <c r="T397" s="44" t="str">
        <f>IF($O397="","",IFERROR(INDEX('Координати майданчиків'!$B$4:$B$64,MATCH($A397&amp;IF($P397="","",", "&amp;$P397),'Координати майданчиків'!$B$4:$B$64,0)),IFERROR(INDEX('Координати майданчиків'!$B$4:$B$64,MATCH($A397,'Координати майданчиків'!$B$4:$B$64,0)),"")))</f>
        <v/>
      </c>
    </row>
    <row r="398" spans="1:20" x14ac:dyDescent="0.35">
      <c r="A398" s="26" t="str">
        <f t="shared" si="18"/>
        <v>вул. Фабрична</v>
      </c>
      <c r="B398" s="26" t="str">
        <f t="shared" si="19"/>
        <v>62,94  101,120</v>
      </c>
      <c r="C398" s="27" t="str" cm="1">
        <f t="array" ref="C398">IF($O398="","",_xlfn.TEXTJOIN(", ",TRUE,IF(EXACT('Дані_зв''язок'!$J$4:$J$1012,$O398)*('Дані_зв''язок'!$C$4:$C$1012=C$4),'Дані_зв''язок'!$D$4:$D$1012,"")))</f>
        <v/>
      </c>
      <c r="D398" s="27" t="str" cm="1">
        <f t="array" ref="D398">IF($O398="","",_xlfn.TEXTJOIN(", ",TRUE,IF(EXACT('Дані_зв''язок'!$J$4:$J$1012,$O398)*('Дані_зв''язок'!$C$4:$C$1012=D$4),'Дані_зв''язок'!$D$4:$D$1012,"")))</f>
        <v/>
      </c>
      <c r="E398" s="27" t="str" cm="1">
        <f t="array" ref="E398">IF($O398="","",_xlfn.TEXTJOIN(", ",TRUE,IF(EXACT('Дані_зв''язок'!$J$4:$J$1012,$O398)*('Дані_зв''язок'!$C$4:$C$1012=E$4),'Дані_зв''язок'!$D$4:$D$1012,"")))</f>
        <v>7:45</v>
      </c>
      <c r="F398" s="27" t="str" cm="1">
        <f t="array" ref="F398">IF($O398="","",_xlfn.TEXTJOIN(", ",TRUE,IF(EXACT('Дані_зв''язок'!$J$4:$J$1012,$O398)*('Дані_зв''язок'!$C$4:$C$1012=F$4),'Дані_зв''язок'!$D$4:$D$1012,"")))</f>
        <v/>
      </c>
      <c r="G398" s="27" t="str" cm="1">
        <f t="array" ref="G398">IF($O398="","",_xlfn.TEXTJOIN(", ",TRUE,IF(EXACT('Дані_зв''язок'!$J$4:$J$1012,$O398)*('Дані_зв''язок'!$C$4:$C$1012=G$4),'Дані_зв''язок'!$D$4:$D$1012,"")))</f>
        <v/>
      </c>
      <c r="H398" s="27" t="str" cm="1">
        <f t="array" ref="H398">IF($O398="","",_xlfn.TEXTJOIN(", ",TRUE,IF(EXACT('Дані_зв''язок'!$J$4:$J$1012,$O398)*('Дані_зв''язок'!$C$4:$C$1012=H$4),'Дані_зв''язок'!$D$4:$D$1012,"")))</f>
        <v/>
      </c>
      <c r="I398" s="27" t="str" cm="1">
        <f t="array" ref="I398">IF($O398="","",_xlfn.TEXTJOIN(", ",TRUE,IF(EXACT('Дані_зв''язок'!$J$4:$J$1012,$O398)*('Дані_зв''язок'!$C$4:$C$1012=I$4),'Дані_зв''язок'!$D$4:$D$1012,"")))</f>
        <v/>
      </c>
      <c r="J398" s="27" cm="1">
        <f t="array" ref="J398">IF($O398="","",COUNTIF(C398:I398,"?*")+SUMPRODUCT(LEN(C398:I398)-LEN(SUBSTITUTE(C398:I398,",",""))))</f>
        <v>1</v>
      </c>
      <c r="K398" s="28" t="str" cm="1">
        <f t="array" ref="K398">IF($O398="","",_xlfn.TEXTJOIN(", ",TRUE,IF(EXACT('Дані_зв''язок'!$J$4:$J$1012,$O398),'Дані_зв''язок'!$L$4:$L$1012,"")))</f>
        <v>№6</v>
      </c>
      <c r="L398" s="28" t="str" cm="1">
        <f t="array" ref="L398">IF($O398="","",_xlfn.TEXTJOIN(", ",TRUE,IF(EXACT('Дані_зв''язок'!$J$4:$J$1012,$O398),'Дані_зв''язок'!$M$4:$M$1012,"")))</f>
        <v>АТ 4021</v>
      </c>
      <c r="M398" s="27" t="str" cm="1">
        <f t="array" ref="M398">IF($O398="","",IF(SUMPRODUCT(MAX(EXACT('Дані_зв''язок'!$J$4:$J$1012,$O398)*IFERROR('Дані_зв''язок'!$H$4:$H$1012,0)))=0,"",SUMPRODUCT(MAX(EXACT('Дані_зв''язок'!$J$4:$J$1012,$O398)*IFERROR('Дані_зв''язок'!$H$4:$H$1012,0)))))</f>
        <v/>
      </c>
      <c r="O398" s="30" t="s">
        <v>1517</v>
      </c>
      <c r="P398" s="24" cm="1">
        <f t="array" ref="P398">IF($O398="","",IF($B398="","",IFERROR(IF(MIN(IFERROR(VALUE(TRIM(MID(SUBSTITUTE(SUBSTITUTE($B398,","," ")," ",REPT(" ",30)),{1;31;61;91;121;151;181},30))),""))=0,"",MIN(IFERROR(VALUE(TRIM(MID(SUBSTITUTE(SUBSTITUTE($B398,","," ")," ",REPT(" ",30)),{1;31;61;91;121;151;181},30))),""))),"")))</f>
        <v>62</v>
      </c>
      <c r="Q398" s="23" t="str">
        <f t="shared" si="20"/>
        <v>Прилуки, Чернігівська обл., вул. Фабрична, 62</v>
      </c>
      <c r="R398" s="35">
        <f>IF($O398="","",IFERROR(INDEX('Координати майданчиків'!$H$4:$H$64,MATCH($T398,'Координати майданчиків'!$B$4:$B$64,0)),IFERROR(IF(ABS(INDEX(Геокодування!$C$2:$C$361,MATCH($Q398,Геокодування!$B$2:$B$361,0))-50.5884)+ABS(INDEX(Геокодування!$D$2:$D$361,MATCH($Q398,Геокодування!$B$2:$B$361,0))-32.3876)&gt;0.15,"",INDEX(Геокодування!$C$2:$C$361,MATCH($Q398,Геокодування!$B$2:$B$361,0))),IFERROR(IF(ABS(INDEX(Геокодування!$C$2:$C$361,MATCH("Прилуки, Чернігівська обл., "&amp;$A398,Геокодування!$B$2:$B$361,0))-50.5884)+ABS(INDEX(Геокодування!$D$2:$D$361,MATCH("Прилуки, Чернігівська обл., "&amp;$A398,Геокодування!$B$2:$B$361,0))-32.3876)&gt;0.15,"",INDEX(Геокодування!$C$2:$C$361,MATCH("Прилуки, Чернігівська обл., "&amp;$A398,Геокодування!$B$2:$B$361,0))),""))))</f>
        <v>50.619517000000002</v>
      </c>
      <c r="S398" s="43">
        <f>IF($O398="","",IFERROR(INDEX('Координати майданчиків'!$I$4:$I$64,MATCH($T398,'Координати майданчиків'!$B$4:$B$64,0)),IFERROR(IF(ABS(INDEX(Геокодування!$C$2:$C$361,MATCH($Q398,Геокодування!$B$2:$B$361,0))-50.5884)+ABS(INDEX(Геокодування!$D$2:$D$361,MATCH($Q398,Геокодування!$B$2:$B$361,0))-32.3876)&gt;0.15,"",INDEX(Геокодування!$D$2:$D$361,MATCH($Q398,Геокодування!$B$2:$B$361,0))),IFERROR(IF(ABS(INDEX(Геокодування!$C$2:$C$361,MATCH("Прилуки, Чернігівська обл., "&amp;$A398,Геокодування!$B$2:$B$361,0))-50.5884)+ABS(INDEX(Геокодування!$D$2:$D$361,MATCH("Прилуки, Чернігівська обл., "&amp;$A398,Геокодування!$B$2:$B$361,0))-32.3876)&gt;0.15,"",INDEX(Геокодування!$D$2:$D$361,MATCH("Прилуки, Чернігівська обл., "&amp;$A398,Геокодування!$B$2:$B$361,0))),""))))</f>
        <v>32.371887999999998</v>
      </c>
      <c r="T398" s="44" t="str">
        <f>IF($O398="","",IFERROR(INDEX('Координати майданчиків'!$B$4:$B$64,MATCH($A398&amp;IF($P398="","",", "&amp;$P398),'Координати майданчиків'!$B$4:$B$64,0)),IFERROR(INDEX('Координати майданчиків'!$B$4:$B$64,MATCH($A398,'Координати майданчиків'!$B$4:$B$64,0)),"")))</f>
        <v/>
      </c>
    </row>
    <row r="399" spans="1:20" x14ac:dyDescent="0.35">
      <c r="A399" s="26" t="str">
        <f t="shared" si="18"/>
        <v>вул. Фабрична</v>
      </c>
      <c r="B399" s="26" t="str">
        <f t="shared" si="19"/>
        <v>69,79  59,86</v>
      </c>
      <c r="C399" s="27" t="str" cm="1">
        <f t="array" ref="C399">IF($O399="","",_xlfn.TEXTJOIN(", ",TRUE,IF(EXACT('Дані_зв''язок'!$J$4:$J$1012,$O399)*('Дані_зв''язок'!$C$4:$C$1012=C$4),'Дані_зв''язок'!$D$4:$D$1012,"")))</f>
        <v>8:30</v>
      </c>
      <c r="D399" s="27" t="str" cm="1">
        <f t="array" ref="D399">IF($O399="","",_xlfn.TEXTJOIN(", ",TRUE,IF(EXACT('Дані_зв''язок'!$J$4:$J$1012,$O399)*('Дані_зв''язок'!$C$4:$C$1012=D$4),'Дані_зв''язок'!$D$4:$D$1012,"")))</f>
        <v/>
      </c>
      <c r="E399" s="27" t="str" cm="1">
        <f t="array" ref="E399">IF($O399="","",_xlfn.TEXTJOIN(", ",TRUE,IF(EXACT('Дані_зв''язок'!$J$4:$J$1012,$O399)*('Дані_зв''язок'!$C$4:$C$1012=E$4),'Дані_зв''язок'!$D$4:$D$1012,"")))</f>
        <v/>
      </c>
      <c r="F399" s="27" t="str" cm="1">
        <f t="array" ref="F399">IF($O399="","",_xlfn.TEXTJOIN(", ",TRUE,IF(EXACT('Дані_зв''язок'!$J$4:$J$1012,$O399)*('Дані_зв''язок'!$C$4:$C$1012=F$4),'Дані_зв''язок'!$D$4:$D$1012,"")))</f>
        <v/>
      </c>
      <c r="G399" s="27" t="str" cm="1">
        <f t="array" ref="G399">IF($O399="","",_xlfn.TEXTJOIN(", ",TRUE,IF(EXACT('Дані_зв''язок'!$J$4:$J$1012,$O399)*('Дані_зв''язок'!$C$4:$C$1012=G$4),'Дані_зв''язок'!$D$4:$D$1012,"")))</f>
        <v/>
      </c>
      <c r="H399" s="27" t="str" cm="1">
        <f t="array" ref="H399">IF($O399="","",_xlfn.TEXTJOIN(", ",TRUE,IF(EXACT('Дані_зв''язок'!$J$4:$J$1012,$O399)*('Дані_зв''язок'!$C$4:$C$1012=H$4),'Дані_зв''язок'!$D$4:$D$1012,"")))</f>
        <v/>
      </c>
      <c r="I399" s="27" t="str" cm="1">
        <f t="array" ref="I399">IF($O399="","",_xlfn.TEXTJOIN(", ",TRUE,IF(EXACT('Дані_зв''язок'!$J$4:$J$1012,$O399)*('Дані_зв''язок'!$C$4:$C$1012=I$4),'Дані_зв''язок'!$D$4:$D$1012,"")))</f>
        <v/>
      </c>
      <c r="J399" s="27" cm="1">
        <f t="array" ref="J399">IF($O399="","",COUNTIF(C399:I399,"?*")+SUMPRODUCT(LEN(C399:I399)-LEN(SUBSTITUTE(C399:I399,",",""))))</f>
        <v>1</v>
      </c>
      <c r="K399" s="28" t="str" cm="1">
        <f t="array" ref="K399">IF($O399="","",_xlfn.TEXTJOIN(", ",TRUE,IF(EXACT('Дані_зв''язок'!$J$4:$J$1012,$O399),'Дані_зв''язок'!$L$4:$L$1012,"")))</f>
        <v>№6</v>
      </c>
      <c r="L399" s="28" t="str" cm="1">
        <f t="array" ref="L399">IF($O399="","",_xlfn.TEXTJOIN(", ",TRUE,IF(EXACT('Дані_зв''язок'!$J$4:$J$1012,$O399),'Дані_зв''язок'!$M$4:$M$1012,"")))</f>
        <v>АТ 4021</v>
      </c>
      <c r="M399" s="27" t="str" cm="1">
        <f t="array" ref="M399">IF($O399="","",IF(SUMPRODUCT(MAX(EXACT('Дані_зв''язок'!$J$4:$J$1012,$O399)*IFERROR('Дані_зв''язок'!$H$4:$H$1012,0)))=0,"",SUMPRODUCT(MAX(EXACT('Дані_зв''язок'!$J$4:$J$1012,$O399)*IFERROR('Дані_зв''язок'!$H$4:$H$1012,0)))))</f>
        <v/>
      </c>
      <c r="O399" s="30" t="s">
        <v>1518</v>
      </c>
      <c r="P399" s="24" cm="1">
        <f t="array" ref="P399">IF($O399="","",IF($B399="","",IFERROR(IF(MIN(IFERROR(VALUE(TRIM(MID(SUBSTITUTE(SUBSTITUTE($B399,","," ")," ",REPT(" ",30)),{1;31;61;91;121;151;181},30))),""))=0,"",MIN(IFERROR(VALUE(TRIM(MID(SUBSTITUTE(SUBSTITUTE($B399,","," ")," ",REPT(" ",30)),{1;31;61;91;121;151;181},30))),""))),"")))</f>
        <v>59</v>
      </c>
      <c r="Q399" s="23" t="str">
        <f t="shared" si="20"/>
        <v>Прилуки, Чернігівська обл., вул. Фабрична, 59</v>
      </c>
      <c r="R399" s="35">
        <f>IF($O399="","",IFERROR(INDEX('Координати майданчиків'!$H$4:$H$64,MATCH($T399,'Координати майданчиків'!$B$4:$B$64,0)),IFERROR(IF(ABS(INDEX(Геокодування!$C$2:$C$361,MATCH($Q399,Геокодування!$B$2:$B$361,0))-50.5884)+ABS(INDEX(Геокодування!$D$2:$D$361,MATCH($Q399,Геокодування!$B$2:$B$361,0))-32.3876)&gt;0.15,"",INDEX(Геокодування!$C$2:$C$361,MATCH($Q399,Геокодування!$B$2:$B$361,0))),IFERROR(IF(ABS(INDEX(Геокодування!$C$2:$C$361,MATCH("Прилуки, Чернігівська обл., "&amp;$A399,Геокодування!$B$2:$B$361,0))-50.5884)+ABS(INDEX(Геокодування!$D$2:$D$361,MATCH("Прилуки, Чернігівська обл., "&amp;$A399,Геокодування!$B$2:$B$361,0))-32.3876)&gt;0.15,"",INDEX(Геокодування!$C$2:$C$361,MATCH("Прилуки, Чернігівська обл., "&amp;$A399,Геокодування!$B$2:$B$361,0))),""))))</f>
        <v>50.619517000000002</v>
      </c>
      <c r="S399" s="43">
        <f>IF($O399="","",IFERROR(INDEX('Координати майданчиків'!$I$4:$I$64,MATCH($T399,'Координати майданчиків'!$B$4:$B$64,0)),IFERROR(IF(ABS(INDEX(Геокодування!$C$2:$C$361,MATCH($Q399,Геокодування!$B$2:$B$361,0))-50.5884)+ABS(INDEX(Геокодування!$D$2:$D$361,MATCH($Q399,Геокодування!$B$2:$B$361,0))-32.3876)&gt;0.15,"",INDEX(Геокодування!$D$2:$D$361,MATCH($Q399,Геокодування!$B$2:$B$361,0))),IFERROR(IF(ABS(INDEX(Геокодування!$C$2:$C$361,MATCH("Прилуки, Чернігівська обл., "&amp;$A399,Геокодування!$B$2:$B$361,0))-50.5884)+ABS(INDEX(Геокодування!$D$2:$D$361,MATCH("Прилуки, Чернігівська обл., "&amp;$A399,Геокодування!$B$2:$B$361,0))-32.3876)&gt;0.15,"",INDEX(Геокодування!$D$2:$D$361,MATCH("Прилуки, Чернігівська обл., "&amp;$A399,Геокодування!$B$2:$B$361,0))),""))))</f>
        <v>32.371887999999998</v>
      </c>
      <c r="T399" s="44" t="str">
        <f>IF($O399="","",IFERROR(INDEX('Координати майданчиків'!$B$4:$B$64,MATCH($A399&amp;IF($P399="","",", "&amp;$P399),'Координати майданчиків'!$B$4:$B$64,0)),IFERROR(INDEX('Координати майданчиків'!$B$4:$B$64,MATCH($A399,'Координати майданчиків'!$B$4:$B$64,0)),"")))</f>
        <v/>
      </c>
    </row>
    <row r="400" spans="1:20" x14ac:dyDescent="0.35">
      <c r="A400" s="26" t="str">
        <f t="shared" si="18"/>
        <v>вул. Фабрична</v>
      </c>
      <c r="B400" s="26" t="str">
        <f t="shared" si="19"/>
        <v>м-н "Оазис"</v>
      </c>
      <c r="C400" s="27" t="str" cm="1">
        <f t="array" ref="C400">IF($O400="","",_xlfn.TEXTJOIN(", ",TRUE,IF(EXACT('Дані_зв''язок'!$J$4:$J$1012,$O400)*('Дані_зв''язок'!$C$4:$C$1012=C$4),'Дані_зв''язок'!$D$4:$D$1012,"")))</f>
        <v/>
      </c>
      <c r="D400" s="27" t="str" cm="1">
        <f t="array" ref="D400">IF($O400="","",_xlfn.TEXTJOIN(", ",TRUE,IF(EXACT('Дані_зв''язок'!$J$4:$J$1012,$O400)*('Дані_зв''язок'!$C$4:$C$1012=D$4),'Дані_зв''язок'!$D$4:$D$1012,"")))</f>
        <v/>
      </c>
      <c r="E400" s="27" t="str" cm="1">
        <f t="array" ref="E400">IF($O400="","",_xlfn.TEXTJOIN(", ",TRUE,IF(EXACT('Дані_зв''язок'!$J$4:$J$1012,$O400)*('Дані_зв''язок'!$C$4:$C$1012=E$4),'Дані_зв''язок'!$D$4:$D$1012,"")))</f>
        <v/>
      </c>
      <c r="F400" s="27" t="str" cm="1">
        <f t="array" ref="F400">IF($O400="","",_xlfn.TEXTJOIN(", ",TRUE,IF(EXACT('Дані_зв''язок'!$J$4:$J$1012,$O400)*('Дані_зв''язок'!$C$4:$C$1012=F$4),'Дані_зв''язок'!$D$4:$D$1012,"")))</f>
        <v>8:45</v>
      </c>
      <c r="G400" s="27" t="str" cm="1">
        <f t="array" ref="G400">IF($O400="","",_xlfn.TEXTJOIN(", ",TRUE,IF(EXACT('Дані_зв''язок'!$J$4:$J$1012,$O400)*('Дані_зв''язок'!$C$4:$C$1012=G$4),'Дані_зв''язок'!$D$4:$D$1012,"")))</f>
        <v>8:20</v>
      </c>
      <c r="H400" s="27" t="str" cm="1">
        <f t="array" ref="H400">IF($O400="","",_xlfn.TEXTJOIN(", ",TRUE,IF(EXACT('Дані_зв''язок'!$J$4:$J$1012,$O400)*('Дані_зв''язок'!$C$4:$C$1012=H$4),'Дані_зв''язок'!$D$4:$D$1012,"")))</f>
        <v/>
      </c>
      <c r="I400" s="27" t="str" cm="1">
        <f t="array" ref="I400">IF($O400="","",_xlfn.TEXTJOIN(", ",TRUE,IF(EXACT('Дані_зв''язок'!$J$4:$J$1012,$O400)*('Дані_зв''язок'!$C$4:$C$1012=I$4),'Дані_зв''язок'!$D$4:$D$1012,"")))</f>
        <v/>
      </c>
      <c r="J400" s="27" cm="1">
        <f t="array" ref="J400">IF($O400="","",COUNTIF(C400:I400,"?*")+SUMPRODUCT(LEN(C400:I400)-LEN(SUBSTITUTE(C400:I400,",",""))))</f>
        <v>2</v>
      </c>
      <c r="K400" s="28" t="str" cm="1">
        <f t="array" ref="K400">IF($O400="","",_xlfn.TEXTJOIN(", ",TRUE,IF(EXACT('Дані_зв''язок'!$J$4:$J$1012,$O400),'Дані_зв''язок'!$L$4:$L$1012,"")))</f>
        <v>№6</v>
      </c>
      <c r="L400" s="28" t="str" cm="1">
        <f t="array" ref="L400">IF($O400="","",_xlfn.TEXTJOIN(", ",TRUE,IF(EXACT('Дані_зв''язок'!$J$4:$J$1012,$O400),'Дані_зв''язок'!$M$4:$M$1012,"")))</f>
        <v>АТ 4021</v>
      </c>
      <c r="M400" s="27" t="str" cm="1">
        <f t="array" ref="M400">IF($O400="","",IF(SUMPRODUCT(MAX(EXACT('Дані_зв''язок'!$J$4:$J$1012,$O400)*IFERROR('Дані_зв''язок'!$H$4:$H$1012,0)))=0,"",SUMPRODUCT(MAX(EXACT('Дані_зв''язок'!$J$4:$J$1012,$O400)*IFERROR('Дані_зв''язок'!$H$4:$H$1012,0)))))</f>
        <v/>
      </c>
      <c r="O400" s="30" t="s">
        <v>1519</v>
      </c>
      <c r="P400" s="24" t="str" cm="1">
        <f t="array" ref="P400">IF($O400="","",IF($B400="","",IFERROR(IF(MIN(IFERROR(VALUE(TRIM(MID(SUBSTITUTE(SUBSTITUTE($B400,","," ")," ",REPT(" ",30)),{1;31;61;91;121;151;181},30))),""))=0,"",MIN(IFERROR(VALUE(TRIM(MID(SUBSTITUTE(SUBSTITUTE($B400,","," ")," ",REPT(" ",30)),{1;31;61;91;121;151;181},30))),""))),"")))</f>
        <v/>
      </c>
      <c r="Q400" s="23" t="str">
        <f t="shared" si="20"/>
        <v>Прилуки, Чернігівська обл., вул. Фабрична</v>
      </c>
      <c r="R400" s="69">
        <f>IF($O400="","",IFERROR(INDEX('Координати майданчиків'!$H$4:$H$64,MATCH($T400,'Координати майданчиків'!$B$4:$B$64,0)),IFERROR(IF(ABS(INDEX(Геокодування!$C$2:$C$361,MATCH($Q400,Геокодування!$B$2:$B$361,0))-50.5884)+ABS(INDEX(Геокодування!$D$2:$D$361,MATCH($Q400,Геокодування!$B$2:$B$361,0))-32.3876)&gt;0.15,"",INDEX(Геокодування!$C$2:$C$361,MATCH($Q400,Геокодування!$B$2:$B$361,0))),IFERROR(IF(ABS(INDEX(Геокодування!$C$2:$C$361,MATCH("Прилуки, Чернігівська обл., "&amp;$A400,Геокодування!$B$2:$B$361,0))-50.5884)+ABS(INDEX(Геокодування!$D$2:$D$361,MATCH("Прилуки, Чернігівська обл., "&amp;$A400,Геокодування!$B$2:$B$361,0))-32.3876)&gt;0.15,"",INDEX(Геокодування!$C$2:$C$361,MATCH("Прилуки, Чернігівська обл., "&amp;$A400,Геокодування!$B$2:$B$361,0))),""))))</f>
        <v>50.607281</v>
      </c>
      <c r="S400" s="69">
        <f>IF($O400="","",IFERROR(INDEX('Координати майданчиків'!$I$4:$I$64,MATCH($T400,'Координати майданчиків'!$B$4:$B$64,0)),IFERROR(IF(ABS(INDEX(Геокодування!$C$2:$C$361,MATCH($Q400,Геокодування!$B$2:$B$361,0))-50.5884)+ABS(INDEX(Геокодування!$D$2:$D$361,MATCH($Q400,Геокодування!$B$2:$B$361,0))-32.3876)&gt;0.15,"",INDEX(Геокодування!$D$2:$D$361,MATCH($Q400,Геокодування!$B$2:$B$361,0))),IFERROR(IF(ABS(INDEX(Геокодування!$C$2:$C$361,MATCH("Прилуки, Чернігівська обл., "&amp;$A400,Геокодування!$B$2:$B$361,0))-50.5884)+ABS(INDEX(Геокодування!$D$2:$D$361,MATCH("Прилуки, Чернігівська обл., "&amp;$A400,Геокодування!$B$2:$B$361,0))-32.3876)&gt;0.15,"",INDEX(Геокодування!$D$2:$D$361,MATCH("Прилуки, Чернігівська обл., "&amp;$A400,Геокодування!$B$2:$B$361,0))),""))))</f>
        <v>32.382615000000001</v>
      </c>
      <c r="T400" s="44" t="str">
        <f>IF($O400="","",IFERROR(INDEX('Координати майданчиків'!$B$4:$B$64,MATCH($A400&amp;IF($P400="","",", "&amp;$P400),'Координати майданчиків'!$B$4:$B$64,0)),IFERROR(INDEX('Координати майданчиків'!$B$4:$B$64,MATCH($A400,'Координати майданчиків'!$B$4:$B$64,0)),"")))</f>
        <v/>
      </c>
    </row>
    <row r="401" spans="1:20" x14ac:dyDescent="0.35">
      <c r="A401" s="26" t="str">
        <f t="shared" si="18"/>
        <v>вул. Червона Рута</v>
      </c>
      <c r="B401" s="26" t="str">
        <f t="shared" si="19"/>
        <v/>
      </c>
      <c r="C401" s="27" t="str" cm="1">
        <f t="array" ref="C401">IF($O401="","",_xlfn.TEXTJOIN(", ",TRUE,IF(EXACT('Дані_зв''язок'!$J$4:$J$1012,$O401)*('Дані_зв''язок'!$C$4:$C$1012=C$4),'Дані_зв''язок'!$D$4:$D$1012,"")))</f>
        <v/>
      </c>
      <c r="D401" s="27" t="str" cm="1">
        <f t="array" ref="D401">IF($O401="","",_xlfn.TEXTJOIN(", ",TRUE,IF(EXACT('Дані_зв''язок'!$J$4:$J$1012,$O401)*('Дані_зв''язок'!$C$4:$C$1012=D$4),'Дані_зв''язок'!$D$4:$D$1012,"")))</f>
        <v/>
      </c>
      <c r="E401" s="27" t="str" cm="1">
        <f t="array" ref="E401">IF($O401="","",_xlfn.TEXTJOIN(", ",TRUE,IF(EXACT('Дані_зв''язок'!$J$4:$J$1012,$O401)*('Дані_зв''язок'!$C$4:$C$1012=E$4),'Дані_зв''язок'!$D$4:$D$1012,"")))</f>
        <v>15:00</v>
      </c>
      <c r="F401" s="27" t="str" cm="1">
        <f t="array" ref="F401">IF($O401="","",_xlfn.TEXTJOIN(", ",TRUE,IF(EXACT('Дані_зв''язок'!$J$4:$J$1012,$O401)*('Дані_зв''язок'!$C$4:$C$1012=F$4),'Дані_зв''язок'!$D$4:$D$1012,"")))</f>
        <v/>
      </c>
      <c r="G401" s="27" t="str" cm="1">
        <f t="array" ref="G401">IF($O401="","",_xlfn.TEXTJOIN(", ",TRUE,IF(EXACT('Дані_зв''язок'!$J$4:$J$1012,$O401)*('Дані_зв''язок'!$C$4:$C$1012=G$4),'Дані_зв''язок'!$D$4:$D$1012,"")))</f>
        <v/>
      </c>
      <c r="H401" s="27" t="str" cm="1">
        <f t="array" ref="H401">IF($O401="","",_xlfn.TEXTJOIN(", ",TRUE,IF(EXACT('Дані_зв''язок'!$J$4:$J$1012,$O401)*('Дані_зв''язок'!$C$4:$C$1012=H$4),'Дані_зв''язок'!$D$4:$D$1012,"")))</f>
        <v/>
      </c>
      <c r="I401" s="27" t="str" cm="1">
        <f t="array" ref="I401">IF($O401="","",_xlfn.TEXTJOIN(", ",TRUE,IF(EXACT('Дані_зв''язок'!$J$4:$J$1012,$O401)*('Дані_зв''язок'!$C$4:$C$1012=I$4),'Дані_зв''язок'!$D$4:$D$1012,"")))</f>
        <v/>
      </c>
      <c r="J401" s="27" cm="1">
        <f t="array" ref="J401">IF($O401="","",COUNTIF(C401:I401,"?*")+SUMPRODUCT(LEN(C401:I401)-LEN(SUBSTITUTE(C401:I401,",",""))))</f>
        <v>1</v>
      </c>
      <c r="K401" s="28" t="str" cm="1">
        <f t="array" ref="K401">IF($O401="","",_xlfn.TEXTJOIN(", ",TRUE,IF(EXACT('Дані_зв''язок'!$J$4:$J$1012,$O401),'Дані_зв''язок'!$L$4:$L$1012,"")))</f>
        <v>№5</v>
      </c>
      <c r="L401" s="28" t="str" cm="1">
        <f t="array" ref="L401">IF($O401="","",_xlfn.TEXTJOIN(", ",TRUE,IF(EXACT('Дані_зв''язок'!$J$4:$J$1012,$O401),'Дані_зв''язок'!$M$4:$M$1012,"")))</f>
        <v>МАЗ 4381</v>
      </c>
      <c r="M401" s="27" t="str" cm="1">
        <f t="array" ref="M401">IF($O401="","",IF(SUMPRODUCT(MAX(EXACT('Дані_зв''язок'!$J$4:$J$1012,$O401)*IFERROR('Дані_зв''язок'!$H$4:$H$1012,0)))=0,"",SUMPRODUCT(MAX(EXACT('Дані_зв''язок'!$J$4:$J$1012,$O401)*IFERROR('Дані_зв''язок'!$H$4:$H$1012,0)))))</f>
        <v/>
      </c>
      <c r="O401" s="30" t="s">
        <v>1520</v>
      </c>
      <c r="P401" s="24" t="str" cm="1">
        <f t="array" ref="P401">IF($O401="","",IF($B401="","",IFERROR(IF(MIN(IFERROR(VALUE(TRIM(MID(SUBSTITUTE(SUBSTITUTE($B401,","," ")," ",REPT(" ",30)),{1;31;61;91;121;151;181},30))),""))=0,"",MIN(IFERROR(VALUE(TRIM(MID(SUBSTITUTE(SUBSTITUTE($B401,","," ")," ",REPT(" ",30)),{1;31;61;91;121;151;181},30))),""))),"")))</f>
        <v/>
      </c>
      <c r="Q401" s="23" t="str">
        <f t="shared" si="20"/>
        <v>Прилуки, Чернігівська обл., вул. Червона Рута</v>
      </c>
      <c r="R401" s="35">
        <f>IF($O401="","",IFERROR(INDEX('Координати майданчиків'!$H$4:$H$64,MATCH($T401,'Координати майданчиків'!$B$4:$B$64,0)),IFERROR(IF(ABS(INDEX(Геокодування!$C$2:$C$361,MATCH($Q401,Геокодування!$B$2:$B$361,0))-50.5884)+ABS(INDEX(Геокодування!$D$2:$D$361,MATCH($Q401,Геокодування!$B$2:$B$361,0))-32.3876)&gt;0.15,"",INDEX(Геокодування!$C$2:$C$361,MATCH($Q401,Геокодування!$B$2:$B$361,0))),IFERROR(IF(ABS(INDEX(Геокодування!$C$2:$C$361,MATCH("Прилуки, Чернігівська обл., "&amp;$A401,Геокодування!$B$2:$B$361,0))-50.5884)+ABS(INDEX(Геокодування!$D$2:$D$361,MATCH("Прилуки, Чернігівська обл., "&amp;$A401,Геокодування!$B$2:$B$361,0))-32.3876)&gt;0.15,"",INDEX(Геокодування!$C$2:$C$361,MATCH("Прилуки, Чернігівська обл., "&amp;$A401,Геокодування!$B$2:$B$361,0))),""))))</f>
        <v>50.596425000000004</v>
      </c>
      <c r="S401" s="43">
        <f>IF($O401="","",IFERROR(INDEX('Координати майданчиків'!$I$4:$I$64,MATCH($T401,'Координати майданчиків'!$B$4:$B$64,0)),IFERROR(IF(ABS(INDEX(Геокодування!$C$2:$C$361,MATCH($Q401,Геокодування!$B$2:$B$361,0))-50.5884)+ABS(INDEX(Геокодування!$D$2:$D$361,MATCH($Q401,Геокодування!$B$2:$B$361,0))-32.3876)&gt;0.15,"",INDEX(Геокодування!$D$2:$D$361,MATCH($Q401,Геокодування!$B$2:$B$361,0))),IFERROR(IF(ABS(INDEX(Геокодування!$C$2:$C$361,MATCH("Прилуки, Чернігівська обл., "&amp;$A401,Геокодування!$B$2:$B$361,0))-50.5884)+ABS(INDEX(Геокодування!$D$2:$D$361,MATCH("Прилуки, Чернігівська обл., "&amp;$A401,Геокодування!$B$2:$B$361,0))-32.3876)&gt;0.15,"",INDEX(Геокодування!$D$2:$D$361,MATCH("Прилуки, Чернігівська обл., "&amp;$A401,Геокодування!$B$2:$B$361,0))),""))))</f>
        <v>32.413217000000003</v>
      </c>
      <c r="T401" s="44" t="str">
        <f>IF($O401="","",IFERROR(INDEX('Координати майданчиків'!$B$4:$B$64,MATCH($A401&amp;IF($P401="","",", "&amp;$P401),'Координати майданчиків'!$B$4:$B$64,0)),IFERROR(INDEX('Координати майданчиків'!$B$4:$B$64,MATCH($A401,'Координати майданчиків'!$B$4:$B$64,0)),"")))</f>
        <v/>
      </c>
    </row>
    <row r="402" spans="1:20" x14ac:dyDescent="0.35">
      <c r="A402" s="26" t="str">
        <f t="shared" si="18"/>
        <v>вул. Чернігівська</v>
      </c>
      <c r="B402" s="26" t="str">
        <f t="shared" si="19"/>
        <v>стадіон</v>
      </c>
      <c r="C402" s="27" t="str" cm="1">
        <f t="array" ref="C402">IF($O402="","",_xlfn.TEXTJOIN(", ",TRUE,IF(EXACT('Дані_зв''язок'!$J$4:$J$1012,$O402)*('Дані_зв''язок'!$C$4:$C$1012=C$4),'Дані_зв''язок'!$D$4:$D$1012,"")))</f>
        <v>13:10</v>
      </c>
      <c r="D402" s="27" t="str" cm="1">
        <f t="array" ref="D402">IF($O402="","",_xlfn.TEXTJOIN(", ",TRUE,IF(EXACT('Дані_зв''язок'!$J$4:$J$1012,$O402)*('Дані_зв''язок'!$C$4:$C$1012=D$4),'Дані_зв''язок'!$D$4:$D$1012,"")))</f>
        <v>12:50</v>
      </c>
      <c r="E402" s="27" t="str" cm="1">
        <f t="array" ref="E402">IF($O402="","",_xlfn.TEXTJOIN(", ",TRUE,IF(EXACT('Дані_зв''язок'!$J$4:$J$1012,$O402)*('Дані_зв''язок'!$C$4:$C$1012=E$4),'Дані_зв''язок'!$D$4:$D$1012,"")))</f>
        <v>10:35</v>
      </c>
      <c r="F402" s="27" t="str" cm="1">
        <f t="array" ref="F402">IF($O402="","",_xlfn.TEXTJOIN(", ",TRUE,IF(EXACT('Дані_зв''язок'!$J$4:$J$1012,$O402)*('Дані_зв''язок'!$C$4:$C$1012=F$4),'Дані_зв''язок'!$D$4:$D$1012,"")))</f>
        <v>12:50</v>
      </c>
      <c r="G402" s="27" t="str" cm="1">
        <f t="array" ref="G402">IF($O402="","",_xlfn.TEXTJOIN(", ",TRUE,IF(EXACT('Дані_зв''язок'!$J$4:$J$1012,$O402)*('Дані_зв''язок'!$C$4:$C$1012=G$4),'Дані_зв''язок'!$D$4:$D$1012,"")))</f>
        <v>13:10</v>
      </c>
      <c r="H402" s="27" t="str" cm="1">
        <f t="array" ref="H402">IF($O402="","",_xlfn.TEXTJOIN(", ",TRUE,IF(EXACT('Дані_зв''язок'!$J$4:$J$1012,$O402)*('Дані_зв''язок'!$C$4:$C$1012=H$4),'Дані_зв''язок'!$D$4:$D$1012,"")))</f>
        <v>10:35</v>
      </c>
      <c r="I402" s="27" t="str" cm="1">
        <f t="array" ref="I402">IF($O402="","",_xlfn.TEXTJOIN(", ",TRUE,IF(EXACT('Дані_зв''язок'!$J$4:$J$1012,$O402)*('Дані_зв''язок'!$C$4:$C$1012=I$4),'Дані_зв''язок'!$D$4:$D$1012,"")))</f>
        <v>13:35</v>
      </c>
      <c r="J402" s="27" cm="1">
        <f t="array" ref="J402">IF($O402="","",COUNTIF(C402:I402,"?*")+SUMPRODUCT(LEN(C402:I402)-LEN(SUBSTITUTE(C402:I402,",",""))))</f>
        <v>7</v>
      </c>
      <c r="K402" s="28" t="str" cm="1">
        <f t="array" ref="K402">IF($O402="","",_xlfn.TEXTJOIN(", ",TRUE,IF(EXACT('Дані_зв''язок'!$J$4:$J$1012,$O402),'Дані_зв''язок'!$L$4:$L$1012,"")))</f>
        <v>№4</v>
      </c>
      <c r="L402" s="28" t="str" cm="1">
        <f t="array" ref="L402">IF($O402="","",_xlfn.TEXTJOIN(", ",TRUE,IF(EXACT('Дані_зв''язок'!$J$4:$J$1012,$O402),'Дані_зв''язок'!$M$4:$M$1012,"")))</f>
        <v>АТ 40-42/ROD21003, ГАЗ 3309</v>
      </c>
      <c r="M402" s="27" cm="1">
        <f t="array" ref="M402">IF($O402="","",IF(SUMPRODUCT(MAX(EXACT('Дані_зв''язок'!$J$4:$J$1012,$O402)*IFERROR('Дані_зв''язок'!$H$4:$H$1012,0)))=0,"",SUMPRODUCT(MAX(EXACT('Дані_зв''язок'!$J$4:$J$1012,$O402)*IFERROR('Дані_зв''язок'!$H$4:$H$1012,0)))))</f>
        <v>2</v>
      </c>
      <c r="O402" s="30" t="s">
        <v>1521</v>
      </c>
      <c r="P402" s="24" t="str" cm="1">
        <f t="array" ref="P402">IF($O402="","",IF($B402="","",IFERROR(IF(MIN(IFERROR(VALUE(TRIM(MID(SUBSTITUTE(SUBSTITUTE($B402,","," ")," ",REPT(" ",30)),{1;31;61;91;121;151;181},30))),""))=0,"",MIN(IFERROR(VALUE(TRIM(MID(SUBSTITUTE(SUBSTITUTE($B402,","," ")," ",REPT(" ",30)),{1;31;61;91;121;151;181},30))),""))),"")))</f>
        <v/>
      </c>
      <c r="Q402" s="23" t="str">
        <f t="shared" si="20"/>
        <v>Прилуки, Чернігівська обл., вул. Чернігівська</v>
      </c>
      <c r="R402" s="69">
        <f>IF($O402="","",IFERROR(INDEX('Координати майданчиків'!$H$4:$H$64,MATCH($T402,'Координати майданчиків'!$B$4:$B$64,0)),IFERROR(IF(ABS(INDEX(Геокодування!$C$2:$C$361,MATCH($Q402,Геокодування!$B$2:$B$361,0))-50.5884)+ABS(INDEX(Геокодування!$D$2:$D$361,MATCH($Q402,Геокодування!$B$2:$B$361,0))-32.3876)&gt;0.15,"",INDEX(Геокодування!$C$2:$C$361,MATCH($Q402,Геокодування!$B$2:$B$361,0))),IFERROR(IF(ABS(INDEX(Геокодування!$C$2:$C$361,MATCH("Прилуки, Чернігівська обл., "&amp;$A402,Геокодування!$B$2:$B$361,0))-50.5884)+ABS(INDEX(Геокодування!$D$2:$D$361,MATCH("Прилуки, Чернігівська обл., "&amp;$A402,Геокодування!$B$2:$B$361,0))-32.3876)&gt;0.15,"",INDEX(Геокодування!$C$2:$C$361,MATCH("Прилуки, Чернігівська обл., "&amp;$A402,Геокодування!$B$2:$B$361,0))),""))))</f>
        <v>50.581904999999999</v>
      </c>
      <c r="S402" s="69">
        <f>IF($O402="","",IFERROR(INDEX('Координати майданчиків'!$I$4:$I$64,MATCH($T402,'Координати майданчиків'!$B$4:$B$64,0)),IFERROR(IF(ABS(INDEX(Геокодування!$C$2:$C$361,MATCH($Q402,Геокодування!$B$2:$B$361,0))-50.5884)+ABS(INDEX(Геокодування!$D$2:$D$361,MATCH($Q402,Геокодування!$B$2:$B$361,0))-32.3876)&gt;0.15,"",INDEX(Геокодування!$D$2:$D$361,MATCH($Q402,Геокодування!$B$2:$B$361,0))),IFERROR(IF(ABS(INDEX(Геокодування!$C$2:$C$361,MATCH("Прилуки, Чернігівська обл., "&amp;$A402,Геокодування!$B$2:$B$361,0))-50.5884)+ABS(INDEX(Геокодування!$D$2:$D$361,MATCH("Прилуки, Чернігівська обл., "&amp;$A402,Геокодування!$B$2:$B$361,0))-32.3876)&gt;0.15,"",INDEX(Геокодування!$D$2:$D$361,MATCH("Прилуки, Чернігівська обл., "&amp;$A402,Геокодування!$B$2:$B$361,0))),""))))</f>
        <v>32.383752999999999</v>
      </c>
      <c r="T402" s="44" t="str">
        <f>IF($O402="","",IFERROR(INDEX('Координати майданчиків'!$B$4:$B$64,MATCH($A402&amp;IF($P402="","",", "&amp;$P402),'Координати майданчиків'!$B$4:$B$64,0)),IFERROR(INDEX('Координати майданчиків'!$B$4:$B$64,MATCH($A402,'Координати майданчиків'!$B$4:$B$64,0)),"")))</f>
        <v/>
      </c>
    </row>
    <row r="403" spans="1:20" x14ac:dyDescent="0.35">
      <c r="A403" s="26" t="str">
        <f t="shared" si="18"/>
        <v>вул. Чорновола</v>
      </c>
      <c r="B403" s="26" t="str">
        <f t="shared" si="19"/>
        <v>133</v>
      </c>
      <c r="C403" s="27" t="str" cm="1">
        <f t="array" ref="C403">IF($O403="","",_xlfn.TEXTJOIN(", ",TRUE,IF(EXACT('Дані_зв''язок'!$J$4:$J$1012,$O403)*('Дані_зв''язок'!$C$4:$C$1012=C$4),'Дані_зв''язок'!$D$4:$D$1012,"")))</f>
        <v>15:10</v>
      </c>
      <c r="D403" s="27" t="str" cm="1">
        <f t="array" ref="D403">IF($O403="","",_xlfn.TEXTJOIN(", ",TRUE,IF(EXACT('Дані_зв''язок'!$J$4:$J$1012,$O403)*('Дані_зв''язок'!$C$4:$C$1012=D$4),'Дані_зв''язок'!$D$4:$D$1012,"")))</f>
        <v/>
      </c>
      <c r="E403" s="27" t="str" cm="1">
        <f t="array" ref="E403">IF($O403="","",_xlfn.TEXTJOIN(", ",TRUE,IF(EXACT('Дані_зв''язок'!$J$4:$J$1012,$O403)*('Дані_зв''язок'!$C$4:$C$1012=E$4),'Дані_зв''язок'!$D$4:$D$1012,"")))</f>
        <v/>
      </c>
      <c r="F403" s="27" t="str" cm="1">
        <f t="array" ref="F403">IF($O403="","",_xlfn.TEXTJOIN(", ",TRUE,IF(EXACT('Дані_зв''язок'!$J$4:$J$1012,$O403)*('Дані_зв''язок'!$C$4:$C$1012=F$4),'Дані_зв''язок'!$D$4:$D$1012,"")))</f>
        <v/>
      </c>
      <c r="G403" s="27" t="str" cm="1">
        <f t="array" ref="G403">IF($O403="","",_xlfn.TEXTJOIN(", ",TRUE,IF(EXACT('Дані_зв''язок'!$J$4:$J$1012,$O403)*('Дані_зв''язок'!$C$4:$C$1012=G$4),'Дані_зв''язок'!$D$4:$D$1012,"")))</f>
        <v/>
      </c>
      <c r="H403" s="27" t="str" cm="1">
        <f t="array" ref="H403">IF($O403="","",_xlfn.TEXTJOIN(", ",TRUE,IF(EXACT('Дані_зв''язок'!$J$4:$J$1012,$O403)*('Дані_зв''язок'!$C$4:$C$1012=H$4),'Дані_зв''язок'!$D$4:$D$1012,"")))</f>
        <v/>
      </c>
      <c r="I403" s="27" t="str" cm="1">
        <f t="array" ref="I403">IF($O403="","",_xlfn.TEXTJOIN(", ",TRUE,IF(EXACT('Дані_зв''язок'!$J$4:$J$1012,$O403)*('Дані_зв''язок'!$C$4:$C$1012=I$4),'Дані_зв''язок'!$D$4:$D$1012,"")))</f>
        <v/>
      </c>
      <c r="J403" s="27" cm="1">
        <f t="array" ref="J403">IF($O403="","",COUNTIF(C403:I403,"?*")+SUMPRODUCT(LEN(C403:I403)-LEN(SUBSTITUTE(C403:I403,",",""))))</f>
        <v>1</v>
      </c>
      <c r="K403" s="28" t="str" cm="1">
        <f t="array" ref="K403">IF($O403="","",_xlfn.TEXTJOIN(", ",TRUE,IF(EXACT('Дані_зв''язок'!$J$4:$J$1012,$O403),'Дані_зв''язок'!$L$4:$L$1012,"")))</f>
        <v>№1</v>
      </c>
      <c r="L403" s="28" t="str" cm="1">
        <f t="array" ref="L403">IF($O403="","",_xlfn.TEXTJOIN(", ",TRUE,IF(EXACT('Дані_зв''язок'!$J$4:$J$1012,$O403),'Дані_зв''язок'!$M$4:$M$1012,"")))</f>
        <v>АТ-4021/1120</v>
      </c>
      <c r="M403" s="27" cm="1">
        <f t="array" ref="M403">IF($O403="","",IF(SUMPRODUCT(MAX(EXACT('Дані_зв''язок'!$J$4:$J$1012,$O403)*IFERROR('Дані_зв''язок'!$H$4:$H$1012,0)))=0,"",SUMPRODUCT(MAX(EXACT('Дані_зв''язок'!$J$4:$J$1012,$O403)*IFERROR('Дані_зв''язок'!$H$4:$H$1012,0)))))</f>
        <v>3</v>
      </c>
      <c r="O403" s="30" t="s">
        <v>1522</v>
      </c>
      <c r="P403" s="24" cm="1">
        <f t="array" ref="P403">IF($O403="","",IF($B403="","",IFERROR(IF(MIN(IFERROR(VALUE(TRIM(MID(SUBSTITUTE(SUBSTITUTE($B403,","," ")," ",REPT(" ",30)),{1;31;61;91;121;151;181},30))),""))=0,"",MIN(IFERROR(VALUE(TRIM(MID(SUBSTITUTE(SUBSTITUTE($B403,","," ")," ",REPT(" ",30)),{1;31;61;91;121;151;181},30))),""))),"")))</f>
        <v>133</v>
      </c>
      <c r="Q403" s="23" t="str">
        <f t="shared" si="20"/>
        <v>Прилуки, Чернігівська обл., вул. Чорновола, 133</v>
      </c>
      <c r="R403" s="35">
        <f>IF($O403="","",IFERROR(INDEX('Координати майданчиків'!$H$4:$H$64,MATCH($T403,'Координати майданчиків'!$B$4:$B$64,0)),IFERROR(IF(ABS(INDEX(Геокодування!$C$2:$C$361,MATCH($Q403,Геокодування!$B$2:$B$361,0))-50.5884)+ABS(INDEX(Геокодування!$D$2:$D$361,MATCH($Q403,Геокодування!$B$2:$B$361,0))-32.3876)&gt;0.15,"",INDEX(Геокодування!$C$2:$C$361,MATCH($Q403,Геокодування!$B$2:$B$361,0))),IFERROR(IF(ABS(INDEX(Геокодування!$C$2:$C$361,MATCH("Прилуки, Чернігівська обл., "&amp;$A403,Геокодування!$B$2:$B$361,0))-50.5884)+ABS(INDEX(Геокодування!$D$2:$D$361,MATCH("Прилуки, Чернігівська обл., "&amp;$A403,Геокодування!$B$2:$B$361,0))-32.3876)&gt;0.15,"",INDEX(Геокодування!$C$2:$C$361,MATCH("Прилуки, Чернігівська обл., "&amp;$A403,Геокодування!$B$2:$B$361,0))),""))))</f>
        <v>50.589379000000001</v>
      </c>
      <c r="S403" s="43">
        <f>IF($O403="","",IFERROR(INDEX('Координати майданчиків'!$I$4:$I$64,MATCH($T403,'Координати майданчиків'!$B$4:$B$64,0)),IFERROR(IF(ABS(INDEX(Геокодування!$C$2:$C$361,MATCH($Q403,Геокодування!$B$2:$B$361,0))-50.5884)+ABS(INDEX(Геокодування!$D$2:$D$361,MATCH($Q403,Геокодування!$B$2:$B$361,0))-32.3876)&gt;0.15,"",INDEX(Геокодування!$D$2:$D$361,MATCH($Q403,Геокодування!$B$2:$B$361,0))),IFERROR(IF(ABS(INDEX(Геокодування!$C$2:$C$361,MATCH("Прилуки, Чернігівська обл., "&amp;$A403,Геокодування!$B$2:$B$361,0))-50.5884)+ABS(INDEX(Геокодування!$D$2:$D$361,MATCH("Прилуки, Чернігівська обл., "&amp;$A403,Геокодування!$B$2:$B$361,0))-32.3876)&gt;0.15,"",INDEX(Геокодування!$D$2:$D$361,MATCH("Прилуки, Чернігівська обл., "&amp;$A403,Геокодування!$B$2:$B$361,0))),""))))</f>
        <v>32.374909000000002</v>
      </c>
      <c r="T403" s="44" t="str">
        <f>IF($O403="","",IFERROR(INDEX('Координати майданчиків'!$B$4:$B$64,MATCH($A403&amp;IF($P403="","",", "&amp;$P403),'Координати майданчиків'!$B$4:$B$64,0)),IFERROR(INDEX('Координати майданчиків'!$B$4:$B$64,MATCH($A403,'Координати майданчиків'!$B$4:$B$64,0)),"")))</f>
        <v/>
      </c>
    </row>
    <row r="404" spans="1:20" x14ac:dyDescent="0.35">
      <c r="A404" s="26" t="str">
        <f t="shared" si="18"/>
        <v>вул. Чорновола</v>
      </c>
      <c r="B404" s="26" t="str">
        <f t="shared" si="19"/>
        <v>ЦТДЮ</v>
      </c>
      <c r="C404" s="27" t="str" cm="1">
        <f t="array" ref="C404">IF($O404="","",_xlfn.TEXTJOIN(", ",TRUE,IF(EXACT('Дані_зв''язок'!$J$4:$J$1012,$O404)*('Дані_зв''язок'!$C$4:$C$1012=C$4),'Дані_зв''язок'!$D$4:$D$1012,"")))</f>
        <v>8:55</v>
      </c>
      <c r="D404" s="27" t="str" cm="1">
        <f t="array" ref="D404">IF($O404="","",_xlfn.TEXTJOIN(", ",TRUE,IF(EXACT('Дані_зв''язок'!$J$4:$J$1012,$O404)*('Дані_зв''язок'!$C$4:$C$1012=D$4),'Дані_зв''язок'!$D$4:$D$1012,"")))</f>
        <v/>
      </c>
      <c r="E404" s="27" t="str" cm="1">
        <f t="array" ref="E404">IF($O404="","",_xlfn.TEXTJOIN(", ",TRUE,IF(EXACT('Дані_зв''язок'!$J$4:$J$1012,$O404)*('Дані_зв''язок'!$C$4:$C$1012=E$4),'Дані_зв''язок'!$D$4:$D$1012,"")))</f>
        <v/>
      </c>
      <c r="F404" s="27" t="str" cm="1">
        <f t="array" ref="F404">IF($O404="","",_xlfn.TEXTJOIN(", ",TRUE,IF(EXACT('Дані_зв''язок'!$J$4:$J$1012,$O404)*('Дані_зв''язок'!$C$4:$C$1012=F$4),'Дані_зв''язок'!$D$4:$D$1012,"")))</f>
        <v/>
      </c>
      <c r="G404" s="27" t="str" cm="1">
        <f t="array" ref="G404">IF($O404="","",_xlfn.TEXTJOIN(", ",TRUE,IF(EXACT('Дані_зв''язок'!$J$4:$J$1012,$O404)*('Дані_зв''язок'!$C$4:$C$1012=G$4),'Дані_зв''язок'!$D$4:$D$1012,"")))</f>
        <v/>
      </c>
      <c r="H404" s="27" t="str" cm="1">
        <f t="array" ref="H404">IF($O404="","",_xlfn.TEXTJOIN(", ",TRUE,IF(EXACT('Дані_зв''язок'!$J$4:$J$1012,$O404)*('Дані_зв''язок'!$C$4:$C$1012=H$4),'Дані_зв''язок'!$D$4:$D$1012,"")))</f>
        <v/>
      </c>
      <c r="I404" s="27" t="str" cm="1">
        <f t="array" ref="I404">IF($O404="","",_xlfn.TEXTJOIN(", ",TRUE,IF(EXACT('Дані_зв''язок'!$J$4:$J$1012,$O404)*('Дані_зв''язок'!$C$4:$C$1012=I$4),'Дані_зв''язок'!$D$4:$D$1012,"")))</f>
        <v/>
      </c>
      <c r="J404" s="27" cm="1">
        <f t="array" ref="J404">IF($O404="","",COUNTIF(C404:I404,"?*")+SUMPRODUCT(LEN(C404:I404)-LEN(SUBSTITUTE(C404:I404,",",""))))</f>
        <v>1</v>
      </c>
      <c r="K404" s="28" t="str" cm="1">
        <f t="array" ref="K404">IF($O404="","",_xlfn.TEXTJOIN(", ",TRUE,IF(EXACT('Дані_зв''язок'!$J$4:$J$1012,$O404),'Дані_зв''язок'!$L$4:$L$1012,"")))</f>
        <v>№3</v>
      </c>
      <c r="L404" s="28" t="str" cm="1">
        <f t="array" ref="L404">IF($O404="","",_xlfn.TEXTJOIN(", ",TRUE,IF(EXACT('Дані_зв''язок'!$J$4:$J$1012,$O404),'Дані_зв''язок'!$M$4:$M$1012,"")))</f>
        <v>ГАЗ 3309</v>
      </c>
      <c r="M404" s="27" cm="1">
        <f t="array" ref="M404">IF($O404="","",IF(SUMPRODUCT(MAX(EXACT('Дані_зв''язок'!$J$4:$J$1012,$O404)*IFERROR('Дані_зв''язок'!$H$4:$H$1012,0)))=0,"",SUMPRODUCT(MAX(EXACT('Дані_зв''язок'!$J$4:$J$1012,$O404)*IFERROR('Дані_зв''язок'!$H$4:$H$1012,0)))))</f>
        <v>2</v>
      </c>
      <c r="O404" s="30" t="s">
        <v>1523</v>
      </c>
      <c r="P404" s="24" t="str" cm="1">
        <f t="array" ref="P404">IF($O404="","",IF($B404="","",IFERROR(IF(MIN(IFERROR(VALUE(TRIM(MID(SUBSTITUTE(SUBSTITUTE($B404,","," ")," ",REPT(" ",30)),{1;31;61;91;121;151;181},30))),""))=0,"",MIN(IFERROR(VALUE(TRIM(MID(SUBSTITUTE(SUBSTITUTE($B404,","," ")," ",REPT(" ",30)),{1;31;61;91;121;151;181},30))),""))),"")))</f>
        <v/>
      </c>
      <c r="Q404" s="23" t="str">
        <f t="shared" si="20"/>
        <v>Прилуки, Чернігівська обл., вул. Чорновола</v>
      </c>
      <c r="R404" s="69">
        <f>IF($O404="","",IFERROR(INDEX('Координати майданчиків'!$H$4:$H$64,MATCH($T404,'Координати майданчиків'!$B$4:$B$64,0)),IFERROR(IF(ABS(INDEX(Геокодування!$C$2:$C$361,MATCH($Q404,Геокодування!$B$2:$B$361,0))-50.5884)+ABS(INDEX(Геокодування!$D$2:$D$361,MATCH($Q404,Геокодування!$B$2:$B$361,0))-32.3876)&gt;0.15,"",INDEX(Геокодування!$C$2:$C$361,MATCH($Q404,Геокодування!$B$2:$B$361,0))),IFERROR(IF(ABS(INDEX(Геокодування!$C$2:$C$361,MATCH("Прилуки, Чернігівська обл., "&amp;$A404,Геокодування!$B$2:$B$361,0))-50.5884)+ABS(INDEX(Геокодування!$D$2:$D$361,MATCH("Прилуки, Чернігівська обл., "&amp;$A404,Геокодування!$B$2:$B$361,0))-32.3876)&gt;0.15,"",INDEX(Геокодування!$C$2:$C$361,MATCH("Прилуки, Чернігівська обл., "&amp;$A404,Геокодування!$B$2:$B$361,0))),""))))</f>
        <v>50.588054999999997</v>
      </c>
      <c r="S404" s="69">
        <f>IF($O404="","",IFERROR(INDEX('Координати майданчиків'!$I$4:$I$64,MATCH($T404,'Координати майданчиків'!$B$4:$B$64,0)),IFERROR(IF(ABS(INDEX(Геокодування!$C$2:$C$361,MATCH($Q404,Геокодування!$B$2:$B$361,0))-50.5884)+ABS(INDEX(Геокодування!$D$2:$D$361,MATCH($Q404,Геокодування!$B$2:$B$361,0))-32.3876)&gt;0.15,"",INDEX(Геокодування!$D$2:$D$361,MATCH($Q404,Геокодування!$B$2:$B$361,0))),IFERROR(IF(ABS(INDEX(Геокодування!$C$2:$C$361,MATCH("Прилуки, Чернігівська обл., "&amp;$A404,Геокодування!$B$2:$B$361,0))-50.5884)+ABS(INDEX(Геокодування!$D$2:$D$361,MATCH("Прилуки, Чернігівська обл., "&amp;$A404,Геокодування!$B$2:$B$361,0))-32.3876)&gt;0.15,"",INDEX(Геокодування!$D$2:$D$361,MATCH("Прилуки, Чернігівська обл., "&amp;$A404,Геокодування!$B$2:$B$361,0))),""))))</f>
        <v>32.381808999999997</v>
      </c>
      <c r="T404" s="44" t="str">
        <f>IF($O404="","",IFERROR(INDEX('Координати майданчиків'!$B$4:$B$64,MATCH($A404&amp;IF($P404="","",", "&amp;$P404),'Координати майданчиків'!$B$4:$B$64,0)),IFERROR(INDEX('Координати майданчиків'!$B$4:$B$64,MATCH($A404,'Координати майданчиків'!$B$4:$B$64,0)),"")))</f>
        <v/>
      </c>
    </row>
    <row r="405" spans="1:20" x14ac:dyDescent="0.35">
      <c r="A405" s="26" t="str">
        <f t="shared" si="18"/>
        <v>вул. Шарапівська</v>
      </c>
      <c r="B405" s="26" t="str">
        <f t="shared" si="19"/>
        <v>56,31  25,15</v>
      </c>
      <c r="C405" s="27" t="str" cm="1">
        <f t="array" ref="C405">IF($O405="","",_xlfn.TEXTJOIN(", ",TRUE,IF(EXACT('Дані_зв''язок'!$J$4:$J$1012,$O405)*('Дані_зв''язок'!$C$4:$C$1012=C$4),'Дані_зв''язок'!$D$4:$D$1012,"")))</f>
        <v/>
      </c>
      <c r="D405" s="27" t="str" cm="1">
        <f t="array" ref="D405">IF($O405="","",_xlfn.TEXTJOIN(", ",TRUE,IF(EXACT('Дані_зв''язок'!$J$4:$J$1012,$O405)*('Дані_зв''язок'!$C$4:$C$1012=D$4),'Дані_зв''язок'!$D$4:$D$1012,"")))</f>
        <v>14:10</v>
      </c>
      <c r="E405" s="27" t="str" cm="1">
        <f t="array" ref="E405">IF($O405="","",_xlfn.TEXTJOIN(", ",TRUE,IF(EXACT('Дані_зв''язок'!$J$4:$J$1012,$O405)*('Дані_зв''язок'!$C$4:$C$1012=E$4),'Дані_зв''язок'!$D$4:$D$1012,"")))</f>
        <v/>
      </c>
      <c r="F405" s="27" t="str" cm="1">
        <f t="array" ref="F405">IF($O405="","",_xlfn.TEXTJOIN(", ",TRUE,IF(EXACT('Дані_зв''язок'!$J$4:$J$1012,$O405)*('Дані_зв''язок'!$C$4:$C$1012=F$4),'Дані_зв''язок'!$D$4:$D$1012,"")))</f>
        <v/>
      </c>
      <c r="G405" s="27" t="str" cm="1">
        <f t="array" ref="G405">IF($O405="","",_xlfn.TEXTJOIN(", ",TRUE,IF(EXACT('Дані_зв''язок'!$J$4:$J$1012,$O405)*('Дані_зв''язок'!$C$4:$C$1012=G$4),'Дані_зв''язок'!$D$4:$D$1012,"")))</f>
        <v/>
      </c>
      <c r="H405" s="27" t="str" cm="1">
        <f t="array" ref="H405">IF($O405="","",_xlfn.TEXTJOIN(", ",TRUE,IF(EXACT('Дані_зв''язок'!$J$4:$J$1012,$O405)*('Дані_зв''язок'!$C$4:$C$1012=H$4),'Дані_зв''язок'!$D$4:$D$1012,"")))</f>
        <v/>
      </c>
      <c r="I405" s="27" t="str" cm="1">
        <f t="array" ref="I405">IF($O405="","",_xlfn.TEXTJOIN(", ",TRUE,IF(EXACT('Дані_зв''язок'!$J$4:$J$1012,$O405)*('Дані_зв''язок'!$C$4:$C$1012=I$4),'Дані_зв''язок'!$D$4:$D$1012,"")))</f>
        <v/>
      </c>
      <c r="J405" s="27" cm="1">
        <f t="array" ref="J405">IF($O405="","",COUNTIF(C405:I405,"?*")+SUMPRODUCT(LEN(C405:I405)-LEN(SUBSTITUTE(C405:I405,",",""))))</f>
        <v>1</v>
      </c>
      <c r="K405" s="28" t="str" cm="1">
        <f t="array" ref="K405">IF($O405="","",_xlfn.TEXTJOIN(", ",TRUE,IF(EXACT('Дані_зв''язок'!$J$4:$J$1012,$O405),'Дані_зв''язок'!$L$4:$L$1012,"")))</f>
        <v>№6</v>
      </c>
      <c r="L405" s="28" t="str" cm="1">
        <f t="array" ref="L405">IF($O405="","",_xlfn.TEXTJOIN(", ",TRUE,IF(EXACT('Дані_зв''язок'!$J$4:$J$1012,$O405),'Дані_зв''язок'!$M$4:$M$1012,"")))</f>
        <v>АТ 4021</v>
      </c>
      <c r="M405" s="27" t="str" cm="1">
        <f t="array" ref="M405">IF($O405="","",IF(SUMPRODUCT(MAX(EXACT('Дані_зв''язок'!$J$4:$J$1012,$O405)*IFERROR('Дані_зв''язок'!$H$4:$H$1012,0)))=0,"",SUMPRODUCT(MAX(EXACT('Дані_зв''язок'!$J$4:$J$1012,$O405)*IFERROR('Дані_зв''язок'!$H$4:$H$1012,0)))))</f>
        <v/>
      </c>
      <c r="O405" s="30" t="s">
        <v>1524</v>
      </c>
      <c r="P405" s="24" cm="1">
        <f t="array" ref="P405">IF($O405="","",IF($B405="","",IFERROR(IF(MIN(IFERROR(VALUE(TRIM(MID(SUBSTITUTE(SUBSTITUTE($B405,","," ")," ",REPT(" ",30)),{1;31;61;91;121;151;181},30))),""))=0,"",MIN(IFERROR(VALUE(TRIM(MID(SUBSTITUTE(SUBSTITUTE($B405,","," ")," ",REPT(" ",30)),{1;31;61;91;121;151;181},30))),""))),"")))</f>
        <v>15</v>
      </c>
      <c r="Q405" s="23" t="str">
        <f t="shared" si="20"/>
        <v>Прилуки, Чернігівська обл., вул. Шарапівська, 15</v>
      </c>
      <c r="R405" s="35">
        <f>IF($O405="","",IFERROR(INDEX('Координати майданчиків'!$H$4:$H$64,MATCH($T405,'Координати майданчиків'!$B$4:$B$64,0)),IFERROR(IF(ABS(INDEX(Геокодування!$C$2:$C$361,MATCH($Q405,Геокодування!$B$2:$B$361,0))-50.5884)+ABS(INDEX(Геокодування!$D$2:$D$361,MATCH($Q405,Геокодування!$B$2:$B$361,0))-32.3876)&gt;0.15,"",INDEX(Геокодування!$C$2:$C$361,MATCH($Q405,Геокодування!$B$2:$B$361,0))),IFERROR(IF(ABS(INDEX(Геокодування!$C$2:$C$361,MATCH("Прилуки, Чернігівська обл., "&amp;$A405,Геокодування!$B$2:$B$361,0))-50.5884)+ABS(INDEX(Геокодування!$D$2:$D$361,MATCH("Прилуки, Чернігівська обл., "&amp;$A405,Геокодування!$B$2:$B$361,0))-32.3876)&gt;0.15,"",INDEX(Геокодування!$C$2:$C$361,MATCH("Прилуки, Чернігівська обл., "&amp;$A405,Геокодування!$B$2:$B$361,0))),""))))</f>
        <v>50.602074999999999</v>
      </c>
      <c r="S405" s="43">
        <f>IF($O405="","",IFERROR(INDEX('Координати майданчиків'!$I$4:$I$64,MATCH($T405,'Координати майданчиків'!$B$4:$B$64,0)),IFERROR(IF(ABS(INDEX(Геокодування!$C$2:$C$361,MATCH($Q405,Геокодування!$B$2:$B$361,0))-50.5884)+ABS(INDEX(Геокодування!$D$2:$D$361,MATCH($Q405,Геокодування!$B$2:$B$361,0))-32.3876)&gt;0.15,"",INDEX(Геокодування!$D$2:$D$361,MATCH($Q405,Геокодування!$B$2:$B$361,0))),IFERROR(IF(ABS(INDEX(Геокодування!$C$2:$C$361,MATCH("Прилуки, Чернігівська обл., "&amp;$A405,Геокодування!$B$2:$B$361,0))-50.5884)+ABS(INDEX(Геокодування!$D$2:$D$361,MATCH("Прилуки, Чернігівська обл., "&amp;$A405,Геокодування!$B$2:$B$361,0))-32.3876)&gt;0.15,"",INDEX(Геокодування!$D$2:$D$361,MATCH("Прилуки, Чернігівська обл., "&amp;$A405,Геокодування!$B$2:$B$361,0))),""))))</f>
        <v>32.412680999999999</v>
      </c>
      <c r="T405" s="44" t="str">
        <f>IF($O405="","",IFERROR(INDEX('Координати майданчиків'!$B$4:$B$64,MATCH($A405&amp;IF($P405="","",", "&amp;$P405),'Координати майданчиків'!$B$4:$B$64,0)),IFERROR(INDEX('Координати майданчиків'!$B$4:$B$64,MATCH($A405,'Координати майданчиків'!$B$4:$B$64,0)),"")))</f>
        <v/>
      </c>
    </row>
    <row r="406" spans="1:20" x14ac:dyDescent="0.35">
      <c r="A406" s="26" t="str">
        <f t="shared" si="18"/>
        <v>вул. Шевченка</v>
      </c>
      <c r="B406" s="26" t="str">
        <f t="shared" si="19"/>
        <v>1,5  11,15</v>
      </c>
      <c r="C406" s="27" t="str" cm="1">
        <f t="array" ref="C406">IF($O406="","",_xlfn.TEXTJOIN(", ",TRUE,IF(EXACT('Дані_зв''язок'!$J$4:$J$1012,$O406)*('Дані_зв''язок'!$C$4:$C$1012=C$4),'Дані_зв''язок'!$D$4:$D$1012,"")))</f>
        <v/>
      </c>
      <c r="D406" s="27" t="str" cm="1">
        <f t="array" ref="D406">IF($O406="","",_xlfn.TEXTJOIN(", ",TRUE,IF(EXACT('Дані_зв''язок'!$J$4:$J$1012,$O406)*('Дані_зв''язок'!$C$4:$C$1012=D$4),'Дані_зв''язок'!$D$4:$D$1012,"")))</f>
        <v/>
      </c>
      <c r="E406" s="27" t="str" cm="1">
        <f t="array" ref="E406">IF($O406="","",_xlfn.TEXTJOIN(", ",TRUE,IF(EXACT('Дані_зв''язок'!$J$4:$J$1012,$O406)*('Дані_зв''язок'!$C$4:$C$1012=E$4),'Дані_зв''язок'!$D$4:$D$1012,"")))</f>
        <v/>
      </c>
      <c r="F406" s="27" t="str" cm="1">
        <f t="array" ref="F406">IF($O406="","",_xlfn.TEXTJOIN(", ",TRUE,IF(EXACT('Дані_зв''язок'!$J$4:$J$1012,$O406)*('Дані_зв''язок'!$C$4:$C$1012=F$4),'Дані_зв''язок'!$D$4:$D$1012,"")))</f>
        <v>12:35</v>
      </c>
      <c r="G406" s="27" t="str" cm="1">
        <f t="array" ref="G406">IF($O406="","",_xlfn.TEXTJOIN(", ",TRUE,IF(EXACT('Дані_зв''язок'!$J$4:$J$1012,$O406)*('Дані_зв''язок'!$C$4:$C$1012=G$4),'Дані_зв''язок'!$D$4:$D$1012,"")))</f>
        <v/>
      </c>
      <c r="H406" s="27" t="str" cm="1">
        <f t="array" ref="H406">IF($O406="","",_xlfn.TEXTJOIN(", ",TRUE,IF(EXACT('Дані_зв''язок'!$J$4:$J$1012,$O406)*('Дані_зв''язок'!$C$4:$C$1012=H$4),'Дані_зв''язок'!$D$4:$D$1012,"")))</f>
        <v/>
      </c>
      <c r="I406" s="27" t="str" cm="1">
        <f t="array" ref="I406">IF($O406="","",_xlfn.TEXTJOIN(", ",TRUE,IF(EXACT('Дані_зв''язок'!$J$4:$J$1012,$O406)*('Дані_зв''язок'!$C$4:$C$1012=I$4),'Дані_зв''язок'!$D$4:$D$1012,"")))</f>
        <v/>
      </c>
      <c r="J406" s="27" cm="1">
        <f t="array" ref="J406">IF($O406="","",COUNTIF(C406:I406,"?*")+SUMPRODUCT(LEN(C406:I406)-LEN(SUBSTITUTE(C406:I406,",",""))))</f>
        <v>1</v>
      </c>
      <c r="K406" s="28" t="str" cm="1">
        <f t="array" ref="K406">IF($O406="","",_xlfn.TEXTJOIN(", ",TRUE,IF(EXACT('Дані_зв''язок'!$J$4:$J$1012,$O406),'Дані_зв''язок'!$L$4:$L$1012,"")))</f>
        <v>№6</v>
      </c>
      <c r="L406" s="28" t="str" cm="1">
        <f t="array" ref="L406">IF($O406="","",_xlfn.TEXTJOIN(", ",TRUE,IF(EXACT('Дані_зв''язок'!$J$4:$J$1012,$O406),'Дані_зв''язок'!$M$4:$M$1012,"")))</f>
        <v>АТ 4021</v>
      </c>
      <c r="M406" s="27" t="str" cm="1">
        <f t="array" ref="M406">IF($O406="","",IF(SUMPRODUCT(MAX(EXACT('Дані_зв''язок'!$J$4:$J$1012,$O406)*IFERROR('Дані_зв''язок'!$H$4:$H$1012,0)))=0,"",SUMPRODUCT(MAX(EXACT('Дані_зв''язок'!$J$4:$J$1012,$O406)*IFERROR('Дані_зв''язок'!$H$4:$H$1012,0)))))</f>
        <v/>
      </c>
      <c r="O406" s="30" t="s">
        <v>1525</v>
      </c>
      <c r="P406" s="24" cm="1">
        <f t="array" ref="P406">IF($O406="","",IF($B406="","",IFERROR(IF(MIN(IFERROR(VALUE(TRIM(MID(SUBSTITUTE(SUBSTITUTE($B406,","," ")," ",REPT(" ",30)),{1;31;61;91;121;151;181},30))),""))=0,"",MIN(IFERROR(VALUE(TRIM(MID(SUBSTITUTE(SUBSTITUTE($B406,","," ")," ",REPT(" ",30)),{1;31;61;91;121;151;181},30))),""))),"")))</f>
        <v>1</v>
      </c>
      <c r="Q406" s="23" t="str">
        <f t="shared" si="20"/>
        <v>Прилуки, Чернігівська обл., вул. Шевченка, 1</v>
      </c>
      <c r="R406" s="35">
        <f>IF($O406="","",IFERROR(INDEX('Координати майданчиків'!$H$4:$H$64,MATCH($T406,'Координати майданчиків'!$B$4:$B$64,0)),IFERROR(IF(ABS(INDEX(Геокодування!$C$2:$C$361,MATCH($Q406,Геокодування!$B$2:$B$361,0))-50.5884)+ABS(INDEX(Геокодування!$D$2:$D$361,MATCH($Q406,Геокодування!$B$2:$B$361,0))-32.3876)&gt;0.15,"",INDEX(Геокодування!$C$2:$C$361,MATCH($Q406,Геокодування!$B$2:$B$361,0))),IFERROR(IF(ABS(INDEX(Геокодування!$C$2:$C$361,MATCH("Прилуки, Чернігівська обл., "&amp;$A406,Геокодування!$B$2:$B$361,0))-50.5884)+ABS(INDEX(Геокодування!$D$2:$D$361,MATCH("Прилуки, Чернігівська обл., "&amp;$A406,Геокодування!$B$2:$B$361,0))-32.3876)&gt;0.15,"",INDEX(Геокодування!$C$2:$C$361,MATCH("Прилуки, Чернігівська обл., "&amp;$A406,Геокодування!$B$2:$B$361,0))),""))))</f>
        <v>50.617652999999997</v>
      </c>
      <c r="S406" s="43">
        <f>IF($O406="","",IFERROR(INDEX('Координати майданчиків'!$I$4:$I$64,MATCH($T406,'Координати майданчиків'!$B$4:$B$64,0)),IFERROR(IF(ABS(INDEX(Геокодування!$C$2:$C$361,MATCH($Q406,Геокодування!$B$2:$B$361,0))-50.5884)+ABS(INDEX(Геокодування!$D$2:$D$361,MATCH($Q406,Геокодування!$B$2:$B$361,0))-32.3876)&gt;0.15,"",INDEX(Геокодування!$D$2:$D$361,MATCH($Q406,Геокодування!$B$2:$B$361,0))),IFERROR(IF(ABS(INDEX(Геокодування!$C$2:$C$361,MATCH("Прилуки, Чернігівська обл., "&amp;$A406,Геокодування!$B$2:$B$361,0))-50.5884)+ABS(INDEX(Геокодування!$D$2:$D$361,MATCH("Прилуки, Чернігівська обл., "&amp;$A406,Геокодування!$B$2:$B$361,0))-32.3876)&gt;0.15,"",INDEX(Геокодування!$D$2:$D$361,MATCH("Прилуки, Чернігівська обл., "&amp;$A406,Геокодування!$B$2:$B$361,0))),""))))</f>
        <v>32.402183999999998</v>
      </c>
      <c r="T406" s="44" t="str">
        <f>IF($O406="","",IFERROR(INDEX('Координати майданчиків'!$B$4:$B$64,MATCH($A406&amp;IF($P406="","",", "&amp;$P406),'Координати майданчиків'!$B$4:$B$64,0)),IFERROR(INDEX('Координати майданчиків'!$B$4:$B$64,MATCH($A406,'Координати майданчиків'!$B$4:$B$64,0)),"")))</f>
        <v/>
      </c>
    </row>
    <row r="407" spans="1:20" x14ac:dyDescent="0.35">
      <c r="A407" s="26" t="str">
        <f t="shared" si="18"/>
        <v>вул. Шевченка</v>
      </c>
      <c r="B407" s="26" t="str">
        <f t="shared" si="19"/>
        <v>107</v>
      </c>
      <c r="C407" s="27" t="str" cm="1">
        <f t="array" ref="C407">IF($O407="","",_xlfn.TEXTJOIN(", ",TRUE,IF(EXACT('Дані_зв''язок'!$J$4:$J$1012,$O407)*('Дані_зв''язок'!$C$4:$C$1012=C$4),'Дані_зв''язок'!$D$4:$D$1012,"")))</f>
        <v/>
      </c>
      <c r="D407" s="27" t="str" cm="1">
        <f t="array" ref="D407">IF($O407="","",_xlfn.TEXTJOIN(", ",TRUE,IF(EXACT('Дані_зв''язок'!$J$4:$J$1012,$O407)*('Дані_зв''язок'!$C$4:$C$1012=D$4),'Дані_зв''язок'!$D$4:$D$1012,"")))</f>
        <v/>
      </c>
      <c r="E407" s="27" t="str" cm="1">
        <f t="array" ref="E407">IF($O407="","",_xlfn.TEXTJOIN(", ",TRUE,IF(EXACT('Дані_зв''язок'!$J$4:$J$1012,$O407)*('Дані_зв''язок'!$C$4:$C$1012=E$4),'Дані_зв''язок'!$D$4:$D$1012,"")))</f>
        <v/>
      </c>
      <c r="F407" s="27" t="str" cm="1">
        <f t="array" ref="F407">IF($O407="","",_xlfn.TEXTJOIN(", ",TRUE,IF(EXACT('Дані_зв''язок'!$J$4:$J$1012,$O407)*('Дані_зв''язок'!$C$4:$C$1012=F$4),'Дані_зв''язок'!$D$4:$D$1012,"")))</f>
        <v/>
      </c>
      <c r="G407" s="27" t="str" cm="1">
        <f t="array" ref="G407">IF($O407="","",_xlfn.TEXTJOIN(", ",TRUE,IF(EXACT('Дані_зв''язок'!$J$4:$J$1012,$O407)*('Дані_зв''язок'!$C$4:$C$1012=G$4),'Дані_зв''язок'!$D$4:$D$1012,"")))</f>
        <v>×</v>
      </c>
      <c r="H407" s="27" t="str" cm="1">
        <f t="array" ref="H407">IF($O407="","",_xlfn.TEXTJOIN(", ",TRUE,IF(EXACT('Дані_зв''язок'!$J$4:$J$1012,$O407)*('Дані_зв''язок'!$C$4:$C$1012=H$4),'Дані_зв''язок'!$D$4:$D$1012,"")))</f>
        <v/>
      </c>
      <c r="I407" s="27" t="str" cm="1">
        <f t="array" ref="I407">IF($O407="","",_xlfn.TEXTJOIN(", ",TRUE,IF(EXACT('Дані_зв''язок'!$J$4:$J$1012,$O407)*('Дані_зв''язок'!$C$4:$C$1012=I$4),'Дані_зв''язок'!$D$4:$D$1012,"")))</f>
        <v/>
      </c>
      <c r="J407" s="27" cm="1">
        <f t="array" ref="J407">IF($O407="","",COUNTIF(C407:I407,"?*")+SUMPRODUCT(LEN(C407:I407)-LEN(SUBSTITUTE(C407:I407,",",""))))</f>
        <v>1</v>
      </c>
      <c r="K407" s="28" t="str" cm="1">
        <f t="array" ref="K407">IF($O407="","",_xlfn.TEXTJOIN(", ",TRUE,IF(EXACT('Дані_зв''язок'!$J$4:$J$1012,$O407),'Дані_зв''язок'!$L$4:$L$1012,"")))</f>
        <v>№2 (ВГВ)</v>
      </c>
      <c r="L407" s="28" t="str" cm="1">
        <f t="array" ref="L407">IF($O407="","",_xlfn.TEXTJOIN(", ",TRUE,IF(EXACT('Дані_зв''язок'!$J$4:$J$1012,$O407),'Дані_зв''язок'!$M$4:$M$1012,"")))</f>
        <v>Рено Лендер</v>
      </c>
      <c r="M407" s="27" t="str" cm="1">
        <f t="array" ref="M407">IF($O407="","",IF(SUMPRODUCT(MAX(EXACT('Дані_зв''язок'!$J$4:$J$1012,$O407)*IFERROR('Дані_зв''язок'!$H$4:$H$1012,0)))=0,"",SUMPRODUCT(MAX(EXACT('Дані_зв''язок'!$J$4:$J$1012,$O407)*IFERROR('Дані_зв''язок'!$H$4:$H$1012,0)))))</f>
        <v/>
      </c>
      <c r="O407" s="30" t="s">
        <v>1526</v>
      </c>
      <c r="P407" s="24" cm="1">
        <f t="array" ref="P407">IF($O407="","",IF($B407="","",IFERROR(IF(MIN(IFERROR(VALUE(TRIM(MID(SUBSTITUTE(SUBSTITUTE($B407,","," ")," ",REPT(" ",30)),{1;31;61;91;121;151;181},30))),""))=0,"",MIN(IFERROR(VALUE(TRIM(MID(SUBSTITUTE(SUBSTITUTE($B407,","," ")," ",REPT(" ",30)),{1;31;61;91;121;151;181},30))),""))),"")))</f>
        <v>107</v>
      </c>
      <c r="Q407" s="23" t="str">
        <f t="shared" si="20"/>
        <v>Прилуки, Чернігівська обл., вул. Шевченка, 107</v>
      </c>
      <c r="R407" s="35">
        <f>IF($O407="","",IFERROR(INDEX('Координати майданчиків'!$H$4:$H$64,MATCH($T407,'Координати майданчиків'!$B$4:$B$64,0)),IFERROR(IF(ABS(INDEX(Геокодування!$C$2:$C$361,MATCH($Q407,Геокодування!$B$2:$B$361,0))-50.5884)+ABS(INDEX(Геокодування!$D$2:$D$361,MATCH($Q407,Геокодування!$B$2:$B$361,0))-32.3876)&gt;0.15,"",INDEX(Геокодування!$C$2:$C$361,MATCH($Q407,Геокодування!$B$2:$B$361,0))),IFERROR(IF(ABS(INDEX(Геокодування!$C$2:$C$361,MATCH("Прилуки, Чернігівська обл., "&amp;$A407,Геокодування!$B$2:$B$361,0))-50.5884)+ABS(INDEX(Геокодування!$D$2:$D$361,MATCH("Прилуки, Чернігівська обл., "&amp;$A407,Геокодування!$B$2:$B$361,0))-32.3876)&gt;0.15,"",INDEX(Геокодування!$C$2:$C$361,MATCH("Прилуки, Чернігівська обл., "&amp;$A407,Геокодування!$B$2:$B$361,0))),""))))</f>
        <v>50.586289999999998</v>
      </c>
      <c r="S407" s="43">
        <f>IF($O407="","",IFERROR(INDEX('Координати майданчиків'!$I$4:$I$64,MATCH($T407,'Координати майданчиків'!$B$4:$B$64,0)),IFERROR(IF(ABS(INDEX(Геокодування!$C$2:$C$361,MATCH($Q407,Геокодування!$B$2:$B$361,0))-50.5884)+ABS(INDEX(Геокодування!$D$2:$D$361,MATCH($Q407,Геокодування!$B$2:$B$361,0))-32.3876)&gt;0.15,"",INDEX(Геокодування!$D$2:$D$361,MATCH($Q407,Геокодування!$B$2:$B$361,0))),IFERROR(IF(ABS(INDEX(Геокодування!$C$2:$C$361,MATCH("Прилуки, Чернігівська обл., "&amp;$A407,Геокодування!$B$2:$B$361,0))-50.5884)+ABS(INDEX(Геокодування!$D$2:$D$361,MATCH("Прилуки, Чернігівська обл., "&amp;$A407,Геокодування!$B$2:$B$361,0))-32.3876)&gt;0.15,"",INDEX(Геокодування!$D$2:$D$361,MATCH("Прилуки, Чернігівська обл., "&amp;$A407,Геокодування!$B$2:$B$361,0))),""))))</f>
        <v>32.401179999999997</v>
      </c>
      <c r="T407" s="44" t="str">
        <f>IF($O407="","",IFERROR(INDEX('Координати майданчиків'!$B$4:$B$64,MATCH($A407&amp;IF($P407="","",", "&amp;$P407),'Координати майданчиків'!$B$4:$B$64,0)),IFERROR(INDEX('Координати майданчиків'!$B$4:$B$64,MATCH($A407,'Координати майданчиків'!$B$4:$B$64,0)),"")))</f>
        <v>вул. Шевченка, 107</v>
      </c>
    </row>
    <row r="408" spans="1:20" x14ac:dyDescent="0.35">
      <c r="A408" s="26" t="str">
        <f t="shared" si="18"/>
        <v>вул. Шевченка</v>
      </c>
      <c r="B408" s="26" t="str">
        <f t="shared" si="19"/>
        <v>14,10  3,1</v>
      </c>
      <c r="C408" s="27" t="str" cm="1">
        <f t="array" ref="C408">IF($O408="","",_xlfn.TEXTJOIN(", ",TRUE,IF(EXACT('Дані_зв''язок'!$J$4:$J$1012,$O408)*('Дані_зв''язок'!$C$4:$C$1012=C$4),'Дані_зв''язок'!$D$4:$D$1012,"")))</f>
        <v>14:40</v>
      </c>
      <c r="D408" s="27" t="str" cm="1">
        <f t="array" ref="D408">IF($O408="","",_xlfn.TEXTJOIN(", ",TRUE,IF(EXACT('Дані_зв''язок'!$J$4:$J$1012,$O408)*('Дані_зв''язок'!$C$4:$C$1012=D$4),'Дані_зв''язок'!$D$4:$D$1012,"")))</f>
        <v/>
      </c>
      <c r="E408" s="27" t="str" cm="1">
        <f t="array" ref="E408">IF($O408="","",_xlfn.TEXTJOIN(", ",TRUE,IF(EXACT('Дані_зв''язок'!$J$4:$J$1012,$O408)*('Дані_зв''язок'!$C$4:$C$1012=E$4),'Дані_зв''язок'!$D$4:$D$1012,"")))</f>
        <v/>
      </c>
      <c r="F408" s="27" t="str" cm="1">
        <f t="array" ref="F408">IF($O408="","",_xlfn.TEXTJOIN(", ",TRUE,IF(EXACT('Дані_зв''язок'!$J$4:$J$1012,$O408)*('Дані_зв''язок'!$C$4:$C$1012=F$4),'Дані_зв''язок'!$D$4:$D$1012,"")))</f>
        <v/>
      </c>
      <c r="G408" s="27" t="str" cm="1">
        <f t="array" ref="G408">IF($O408="","",_xlfn.TEXTJOIN(", ",TRUE,IF(EXACT('Дані_зв''язок'!$J$4:$J$1012,$O408)*('Дані_зв''язок'!$C$4:$C$1012=G$4),'Дані_зв''язок'!$D$4:$D$1012,"")))</f>
        <v/>
      </c>
      <c r="H408" s="27" t="str" cm="1">
        <f t="array" ref="H408">IF($O408="","",_xlfn.TEXTJOIN(", ",TRUE,IF(EXACT('Дані_зв''язок'!$J$4:$J$1012,$O408)*('Дані_зв''язок'!$C$4:$C$1012=H$4),'Дані_зв''язок'!$D$4:$D$1012,"")))</f>
        <v/>
      </c>
      <c r="I408" s="27" t="str" cm="1">
        <f t="array" ref="I408">IF($O408="","",_xlfn.TEXTJOIN(", ",TRUE,IF(EXACT('Дані_зв''язок'!$J$4:$J$1012,$O408)*('Дані_зв''язок'!$C$4:$C$1012=I$4),'Дані_зв''язок'!$D$4:$D$1012,"")))</f>
        <v/>
      </c>
      <c r="J408" s="27" cm="1">
        <f t="array" ref="J408">IF($O408="","",COUNTIF(C408:I408,"?*")+SUMPRODUCT(LEN(C408:I408)-LEN(SUBSTITUTE(C408:I408,",",""))))</f>
        <v>1</v>
      </c>
      <c r="K408" s="28" t="str" cm="1">
        <f t="array" ref="K408">IF($O408="","",_xlfn.TEXTJOIN(", ",TRUE,IF(EXACT('Дані_зв''язок'!$J$4:$J$1012,$O408),'Дані_зв''язок'!$L$4:$L$1012,"")))</f>
        <v>№6</v>
      </c>
      <c r="L408" s="28" t="str" cm="1">
        <f t="array" ref="L408">IF($O408="","",_xlfn.TEXTJOIN(", ",TRUE,IF(EXACT('Дані_зв''язок'!$J$4:$J$1012,$O408),'Дані_зв''язок'!$M$4:$M$1012,"")))</f>
        <v>АТ 4021</v>
      </c>
      <c r="M408" s="27" t="str" cm="1">
        <f t="array" ref="M408">IF($O408="","",IF(SUMPRODUCT(MAX(EXACT('Дані_зв''язок'!$J$4:$J$1012,$O408)*IFERROR('Дані_зв''язок'!$H$4:$H$1012,0)))=0,"",SUMPRODUCT(MAX(EXACT('Дані_зв''язок'!$J$4:$J$1012,$O408)*IFERROR('Дані_зв''язок'!$H$4:$H$1012,0)))))</f>
        <v/>
      </c>
      <c r="O408" s="30" t="s">
        <v>1527</v>
      </c>
      <c r="P408" s="24" cm="1">
        <f t="array" ref="P408">IF($O408="","",IF($B408="","",IFERROR(IF(MIN(IFERROR(VALUE(TRIM(MID(SUBSTITUTE(SUBSTITUTE($B408,","," ")," ",REPT(" ",30)),{1;31;61;91;121;151;181},30))),""))=0,"",MIN(IFERROR(VALUE(TRIM(MID(SUBSTITUTE(SUBSTITUTE($B408,","," ")," ",REPT(" ",30)),{1;31;61;91;121;151;181},30))),""))),"")))</f>
        <v>1</v>
      </c>
      <c r="Q408" s="23" t="str">
        <f t="shared" si="20"/>
        <v>Прилуки, Чернігівська обл., вул. Шевченка, 1</v>
      </c>
      <c r="R408" s="35">
        <f>IF($O408="","",IFERROR(INDEX('Координати майданчиків'!$H$4:$H$64,MATCH($T408,'Координати майданчиків'!$B$4:$B$64,0)),IFERROR(IF(ABS(INDEX(Геокодування!$C$2:$C$361,MATCH($Q408,Геокодування!$B$2:$B$361,0))-50.5884)+ABS(INDEX(Геокодування!$D$2:$D$361,MATCH($Q408,Геокодування!$B$2:$B$361,0))-32.3876)&gt;0.15,"",INDEX(Геокодування!$C$2:$C$361,MATCH($Q408,Геокодування!$B$2:$B$361,0))),IFERROR(IF(ABS(INDEX(Геокодування!$C$2:$C$361,MATCH("Прилуки, Чернігівська обл., "&amp;$A408,Геокодування!$B$2:$B$361,0))-50.5884)+ABS(INDEX(Геокодування!$D$2:$D$361,MATCH("Прилуки, Чернігівська обл., "&amp;$A408,Геокодування!$B$2:$B$361,0))-32.3876)&gt;0.15,"",INDEX(Геокодування!$C$2:$C$361,MATCH("Прилуки, Чернігівська обл., "&amp;$A408,Геокодування!$B$2:$B$361,0))),""))))</f>
        <v>50.617652999999997</v>
      </c>
      <c r="S408" s="43">
        <f>IF($O408="","",IFERROR(INDEX('Координати майданчиків'!$I$4:$I$64,MATCH($T408,'Координати майданчиків'!$B$4:$B$64,0)),IFERROR(IF(ABS(INDEX(Геокодування!$C$2:$C$361,MATCH($Q408,Геокодування!$B$2:$B$361,0))-50.5884)+ABS(INDEX(Геокодування!$D$2:$D$361,MATCH($Q408,Геокодування!$B$2:$B$361,0))-32.3876)&gt;0.15,"",INDEX(Геокодування!$D$2:$D$361,MATCH($Q408,Геокодування!$B$2:$B$361,0))),IFERROR(IF(ABS(INDEX(Геокодування!$C$2:$C$361,MATCH("Прилуки, Чернігівська обл., "&amp;$A408,Геокодування!$B$2:$B$361,0))-50.5884)+ABS(INDEX(Геокодування!$D$2:$D$361,MATCH("Прилуки, Чернігівська обл., "&amp;$A408,Геокодування!$B$2:$B$361,0))-32.3876)&gt;0.15,"",INDEX(Геокодування!$D$2:$D$361,MATCH("Прилуки, Чернігівська обл., "&amp;$A408,Геокодування!$B$2:$B$361,0))),""))))</f>
        <v>32.402183999999998</v>
      </c>
      <c r="T408" s="44" t="str">
        <f>IF($O408="","",IFERROR(INDEX('Координати майданчиків'!$B$4:$B$64,MATCH($A408&amp;IF($P408="","",", "&amp;$P408),'Координати майданчиків'!$B$4:$B$64,0)),IFERROR(INDEX('Координати майданчиків'!$B$4:$B$64,MATCH($A408,'Координати майданчиків'!$B$4:$B$64,0)),"")))</f>
        <v/>
      </c>
    </row>
    <row r="409" spans="1:20" x14ac:dyDescent="0.35">
      <c r="A409" s="26" t="str">
        <f t="shared" si="18"/>
        <v>вул. Шевченка</v>
      </c>
      <c r="B409" s="26" t="str">
        <f t="shared" si="19"/>
        <v>37,80  163  193</v>
      </c>
      <c r="C409" s="27" t="str" cm="1">
        <f t="array" ref="C409">IF($O409="","",_xlfn.TEXTJOIN(", ",TRUE,IF(EXACT('Дані_зв''язок'!$J$4:$J$1012,$O409)*('Дані_зв''язок'!$C$4:$C$1012=C$4),'Дані_зв''язок'!$D$4:$D$1012,"")))</f>
        <v/>
      </c>
      <c r="D409" s="27" t="str" cm="1">
        <f t="array" ref="D409">IF($O409="","",_xlfn.TEXTJOIN(", ",TRUE,IF(EXACT('Дані_зв''язок'!$J$4:$J$1012,$O409)*('Дані_зв''язок'!$C$4:$C$1012=D$4),'Дані_зв''язок'!$D$4:$D$1012,"")))</f>
        <v>10:20</v>
      </c>
      <c r="E409" s="27" t="str" cm="1">
        <f t="array" ref="E409">IF($O409="","",_xlfn.TEXTJOIN(", ",TRUE,IF(EXACT('Дані_зв''язок'!$J$4:$J$1012,$O409)*('Дані_зв''язок'!$C$4:$C$1012=E$4),'Дані_зв''язок'!$D$4:$D$1012,"")))</f>
        <v/>
      </c>
      <c r="F409" s="27" t="str" cm="1">
        <f t="array" ref="F409">IF($O409="","",_xlfn.TEXTJOIN(", ",TRUE,IF(EXACT('Дані_зв''язок'!$J$4:$J$1012,$O409)*('Дані_зв''язок'!$C$4:$C$1012=F$4),'Дані_зв''язок'!$D$4:$D$1012,"")))</f>
        <v/>
      </c>
      <c r="G409" s="27" t="str" cm="1">
        <f t="array" ref="G409">IF($O409="","",_xlfn.TEXTJOIN(", ",TRUE,IF(EXACT('Дані_зв''язок'!$J$4:$J$1012,$O409)*('Дані_зв''язок'!$C$4:$C$1012=G$4),'Дані_зв''язок'!$D$4:$D$1012,"")))</f>
        <v/>
      </c>
      <c r="H409" s="27" t="str" cm="1">
        <f t="array" ref="H409">IF($O409="","",_xlfn.TEXTJOIN(", ",TRUE,IF(EXACT('Дані_зв''язок'!$J$4:$J$1012,$O409)*('Дані_зв''язок'!$C$4:$C$1012=H$4),'Дані_зв''язок'!$D$4:$D$1012,"")))</f>
        <v/>
      </c>
      <c r="I409" s="27" t="str" cm="1">
        <f t="array" ref="I409">IF($O409="","",_xlfn.TEXTJOIN(", ",TRUE,IF(EXACT('Дані_зв''язок'!$J$4:$J$1012,$O409)*('Дані_зв''язок'!$C$4:$C$1012=I$4),'Дані_зв''язок'!$D$4:$D$1012,"")))</f>
        <v/>
      </c>
      <c r="J409" s="27" cm="1">
        <f t="array" ref="J409">IF($O409="","",COUNTIF(C409:I409,"?*")+SUMPRODUCT(LEN(C409:I409)-LEN(SUBSTITUTE(C409:I409,",",""))))</f>
        <v>1</v>
      </c>
      <c r="K409" s="28" t="str" cm="1">
        <f t="array" ref="K409">IF($O409="","",_xlfn.TEXTJOIN(", ",TRUE,IF(EXACT('Дані_зв''язок'!$J$4:$J$1012,$O409),'Дані_зв''язок'!$L$4:$L$1012,"")))</f>
        <v>№6</v>
      </c>
      <c r="L409" s="28" t="str" cm="1">
        <f t="array" ref="L409">IF($O409="","",_xlfn.TEXTJOIN(", ",TRUE,IF(EXACT('Дані_зв''язок'!$J$4:$J$1012,$O409),'Дані_зв''язок'!$M$4:$M$1012,"")))</f>
        <v>АТ 4021</v>
      </c>
      <c r="M409" s="27" t="str" cm="1">
        <f t="array" ref="M409">IF($O409="","",IF(SUMPRODUCT(MAX(EXACT('Дані_зв''язок'!$J$4:$J$1012,$O409)*IFERROR('Дані_зв''язок'!$H$4:$H$1012,0)))=0,"",SUMPRODUCT(MAX(EXACT('Дані_зв''язок'!$J$4:$J$1012,$O409)*IFERROR('Дані_зв''язок'!$H$4:$H$1012,0)))))</f>
        <v/>
      </c>
      <c r="O409" s="30" t="s">
        <v>1528</v>
      </c>
      <c r="P409" s="24" cm="1">
        <f t="array" ref="P409">IF($O409="","",IF($B409="","",IFERROR(IF(MIN(IFERROR(VALUE(TRIM(MID(SUBSTITUTE(SUBSTITUTE($B409,","," ")," ",REPT(" ",30)),{1;31;61;91;121;151;181},30))),""))=0,"",MIN(IFERROR(VALUE(TRIM(MID(SUBSTITUTE(SUBSTITUTE($B409,","," ")," ",REPT(" ",30)),{1;31;61;91;121;151;181},30))),""))),"")))</f>
        <v>37</v>
      </c>
      <c r="Q409" s="23" t="str">
        <f t="shared" si="20"/>
        <v>Прилуки, Чернігівська обл., вул. Шевченка, 37</v>
      </c>
      <c r="R409" s="35">
        <f>IF($O409="","",IFERROR(INDEX('Координати майданчиків'!$H$4:$H$64,MATCH($T409,'Координати майданчиків'!$B$4:$B$64,0)),IFERROR(IF(ABS(INDEX(Геокодування!$C$2:$C$361,MATCH($Q409,Геокодування!$B$2:$B$361,0))-50.5884)+ABS(INDEX(Геокодування!$D$2:$D$361,MATCH($Q409,Геокодування!$B$2:$B$361,0))-32.3876)&gt;0.15,"",INDEX(Геокодування!$C$2:$C$361,MATCH($Q409,Геокодування!$B$2:$B$361,0))),IFERROR(IF(ABS(INDEX(Геокодування!$C$2:$C$361,MATCH("Прилуки, Чернігівська обл., "&amp;$A409,Геокодування!$B$2:$B$361,0))-50.5884)+ABS(INDEX(Геокодування!$D$2:$D$361,MATCH("Прилуки, Чернігівська обл., "&amp;$A409,Геокодування!$B$2:$B$361,0))-32.3876)&gt;0.15,"",INDEX(Геокодування!$C$2:$C$361,MATCH("Прилуки, Чернігівська обл., "&amp;$A409,Геокодування!$B$2:$B$361,0))),""))))</f>
        <v>50.617652999999997</v>
      </c>
      <c r="S409" s="43">
        <f>IF($O409="","",IFERROR(INDEX('Координати майданчиків'!$I$4:$I$64,MATCH($T409,'Координати майданчиків'!$B$4:$B$64,0)),IFERROR(IF(ABS(INDEX(Геокодування!$C$2:$C$361,MATCH($Q409,Геокодування!$B$2:$B$361,0))-50.5884)+ABS(INDEX(Геокодування!$D$2:$D$361,MATCH($Q409,Геокодування!$B$2:$B$361,0))-32.3876)&gt;0.15,"",INDEX(Геокодування!$D$2:$D$361,MATCH($Q409,Геокодування!$B$2:$B$361,0))),IFERROR(IF(ABS(INDEX(Геокодування!$C$2:$C$361,MATCH("Прилуки, Чернігівська обл., "&amp;$A409,Геокодування!$B$2:$B$361,0))-50.5884)+ABS(INDEX(Геокодування!$D$2:$D$361,MATCH("Прилуки, Чернігівська обл., "&amp;$A409,Геокодування!$B$2:$B$361,0))-32.3876)&gt;0.15,"",INDEX(Геокодування!$D$2:$D$361,MATCH("Прилуки, Чернігівська обл., "&amp;$A409,Геокодування!$B$2:$B$361,0))),""))))</f>
        <v>32.402183999999998</v>
      </c>
      <c r="T409" s="44" t="str">
        <f>IF($O409="","",IFERROR(INDEX('Координати майданчиків'!$B$4:$B$64,MATCH($A409&amp;IF($P409="","",", "&amp;$P409),'Координати майданчиків'!$B$4:$B$64,0)),IFERROR(INDEX('Координати майданчиків'!$B$4:$B$64,MATCH($A409,'Координати майданчиків'!$B$4:$B$64,0)),"")))</f>
        <v/>
      </c>
    </row>
    <row r="410" spans="1:20" x14ac:dyDescent="0.35">
      <c r="A410" s="26" t="str">
        <f t="shared" si="18"/>
        <v>вул. Шевченка</v>
      </c>
      <c r="B410" s="26" t="str">
        <f t="shared" si="19"/>
        <v>Профілакторій</v>
      </c>
      <c r="C410" s="27" t="str" cm="1">
        <f t="array" ref="C410">IF($O410="","",_xlfn.TEXTJOIN(", ",TRUE,IF(EXACT('Дані_зв''язок'!$J$4:$J$1012,$O410)*('Дані_зв''язок'!$C$4:$C$1012=C$4),'Дані_зв''язок'!$D$4:$D$1012,"")))</f>
        <v>14:00</v>
      </c>
      <c r="D410" s="27" t="str" cm="1">
        <f t="array" ref="D410">IF($O410="","",_xlfn.TEXTJOIN(", ",TRUE,IF(EXACT('Дані_зв''язок'!$J$4:$J$1012,$O410)*('Дані_зв''язок'!$C$4:$C$1012=D$4),'Дані_зв''язок'!$D$4:$D$1012,"")))</f>
        <v>10:35</v>
      </c>
      <c r="E410" s="27" t="str" cm="1">
        <f t="array" ref="E410">IF($O410="","",_xlfn.TEXTJOIN(", ",TRUE,IF(EXACT('Дані_зв''язок'!$J$4:$J$1012,$O410)*('Дані_зв''язок'!$C$4:$C$1012=E$4),'Дані_зв''язок'!$D$4:$D$1012,"")))</f>
        <v>13:10</v>
      </c>
      <c r="F410" s="27" t="str" cm="1">
        <f t="array" ref="F410">IF($O410="","",_xlfn.TEXTJOIN(", ",TRUE,IF(EXACT('Дані_зв''язок'!$J$4:$J$1012,$O410)*('Дані_зв''язок'!$C$4:$C$1012=F$4),'Дані_зв''язок'!$D$4:$D$1012,"")))</f>
        <v>10:10</v>
      </c>
      <c r="G410" s="27" t="str" cm="1">
        <f t="array" ref="G410">IF($O410="","",_xlfn.TEXTJOIN(", ",TRUE,IF(EXACT('Дані_зв''язок'!$J$4:$J$1012,$O410)*('Дані_зв''язок'!$C$4:$C$1012=G$4),'Дані_зв''язок'!$D$4:$D$1012,"")))</f>
        <v>9:45</v>
      </c>
      <c r="H410" s="27" t="str" cm="1">
        <f t="array" ref="H410">IF($O410="","",_xlfn.TEXTJOIN(", ",TRUE,IF(EXACT('Дані_зв''язок'!$J$4:$J$1012,$O410)*('Дані_зв''язок'!$C$4:$C$1012=H$4),'Дані_зв''язок'!$D$4:$D$1012,"")))</f>
        <v>10:35</v>
      </c>
      <c r="I410" s="27" t="str" cm="1">
        <f t="array" ref="I410">IF($O410="","",_xlfn.TEXTJOIN(", ",TRUE,IF(EXACT('Дані_зв''язок'!$J$4:$J$1012,$O410)*('Дані_зв''язок'!$C$4:$C$1012=I$4),'Дані_зв''язок'!$D$4:$D$1012,"")))</f>
        <v>10:10</v>
      </c>
      <c r="J410" s="27" cm="1">
        <f t="array" ref="J410">IF($O410="","",COUNTIF(C410:I410,"?*")+SUMPRODUCT(LEN(C410:I410)-LEN(SUBSTITUTE(C410:I410,",",""))))</f>
        <v>7</v>
      </c>
      <c r="K410" s="28" t="str" cm="1">
        <f t="array" ref="K410">IF($O410="","",_xlfn.TEXTJOIN(", ",TRUE,IF(EXACT('Дані_зв''язок'!$J$4:$J$1012,$O410),'Дані_зв''язок'!$L$4:$L$1012,"")))</f>
        <v>№3</v>
      </c>
      <c r="L410" s="28" t="str" cm="1">
        <f t="array" ref="L410">IF($O410="","",_xlfn.TEXTJOIN(", ",TRUE,IF(EXACT('Дані_зв''язок'!$J$4:$J$1012,$O410),'Дані_зв''язок'!$M$4:$M$1012,"")))</f>
        <v>МАЗ-4371, ГАЗ 3309</v>
      </c>
      <c r="M410" s="27" cm="1">
        <f t="array" ref="M410">IF($O410="","",IF(SUMPRODUCT(MAX(EXACT('Дані_зв''язок'!$J$4:$J$1012,$O410)*IFERROR('Дані_зв''язок'!$H$4:$H$1012,0)))=0,"",SUMPRODUCT(MAX(EXACT('Дані_зв''язок'!$J$4:$J$1012,$O410)*IFERROR('Дані_зв''язок'!$H$4:$H$1012,0)))))</f>
        <v>3</v>
      </c>
      <c r="O410" s="30" t="s">
        <v>1529</v>
      </c>
      <c r="P410" s="24" t="str" cm="1">
        <f t="array" ref="P410">IF($O410="","",IF($B410="","",IFERROR(IF(MIN(IFERROR(VALUE(TRIM(MID(SUBSTITUTE(SUBSTITUTE($B410,","," ")," ",REPT(" ",30)),{1;31;61;91;121;151;181},30))),""))=0,"",MIN(IFERROR(VALUE(TRIM(MID(SUBSTITUTE(SUBSTITUTE($B410,","," ")," ",REPT(" ",30)),{1;31;61;91;121;151;181},30))),""))),"")))</f>
        <v/>
      </c>
      <c r="Q410" s="23" t="str">
        <f t="shared" si="20"/>
        <v>Прилуки, Чернігівська обл., вул. Шевченка</v>
      </c>
      <c r="R410" s="69">
        <f>IF($O410="","",IFERROR(INDEX('Координати майданчиків'!$H$4:$H$64,MATCH($T410,'Координати майданчиків'!$B$4:$B$64,0)),IFERROR(IF(ABS(INDEX(Геокодування!$C$2:$C$361,MATCH($Q410,Геокодування!$B$2:$B$361,0))-50.5884)+ABS(INDEX(Геокодування!$D$2:$D$361,MATCH($Q410,Геокодування!$B$2:$B$361,0))-32.3876)&gt;0.15,"",INDEX(Геокодування!$C$2:$C$361,MATCH($Q410,Геокодування!$B$2:$B$361,0))),IFERROR(IF(ABS(INDEX(Геокодування!$C$2:$C$361,MATCH("Прилуки, Чернігівська обл., "&amp;$A410,Геокодування!$B$2:$B$361,0))-50.5884)+ABS(INDEX(Геокодування!$D$2:$D$361,MATCH("Прилуки, Чернігівська обл., "&amp;$A410,Геокодування!$B$2:$B$361,0))-32.3876)&gt;0.15,"",INDEX(Геокодування!$C$2:$C$361,MATCH("Прилуки, Чернігівська обл., "&amp;$A410,Геокодування!$B$2:$B$361,0))),""))))</f>
        <v>50.617652999999997</v>
      </c>
      <c r="S410" s="69">
        <f>IF($O410="","",IFERROR(INDEX('Координати майданчиків'!$I$4:$I$64,MATCH($T410,'Координати майданчиків'!$B$4:$B$64,0)),IFERROR(IF(ABS(INDEX(Геокодування!$C$2:$C$361,MATCH($Q410,Геокодування!$B$2:$B$361,0))-50.5884)+ABS(INDEX(Геокодування!$D$2:$D$361,MATCH($Q410,Геокодування!$B$2:$B$361,0))-32.3876)&gt;0.15,"",INDEX(Геокодування!$D$2:$D$361,MATCH($Q410,Геокодування!$B$2:$B$361,0))),IFERROR(IF(ABS(INDEX(Геокодування!$C$2:$C$361,MATCH("Прилуки, Чернігівська обл., "&amp;$A410,Геокодування!$B$2:$B$361,0))-50.5884)+ABS(INDEX(Геокодування!$D$2:$D$361,MATCH("Прилуки, Чернігівська обл., "&amp;$A410,Геокодування!$B$2:$B$361,0))-32.3876)&gt;0.15,"",INDEX(Геокодування!$D$2:$D$361,MATCH("Прилуки, Чернігівська обл., "&amp;$A410,Геокодування!$B$2:$B$361,0))),""))))</f>
        <v>32.402183999999998</v>
      </c>
      <c r="T410" s="44" t="str">
        <f>IF($O410="","",IFERROR(INDEX('Координати майданчиків'!$B$4:$B$64,MATCH($A410&amp;IF($P410="","",", "&amp;$P410),'Координати майданчиків'!$B$4:$B$64,0)),IFERROR(INDEX('Координати майданчиків'!$B$4:$B$64,MATCH($A410,'Координати майданчиків'!$B$4:$B$64,0)),"")))</f>
        <v/>
      </c>
    </row>
    <row r="411" spans="1:20" x14ac:dyDescent="0.35">
      <c r="A411" s="26" t="str">
        <f t="shared" si="18"/>
        <v>вул. Шкоропада</v>
      </c>
      <c r="B411" s="26" t="str">
        <f t="shared" si="19"/>
        <v/>
      </c>
      <c r="C411" s="27" t="str" cm="1">
        <f t="array" ref="C411">IF($O411="","",_xlfn.TEXTJOIN(", ",TRUE,IF(EXACT('Дані_зв''язок'!$J$4:$J$1012,$O411)*('Дані_зв''язок'!$C$4:$C$1012=C$4),'Дані_зв''язок'!$D$4:$D$1012,"")))</f>
        <v/>
      </c>
      <c r="D411" s="27" t="str" cm="1">
        <f t="array" ref="D411">IF($O411="","",_xlfn.TEXTJOIN(", ",TRUE,IF(EXACT('Дані_зв''язок'!$J$4:$J$1012,$O411)*('Дані_зв''язок'!$C$4:$C$1012=D$4),'Дані_зв''язок'!$D$4:$D$1012,"")))</f>
        <v/>
      </c>
      <c r="E411" s="27" t="str" cm="1">
        <f t="array" ref="E411">IF($O411="","",_xlfn.TEXTJOIN(", ",TRUE,IF(EXACT('Дані_зв''язок'!$J$4:$J$1012,$O411)*('Дані_зв''язок'!$C$4:$C$1012=E$4),'Дані_зв''язок'!$D$4:$D$1012,"")))</f>
        <v>13:30</v>
      </c>
      <c r="F411" s="27" t="str" cm="1">
        <f t="array" ref="F411">IF($O411="","",_xlfn.TEXTJOIN(", ",TRUE,IF(EXACT('Дані_зв''язок'!$J$4:$J$1012,$O411)*('Дані_зв''язок'!$C$4:$C$1012=F$4),'Дані_зв''язок'!$D$4:$D$1012,"")))</f>
        <v/>
      </c>
      <c r="G411" s="27" t="str" cm="1">
        <f t="array" ref="G411">IF($O411="","",_xlfn.TEXTJOIN(", ",TRUE,IF(EXACT('Дані_зв''язок'!$J$4:$J$1012,$O411)*('Дані_зв''язок'!$C$4:$C$1012=G$4),'Дані_зв''язок'!$D$4:$D$1012,"")))</f>
        <v/>
      </c>
      <c r="H411" s="27" t="str" cm="1">
        <f t="array" ref="H411">IF($O411="","",_xlfn.TEXTJOIN(", ",TRUE,IF(EXACT('Дані_зв''язок'!$J$4:$J$1012,$O411)*('Дані_зв''язок'!$C$4:$C$1012=H$4),'Дані_зв''язок'!$D$4:$D$1012,"")))</f>
        <v/>
      </c>
      <c r="I411" s="27" t="str" cm="1">
        <f t="array" ref="I411">IF($O411="","",_xlfn.TEXTJOIN(", ",TRUE,IF(EXACT('Дані_зв''язок'!$J$4:$J$1012,$O411)*('Дані_зв''язок'!$C$4:$C$1012=I$4),'Дані_зв''язок'!$D$4:$D$1012,"")))</f>
        <v/>
      </c>
      <c r="J411" s="27" cm="1">
        <f t="array" ref="J411">IF($O411="","",COUNTIF(C411:I411,"?*")+SUMPRODUCT(LEN(C411:I411)-LEN(SUBSTITUTE(C411:I411,",",""))))</f>
        <v>1</v>
      </c>
      <c r="K411" s="28" t="str" cm="1">
        <f t="array" ref="K411">IF($O411="","",_xlfn.TEXTJOIN(", ",TRUE,IF(EXACT('Дані_зв''язок'!$J$4:$J$1012,$O411),'Дані_зв''язок'!$L$4:$L$1012,"")))</f>
        <v>№5</v>
      </c>
      <c r="L411" s="28" t="str" cm="1">
        <f t="array" ref="L411">IF($O411="","",_xlfn.TEXTJOIN(", ",TRUE,IF(EXACT('Дані_зв''язок'!$J$4:$J$1012,$O411),'Дані_зв''язок'!$M$4:$M$1012,"")))</f>
        <v>МАЗ 4381</v>
      </c>
      <c r="M411" s="27" t="str" cm="1">
        <f t="array" ref="M411">IF($O411="","",IF(SUMPRODUCT(MAX(EXACT('Дані_зв''язок'!$J$4:$J$1012,$O411)*IFERROR('Дані_зв''язок'!$H$4:$H$1012,0)))=0,"",SUMPRODUCT(MAX(EXACT('Дані_зв''язок'!$J$4:$J$1012,$O411)*IFERROR('Дані_зв''язок'!$H$4:$H$1012,0)))))</f>
        <v/>
      </c>
      <c r="O411" s="30" t="s">
        <v>1532</v>
      </c>
      <c r="P411" s="24" t="str" cm="1">
        <f t="array" ref="P411">IF($O411="","",IF($B411="","",IFERROR(IF(MIN(IFERROR(VALUE(TRIM(MID(SUBSTITUTE(SUBSTITUTE($B411,","," ")," ",REPT(" ",30)),{1;31;61;91;121;151;181},30))),""))=0,"",MIN(IFERROR(VALUE(TRIM(MID(SUBSTITUTE(SUBSTITUTE($B411,","," ")," ",REPT(" ",30)),{1;31;61;91;121;151;181},30))),""))),"")))</f>
        <v/>
      </c>
      <c r="Q411" s="23" t="str">
        <f t="shared" si="20"/>
        <v>Прилуки, Чернігівська обл., вул. Шкоропада</v>
      </c>
      <c r="R411" s="35">
        <f>IF($O411="","",IFERROR(INDEX('Координати майданчиків'!$H$4:$H$64,MATCH($T411,'Координати майданчиків'!$B$4:$B$64,0)),IFERROR(IF(ABS(INDEX(Геокодування!$C$2:$C$361,MATCH($Q411,Геокодування!$B$2:$B$361,0))-50.5884)+ABS(INDEX(Геокодування!$D$2:$D$361,MATCH($Q411,Геокодування!$B$2:$B$361,0))-32.3876)&gt;0.15,"",INDEX(Геокодування!$C$2:$C$361,MATCH($Q411,Геокодування!$B$2:$B$361,0))),IFERROR(IF(ABS(INDEX(Геокодування!$C$2:$C$361,MATCH("Прилуки, Чернігівська обл., "&amp;$A411,Геокодування!$B$2:$B$361,0))-50.5884)+ABS(INDEX(Геокодування!$D$2:$D$361,MATCH("Прилуки, Чернігівська обл., "&amp;$A411,Геокодування!$B$2:$B$361,0))-32.3876)&gt;0.15,"",INDEX(Геокодування!$C$2:$C$361,MATCH("Прилуки, Чернігівська обл., "&amp;$A411,Геокодування!$B$2:$B$361,0))),""))))</f>
        <v>50.586787999999999</v>
      </c>
      <c r="S411" s="43">
        <f>IF($O411="","",IFERROR(INDEX('Координати майданчиків'!$I$4:$I$64,MATCH($T411,'Координати майданчиків'!$B$4:$B$64,0)),IFERROR(IF(ABS(INDEX(Геокодування!$C$2:$C$361,MATCH($Q411,Геокодування!$B$2:$B$361,0))-50.5884)+ABS(INDEX(Геокодування!$D$2:$D$361,MATCH($Q411,Геокодування!$B$2:$B$361,0))-32.3876)&gt;0.15,"",INDEX(Геокодування!$D$2:$D$361,MATCH($Q411,Геокодування!$B$2:$B$361,0))),IFERROR(IF(ABS(INDEX(Геокодування!$C$2:$C$361,MATCH("Прилуки, Чернігівська обл., "&amp;$A411,Геокодування!$B$2:$B$361,0))-50.5884)+ABS(INDEX(Геокодування!$D$2:$D$361,MATCH("Прилуки, Чернігівська обл., "&amp;$A411,Геокодування!$B$2:$B$361,0))-32.3876)&gt;0.15,"",INDEX(Геокодування!$D$2:$D$361,MATCH("Прилуки, Чернігівська обл., "&amp;$A411,Геокодування!$B$2:$B$361,0))),""))))</f>
        <v>32.372073999999998</v>
      </c>
      <c r="T411" s="44" t="str">
        <f>IF($O411="","",IFERROR(INDEX('Координати майданчиків'!$B$4:$B$64,MATCH($A411&amp;IF($P411="","",", "&amp;$P411),'Координати майданчиків'!$B$4:$B$64,0)),IFERROR(INDEX('Координати майданчиків'!$B$4:$B$64,MATCH($A411,'Координати майданчиків'!$B$4:$B$64,0)),"")))</f>
        <v/>
      </c>
    </row>
    <row r="412" spans="1:20" x14ac:dyDescent="0.35">
      <c r="A412" s="26" t="str">
        <f t="shared" si="18"/>
        <v>вул. Шкільна</v>
      </c>
      <c r="B412" s="26" t="str">
        <f t="shared" si="19"/>
        <v>2</v>
      </c>
      <c r="C412" s="27" t="str" cm="1">
        <f t="array" ref="C412">IF($O412="","",_xlfn.TEXTJOIN(", ",TRUE,IF(EXACT('Дані_зв''язок'!$J$4:$J$1012,$O412)*('Дані_зв''язок'!$C$4:$C$1012=C$4),'Дані_зв''язок'!$D$4:$D$1012,"")))</f>
        <v/>
      </c>
      <c r="D412" s="27" t="str" cm="1">
        <f t="array" ref="D412">IF($O412="","",_xlfn.TEXTJOIN(", ",TRUE,IF(EXACT('Дані_зв''язок'!$J$4:$J$1012,$O412)*('Дані_зв''язок'!$C$4:$C$1012=D$4),'Дані_зв''язок'!$D$4:$D$1012,"")))</f>
        <v/>
      </c>
      <c r="E412" s="27" t="str" cm="1">
        <f t="array" ref="E412">IF($O412="","",_xlfn.TEXTJOIN(", ",TRUE,IF(EXACT('Дані_зв''язок'!$J$4:$J$1012,$O412)*('Дані_зв''язок'!$C$4:$C$1012=E$4),'Дані_зв''язок'!$D$4:$D$1012,"")))</f>
        <v/>
      </c>
      <c r="F412" s="27" t="str" cm="1">
        <f t="array" ref="F412">IF($O412="","",_xlfn.TEXTJOIN(", ",TRUE,IF(EXACT('Дані_зв''язок'!$J$4:$J$1012,$O412)*('Дані_зв''язок'!$C$4:$C$1012=F$4),'Дані_зв''язок'!$D$4:$D$1012,"")))</f>
        <v/>
      </c>
      <c r="G412" s="27" t="str" cm="1">
        <f t="array" ref="G412">IF($O412="","",_xlfn.TEXTJOIN(", ",TRUE,IF(EXACT('Дані_зв''язок'!$J$4:$J$1012,$O412)*('Дані_зв''язок'!$C$4:$C$1012=G$4),'Дані_зв''язок'!$D$4:$D$1012,"")))</f>
        <v/>
      </c>
      <c r="H412" s="27" t="str" cm="1">
        <f t="array" ref="H412">IF($O412="","",_xlfn.TEXTJOIN(", ",TRUE,IF(EXACT('Дані_зв''язок'!$J$4:$J$1012,$O412)*('Дані_зв''язок'!$C$4:$C$1012=H$4),'Дані_зв''язок'!$D$4:$D$1012,"")))</f>
        <v/>
      </c>
      <c r="I412" s="27" t="str" cm="1">
        <f t="array" ref="I412">IF($O412="","",_xlfn.TEXTJOIN(", ",TRUE,IF(EXACT('Дані_зв''язок'!$J$4:$J$1012,$O412)*('Дані_зв''язок'!$C$4:$C$1012=I$4),'Дані_зв''язок'!$D$4:$D$1012,"")))</f>
        <v>10:35</v>
      </c>
      <c r="J412" s="27" cm="1">
        <f t="array" ref="J412">IF($O412="","",COUNTIF(C412:I412,"?*")+SUMPRODUCT(LEN(C412:I412)-LEN(SUBSTITUTE(C412:I412,",",""))))</f>
        <v>1</v>
      </c>
      <c r="K412" s="28" t="str" cm="1">
        <f t="array" ref="K412">IF($O412="","",_xlfn.TEXTJOIN(", ",TRUE,IF(EXACT('Дані_зв''язок'!$J$4:$J$1012,$O412),'Дані_зв''язок'!$L$4:$L$1012,"")))</f>
        <v>№3</v>
      </c>
      <c r="L412" s="28" t="str" cm="1">
        <f t="array" ref="L412">IF($O412="","",_xlfn.TEXTJOIN(", ",TRUE,IF(EXACT('Дані_зв''язок'!$J$4:$J$1012,$O412),'Дані_зв''язок'!$M$4:$M$1012,"")))</f>
        <v>ГАЗ 3309</v>
      </c>
      <c r="M412" s="27" cm="1">
        <f t="array" ref="M412">IF($O412="","",IF(SUMPRODUCT(MAX(EXACT('Дані_зв''язок'!$J$4:$J$1012,$O412)*IFERROR('Дані_зв''язок'!$H$4:$H$1012,0)))=0,"",SUMPRODUCT(MAX(EXACT('Дані_зв''язок'!$J$4:$J$1012,$O412)*IFERROR('Дані_зв''язок'!$H$4:$H$1012,0)))))</f>
        <v>1</v>
      </c>
      <c r="O412" s="30" t="s">
        <v>1530</v>
      </c>
      <c r="P412" s="24" cm="1">
        <f t="array" ref="P412">IF($O412="","",IF($B412="","",IFERROR(IF(MIN(IFERROR(VALUE(TRIM(MID(SUBSTITUTE(SUBSTITUTE($B412,","," ")," ",REPT(" ",30)),{1;31;61;91;121;151;181},30))),""))=0,"",MIN(IFERROR(VALUE(TRIM(MID(SUBSTITUTE(SUBSTITUTE($B412,","," ")," ",REPT(" ",30)),{1;31;61;91;121;151;181},30))),""))),"")))</f>
        <v>2</v>
      </c>
      <c r="Q412" s="23" t="str">
        <f t="shared" si="20"/>
        <v>Прилуки, Чернігівська обл., вул. Шкільна, 2</v>
      </c>
      <c r="R412" s="35">
        <f>IF($O412="","",IFERROR(INDEX('Координати майданчиків'!$H$4:$H$64,MATCH($T412,'Координати майданчиків'!$B$4:$B$64,0)),IFERROR(IF(ABS(INDEX(Геокодування!$C$2:$C$361,MATCH($Q412,Геокодування!$B$2:$B$361,0))-50.5884)+ABS(INDEX(Геокодування!$D$2:$D$361,MATCH($Q412,Геокодування!$B$2:$B$361,0))-32.3876)&gt;0.15,"",INDEX(Геокодування!$C$2:$C$361,MATCH($Q412,Геокодування!$B$2:$B$361,0))),IFERROR(IF(ABS(INDEX(Геокодування!$C$2:$C$361,MATCH("Прилуки, Чернігівська обл., "&amp;$A412,Геокодування!$B$2:$B$361,0))-50.5884)+ABS(INDEX(Геокодування!$D$2:$D$361,MATCH("Прилуки, Чернігівська обл., "&amp;$A412,Геокодування!$B$2:$B$361,0))-32.3876)&gt;0.15,"",INDEX(Геокодування!$C$2:$C$361,MATCH("Прилуки, Чернігівська обл., "&amp;$A412,Геокодування!$B$2:$B$361,0))),""))))</f>
        <v>50.619903000000001</v>
      </c>
      <c r="S412" s="43">
        <f>IF($O412="","",IFERROR(INDEX('Координати майданчиків'!$I$4:$I$64,MATCH($T412,'Координати майданчиків'!$B$4:$B$64,0)),IFERROR(IF(ABS(INDEX(Геокодування!$C$2:$C$361,MATCH($Q412,Геокодування!$B$2:$B$361,0))-50.5884)+ABS(INDEX(Геокодування!$D$2:$D$361,MATCH($Q412,Геокодування!$B$2:$B$361,0))-32.3876)&gt;0.15,"",INDEX(Геокодування!$D$2:$D$361,MATCH($Q412,Геокодування!$B$2:$B$361,0))),IFERROR(IF(ABS(INDEX(Геокодування!$C$2:$C$361,MATCH("Прилуки, Чернігівська обл., "&amp;$A412,Геокодування!$B$2:$B$361,0))-50.5884)+ABS(INDEX(Геокодування!$D$2:$D$361,MATCH("Прилуки, Чернігівська обл., "&amp;$A412,Геокодування!$B$2:$B$361,0))-32.3876)&gt;0.15,"",INDEX(Геокодування!$D$2:$D$361,MATCH("Прилуки, Чернігівська обл., "&amp;$A412,Геокодування!$B$2:$B$361,0))),""))))</f>
        <v>32.375301</v>
      </c>
      <c r="T412" s="44" t="str">
        <f>IF($O412="","",IFERROR(INDEX('Координати майданчиків'!$B$4:$B$64,MATCH($A412&amp;IF($P412="","",", "&amp;$P412),'Координати майданчиків'!$B$4:$B$64,0)),IFERROR(INDEX('Координати майданчиків'!$B$4:$B$64,MATCH($A412,'Координати майданчиків'!$B$4:$B$64,0)),"")))</f>
        <v/>
      </c>
    </row>
    <row r="413" spans="1:20" x14ac:dyDescent="0.35">
      <c r="A413" s="26" t="str">
        <f t="shared" si="18"/>
        <v>вул. Шкільна</v>
      </c>
      <c r="B413" s="26" t="str">
        <f t="shared" si="19"/>
        <v>23,31  39,45</v>
      </c>
      <c r="C413" s="27" t="str" cm="1">
        <f t="array" ref="C413">IF($O413="","",_xlfn.TEXTJOIN(", ",TRUE,IF(EXACT('Дані_зв''язок'!$J$4:$J$1012,$O413)*('Дані_зв''язок'!$C$4:$C$1012=C$4),'Дані_зв''язок'!$D$4:$D$1012,"")))</f>
        <v/>
      </c>
      <c r="D413" s="27" t="str" cm="1">
        <f t="array" ref="D413">IF($O413="","",_xlfn.TEXTJOIN(", ",TRUE,IF(EXACT('Дані_зв''язок'!$J$4:$J$1012,$O413)*('Дані_зв''язок'!$C$4:$C$1012=D$4),'Дані_зв''язок'!$D$4:$D$1012,"")))</f>
        <v/>
      </c>
      <c r="E413" s="27" t="str" cm="1">
        <f t="array" ref="E413">IF($O413="","",_xlfn.TEXTJOIN(", ",TRUE,IF(EXACT('Дані_зв''язок'!$J$4:$J$1012,$O413)*('Дані_зв''язок'!$C$4:$C$1012=E$4),'Дані_зв''язок'!$D$4:$D$1012,"")))</f>
        <v/>
      </c>
      <c r="F413" s="27" t="str" cm="1">
        <f t="array" ref="F413">IF($O413="","",_xlfn.TEXTJOIN(", ",TRUE,IF(EXACT('Дані_зв''язок'!$J$4:$J$1012,$O413)*('Дані_зв''язок'!$C$4:$C$1012=F$4),'Дані_зв''язок'!$D$4:$D$1012,"")))</f>
        <v/>
      </c>
      <c r="G413" s="27" t="str" cm="1">
        <f t="array" ref="G413">IF($O413="","",_xlfn.TEXTJOIN(", ",TRUE,IF(EXACT('Дані_зв''язок'!$J$4:$J$1012,$O413)*('Дані_зв''язок'!$C$4:$C$1012=G$4),'Дані_зв''язок'!$D$4:$D$1012,"")))</f>
        <v>9:20</v>
      </c>
      <c r="H413" s="27" t="str" cm="1">
        <f t="array" ref="H413">IF($O413="","",_xlfn.TEXTJOIN(", ",TRUE,IF(EXACT('Дані_зв''язок'!$J$4:$J$1012,$O413)*('Дані_зв''язок'!$C$4:$C$1012=H$4),'Дані_зв''язок'!$D$4:$D$1012,"")))</f>
        <v/>
      </c>
      <c r="I413" s="27" t="str" cm="1">
        <f t="array" ref="I413">IF($O413="","",_xlfn.TEXTJOIN(", ",TRUE,IF(EXACT('Дані_зв''язок'!$J$4:$J$1012,$O413)*('Дані_зв''язок'!$C$4:$C$1012=I$4),'Дані_зв''язок'!$D$4:$D$1012,"")))</f>
        <v/>
      </c>
      <c r="J413" s="27" cm="1">
        <f t="array" ref="J413">IF($O413="","",COUNTIF(C413:I413,"?*")+SUMPRODUCT(LEN(C413:I413)-LEN(SUBSTITUTE(C413:I413,",",""))))</f>
        <v>1</v>
      </c>
      <c r="K413" s="28" t="str" cm="1">
        <f t="array" ref="K413">IF($O413="","",_xlfn.TEXTJOIN(", ",TRUE,IF(EXACT('Дані_зв''язок'!$J$4:$J$1012,$O413),'Дані_зв''язок'!$L$4:$L$1012,"")))</f>
        <v>№6</v>
      </c>
      <c r="L413" s="28" t="str" cm="1">
        <f t="array" ref="L413">IF($O413="","",_xlfn.TEXTJOIN(", ",TRUE,IF(EXACT('Дані_зв''язок'!$J$4:$J$1012,$O413),'Дані_зв''язок'!$M$4:$M$1012,"")))</f>
        <v>АТ 4021</v>
      </c>
      <c r="M413" s="27" t="str" cm="1">
        <f t="array" ref="M413">IF($O413="","",IF(SUMPRODUCT(MAX(EXACT('Дані_зв''язок'!$J$4:$J$1012,$O413)*IFERROR('Дані_зв''язок'!$H$4:$H$1012,0)))=0,"",SUMPRODUCT(MAX(EXACT('Дані_зв''язок'!$J$4:$J$1012,$O413)*IFERROR('Дані_зв''язок'!$H$4:$H$1012,0)))))</f>
        <v/>
      </c>
      <c r="O413" s="30" t="s">
        <v>1531</v>
      </c>
      <c r="P413" s="24" cm="1">
        <f t="array" ref="P413">IF($O413="","",IF($B413="","",IFERROR(IF(MIN(IFERROR(VALUE(TRIM(MID(SUBSTITUTE(SUBSTITUTE($B413,","," ")," ",REPT(" ",30)),{1;31;61;91;121;151;181},30))),""))=0,"",MIN(IFERROR(VALUE(TRIM(MID(SUBSTITUTE(SUBSTITUTE($B413,","," ")," ",REPT(" ",30)),{1;31;61;91;121;151;181},30))),""))),"")))</f>
        <v>23</v>
      </c>
      <c r="Q413" s="23" t="str">
        <f t="shared" si="20"/>
        <v>Прилуки, Чернігівська обл., вул. Шкільна, 23</v>
      </c>
      <c r="R413" s="35">
        <f>IF($O413="","",IFERROR(INDEX('Координати майданчиків'!$H$4:$H$64,MATCH($T413,'Координати майданчиків'!$B$4:$B$64,0)),IFERROR(IF(ABS(INDEX(Геокодування!$C$2:$C$361,MATCH($Q413,Геокодування!$B$2:$B$361,0))-50.5884)+ABS(INDEX(Геокодування!$D$2:$D$361,MATCH($Q413,Геокодування!$B$2:$B$361,0))-32.3876)&gt;0.15,"",INDEX(Геокодування!$C$2:$C$361,MATCH($Q413,Геокодування!$B$2:$B$361,0))),IFERROR(IF(ABS(INDEX(Геокодування!$C$2:$C$361,MATCH("Прилуки, Чернігівська обл., "&amp;$A413,Геокодування!$B$2:$B$361,0))-50.5884)+ABS(INDEX(Геокодування!$D$2:$D$361,MATCH("Прилуки, Чернігівська обл., "&amp;$A413,Геокодування!$B$2:$B$361,0))-32.3876)&gt;0.15,"",INDEX(Геокодування!$C$2:$C$361,MATCH("Прилуки, Чернігівська обл., "&amp;$A413,Геокодування!$B$2:$B$361,0))),""))))</f>
        <v>50.619903000000001</v>
      </c>
      <c r="S413" s="43">
        <f>IF($O413="","",IFERROR(INDEX('Координати майданчиків'!$I$4:$I$64,MATCH($T413,'Координати майданчиків'!$B$4:$B$64,0)),IFERROR(IF(ABS(INDEX(Геокодування!$C$2:$C$361,MATCH($Q413,Геокодування!$B$2:$B$361,0))-50.5884)+ABS(INDEX(Геокодування!$D$2:$D$361,MATCH($Q413,Геокодування!$B$2:$B$361,0))-32.3876)&gt;0.15,"",INDEX(Геокодування!$D$2:$D$361,MATCH($Q413,Геокодування!$B$2:$B$361,0))),IFERROR(IF(ABS(INDEX(Геокодування!$C$2:$C$361,MATCH("Прилуки, Чернігівська обл., "&amp;$A413,Геокодування!$B$2:$B$361,0))-50.5884)+ABS(INDEX(Геокодування!$D$2:$D$361,MATCH("Прилуки, Чернігівська обл., "&amp;$A413,Геокодування!$B$2:$B$361,0))-32.3876)&gt;0.15,"",INDEX(Геокодування!$D$2:$D$361,MATCH("Прилуки, Чернігівська обл., "&amp;$A413,Геокодування!$B$2:$B$361,0))),""))))</f>
        <v>32.375301</v>
      </c>
      <c r="T413" s="44" t="str">
        <f>IF($O413="","",IFERROR(INDEX('Координати майданчиків'!$B$4:$B$64,MATCH($A413&amp;IF($P413="","",", "&amp;$P413),'Координати майданчиків'!$B$4:$B$64,0)),IFERROR(INDEX('Координати майданчиків'!$B$4:$B$64,MATCH($A413,'Координати майданчиків'!$B$4:$B$64,0)),"")))</f>
        <v/>
      </c>
    </row>
    <row r="414" spans="1:20" x14ac:dyDescent="0.35">
      <c r="A414" s="26" t="str">
        <f t="shared" si="18"/>
        <v>вул. Ю. Коваленка</v>
      </c>
      <c r="B414" s="26" t="str">
        <f t="shared" si="19"/>
        <v/>
      </c>
      <c r="C414" s="27" t="str" cm="1">
        <f t="array" ref="C414">IF($O414="","",_xlfn.TEXTJOIN(", ",TRUE,IF(EXACT('Дані_зв''язок'!$J$4:$J$1012,$O414)*('Дані_зв''язок'!$C$4:$C$1012=C$4),'Дані_зв''язок'!$D$4:$D$1012,"")))</f>
        <v/>
      </c>
      <c r="D414" s="27" t="str" cm="1">
        <f t="array" ref="D414">IF($O414="","",_xlfn.TEXTJOIN(", ",TRUE,IF(EXACT('Дані_зв''язок'!$J$4:$J$1012,$O414)*('Дані_зв''язок'!$C$4:$C$1012=D$4),'Дані_зв''язок'!$D$4:$D$1012,"")))</f>
        <v/>
      </c>
      <c r="E414" s="27" t="str" cm="1">
        <f t="array" ref="E414">IF($O414="","",_xlfn.TEXTJOIN(", ",TRUE,IF(EXACT('Дані_зв''язок'!$J$4:$J$1012,$O414)*('Дані_зв''язок'!$C$4:$C$1012=E$4),'Дані_зв''язок'!$D$4:$D$1012,"")))</f>
        <v>9:00</v>
      </c>
      <c r="F414" s="27" t="str" cm="1">
        <f t="array" ref="F414">IF($O414="","",_xlfn.TEXTJOIN(", ",TRUE,IF(EXACT('Дані_зв''язок'!$J$4:$J$1012,$O414)*('Дані_зв''язок'!$C$4:$C$1012=F$4),'Дані_зв''язок'!$D$4:$D$1012,"")))</f>
        <v/>
      </c>
      <c r="G414" s="27" t="str" cm="1">
        <f t="array" ref="G414">IF($O414="","",_xlfn.TEXTJOIN(", ",TRUE,IF(EXACT('Дані_зв''язок'!$J$4:$J$1012,$O414)*('Дані_зв''язок'!$C$4:$C$1012=G$4),'Дані_зв''язок'!$D$4:$D$1012,"")))</f>
        <v/>
      </c>
      <c r="H414" s="27" t="str" cm="1">
        <f t="array" ref="H414">IF($O414="","",_xlfn.TEXTJOIN(", ",TRUE,IF(EXACT('Дані_зв''язок'!$J$4:$J$1012,$O414)*('Дані_зв''язок'!$C$4:$C$1012=H$4),'Дані_зв''язок'!$D$4:$D$1012,"")))</f>
        <v/>
      </c>
      <c r="I414" s="27" t="str" cm="1">
        <f t="array" ref="I414">IF($O414="","",_xlfn.TEXTJOIN(", ",TRUE,IF(EXACT('Дані_зв''язок'!$J$4:$J$1012,$O414)*('Дані_зв''язок'!$C$4:$C$1012=I$4),'Дані_зв''язок'!$D$4:$D$1012,"")))</f>
        <v/>
      </c>
      <c r="J414" s="27" cm="1">
        <f t="array" ref="J414">IF($O414="","",COUNTIF(C414:I414,"?*")+SUMPRODUCT(LEN(C414:I414)-LEN(SUBSTITUTE(C414:I414,",",""))))</f>
        <v>1</v>
      </c>
      <c r="K414" s="28" t="str" cm="1">
        <f t="array" ref="K414">IF($O414="","",_xlfn.TEXTJOIN(", ",TRUE,IF(EXACT('Дані_зв''язок'!$J$4:$J$1012,$O414),'Дані_зв''язок'!$L$4:$L$1012,"")))</f>
        <v>№5</v>
      </c>
      <c r="L414" s="28" t="str" cm="1">
        <f t="array" ref="L414">IF($O414="","",_xlfn.TEXTJOIN(", ",TRUE,IF(EXACT('Дані_зв''язок'!$J$4:$J$1012,$O414),'Дані_зв''язок'!$M$4:$M$1012,"")))</f>
        <v>МАЗ 4381</v>
      </c>
      <c r="M414" s="27" t="str" cm="1">
        <f t="array" ref="M414">IF($O414="","",IF(SUMPRODUCT(MAX(EXACT('Дані_зв''язок'!$J$4:$J$1012,$O414)*IFERROR('Дані_зв''язок'!$H$4:$H$1012,0)))=0,"",SUMPRODUCT(MAX(EXACT('Дані_зв''язок'!$J$4:$J$1012,$O414)*IFERROR('Дані_зв''язок'!$H$4:$H$1012,0)))))</f>
        <v/>
      </c>
      <c r="O414" s="30" t="s">
        <v>1533</v>
      </c>
      <c r="P414" s="24" t="str" cm="1">
        <f t="array" ref="P414">IF($O414="","",IF($B414="","",IFERROR(IF(MIN(IFERROR(VALUE(TRIM(MID(SUBSTITUTE(SUBSTITUTE($B414,","," ")," ",REPT(" ",30)),{1;31;61;91;121;151;181},30))),""))=0,"",MIN(IFERROR(VALUE(TRIM(MID(SUBSTITUTE(SUBSTITUTE($B414,","," ")," ",REPT(" ",30)),{1;31;61;91;121;151;181},30))),""))),"")))</f>
        <v/>
      </c>
      <c r="Q414" s="23" t="str">
        <f t="shared" si="20"/>
        <v>Прилуки, Чернігівська обл., вул. Ю. Коваленка</v>
      </c>
      <c r="R414" s="35">
        <f>IF($O414="","",IFERROR(INDEX('Координати майданчиків'!$H$4:$H$64,MATCH($T414,'Координати майданчиків'!$B$4:$B$64,0)),IFERROR(IF(ABS(INDEX(Геокодування!$C$2:$C$361,MATCH($Q414,Геокодування!$B$2:$B$361,0))-50.5884)+ABS(INDEX(Геокодування!$D$2:$D$361,MATCH($Q414,Геокодування!$B$2:$B$361,0))-32.3876)&gt;0.15,"",INDEX(Геокодування!$C$2:$C$361,MATCH($Q414,Геокодування!$B$2:$B$361,0))),IFERROR(IF(ABS(INDEX(Геокодування!$C$2:$C$361,MATCH("Прилуки, Чернігівська обл., "&amp;$A414,Геокодування!$B$2:$B$361,0))-50.5884)+ABS(INDEX(Геокодування!$D$2:$D$361,MATCH("Прилуки, Чернігівська обл., "&amp;$A414,Геокодування!$B$2:$B$361,0))-32.3876)&gt;0.15,"",INDEX(Геокодування!$C$2:$C$361,MATCH("Прилуки, Чернігівська обл., "&amp;$A414,Геокодування!$B$2:$B$361,0))),""))))</f>
        <v>50.602038999999998</v>
      </c>
      <c r="S414" s="43">
        <f>IF($O414="","",IFERROR(INDEX('Координати майданчиків'!$I$4:$I$64,MATCH($T414,'Координати майданчиків'!$B$4:$B$64,0)),IFERROR(IF(ABS(INDEX(Геокодування!$C$2:$C$361,MATCH($Q414,Геокодування!$B$2:$B$361,0))-50.5884)+ABS(INDEX(Геокодування!$D$2:$D$361,MATCH($Q414,Геокодування!$B$2:$B$361,0))-32.3876)&gt;0.15,"",INDEX(Геокодування!$D$2:$D$361,MATCH($Q414,Геокодування!$B$2:$B$361,0))),IFERROR(IF(ABS(INDEX(Геокодування!$C$2:$C$361,MATCH("Прилуки, Чернігівська обл., "&amp;$A414,Геокодування!$B$2:$B$361,0))-50.5884)+ABS(INDEX(Геокодування!$D$2:$D$361,MATCH("Прилуки, Чернігівська обл., "&amp;$A414,Геокодування!$B$2:$B$361,0))-32.3876)&gt;0.15,"",INDEX(Геокодування!$D$2:$D$361,MATCH("Прилуки, Чернігівська обл., "&amp;$A414,Геокодування!$B$2:$B$361,0))),""))))</f>
        <v>32.327446999999999</v>
      </c>
      <c r="T414" s="44" t="str">
        <f>IF($O414="","",IFERROR(INDEX('Координати майданчиків'!$B$4:$B$64,MATCH($A414&amp;IF($P414="","",", "&amp;$P414),'Координати майданчиків'!$B$4:$B$64,0)),IFERROR(INDEX('Координати майданчиків'!$B$4:$B$64,MATCH($A414,'Координати майданчиків'!$B$4:$B$64,0)),"")))</f>
        <v/>
      </c>
    </row>
    <row r="415" spans="1:20" x14ac:dyDescent="0.35">
      <c r="A415" s="26" t="str">
        <f t="shared" si="18"/>
        <v>вул. Ю. Мірюти</v>
      </c>
      <c r="B415" s="26" t="str">
        <f t="shared" si="19"/>
        <v>30</v>
      </c>
      <c r="C415" s="27" t="str" cm="1">
        <f t="array" ref="C415">IF($O415="","",_xlfn.TEXTJOIN(", ",TRUE,IF(EXACT('Дані_зв''язок'!$J$4:$J$1012,$O415)*('Дані_зв''язок'!$C$4:$C$1012=C$4),'Дані_зв''язок'!$D$4:$D$1012,"")))</f>
        <v>×</v>
      </c>
      <c r="D415" s="27" t="str" cm="1">
        <f t="array" ref="D415">IF($O415="","",_xlfn.TEXTJOIN(", ",TRUE,IF(EXACT('Дані_зв''язок'!$J$4:$J$1012,$O415)*('Дані_зв''язок'!$C$4:$C$1012=D$4),'Дані_зв''язок'!$D$4:$D$1012,"")))</f>
        <v/>
      </c>
      <c r="E415" s="27" t="str" cm="1">
        <f t="array" ref="E415">IF($O415="","",_xlfn.TEXTJOIN(", ",TRUE,IF(EXACT('Дані_зв''язок'!$J$4:$J$1012,$O415)*('Дані_зв''язок'!$C$4:$C$1012=E$4),'Дані_зв''язок'!$D$4:$D$1012,"")))</f>
        <v/>
      </c>
      <c r="F415" s="27" t="str" cm="1">
        <f t="array" ref="F415">IF($O415="","",_xlfn.TEXTJOIN(", ",TRUE,IF(EXACT('Дані_зв''язок'!$J$4:$J$1012,$O415)*('Дані_зв''язок'!$C$4:$C$1012=F$4),'Дані_зв''язок'!$D$4:$D$1012,"")))</f>
        <v/>
      </c>
      <c r="G415" s="27" t="str" cm="1">
        <f t="array" ref="G415">IF($O415="","",_xlfn.TEXTJOIN(", ",TRUE,IF(EXACT('Дані_зв''язок'!$J$4:$J$1012,$O415)*('Дані_зв''язок'!$C$4:$C$1012=G$4),'Дані_зв''язок'!$D$4:$D$1012,"")))</f>
        <v/>
      </c>
      <c r="H415" s="27" t="str" cm="1">
        <f t="array" ref="H415">IF($O415="","",_xlfn.TEXTJOIN(", ",TRUE,IF(EXACT('Дані_зв''язок'!$J$4:$J$1012,$O415)*('Дані_зв''язок'!$C$4:$C$1012=H$4),'Дані_зв''язок'!$D$4:$D$1012,"")))</f>
        <v/>
      </c>
      <c r="I415" s="27" t="str" cm="1">
        <f t="array" ref="I415">IF($O415="","",_xlfn.TEXTJOIN(", ",TRUE,IF(EXACT('Дані_зв''язок'!$J$4:$J$1012,$O415)*('Дані_зв''язок'!$C$4:$C$1012=I$4),'Дані_зв''язок'!$D$4:$D$1012,"")))</f>
        <v/>
      </c>
      <c r="J415" s="27" cm="1">
        <f t="array" ref="J415">IF($O415="","",COUNTIF(C415:I415,"?*")+SUMPRODUCT(LEN(C415:I415)-LEN(SUBSTITUTE(C415:I415,",",""))))</f>
        <v>1</v>
      </c>
      <c r="K415" s="28" t="str" cm="1">
        <f t="array" ref="K415">IF($O415="","",_xlfn.TEXTJOIN(", ",TRUE,IF(EXACT('Дані_зв''язок'!$J$4:$J$1012,$O415),'Дані_зв''язок'!$L$4:$L$1012,"")))</f>
        <v>№2 (ВГВ)</v>
      </c>
      <c r="L415" s="28" t="str" cm="1">
        <f t="array" ref="L415">IF($O415="","",_xlfn.TEXTJOIN(", ",TRUE,IF(EXACT('Дані_зв''язок'!$J$4:$J$1012,$O415),'Дані_зв''язок'!$M$4:$M$1012,"")))</f>
        <v>Рено Лендер</v>
      </c>
      <c r="M415" s="27" t="str" cm="1">
        <f t="array" ref="M415">IF($O415="","",IF(SUMPRODUCT(MAX(EXACT('Дані_зв''язок'!$J$4:$J$1012,$O415)*IFERROR('Дані_зв''язок'!$H$4:$H$1012,0)))=0,"",SUMPRODUCT(MAX(EXACT('Дані_зв''язок'!$J$4:$J$1012,$O415)*IFERROR('Дані_зв''язок'!$H$4:$H$1012,0)))))</f>
        <v/>
      </c>
      <c r="O415" s="30" t="s">
        <v>1534</v>
      </c>
      <c r="P415" s="24" cm="1">
        <f t="array" ref="P415">IF($O415="","",IF($B415="","",IFERROR(IF(MIN(IFERROR(VALUE(TRIM(MID(SUBSTITUTE(SUBSTITUTE($B415,","," ")," ",REPT(" ",30)),{1;31;61;91;121;151;181},30))),""))=0,"",MIN(IFERROR(VALUE(TRIM(MID(SUBSTITUTE(SUBSTITUTE($B415,","," ")," ",REPT(" ",30)),{1;31;61;91;121;151;181},30))),""))),"")))</f>
        <v>30</v>
      </c>
      <c r="Q415" s="23" t="str">
        <f t="shared" si="20"/>
        <v>Прилуки, Чернігівська обл., вул. Ю. Мірюти, 30</v>
      </c>
      <c r="R415" s="35">
        <f>IF($O415="","",IFERROR(INDEX('Координати майданчиків'!$H$4:$H$64,MATCH($T415,'Координати майданчиків'!$B$4:$B$64,0)),IFERROR(IF(ABS(INDEX(Геокодування!$C$2:$C$361,MATCH($Q415,Геокодування!$B$2:$B$361,0))-50.5884)+ABS(INDEX(Геокодування!$D$2:$D$361,MATCH($Q415,Геокодування!$B$2:$B$361,0))-32.3876)&gt;0.15,"",INDEX(Геокодування!$C$2:$C$361,MATCH($Q415,Геокодування!$B$2:$B$361,0))),IFERROR(IF(ABS(INDEX(Геокодування!$C$2:$C$361,MATCH("Прилуки, Чернігівська обл., "&amp;$A415,Геокодування!$B$2:$B$361,0))-50.5884)+ABS(INDEX(Геокодування!$D$2:$D$361,MATCH("Прилуки, Чернігівська обл., "&amp;$A415,Геокодування!$B$2:$B$361,0))-32.3876)&gt;0.15,"",INDEX(Геокодування!$C$2:$C$361,MATCH("Прилуки, Чернігівська обл., "&amp;$A415,Геокодування!$B$2:$B$361,0))),""))))</f>
        <v>50.599789999999999</v>
      </c>
      <c r="S415" s="43">
        <f>IF($O415="","",IFERROR(INDEX('Координати майданчиків'!$I$4:$I$64,MATCH($T415,'Координати майданчиків'!$B$4:$B$64,0)),IFERROR(IF(ABS(INDEX(Геокодування!$C$2:$C$361,MATCH($Q415,Геокодування!$B$2:$B$361,0))-50.5884)+ABS(INDEX(Геокодування!$D$2:$D$361,MATCH($Q415,Геокодування!$B$2:$B$361,0))-32.3876)&gt;0.15,"",INDEX(Геокодування!$D$2:$D$361,MATCH($Q415,Геокодування!$B$2:$B$361,0))),IFERROR(IF(ABS(INDEX(Геокодування!$C$2:$C$361,MATCH("Прилуки, Чернігівська обл., "&amp;$A415,Геокодування!$B$2:$B$361,0))-50.5884)+ABS(INDEX(Геокодування!$D$2:$D$361,MATCH("Прилуки, Чернігівська обл., "&amp;$A415,Геокодування!$B$2:$B$361,0))-32.3876)&gt;0.15,"",INDEX(Геокодування!$D$2:$D$361,MATCH("Прилуки, Чернігівська обл., "&amp;$A415,Геокодування!$B$2:$B$361,0))),""))))</f>
        <v>32.331249999999997</v>
      </c>
      <c r="T415" s="44" t="str">
        <f>IF($O415="","",IFERROR(INDEX('Координати майданчиків'!$B$4:$B$64,MATCH($A415&amp;IF($P415="","",", "&amp;$P415),'Координати майданчиків'!$B$4:$B$64,0)),IFERROR(INDEX('Координати майданчиків'!$B$4:$B$64,MATCH($A415,'Координати майданчиків'!$B$4:$B$64,0)),"")))</f>
        <v>вул. Ю. Мірюти, 30</v>
      </c>
    </row>
    <row r="416" spans="1:20" x14ac:dyDescent="0.35">
      <c r="A416" s="26" t="str">
        <f t="shared" si="18"/>
        <v>вул. Ю. Мірюти</v>
      </c>
      <c r="B416" s="26" t="str">
        <f t="shared" si="19"/>
        <v>АЗС</v>
      </c>
      <c r="C416" s="27" t="str" cm="1">
        <f t="array" ref="C416">IF($O416="","",_xlfn.TEXTJOIN(", ",TRUE,IF(EXACT('Дані_зв''язок'!$J$4:$J$1012,$O416)*('Дані_зв''язок'!$C$4:$C$1012=C$4),'Дані_зв''язок'!$D$4:$D$1012,"")))</f>
        <v>10:15</v>
      </c>
      <c r="D416" s="27" t="str" cm="1">
        <f t="array" ref="D416">IF($O416="","",_xlfn.TEXTJOIN(", ",TRUE,IF(EXACT('Дані_зв''язок'!$J$4:$J$1012,$O416)*('Дані_зв''язок'!$C$4:$C$1012=D$4),'Дані_зв''язок'!$D$4:$D$1012,"")))</f>
        <v/>
      </c>
      <c r="E416" s="27" t="str" cm="1">
        <f t="array" ref="E416">IF($O416="","",_xlfn.TEXTJOIN(", ",TRUE,IF(EXACT('Дані_зв''язок'!$J$4:$J$1012,$O416)*('Дані_зв''язок'!$C$4:$C$1012=E$4),'Дані_зв''язок'!$D$4:$D$1012,"")))</f>
        <v/>
      </c>
      <c r="F416" s="27" t="str" cm="1">
        <f t="array" ref="F416">IF($O416="","",_xlfn.TEXTJOIN(", ",TRUE,IF(EXACT('Дані_зв''язок'!$J$4:$J$1012,$O416)*('Дані_зв''язок'!$C$4:$C$1012=F$4),'Дані_зв''язок'!$D$4:$D$1012,"")))</f>
        <v/>
      </c>
      <c r="G416" s="27" t="str" cm="1">
        <f t="array" ref="G416">IF($O416="","",_xlfn.TEXTJOIN(", ",TRUE,IF(EXACT('Дані_зв''язок'!$J$4:$J$1012,$O416)*('Дані_зв''язок'!$C$4:$C$1012=G$4),'Дані_зв''язок'!$D$4:$D$1012,"")))</f>
        <v/>
      </c>
      <c r="H416" s="27" t="str" cm="1">
        <f t="array" ref="H416">IF($O416="","",_xlfn.TEXTJOIN(", ",TRUE,IF(EXACT('Дані_зв''язок'!$J$4:$J$1012,$O416)*('Дані_зв''язок'!$C$4:$C$1012=H$4),'Дані_зв''язок'!$D$4:$D$1012,"")))</f>
        <v/>
      </c>
      <c r="I416" s="27" t="str" cm="1">
        <f t="array" ref="I416">IF($O416="","",_xlfn.TEXTJOIN(", ",TRUE,IF(EXACT('Дані_зв''язок'!$J$4:$J$1012,$O416)*('Дані_зв''язок'!$C$4:$C$1012=I$4),'Дані_зв''язок'!$D$4:$D$1012,"")))</f>
        <v/>
      </c>
      <c r="J416" s="27" cm="1">
        <f t="array" ref="J416">IF($O416="","",COUNTIF(C416:I416,"?*")+SUMPRODUCT(LEN(C416:I416)-LEN(SUBSTITUTE(C416:I416,",",""))))</f>
        <v>1</v>
      </c>
      <c r="K416" s="28" t="str" cm="1">
        <f t="array" ref="K416">IF($O416="","",_xlfn.TEXTJOIN(", ",TRUE,IF(EXACT('Дані_зв''язок'!$J$4:$J$1012,$O416),'Дані_зв''язок'!$L$4:$L$1012,"")))</f>
        <v>№1</v>
      </c>
      <c r="L416" s="28" t="str" cm="1">
        <f t="array" ref="L416">IF($O416="","",_xlfn.TEXTJOIN(", ",TRUE,IF(EXACT('Дані_зв''язок'!$J$4:$J$1012,$O416),'Дані_зв''язок'!$M$4:$M$1012,"")))</f>
        <v>АТ-4021/1120</v>
      </c>
      <c r="M416" s="27" cm="1">
        <f t="array" ref="M416">IF($O416="","",IF(SUMPRODUCT(MAX(EXACT('Дані_зв''язок'!$J$4:$J$1012,$O416)*IFERROR('Дані_зв''язок'!$H$4:$H$1012,0)))=0,"",SUMPRODUCT(MAX(EXACT('Дані_зв''язок'!$J$4:$J$1012,$O416)*IFERROR('Дані_зв''язок'!$H$4:$H$1012,0)))))</f>
        <v>1</v>
      </c>
      <c r="O416" s="30" t="s">
        <v>1535</v>
      </c>
      <c r="P416" s="24" t="str" cm="1">
        <f t="array" ref="P416">IF($O416="","",IF($B416="","",IFERROR(IF(MIN(IFERROR(VALUE(TRIM(MID(SUBSTITUTE(SUBSTITUTE($B416,","," ")," ",REPT(" ",30)),{1;31;61;91;121;151;181},30))),""))=0,"",MIN(IFERROR(VALUE(TRIM(MID(SUBSTITUTE(SUBSTITUTE($B416,","," ")," ",REPT(" ",30)),{1;31;61;91;121;151;181},30))),""))),"")))</f>
        <v/>
      </c>
      <c r="Q416" s="23" t="str">
        <f t="shared" si="20"/>
        <v>Прилуки, Чернігівська обл., вул. Ю. Мірюти</v>
      </c>
      <c r="R416" s="69">
        <f>IF($O416="","",IFERROR(INDEX('Координати майданчиків'!$H$4:$H$64,MATCH($T416,'Координати майданчиків'!$B$4:$B$64,0)),IFERROR(IF(ABS(INDEX(Геокодування!$C$2:$C$361,MATCH($Q416,Геокодування!$B$2:$B$361,0))-50.5884)+ABS(INDEX(Геокодування!$D$2:$D$361,MATCH($Q416,Геокодування!$B$2:$B$361,0))-32.3876)&gt;0.15,"",INDEX(Геокодування!$C$2:$C$361,MATCH($Q416,Геокодування!$B$2:$B$361,0))),IFERROR(IF(ABS(INDEX(Геокодування!$C$2:$C$361,MATCH("Прилуки, Чернігівська обл., "&amp;$A416,Геокодування!$B$2:$B$361,0))-50.5884)+ABS(INDEX(Геокодування!$D$2:$D$361,MATCH("Прилуки, Чернігівська обл., "&amp;$A416,Геокодування!$B$2:$B$361,0))-32.3876)&gt;0.15,"",INDEX(Геокодування!$C$2:$C$361,MATCH("Прилуки, Чернігівська обл., "&amp;$A416,Геокодування!$B$2:$B$361,0))),""))))</f>
        <v>50.603310999999998</v>
      </c>
      <c r="S416" s="69">
        <f>IF($O416="","",IFERROR(INDEX('Координати майданчиків'!$I$4:$I$64,MATCH($T416,'Координати майданчиків'!$B$4:$B$64,0)),IFERROR(IF(ABS(INDEX(Геокодування!$C$2:$C$361,MATCH($Q416,Геокодування!$B$2:$B$361,0))-50.5884)+ABS(INDEX(Геокодування!$D$2:$D$361,MATCH($Q416,Геокодування!$B$2:$B$361,0))-32.3876)&gt;0.15,"",INDEX(Геокодування!$D$2:$D$361,MATCH($Q416,Геокодування!$B$2:$B$361,0))),IFERROR(IF(ABS(INDEX(Геокодування!$C$2:$C$361,MATCH("Прилуки, Чернігівська обл., "&amp;$A416,Геокодування!$B$2:$B$361,0))-50.5884)+ABS(INDEX(Геокодування!$D$2:$D$361,MATCH("Прилуки, Чернігівська обл., "&amp;$A416,Геокодування!$B$2:$B$361,0))-32.3876)&gt;0.15,"",INDEX(Геокодування!$D$2:$D$361,MATCH("Прилуки, Чернігівська обл., "&amp;$A416,Геокодування!$B$2:$B$361,0))),""))))</f>
        <v>32.328349000000003</v>
      </c>
      <c r="T416" s="44" t="str">
        <f>IF($O416="","",IFERROR(INDEX('Координати майданчиків'!$B$4:$B$64,MATCH($A416&amp;IF($P416="","",", "&amp;$P416),'Координати майданчиків'!$B$4:$B$64,0)),IFERROR(INDEX('Координати майданчиків'!$B$4:$B$64,MATCH($A416,'Координати майданчиків'!$B$4:$B$64,0)),"")))</f>
        <v/>
      </c>
    </row>
    <row r="417" spans="1:20" x14ac:dyDescent="0.35">
      <c r="A417" s="26" t="str">
        <f t="shared" si="18"/>
        <v>вул. Ю. Мірюти</v>
      </c>
      <c r="B417" s="26" t="str">
        <f t="shared" si="19"/>
        <v>котельня</v>
      </c>
      <c r="C417" s="27" t="str" cm="1">
        <f t="array" ref="C417">IF($O417="","",_xlfn.TEXTJOIN(", ",TRUE,IF(EXACT('Дані_зв''язок'!$J$4:$J$1012,$O417)*('Дані_зв''язок'!$C$4:$C$1012=C$4),'Дані_зв''язок'!$D$4:$D$1012,"")))</f>
        <v>12:50</v>
      </c>
      <c r="D417" s="27" t="str" cm="1">
        <f t="array" ref="D417">IF($O417="","",_xlfn.TEXTJOIN(", ",TRUE,IF(EXACT('Дані_зв''язок'!$J$4:$J$1012,$O417)*('Дані_зв''язок'!$C$4:$C$1012=D$4),'Дані_зв''язок'!$D$4:$D$1012,"")))</f>
        <v>12:15</v>
      </c>
      <c r="E417" s="27" t="str" cm="1">
        <f t="array" ref="E417">IF($O417="","",_xlfn.TEXTJOIN(", ",TRUE,IF(EXACT('Дані_зв''язок'!$J$4:$J$1012,$O417)*('Дані_зв''язок'!$C$4:$C$1012=E$4),'Дані_зв''язок'!$D$4:$D$1012,"")))</f>
        <v>10:15</v>
      </c>
      <c r="F417" s="27" t="str" cm="1">
        <f t="array" ref="F417">IF($O417="","",_xlfn.TEXTJOIN(", ",TRUE,IF(EXACT('Дані_зв''язок'!$J$4:$J$1012,$O417)*('Дані_зв''язок'!$C$4:$C$1012=F$4),'Дані_зв''язок'!$D$4:$D$1012,"")))</f>
        <v>12:35</v>
      </c>
      <c r="G417" s="27" t="str" cm="1">
        <f t="array" ref="G417">IF($O417="","",_xlfn.TEXTJOIN(", ",TRUE,IF(EXACT('Дані_зв''язок'!$J$4:$J$1012,$O417)*('Дані_зв''язок'!$C$4:$C$1012=G$4),'Дані_зв''язок'!$D$4:$D$1012,"")))</f>
        <v>12:50</v>
      </c>
      <c r="H417" s="27" t="str" cm="1">
        <f t="array" ref="H417">IF($O417="","",_xlfn.TEXTJOIN(", ",TRUE,IF(EXACT('Дані_зв''язок'!$J$4:$J$1012,$O417)*('Дані_зв''язок'!$C$4:$C$1012=H$4),'Дані_зв''язок'!$D$4:$D$1012,"")))</f>
        <v>10:15</v>
      </c>
      <c r="I417" s="27" t="str" cm="1">
        <f t="array" ref="I417">IF($O417="","",_xlfn.TEXTJOIN(", ",TRUE,IF(EXACT('Дані_зв''язок'!$J$4:$J$1012,$O417)*('Дані_зв''язок'!$C$4:$C$1012=I$4),'Дані_зв''язок'!$D$4:$D$1012,"")))</f>
        <v>13:10</v>
      </c>
      <c r="J417" s="27" cm="1">
        <f t="array" ref="J417">IF($O417="","",COUNTIF(C417:I417,"?*")+SUMPRODUCT(LEN(C417:I417)-LEN(SUBSTITUTE(C417:I417,",",""))))</f>
        <v>7</v>
      </c>
      <c r="K417" s="28" t="str" cm="1">
        <f t="array" ref="K417">IF($O417="","",_xlfn.TEXTJOIN(", ",TRUE,IF(EXACT('Дані_зв''язок'!$J$4:$J$1012,$O417),'Дані_зв''язок'!$L$4:$L$1012,"")))</f>
        <v>№4</v>
      </c>
      <c r="L417" s="28" t="str" cm="1">
        <f t="array" ref="L417">IF($O417="","",_xlfn.TEXTJOIN(", ",TRUE,IF(EXACT('Дані_зв''язок'!$J$4:$J$1012,$O417),'Дані_зв''язок'!$M$4:$M$1012,"")))</f>
        <v>АТ 40-42/ROD21003, ГАЗ 3309</v>
      </c>
      <c r="M417" s="27" cm="1">
        <f t="array" ref="M417">IF($O417="","",IF(SUMPRODUCT(MAX(EXACT('Дані_зв''язок'!$J$4:$J$1012,$O417)*IFERROR('Дані_зв''язок'!$H$4:$H$1012,0)))=0,"",SUMPRODUCT(MAX(EXACT('Дані_зв''язок'!$J$4:$J$1012,$O417)*IFERROR('Дані_зв''язок'!$H$4:$H$1012,0)))))</f>
        <v>4</v>
      </c>
      <c r="O417" s="30" t="s">
        <v>1537</v>
      </c>
      <c r="P417" s="24" t="str" cm="1">
        <f t="array" ref="P417">IF($O417="","",IF($B417="","",IFERROR(IF(MIN(IFERROR(VALUE(TRIM(MID(SUBSTITUTE(SUBSTITUTE($B417,","," ")," ",REPT(" ",30)),{1;31;61;91;121;151;181},30))),""))=0,"",MIN(IFERROR(VALUE(TRIM(MID(SUBSTITUTE(SUBSTITUTE($B417,","," ")," ",REPT(" ",30)),{1;31;61;91;121;151;181},30))),""))),"")))</f>
        <v/>
      </c>
      <c r="Q417" s="23" t="str">
        <f t="shared" si="20"/>
        <v>Прилуки, Чернігівська обл., вул. Ю. Мірюти</v>
      </c>
      <c r="R417" s="69">
        <f>IF($O417="","",IFERROR(INDEX('Координати майданчиків'!$H$4:$H$64,MATCH($T417,'Координати майданчиків'!$B$4:$B$64,0)),IFERROR(IF(ABS(INDEX(Геокодування!$C$2:$C$361,MATCH($Q417,Геокодування!$B$2:$B$361,0))-50.5884)+ABS(INDEX(Геокодування!$D$2:$D$361,MATCH($Q417,Геокодування!$B$2:$B$361,0))-32.3876)&gt;0.15,"",INDEX(Геокодування!$C$2:$C$361,MATCH($Q417,Геокодування!$B$2:$B$361,0))),IFERROR(IF(ABS(INDEX(Геокодування!$C$2:$C$361,MATCH("Прилуки, Чернігівська обл., "&amp;$A417,Геокодування!$B$2:$B$361,0))-50.5884)+ABS(INDEX(Геокодування!$D$2:$D$361,MATCH("Прилуки, Чернігівська обл., "&amp;$A417,Геокодування!$B$2:$B$361,0))-32.3876)&gt;0.15,"",INDEX(Геокодування!$C$2:$C$361,MATCH("Прилуки, Чернігівська обл., "&amp;$A417,Геокодування!$B$2:$B$361,0))),""))))</f>
        <v>50.603310999999998</v>
      </c>
      <c r="S417" s="69">
        <f>IF($O417="","",IFERROR(INDEX('Координати майданчиків'!$I$4:$I$64,MATCH($T417,'Координати майданчиків'!$B$4:$B$64,0)),IFERROR(IF(ABS(INDEX(Геокодування!$C$2:$C$361,MATCH($Q417,Геокодування!$B$2:$B$361,0))-50.5884)+ABS(INDEX(Геокодування!$D$2:$D$361,MATCH($Q417,Геокодування!$B$2:$B$361,0))-32.3876)&gt;0.15,"",INDEX(Геокодування!$D$2:$D$361,MATCH($Q417,Геокодування!$B$2:$B$361,0))),IFERROR(IF(ABS(INDEX(Геокодування!$C$2:$C$361,MATCH("Прилуки, Чернігівська обл., "&amp;$A417,Геокодування!$B$2:$B$361,0))-50.5884)+ABS(INDEX(Геокодування!$D$2:$D$361,MATCH("Прилуки, Чернігівська обл., "&amp;$A417,Геокодування!$B$2:$B$361,0))-32.3876)&gt;0.15,"",INDEX(Геокодування!$D$2:$D$361,MATCH("Прилуки, Чернігівська обл., "&amp;$A417,Геокодування!$B$2:$B$361,0))),""))))</f>
        <v>32.328349000000003</v>
      </c>
      <c r="T417" s="44" t="str">
        <f>IF($O417="","",IFERROR(INDEX('Координати майданчиків'!$B$4:$B$64,MATCH($A417&amp;IF($P417="","",", "&amp;$P417),'Координати майданчиків'!$B$4:$B$64,0)),IFERROR(INDEX('Координати майданчиків'!$B$4:$B$64,MATCH($A417,'Координати майданчиків'!$B$4:$B$64,0)),"")))</f>
        <v/>
      </c>
    </row>
    <row r="418" spans="1:20" x14ac:dyDescent="0.35">
      <c r="A418" s="26" t="str">
        <f t="shared" si="18"/>
        <v>вул. Ю. Мірюти</v>
      </c>
      <c r="B418" s="26" t="str">
        <f t="shared" si="19"/>
        <v>кінцева зупинка</v>
      </c>
      <c r="C418" s="27" t="str" cm="1">
        <f t="array" ref="C418">IF($O418="","",_xlfn.TEXTJOIN(", ",TRUE,IF(EXACT('Дані_зв''язок'!$J$4:$J$1012,$O418)*('Дані_зв''язок'!$C$4:$C$1012=C$4),'Дані_зв''язок'!$D$4:$D$1012,"")))</f>
        <v>8:45</v>
      </c>
      <c r="D418" s="27" t="str" cm="1">
        <f t="array" ref="D418">IF($O418="","",_xlfn.TEXTJOIN(", ",TRUE,IF(EXACT('Дані_зв''язок'!$J$4:$J$1012,$O418)*('Дані_зв''язок'!$C$4:$C$1012=D$4),'Дані_зв''язок'!$D$4:$D$1012,"")))</f>
        <v>8:45</v>
      </c>
      <c r="E418" s="27" t="str" cm="1">
        <f t="array" ref="E418">IF($O418="","",_xlfn.TEXTJOIN(", ",TRUE,IF(EXACT('Дані_зв''язок'!$J$4:$J$1012,$O418)*('Дані_зв''язок'!$C$4:$C$1012=E$4),'Дані_зв''язок'!$D$4:$D$1012,"")))</f>
        <v>8:45</v>
      </c>
      <c r="F418" s="27" t="str" cm="1">
        <f t="array" ref="F418">IF($O418="","",_xlfn.TEXTJOIN(", ",TRUE,IF(EXACT('Дані_зв''язок'!$J$4:$J$1012,$O418)*('Дані_зв''язок'!$C$4:$C$1012=F$4),'Дані_зв''язок'!$D$4:$D$1012,"")))</f>
        <v>14:10</v>
      </c>
      <c r="G418" s="27" t="str" cm="1">
        <f t="array" ref="G418">IF($O418="","",_xlfn.TEXTJOIN(", ",TRUE,IF(EXACT('Дані_зв''язок'!$J$4:$J$1012,$O418)*('Дані_зв''язок'!$C$4:$C$1012=G$4),'Дані_зв''язок'!$D$4:$D$1012,"")))</f>
        <v>8:45</v>
      </c>
      <c r="H418" s="27" t="str" cm="1">
        <f t="array" ref="H418">IF($O418="","",_xlfn.TEXTJOIN(", ",TRUE,IF(EXACT('Дані_зв''язок'!$J$4:$J$1012,$O418)*('Дані_зв''язок'!$C$4:$C$1012=H$4),'Дані_зв''язок'!$D$4:$D$1012,"")))</f>
        <v>8:45</v>
      </c>
      <c r="I418" s="27" t="str" cm="1">
        <f t="array" ref="I418">IF($O418="","",_xlfn.TEXTJOIN(", ",TRUE,IF(EXACT('Дані_зв''язок'!$J$4:$J$1012,$O418)*('Дані_зв''язок'!$C$4:$C$1012=I$4),'Дані_зв''язок'!$D$4:$D$1012,"")))</f>
        <v>14:10</v>
      </c>
      <c r="J418" s="27" cm="1">
        <f t="array" ref="J418">IF($O418="","",COUNTIF(C418:I418,"?*")+SUMPRODUCT(LEN(C418:I418)-LEN(SUBSTITUTE(C418:I418,",",""))))</f>
        <v>7</v>
      </c>
      <c r="K418" s="28" t="str" cm="1">
        <f t="array" ref="K418">IF($O418="","",_xlfn.TEXTJOIN(", ",TRUE,IF(EXACT('Дані_зв''язок'!$J$4:$J$1012,$O418),'Дані_зв''язок'!$L$4:$L$1012,"")))</f>
        <v>№1</v>
      </c>
      <c r="L418" s="28" t="str" cm="1">
        <f t="array" ref="L418">IF($O418="","",_xlfn.TEXTJOIN(", ",TRUE,IF(EXACT('Дані_зв''язок'!$J$4:$J$1012,$O418),'Дані_зв''язок'!$M$4:$M$1012,"")))</f>
        <v>КАМАЗ 55111, АТ-4021/1120</v>
      </c>
      <c r="M418" s="27" cm="1">
        <f t="array" ref="M418">IF($O418="","",IF(SUMPRODUCT(MAX(EXACT('Дані_зв''язок'!$J$4:$J$1012,$O418)*IFERROR('Дані_зв''язок'!$H$4:$H$1012,0)))=0,"",SUMPRODUCT(MAX(EXACT('Дані_зв''язок'!$J$4:$J$1012,$O418)*IFERROR('Дані_зв''язок'!$H$4:$H$1012,0)))))</f>
        <v>1</v>
      </c>
      <c r="O418" s="30" t="s">
        <v>1536</v>
      </c>
      <c r="P418" s="24" t="str" cm="1">
        <f t="array" ref="P418">IF($O418="","",IF($B418="","",IFERROR(IF(MIN(IFERROR(VALUE(TRIM(MID(SUBSTITUTE(SUBSTITUTE($B418,","," ")," ",REPT(" ",30)),{1;31;61;91;121;151;181},30))),""))=0,"",MIN(IFERROR(VALUE(TRIM(MID(SUBSTITUTE(SUBSTITUTE($B418,","," ")," ",REPT(" ",30)),{1;31;61;91;121;151;181},30))),""))),"")))</f>
        <v/>
      </c>
      <c r="Q418" s="23" t="str">
        <f t="shared" si="20"/>
        <v>Прилуки, Чернігівська обл., вул. Ю. Мірюти</v>
      </c>
      <c r="R418" s="35">
        <f>IF($O418="","",IFERROR(INDEX('Координати майданчиків'!$H$4:$H$64,MATCH($T418,'Координати майданчиків'!$B$4:$B$64,0)),IFERROR(IF(ABS(INDEX(Геокодування!$C$2:$C$361,MATCH($Q418,Геокодування!$B$2:$B$361,0))-50.5884)+ABS(INDEX(Геокодування!$D$2:$D$361,MATCH($Q418,Геокодування!$B$2:$B$361,0))-32.3876)&gt;0.15,"",INDEX(Геокодування!$C$2:$C$361,MATCH($Q418,Геокодування!$B$2:$B$361,0))),IFERROR(IF(ABS(INDEX(Геокодування!$C$2:$C$361,MATCH("Прилуки, Чернігівська обл., "&amp;$A418,Геокодування!$B$2:$B$361,0))-50.5884)+ABS(INDEX(Геокодування!$D$2:$D$361,MATCH("Прилуки, Чернігівська обл., "&amp;$A418,Геокодування!$B$2:$B$361,0))-32.3876)&gt;0.15,"",INDEX(Геокодування!$C$2:$C$361,MATCH("Прилуки, Чернігівська обл., "&amp;$A418,Геокодування!$B$2:$B$361,0))),""))))</f>
        <v>50.603310999999998</v>
      </c>
      <c r="S418" s="43">
        <f>IF($O418="","",IFERROR(INDEX('Координати майданчиків'!$I$4:$I$64,MATCH($T418,'Координати майданчиків'!$B$4:$B$64,0)),IFERROR(IF(ABS(INDEX(Геокодування!$C$2:$C$361,MATCH($Q418,Геокодування!$B$2:$B$361,0))-50.5884)+ABS(INDEX(Геокодування!$D$2:$D$361,MATCH($Q418,Геокодування!$B$2:$B$361,0))-32.3876)&gt;0.15,"",INDEX(Геокодування!$D$2:$D$361,MATCH($Q418,Геокодування!$B$2:$B$361,0))),IFERROR(IF(ABS(INDEX(Геокодування!$C$2:$C$361,MATCH("Прилуки, Чернігівська обл., "&amp;$A418,Геокодування!$B$2:$B$361,0))-50.5884)+ABS(INDEX(Геокодування!$D$2:$D$361,MATCH("Прилуки, Чернігівська обл., "&amp;$A418,Геокодування!$B$2:$B$361,0))-32.3876)&gt;0.15,"",INDEX(Геокодування!$D$2:$D$361,MATCH("Прилуки, Чернігівська обл., "&amp;$A418,Геокодування!$B$2:$B$361,0))),""))))</f>
        <v>32.328349000000003</v>
      </c>
      <c r="T418" s="44" t="str">
        <f>IF($O418="","",IFERROR(INDEX('Координати майданчиків'!$B$4:$B$64,MATCH($A418&amp;IF($P418="","",", "&amp;$P418),'Координати майданчиків'!$B$4:$B$64,0)),IFERROR(INDEX('Координати майданчиків'!$B$4:$B$64,MATCH($A418,'Координати майданчиків'!$B$4:$B$64,0)),"")))</f>
        <v/>
      </c>
    </row>
    <row r="419" spans="1:20" x14ac:dyDescent="0.35">
      <c r="A419" s="26" t="str">
        <f t="shared" si="18"/>
        <v>вул. Яблунівська</v>
      </c>
      <c r="B419" s="26" t="str">
        <f t="shared" si="19"/>
        <v/>
      </c>
      <c r="C419" s="27" t="str" cm="1">
        <f t="array" ref="C419">IF($O419="","",_xlfn.TEXTJOIN(", ",TRUE,IF(EXACT('Дані_зв''язок'!$J$4:$J$1012,$O419)*('Дані_зв''язок'!$C$4:$C$1012=C$4),'Дані_зв''язок'!$D$4:$D$1012,"")))</f>
        <v/>
      </c>
      <c r="D419" s="27" t="str" cm="1">
        <f t="array" ref="D419">IF($O419="","",_xlfn.TEXTJOIN(", ",TRUE,IF(EXACT('Дані_зв''язок'!$J$4:$J$1012,$O419)*('Дані_зв''язок'!$C$4:$C$1012=D$4),'Дані_зв''язок'!$D$4:$D$1012,"")))</f>
        <v/>
      </c>
      <c r="E419" s="27" t="str" cm="1">
        <f t="array" ref="E419">IF($O419="","",_xlfn.TEXTJOIN(", ",TRUE,IF(EXACT('Дані_зв''язок'!$J$4:$J$1012,$O419)*('Дані_зв''язок'!$C$4:$C$1012=E$4),'Дані_зв''язок'!$D$4:$D$1012,"")))</f>
        <v>7:45</v>
      </c>
      <c r="F419" s="27" t="str" cm="1">
        <f t="array" ref="F419">IF($O419="","",_xlfn.TEXTJOIN(", ",TRUE,IF(EXACT('Дані_зв''язок'!$J$4:$J$1012,$O419)*('Дані_зв''язок'!$C$4:$C$1012=F$4),'Дані_зв''язок'!$D$4:$D$1012,"")))</f>
        <v/>
      </c>
      <c r="G419" s="27" t="str" cm="1">
        <f t="array" ref="G419">IF($O419="","",_xlfn.TEXTJOIN(", ",TRUE,IF(EXACT('Дані_зв''язок'!$J$4:$J$1012,$O419)*('Дані_зв''язок'!$C$4:$C$1012=G$4),'Дані_зв''язок'!$D$4:$D$1012,"")))</f>
        <v/>
      </c>
      <c r="H419" s="27" t="str" cm="1">
        <f t="array" ref="H419">IF($O419="","",_xlfn.TEXTJOIN(", ",TRUE,IF(EXACT('Дані_зв''язок'!$J$4:$J$1012,$O419)*('Дані_зв''язок'!$C$4:$C$1012=H$4),'Дані_зв''язок'!$D$4:$D$1012,"")))</f>
        <v/>
      </c>
      <c r="I419" s="27" t="str" cm="1">
        <f t="array" ref="I419">IF($O419="","",_xlfn.TEXTJOIN(", ",TRUE,IF(EXACT('Дані_зв''язок'!$J$4:$J$1012,$O419)*('Дані_зв''язок'!$C$4:$C$1012=I$4),'Дані_зв''язок'!$D$4:$D$1012,"")))</f>
        <v/>
      </c>
      <c r="J419" s="27" cm="1">
        <f t="array" ref="J419">IF($O419="","",COUNTIF(C419:I419,"?*")+SUMPRODUCT(LEN(C419:I419)-LEN(SUBSTITUTE(C419:I419,",",""))))</f>
        <v>1</v>
      </c>
      <c r="K419" s="28" t="str" cm="1">
        <f t="array" ref="K419">IF($O419="","",_xlfn.TEXTJOIN(", ",TRUE,IF(EXACT('Дані_зв''язок'!$J$4:$J$1012,$O419),'Дані_зв''язок'!$L$4:$L$1012,"")))</f>
        <v>№5</v>
      </c>
      <c r="L419" s="28" t="str" cm="1">
        <f t="array" ref="L419">IF($O419="","",_xlfn.TEXTJOIN(", ",TRUE,IF(EXACT('Дані_зв''язок'!$J$4:$J$1012,$O419),'Дані_зв''язок'!$M$4:$M$1012,"")))</f>
        <v>МАЗ 4381</v>
      </c>
      <c r="M419" s="27" t="str" cm="1">
        <f t="array" ref="M419">IF($O419="","",IF(SUMPRODUCT(MAX(EXACT('Дані_зв''язок'!$J$4:$J$1012,$O419)*IFERROR('Дані_зв''язок'!$H$4:$H$1012,0)))=0,"",SUMPRODUCT(MAX(EXACT('Дані_зв''язок'!$J$4:$J$1012,$O419)*IFERROR('Дані_зв''язок'!$H$4:$H$1012,0)))))</f>
        <v/>
      </c>
      <c r="O419" s="30" t="s">
        <v>1538</v>
      </c>
      <c r="P419" s="24" t="str" cm="1">
        <f t="array" ref="P419">IF($O419="","",IF($B419="","",IFERROR(IF(MIN(IFERROR(VALUE(TRIM(MID(SUBSTITUTE(SUBSTITUTE($B419,","," ")," ",REPT(" ",30)),{1;31;61;91;121;151;181},30))),""))=0,"",MIN(IFERROR(VALUE(TRIM(MID(SUBSTITUTE(SUBSTITUTE($B419,","," ")," ",REPT(" ",30)),{1;31;61;91;121;151;181},30))),""))),"")))</f>
        <v/>
      </c>
      <c r="Q419" s="23" t="str">
        <f t="shared" si="20"/>
        <v>Прилуки, Чернігівська обл., вул. Яблунівська</v>
      </c>
      <c r="R419" s="35">
        <f>IF($O419="","",IFERROR(INDEX('Координати майданчиків'!$H$4:$H$64,MATCH($T419,'Координати майданчиків'!$B$4:$B$64,0)),IFERROR(IF(ABS(INDEX(Геокодування!$C$2:$C$361,MATCH($Q419,Геокодування!$B$2:$B$361,0))-50.5884)+ABS(INDEX(Геокодування!$D$2:$D$361,MATCH($Q419,Геокодування!$B$2:$B$361,0))-32.3876)&gt;0.15,"",INDEX(Геокодування!$C$2:$C$361,MATCH($Q419,Геокодування!$B$2:$B$361,0))),IFERROR(IF(ABS(INDEX(Геокодування!$C$2:$C$361,MATCH("Прилуки, Чернігівська обл., "&amp;$A419,Геокодування!$B$2:$B$361,0))-50.5884)+ABS(INDEX(Геокодування!$D$2:$D$361,MATCH("Прилуки, Чернігівська обл., "&amp;$A419,Геокодування!$B$2:$B$361,0))-32.3876)&gt;0.15,"",INDEX(Геокодування!$C$2:$C$361,MATCH("Прилуки, Чернігівська обл., "&amp;$A419,Геокодування!$B$2:$B$361,0))),""))))</f>
        <v>50.574807999999997</v>
      </c>
      <c r="S419" s="43">
        <f>IF($O419="","",IFERROR(INDEX('Координати майданчиків'!$I$4:$I$64,MATCH($T419,'Координати майданчиків'!$B$4:$B$64,0)),IFERROR(IF(ABS(INDEX(Геокодування!$C$2:$C$361,MATCH($Q419,Геокодування!$B$2:$B$361,0))-50.5884)+ABS(INDEX(Геокодування!$D$2:$D$361,MATCH($Q419,Геокодування!$B$2:$B$361,0))-32.3876)&gt;0.15,"",INDEX(Геокодування!$D$2:$D$361,MATCH($Q419,Геокодування!$B$2:$B$361,0))),IFERROR(IF(ABS(INDEX(Геокодування!$C$2:$C$361,MATCH("Прилуки, Чернігівська обл., "&amp;$A419,Геокодування!$B$2:$B$361,0))-50.5884)+ABS(INDEX(Геокодування!$D$2:$D$361,MATCH("Прилуки, Чернігівська обл., "&amp;$A419,Геокодування!$B$2:$B$361,0))-32.3876)&gt;0.15,"",INDEX(Геокодування!$D$2:$D$361,MATCH("Прилуки, Чернігівська обл., "&amp;$A419,Геокодування!$B$2:$B$361,0))),""))))</f>
        <v>32.361516000000002</v>
      </c>
      <c r="T419" s="44" t="str">
        <f>IF($O419="","",IFERROR(INDEX('Координати майданчиків'!$B$4:$B$64,MATCH($A419&amp;IF($P419="","",", "&amp;$P419),'Координати майданчиків'!$B$4:$B$64,0)),IFERROR(INDEX('Координати майданчиків'!$B$4:$B$64,MATCH($A419,'Координати майданчиків'!$B$4:$B$64,0)),"")))</f>
        <v/>
      </c>
    </row>
    <row r="420" spans="1:20" x14ac:dyDescent="0.35">
      <c r="A420" s="26" t="str">
        <f t="shared" si="18"/>
        <v>вул. Ярмаркова</v>
      </c>
      <c r="B420" s="26" t="str">
        <f t="shared" si="19"/>
        <v/>
      </c>
      <c r="C420" s="27" t="str" cm="1">
        <f t="array" ref="C420">IF($O420="","",_xlfn.TEXTJOIN(", ",TRUE,IF(EXACT('Дані_зв''язок'!$J$4:$J$1012,$O420)*('Дані_зв''язок'!$C$4:$C$1012=C$4),'Дані_зв''язок'!$D$4:$D$1012,"")))</f>
        <v/>
      </c>
      <c r="D420" s="27" t="str" cm="1">
        <f t="array" ref="D420">IF($O420="","",_xlfn.TEXTJOIN(", ",TRUE,IF(EXACT('Дані_зв''язок'!$J$4:$J$1012,$O420)*('Дані_зв''язок'!$C$4:$C$1012=D$4),'Дані_зв''язок'!$D$4:$D$1012,"")))</f>
        <v/>
      </c>
      <c r="E420" s="27" t="str" cm="1">
        <f t="array" ref="E420">IF($O420="","",_xlfn.TEXTJOIN(", ",TRUE,IF(EXACT('Дані_зв''язок'!$J$4:$J$1012,$O420)*('Дані_зв''язок'!$C$4:$C$1012=E$4),'Дані_зв''язок'!$D$4:$D$1012,"")))</f>
        <v>15:35</v>
      </c>
      <c r="F420" s="27" t="str" cm="1">
        <f t="array" ref="F420">IF($O420="","",_xlfn.TEXTJOIN(", ",TRUE,IF(EXACT('Дані_зв''язок'!$J$4:$J$1012,$O420)*('Дані_зв''язок'!$C$4:$C$1012=F$4),'Дані_зв''язок'!$D$4:$D$1012,"")))</f>
        <v/>
      </c>
      <c r="G420" s="27" t="str" cm="1">
        <f t="array" ref="G420">IF($O420="","",_xlfn.TEXTJOIN(", ",TRUE,IF(EXACT('Дані_зв''язок'!$J$4:$J$1012,$O420)*('Дані_зв''язок'!$C$4:$C$1012=G$4),'Дані_зв''язок'!$D$4:$D$1012,"")))</f>
        <v/>
      </c>
      <c r="H420" s="27" t="str" cm="1">
        <f t="array" ref="H420">IF($O420="","",_xlfn.TEXTJOIN(", ",TRUE,IF(EXACT('Дані_зв''язок'!$J$4:$J$1012,$O420)*('Дані_зв''язок'!$C$4:$C$1012=H$4),'Дані_зв''язок'!$D$4:$D$1012,"")))</f>
        <v/>
      </c>
      <c r="I420" s="27" t="str" cm="1">
        <f t="array" ref="I420">IF($O420="","",_xlfn.TEXTJOIN(", ",TRUE,IF(EXACT('Дані_зв''язок'!$J$4:$J$1012,$O420)*('Дані_зв''язок'!$C$4:$C$1012=I$4),'Дані_зв''язок'!$D$4:$D$1012,"")))</f>
        <v/>
      </c>
      <c r="J420" s="27" cm="1">
        <f t="array" ref="J420">IF($O420="","",COUNTIF(C420:I420,"?*")+SUMPRODUCT(LEN(C420:I420)-LEN(SUBSTITUTE(C420:I420,",",""))))</f>
        <v>1</v>
      </c>
      <c r="K420" s="28" t="str" cm="1">
        <f t="array" ref="K420">IF($O420="","",_xlfn.TEXTJOIN(", ",TRUE,IF(EXACT('Дані_зв''язок'!$J$4:$J$1012,$O420),'Дані_зв''язок'!$L$4:$L$1012,"")))</f>
        <v>№5</v>
      </c>
      <c r="L420" s="28" t="str" cm="1">
        <f t="array" ref="L420">IF($O420="","",_xlfn.TEXTJOIN(", ",TRUE,IF(EXACT('Дані_зв''язок'!$J$4:$J$1012,$O420),'Дані_зв''язок'!$M$4:$M$1012,"")))</f>
        <v>МАЗ 4381</v>
      </c>
      <c r="M420" s="27" t="str" cm="1">
        <f t="array" ref="M420">IF($O420="","",IF(SUMPRODUCT(MAX(EXACT('Дані_зв''язок'!$J$4:$J$1012,$O420)*IFERROR('Дані_зв''язок'!$H$4:$H$1012,0)))=0,"",SUMPRODUCT(MAX(EXACT('Дані_зв''язок'!$J$4:$J$1012,$O420)*IFERROR('Дані_зв''язок'!$H$4:$H$1012,0)))))</f>
        <v/>
      </c>
      <c r="O420" s="30" t="s">
        <v>1539</v>
      </c>
      <c r="P420" s="24" t="str" cm="1">
        <f t="array" ref="P420">IF($O420="","",IF($B420="","",IFERROR(IF(MIN(IFERROR(VALUE(TRIM(MID(SUBSTITUTE(SUBSTITUTE($B420,","," ")," ",REPT(" ",30)),{1;31;61;91;121;151;181},30))),""))=0,"",MIN(IFERROR(VALUE(TRIM(MID(SUBSTITUTE(SUBSTITUTE($B420,","," ")," ",REPT(" ",30)),{1;31;61;91;121;151;181},30))),""))),"")))</f>
        <v/>
      </c>
      <c r="Q420" s="23" t="str">
        <f t="shared" si="20"/>
        <v>Прилуки, Чернігівська обл., вул. Ярмаркова</v>
      </c>
      <c r="R420" s="35">
        <f>IF($O420="","",IFERROR(INDEX('Координати майданчиків'!$H$4:$H$64,MATCH($T420,'Координати майданчиків'!$B$4:$B$64,0)),IFERROR(IF(ABS(INDEX(Геокодування!$C$2:$C$361,MATCH($Q420,Геокодування!$B$2:$B$361,0))-50.5884)+ABS(INDEX(Геокодування!$D$2:$D$361,MATCH($Q420,Геокодування!$B$2:$B$361,0))-32.3876)&gt;0.15,"",INDEX(Геокодування!$C$2:$C$361,MATCH($Q420,Геокодування!$B$2:$B$361,0))),IFERROR(IF(ABS(INDEX(Геокодування!$C$2:$C$361,MATCH("Прилуки, Чернігівська обл., "&amp;$A420,Геокодування!$B$2:$B$361,0))-50.5884)+ABS(INDEX(Геокодування!$D$2:$D$361,MATCH("Прилуки, Чернігівська обл., "&amp;$A420,Геокодування!$B$2:$B$361,0))-32.3876)&gt;0.15,"",INDEX(Геокодування!$C$2:$C$361,MATCH("Прилуки, Чернігівська обл., "&amp;$A420,Геокодування!$B$2:$B$361,0))),""))))</f>
        <v>50.592551</v>
      </c>
      <c r="S420" s="43">
        <f>IF($O420="","",IFERROR(INDEX('Координати майданчиків'!$I$4:$I$64,MATCH($T420,'Координати майданчиків'!$B$4:$B$64,0)),IFERROR(IF(ABS(INDEX(Геокодування!$C$2:$C$361,MATCH($Q420,Геокодування!$B$2:$B$361,0))-50.5884)+ABS(INDEX(Геокодування!$D$2:$D$361,MATCH($Q420,Геокодування!$B$2:$B$361,0))-32.3876)&gt;0.15,"",INDEX(Геокодування!$D$2:$D$361,MATCH($Q420,Геокодування!$B$2:$B$361,0))),IFERROR(IF(ABS(INDEX(Геокодування!$C$2:$C$361,MATCH("Прилуки, Чернігівська обл., "&amp;$A420,Геокодування!$B$2:$B$361,0))-50.5884)+ABS(INDEX(Геокодування!$D$2:$D$361,MATCH("Прилуки, Чернігівська обл., "&amp;$A420,Геокодування!$B$2:$B$361,0))-32.3876)&gt;0.15,"",INDEX(Геокодування!$D$2:$D$361,MATCH("Прилуки, Чернігівська обл., "&amp;$A420,Геокодування!$B$2:$B$361,0))),""))))</f>
        <v>32.403139000000003</v>
      </c>
      <c r="T420" s="44" t="str">
        <f>IF($O420="","",IFERROR(INDEX('Координати майданчиків'!$B$4:$B$64,MATCH($A420&amp;IF($P420="","",", "&amp;$P420),'Координати майданчиків'!$B$4:$B$64,0)),IFERROR(INDEX('Координати майданчиків'!$B$4:$B$64,MATCH($A420,'Координати майданчиків'!$B$4:$B$64,0)),"")))</f>
        <v/>
      </c>
    </row>
    <row r="421" spans="1:20" x14ac:dyDescent="0.35">
      <c r="A421" s="26" t="str">
        <f t="shared" si="18"/>
        <v>вул. Ярмаркова</v>
      </c>
      <c r="B421" s="26" t="str">
        <f t="shared" si="19"/>
        <v>114</v>
      </c>
      <c r="C421" s="27" t="str" cm="1">
        <f t="array" ref="C421">IF($O421="","",_xlfn.TEXTJOIN(", ",TRUE,IF(EXACT('Дані_зв''язок'!$J$4:$J$1012,$O421)*('Дані_зв''язок'!$C$4:$C$1012=C$4),'Дані_зв''язок'!$D$4:$D$1012,"")))</f>
        <v/>
      </c>
      <c r="D421" s="27" t="str" cm="1">
        <f t="array" ref="D421">IF($O421="","",_xlfn.TEXTJOIN(", ",TRUE,IF(EXACT('Дані_зв''язок'!$J$4:$J$1012,$O421)*('Дані_зв''язок'!$C$4:$C$1012=D$4),'Дані_зв''язок'!$D$4:$D$1012,"")))</f>
        <v>×</v>
      </c>
      <c r="E421" s="27" t="str" cm="1">
        <f t="array" ref="E421">IF($O421="","",_xlfn.TEXTJOIN(", ",TRUE,IF(EXACT('Дані_зв''язок'!$J$4:$J$1012,$O421)*('Дані_зв''язок'!$C$4:$C$1012=E$4),'Дані_зв''язок'!$D$4:$D$1012,"")))</f>
        <v/>
      </c>
      <c r="F421" s="27" t="str" cm="1">
        <f t="array" ref="F421">IF($O421="","",_xlfn.TEXTJOIN(", ",TRUE,IF(EXACT('Дані_зв''язок'!$J$4:$J$1012,$O421)*('Дані_зв''язок'!$C$4:$C$1012=F$4),'Дані_зв''язок'!$D$4:$D$1012,"")))</f>
        <v/>
      </c>
      <c r="G421" s="27" t="str" cm="1">
        <f t="array" ref="G421">IF($O421="","",_xlfn.TEXTJOIN(", ",TRUE,IF(EXACT('Дані_зв''язок'!$J$4:$J$1012,$O421)*('Дані_зв''язок'!$C$4:$C$1012=G$4),'Дані_зв''язок'!$D$4:$D$1012,"")))</f>
        <v/>
      </c>
      <c r="H421" s="27" t="str" cm="1">
        <f t="array" ref="H421">IF($O421="","",_xlfn.TEXTJOIN(", ",TRUE,IF(EXACT('Дані_зв''язок'!$J$4:$J$1012,$O421)*('Дані_зв''язок'!$C$4:$C$1012=H$4),'Дані_зв''язок'!$D$4:$D$1012,"")))</f>
        <v/>
      </c>
      <c r="I421" s="27" t="str" cm="1">
        <f t="array" ref="I421">IF($O421="","",_xlfn.TEXTJOIN(", ",TRUE,IF(EXACT('Дані_зв''язок'!$J$4:$J$1012,$O421)*('Дані_зв''язок'!$C$4:$C$1012=I$4),'Дані_зв''язок'!$D$4:$D$1012,"")))</f>
        <v/>
      </c>
      <c r="J421" s="27" cm="1">
        <f t="array" ref="J421">IF($O421="","",COUNTIF(C421:I421,"?*")+SUMPRODUCT(LEN(C421:I421)-LEN(SUBSTITUTE(C421:I421,",",""))))</f>
        <v>1</v>
      </c>
      <c r="K421" s="28" t="str" cm="1">
        <f t="array" ref="K421">IF($O421="","",_xlfn.TEXTJOIN(", ",TRUE,IF(EXACT('Дані_зв''язок'!$J$4:$J$1012,$O421),'Дані_зв''язок'!$L$4:$L$1012,"")))</f>
        <v>№2 (ВГВ)</v>
      </c>
      <c r="L421" s="28" t="str" cm="1">
        <f t="array" ref="L421">IF($O421="","",_xlfn.TEXTJOIN(", ",TRUE,IF(EXACT('Дані_зв''язок'!$J$4:$J$1012,$O421),'Дані_зв''язок'!$M$4:$M$1012,"")))</f>
        <v>Рено Лендер</v>
      </c>
      <c r="M421" s="27" t="str" cm="1">
        <f t="array" ref="M421">IF($O421="","",IF(SUMPRODUCT(MAX(EXACT('Дані_зв''язок'!$J$4:$J$1012,$O421)*IFERROR('Дані_зв''язок'!$H$4:$H$1012,0)))=0,"",SUMPRODUCT(MAX(EXACT('Дані_зв''язок'!$J$4:$J$1012,$O421)*IFERROR('Дані_зв''язок'!$H$4:$H$1012,0)))))</f>
        <v/>
      </c>
      <c r="O421" s="30" t="s">
        <v>1540</v>
      </c>
      <c r="P421" s="24" cm="1">
        <f t="array" ref="P421">IF($O421="","",IF($B421="","",IFERROR(IF(MIN(IFERROR(VALUE(TRIM(MID(SUBSTITUTE(SUBSTITUTE($B421,","," ")," ",REPT(" ",30)),{1;31;61;91;121;151;181},30))),""))=0,"",MIN(IFERROR(VALUE(TRIM(MID(SUBSTITUTE(SUBSTITUTE($B421,","," ")," ",REPT(" ",30)),{1;31;61;91;121;151;181},30))),""))),"")))</f>
        <v>114</v>
      </c>
      <c r="Q421" s="23" t="str">
        <f t="shared" si="20"/>
        <v>Прилуки, Чернігівська обл., вул. Ярмаркова, 114</v>
      </c>
      <c r="R421" s="35">
        <f>IF($O421="","",IFERROR(INDEX('Координати майданчиків'!$H$4:$H$64,MATCH($T421,'Координати майданчиків'!$B$4:$B$64,0)),IFERROR(IF(ABS(INDEX(Геокодування!$C$2:$C$361,MATCH($Q421,Геокодування!$B$2:$B$361,0))-50.5884)+ABS(INDEX(Геокодування!$D$2:$D$361,MATCH($Q421,Геокодування!$B$2:$B$361,0))-32.3876)&gt;0.15,"",INDEX(Геокодування!$C$2:$C$361,MATCH($Q421,Геокодування!$B$2:$B$361,0))),IFERROR(IF(ABS(INDEX(Геокодування!$C$2:$C$361,MATCH("Прилуки, Чернігівська обл., "&amp;$A421,Геокодування!$B$2:$B$361,0))-50.5884)+ABS(INDEX(Геокодування!$D$2:$D$361,MATCH("Прилуки, Чернігівська обл., "&amp;$A421,Геокодування!$B$2:$B$361,0))-32.3876)&gt;0.15,"",INDEX(Геокодування!$C$2:$C$361,MATCH("Прилуки, Чернігівська обл., "&amp;$A421,Геокодування!$B$2:$B$361,0))),""))))</f>
        <v>50.584316000000001</v>
      </c>
      <c r="S421" s="43">
        <f>IF($O421="","",IFERROR(INDEX('Координати майданчиків'!$I$4:$I$64,MATCH($T421,'Координати майданчиків'!$B$4:$B$64,0)),IFERROR(IF(ABS(INDEX(Геокодування!$C$2:$C$361,MATCH($Q421,Геокодування!$B$2:$B$361,0))-50.5884)+ABS(INDEX(Геокодування!$D$2:$D$361,MATCH($Q421,Геокодування!$B$2:$B$361,0))-32.3876)&gt;0.15,"",INDEX(Геокодування!$D$2:$D$361,MATCH($Q421,Геокодування!$B$2:$B$361,0))),IFERROR(IF(ABS(INDEX(Геокодування!$C$2:$C$361,MATCH("Прилуки, Чернігівська обл., "&amp;$A421,Геокодування!$B$2:$B$361,0))-50.5884)+ABS(INDEX(Геокодування!$D$2:$D$361,MATCH("Прилуки, Чернігівська обл., "&amp;$A421,Геокодування!$B$2:$B$361,0))-32.3876)&gt;0.15,"",INDEX(Геокодування!$D$2:$D$361,MATCH("Прилуки, Чернігівська обл., "&amp;$A421,Геокодування!$B$2:$B$361,0))),""))))</f>
        <v>32.400191</v>
      </c>
      <c r="T421" s="44" t="str">
        <f>IF($O421="","",IFERROR(INDEX('Координати майданчиків'!$B$4:$B$64,MATCH($A421&amp;IF($P421="","",", "&amp;$P421),'Координати майданчиків'!$B$4:$B$64,0)),IFERROR(INDEX('Координати майданчиків'!$B$4:$B$64,MATCH($A421,'Координати майданчиків'!$B$4:$B$64,0)),"")))</f>
        <v/>
      </c>
    </row>
    <row r="422" spans="1:20" x14ac:dyDescent="0.35">
      <c r="A422" s="26" t="str">
        <f t="shared" si="18"/>
        <v>вул. Ярмаркова</v>
      </c>
      <c r="B422" s="26" t="str">
        <f t="shared" si="19"/>
        <v>41/9</v>
      </c>
      <c r="C422" s="27" t="str" cm="1">
        <f t="array" ref="C422">IF($O422="","",_xlfn.TEXTJOIN(", ",TRUE,IF(EXACT('Дані_зв''язок'!$J$4:$J$1012,$O422)*('Дані_зв''язок'!$C$4:$C$1012=C$4),'Дані_зв''язок'!$D$4:$D$1012,"")))</f>
        <v/>
      </c>
      <c r="D422" s="27" t="str" cm="1">
        <f t="array" ref="D422">IF($O422="","",_xlfn.TEXTJOIN(", ",TRUE,IF(EXACT('Дані_зв''язок'!$J$4:$J$1012,$O422)*('Дані_зв''язок'!$C$4:$C$1012=D$4),'Дані_зв''язок'!$D$4:$D$1012,"")))</f>
        <v/>
      </c>
      <c r="E422" s="27" t="str" cm="1">
        <f t="array" ref="E422">IF($O422="","",_xlfn.TEXTJOIN(", ",TRUE,IF(EXACT('Дані_зв''язок'!$J$4:$J$1012,$O422)*('Дані_зв''язок'!$C$4:$C$1012=E$4),'Дані_зв''язок'!$D$4:$D$1012,"")))</f>
        <v/>
      </c>
      <c r="F422" s="27" t="str" cm="1">
        <f t="array" ref="F422">IF($O422="","",_xlfn.TEXTJOIN(", ",TRUE,IF(EXACT('Дані_зв''язок'!$J$4:$J$1012,$O422)*('Дані_зв''язок'!$C$4:$C$1012=F$4),'Дані_зв''язок'!$D$4:$D$1012,"")))</f>
        <v/>
      </c>
      <c r="G422" s="27" t="str" cm="1">
        <f t="array" ref="G422">IF($O422="","",_xlfn.TEXTJOIN(", ",TRUE,IF(EXACT('Дані_зв''язок'!$J$4:$J$1012,$O422)*('Дані_зв''язок'!$C$4:$C$1012=G$4),'Дані_зв''язок'!$D$4:$D$1012,"")))</f>
        <v>×</v>
      </c>
      <c r="H422" s="27" t="str" cm="1">
        <f t="array" ref="H422">IF($O422="","",_xlfn.TEXTJOIN(", ",TRUE,IF(EXACT('Дані_зв''язок'!$J$4:$J$1012,$O422)*('Дані_зв''язок'!$C$4:$C$1012=H$4),'Дані_зв''язок'!$D$4:$D$1012,"")))</f>
        <v/>
      </c>
      <c r="I422" s="27" t="str" cm="1">
        <f t="array" ref="I422">IF($O422="","",_xlfn.TEXTJOIN(", ",TRUE,IF(EXACT('Дані_зв''язок'!$J$4:$J$1012,$O422)*('Дані_зв''язок'!$C$4:$C$1012=I$4),'Дані_зв''язок'!$D$4:$D$1012,"")))</f>
        <v/>
      </c>
      <c r="J422" s="27" cm="1">
        <f t="array" ref="J422">IF($O422="","",COUNTIF(C422:I422,"?*")+SUMPRODUCT(LEN(C422:I422)-LEN(SUBSTITUTE(C422:I422,",",""))))</f>
        <v>1</v>
      </c>
      <c r="K422" s="28" t="str" cm="1">
        <f t="array" ref="K422">IF($O422="","",_xlfn.TEXTJOIN(", ",TRUE,IF(EXACT('Дані_зв''язок'!$J$4:$J$1012,$O422),'Дані_зв''язок'!$L$4:$L$1012,"")))</f>
        <v>№2 (ВГВ)</v>
      </c>
      <c r="L422" s="28" t="str" cm="1">
        <f t="array" ref="L422">IF($O422="","",_xlfn.TEXTJOIN(", ",TRUE,IF(EXACT('Дані_зв''язок'!$J$4:$J$1012,$O422),'Дані_зв''язок'!$M$4:$M$1012,"")))</f>
        <v>Рено Лендер</v>
      </c>
      <c r="M422" s="27" t="str" cm="1">
        <f t="array" ref="M422">IF($O422="","",IF(SUMPRODUCT(MAX(EXACT('Дані_зв''язок'!$J$4:$J$1012,$O422)*IFERROR('Дані_зв''язок'!$H$4:$H$1012,0)))=0,"",SUMPRODUCT(MAX(EXACT('Дані_зв''язок'!$J$4:$J$1012,$O422)*IFERROR('Дані_зв''язок'!$H$4:$H$1012,0)))))</f>
        <v/>
      </c>
      <c r="O422" s="30" t="s">
        <v>1541</v>
      </c>
      <c r="P422" s="24" t="str" cm="1">
        <f t="array" ref="P422">IF($O422="","",IF($B422="","",IFERROR(IF(MIN(IFERROR(VALUE(TRIM(MID(SUBSTITUTE(SUBSTITUTE($B422,","," ")," ",REPT(" ",30)),{1;31;61;91;121;151;181},30))),""))=0,"",MIN(IFERROR(VALUE(TRIM(MID(SUBSTITUTE(SUBSTITUTE($B422,","," ")," ",REPT(" ",30)),{1;31;61;91;121;151;181},30))),""))),"")))</f>
        <v/>
      </c>
      <c r="Q422" s="23" t="str">
        <f t="shared" si="20"/>
        <v>Прилуки, Чернігівська обл., вул. Ярмаркова</v>
      </c>
      <c r="R422" s="35">
        <f>IF($O422="","",IFERROR(INDEX('Координати майданчиків'!$H$4:$H$64,MATCH($T422,'Координати майданчиків'!$B$4:$B$64,0)),IFERROR(IF(ABS(INDEX(Геокодування!$C$2:$C$361,MATCH($Q422,Геокодування!$B$2:$B$361,0))-50.5884)+ABS(INDEX(Геокодування!$D$2:$D$361,MATCH($Q422,Геокодування!$B$2:$B$361,0))-32.3876)&gt;0.15,"",INDEX(Геокодування!$C$2:$C$361,MATCH($Q422,Геокодування!$B$2:$B$361,0))),IFERROR(IF(ABS(INDEX(Геокодування!$C$2:$C$361,MATCH("Прилуки, Чернігівська обл., "&amp;$A422,Геокодування!$B$2:$B$361,0))-50.5884)+ABS(INDEX(Геокодування!$D$2:$D$361,MATCH("Прилуки, Чернігівська обл., "&amp;$A422,Геокодування!$B$2:$B$361,0))-32.3876)&gt;0.15,"",INDEX(Геокодування!$C$2:$C$361,MATCH("Прилуки, Чернігівська обл., "&amp;$A422,Геокодування!$B$2:$B$361,0))),""))))</f>
        <v>50.592551</v>
      </c>
      <c r="S422" s="43">
        <f>IF($O422="","",IFERROR(INDEX('Координати майданчиків'!$I$4:$I$64,MATCH($T422,'Координати майданчиків'!$B$4:$B$64,0)),IFERROR(IF(ABS(INDEX(Геокодування!$C$2:$C$361,MATCH($Q422,Геокодування!$B$2:$B$361,0))-50.5884)+ABS(INDEX(Геокодування!$D$2:$D$361,MATCH($Q422,Геокодування!$B$2:$B$361,0))-32.3876)&gt;0.15,"",INDEX(Геокодування!$D$2:$D$361,MATCH($Q422,Геокодування!$B$2:$B$361,0))),IFERROR(IF(ABS(INDEX(Геокодування!$C$2:$C$361,MATCH("Прилуки, Чернігівська обл., "&amp;$A422,Геокодування!$B$2:$B$361,0))-50.5884)+ABS(INDEX(Геокодування!$D$2:$D$361,MATCH("Прилуки, Чернігівська обл., "&amp;$A422,Геокодування!$B$2:$B$361,0))-32.3876)&gt;0.15,"",INDEX(Геокодування!$D$2:$D$361,MATCH("Прилуки, Чернігівська обл., "&amp;$A422,Геокодування!$B$2:$B$361,0))),""))))</f>
        <v>32.403139000000003</v>
      </c>
      <c r="T422" s="44" t="str">
        <f>IF($O422="","",IFERROR(INDEX('Координати майданчиків'!$B$4:$B$64,MATCH($A422&amp;IF($P422="","",", "&amp;$P422),'Координати майданчиків'!$B$4:$B$64,0)),IFERROR(INDEX('Координати майданчиків'!$B$4:$B$64,MATCH($A422,'Координати майданчиків'!$B$4:$B$64,0)),"")))</f>
        <v/>
      </c>
    </row>
    <row r="423" spans="1:20" x14ac:dyDescent="0.35">
      <c r="A423" s="26" t="str">
        <f t="shared" si="18"/>
        <v>вул. Ярмаркова</v>
      </c>
      <c r="B423" s="26" t="str">
        <f t="shared" si="19"/>
        <v>47</v>
      </c>
      <c r="C423" s="27" t="str" cm="1">
        <f t="array" ref="C423">IF($O423="","",_xlfn.TEXTJOIN(", ",TRUE,IF(EXACT('Дані_зв''язок'!$J$4:$J$1012,$O423)*('Дані_зв''язок'!$C$4:$C$1012=C$4),'Дані_зв''язок'!$D$4:$D$1012,"")))</f>
        <v>9:15</v>
      </c>
      <c r="D423" s="27" t="str" cm="1">
        <f t="array" ref="D423">IF($O423="","",_xlfn.TEXTJOIN(", ",TRUE,IF(EXACT('Дані_зв''язок'!$J$4:$J$1012,$O423)*('Дані_зв''язок'!$C$4:$C$1012=D$4),'Дані_зв''язок'!$D$4:$D$1012,"")))</f>
        <v>9:50</v>
      </c>
      <c r="E423" s="27" t="str" cm="1">
        <f t="array" ref="E423">IF($O423="","",_xlfn.TEXTJOIN(", ",TRUE,IF(EXACT('Дані_зв''язок'!$J$4:$J$1012,$O423)*('Дані_зв''язок'!$C$4:$C$1012=E$4),'Дані_зв''язок'!$D$4:$D$1012,"")))</f>
        <v>10:10</v>
      </c>
      <c r="F423" s="27" t="str" cm="1">
        <f t="array" ref="F423">IF($O423="","",_xlfn.TEXTJOIN(", ",TRUE,IF(EXACT('Дані_зв''язок'!$J$4:$J$1012,$O423)*('Дані_зв''язок'!$C$4:$C$1012=F$4),'Дані_зв''язок'!$D$4:$D$1012,"")))</f>
        <v>9:30</v>
      </c>
      <c r="G423" s="27" t="str" cm="1">
        <f t="array" ref="G423">IF($O423="","",_xlfn.TEXTJOIN(", ",TRUE,IF(EXACT('Дані_зв''язок'!$J$4:$J$1012,$O423)*('Дані_зв''язок'!$C$4:$C$1012=G$4),'Дані_зв''язок'!$D$4:$D$1012,"")))</f>
        <v>9:15</v>
      </c>
      <c r="H423" s="27" t="str" cm="1">
        <f t="array" ref="H423">IF($O423="","",_xlfn.TEXTJOIN(", ",TRUE,IF(EXACT('Дані_зв''язок'!$J$4:$J$1012,$O423)*('Дані_зв''язок'!$C$4:$C$1012=H$4),'Дані_зв''язок'!$D$4:$D$1012,"")))</f>
        <v>9:50</v>
      </c>
      <c r="I423" s="27" t="str" cm="1">
        <f t="array" ref="I423">IF($O423="","",_xlfn.TEXTJOIN(", ",TRUE,IF(EXACT('Дані_зв''язок'!$J$4:$J$1012,$O423)*('Дані_зв''язок'!$C$4:$C$1012=I$4),'Дані_зв''язок'!$D$4:$D$1012,"")))</f>
        <v>9:30</v>
      </c>
      <c r="J423" s="27" cm="1">
        <f t="array" ref="J423">IF($O423="","",COUNTIF(C423:I423,"?*")+SUMPRODUCT(LEN(C423:I423)-LEN(SUBSTITUTE(C423:I423,",",""))))</f>
        <v>7</v>
      </c>
      <c r="K423" s="28" t="str" cm="1">
        <f t="array" ref="K423">IF($O423="","",_xlfn.TEXTJOIN(", ",TRUE,IF(EXACT('Дані_зв''язок'!$J$4:$J$1012,$O423),'Дані_зв''язок'!$L$4:$L$1012,"")))</f>
        <v>№3</v>
      </c>
      <c r="L423" s="28" t="str" cm="1">
        <f t="array" ref="L423">IF($O423="","",_xlfn.TEXTJOIN(", ",TRUE,IF(EXACT('Дані_зв''язок'!$J$4:$J$1012,$O423),'Дані_зв''язок'!$M$4:$M$1012,"")))</f>
        <v>МАЗ-4371, ГАЗ 3309</v>
      </c>
      <c r="M423" s="27" cm="1">
        <f t="array" ref="M423">IF($O423="","",IF(SUMPRODUCT(MAX(EXACT('Дані_зв''язок'!$J$4:$J$1012,$O423)*IFERROR('Дані_зв''язок'!$H$4:$H$1012,0)))=0,"",SUMPRODUCT(MAX(EXACT('Дані_зв''язок'!$J$4:$J$1012,$O423)*IFERROR('Дані_зв''язок'!$H$4:$H$1012,0)))))</f>
        <v>4</v>
      </c>
      <c r="O423" s="30" t="s">
        <v>1542</v>
      </c>
      <c r="P423" s="24" cm="1">
        <f t="array" ref="P423">IF($O423="","",IF($B423="","",IFERROR(IF(MIN(IFERROR(VALUE(TRIM(MID(SUBSTITUTE(SUBSTITUTE($B423,","," ")," ",REPT(" ",30)),{1;31;61;91;121;151;181},30))),""))=0,"",MIN(IFERROR(VALUE(TRIM(MID(SUBSTITUTE(SUBSTITUTE($B423,","," ")," ",REPT(" ",30)),{1;31;61;91;121;151;181},30))),""))),"")))</f>
        <v>47</v>
      </c>
      <c r="Q423" s="23" t="str">
        <f t="shared" si="20"/>
        <v>Прилуки, Чернігівська обл., вул. Ярмаркова, 47</v>
      </c>
      <c r="R423" s="35">
        <f>IF($O423="","",IFERROR(INDEX('Координати майданчиків'!$H$4:$H$64,MATCH($T423,'Координати майданчиків'!$B$4:$B$64,0)),IFERROR(IF(ABS(INDEX(Геокодування!$C$2:$C$361,MATCH($Q423,Геокодування!$B$2:$B$361,0))-50.5884)+ABS(INDEX(Геокодування!$D$2:$D$361,MATCH($Q423,Геокодування!$B$2:$B$361,0))-32.3876)&gt;0.15,"",INDEX(Геокодування!$C$2:$C$361,MATCH($Q423,Геокодування!$B$2:$B$361,0))),IFERROR(IF(ABS(INDEX(Геокодування!$C$2:$C$361,MATCH("Прилуки, Чернігівська обл., "&amp;$A423,Геокодування!$B$2:$B$361,0))-50.5884)+ABS(INDEX(Геокодування!$D$2:$D$361,MATCH("Прилуки, Чернігівська обл., "&amp;$A423,Геокодування!$B$2:$B$361,0))-32.3876)&gt;0.15,"",INDEX(Геокодування!$C$2:$C$361,MATCH("Прилуки, Чернігівська обл., "&amp;$A423,Геокодування!$B$2:$B$361,0))),""))))</f>
        <v>50.592551</v>
      </c>
      <c r="S423" s="43">
        <f>IF($O423="","",IFERROR(INDEX('Координати майданчиків'!$I$4:$I$64,MATCH($T423,'Координати майданчиків'!$B$4:$B$64,0)),IFERROR(IF(ABS(INDEX(Геокодування!$C$2:$C$361,MATCH($Q423,Геокодування!$B$2:$B$361,0))-50.5884)+ABS(INDEX(Геокодування!$D$2:$D$361,MATCH($Q423,Геокодування!$B$2:$B$361,0))-32.3876)&gt;0.15,"",INDEX(Геокодування!$D$2:$D$361,MATCH($Q423,Геокодування!$B$2:$B$361,0))),IFERROR(IF(ABS(INDEX(Геокодування!$C$2:$C$361,MATCH("Прилуки, Чернігівська обл., "&amp;$A423,Геокодування!$B$2:$B$361,0))-50.5884)+ABS(INDEX(Геокодування!$D$2:$D$361,MATCH("Прилуки, Чернігівська обл., "&amp;$A423,Геокодування!$B$2:$B$361,0))-32.3876)&gt;0.15,"",INDEX(Геокодування!$D$2:$D$361,MATCH("Прилуки, Чернігівська обл., "&amp;$A423,Геокодування!$B$2:$B$361,0))),""))))</f>
        <v>32.403139000000003</v>
      </c>
      <c r="T423" s="44" t="str">
        <f>IF($O423="","",IFERROR(INDEX('Координати майданчиків'!$B$4:$B$64,MATCH($A423&amp;IF($P423="","",", "&amp;$P423),'Координати майданчиків'!$B$4:$B$64,0)),IFERROR(INDEX('Координати майданчиків'!$B$4:$B$64,MATCH($A423,'Координати майданчиків'!$B$4:$B$64,0)),"")))</f>
        <v/>
      </c>
    </row>
    <row r="424" spans="1:20" x14ac:dyDescent="0.35">
      <c r="A424" s="26" t="str">
        <f t="shared" si="18"/>
        <v>вул. Ярмаркова</v>
      </c>
      <c r="B424" s="26" t="str">
        <f t="shared" si="19"/>
        <v>Іжбат</v>
      </c>
      <c r="C424" s="27" t="str" cm="1">
        <f t="array" ref="C424">IF($O424="","",_xlfn.TEXTJOIN(", ",TRUE,IF(EXACT('Дані_зв''язок'!$J$4:$J$1012,$O424)*('Дані_зв''язок'!$C$4:$C$1012=C$4),'Дані_зв''язок'!$D$4:$D$1012,"")))</f>
        <v>7:10</v>
      </c>
      <c r="D424" s="27" t="str" cm="1">
        <f t="array" ref="D424">IF($O424="","",_xlfn.TEXTJOIN(", ",TRUE,IF(EXACT('Дані_зв''язок'!$J$4:$J$1012,$O424)*('Дані_зв''язок'!$C$4:$C$1012=D$4),'Дані_зв''язок'!$D$4:$D$1012,"")))</f>
        <v>7:10</v>
      </c>
      <c r="E424" s="27" t="str" cm="1">
        <f t="array" ref="E424">IF($O424="","",_xlfn.TEXTJOIN(", ",TRUE,IF(EXACT('Дані_зв''язок'!$J$4:$J$1012,$O424)*('Дані_зв''язок'!$C$4:$C$1012=E$4),'Дані_зв''язок'!$D$4:$D$1012,"")))</f>
        <v>7:15, 14:50</v>
      </c>
      <c r="F424" s="27" t="str" cm="1">
        <f t="array" ref="F424">IF($O424="","",_xlfn.TEXTJOIN(", ",TRUE,IF(EXACT('Дані_зв''язок'!$J$4:$J$1012,$O424)*('Дані_зв''язок'!$C$4:$C$1012=F$4),'Дані_зв''язок'!$D$4:$D$1012,"")))</f>
        <v>7:10</v>
      </c>
      <c r="G424" s="27" t="str" cm="1">
        <f t="array" ref="G424">IF($O424="","",_xlfn.TEXTJOIN(", ",TRUE,IF(EXACT('Дані_зв''язок'!$J$4:$J$1012,$O424)*('Дані_зв''язок'!$C$4:$C$1012=G$4),'Дані_зв''язок'!$D$4:$D$1012,"")))</f>
        <v>7:10</v>
      </c>
      <c r="H424" s="27" t="str" cm="1">
        <f t="array" ref="H424">IF($O424="","",_xlfn.TEXTJOIN(", ",TRUE,IF(EXACT('Дані_зв''язок'!$J$4:$J$1012,$O424)*('Дані_зв''язок'!$C$4:$C$1012=H$4),'Дані_зв''язок'!$D$4:$D$1012,"")))</f>
        <v>7:15, 14:50</v>
      </c>
      <c r="I424" s="27" t="str" cm="1">
        <f t="array" ref="I424">IF($O424="","",_xlfn.TEXTJOIN(", ",TRUE,IF(EXACT('Дані_зв''язок'!$J$4:$J$1012,$O424)*('Дані_зв''язок'!$C$4:$C$1012=I$4),'Дані_зв''язок'!$D$4:$D$1012,"")))</f>
        <v>7:10</v>
      </c>
      <c r="J424" s="27" cm="1">
        <f t="array" ref="J424">IF($O424="","",COUNTIF(C424:I424,"?*")+SUMPRODUCT(LEN(C424:I424)-LEN(SUBSTITUTE(C424:I424,",",""))))</f>
        <v>9</v>
      </c>
      <c r="K424" s="28" t="str" cm="1">
        <f t="array" ref="K424">IF($O424="","",_xlfn.TEXTJOIN(", ",TRUE,IF(EXACT('Дані_зв''язок'!$J$4:$J$1012,$O424),'Дані_зв''язок'!$L$4:$L$1012,"")))</f>
        <v>№2</v>
      </c>
      <c r="L424" s="28" t="str" cm="1">
        <f t="array" ref="L424">IF($O424="","",_xlfn.TEXTJOIN(", ",TRUE,IF(EXACT('Дані_зв''язок'!$J$4:$J$1012,$O424),'Дані_зв''язок'!$M$4:$M$1012,"")))</f>
        <v>АТ 4021/1120, АТ-4021/1120</v>
      </c>
      <c r="M424" s="27" cm="1">
        <f t="array" ref="M424">IF($O424="","",IF(SUMPRODUCT(MAX(EXACT('Дані_зв''язок'!$J$4:$J$1012,$O424)*IFERROR('Дані_зв''язок'!$H$4:$H$1012,0)))=0,"",SUMPRODUCT(MAX(EXACT('Дані_зв''язок'!$J$4:$J$1012,$O424)*IFERROR('Дані_зв''язок'!$H$4:$H$1012,0)))))</f>
        <v>5</v>
      </c>
      <c r="O424" s="30" t="s">
        <v>1545</v>
      </c>
      <c r="P424" s="24" t="str" cm="1">
        <f t="array" ref="P424">IF($O424="","",IF($B424="","",IFERROR(IF(MIN(IFERROR(VALUE(TRIM(MID(SUBSTITUTE(SUBSTITUTE($B424,","," ")," ",REPT(" ",30)),{1;31;61;91;121;151;181},30))),""))=0,"",MIN(IFERROR(VALUE(TRIM(MID(SUBSTITUTE(SUBSTITUTE($B424,","," ")," ",REPT(" ",30)),{1;31;61;91;121;151;181},30))),""))),"")))</f>
        <v/>
      </c>
      <c r="Q424" s="23" t="str">
        <f t="shared" si="20"/>
        <v>Прилуки, Чернігівська обл., вул. Ярмаркова</v>
      </c>
      <c r="R424" s="35">
        <f>IF($O424="","",IFERROR(INDEX('Координати майданчиків'!$H$4:$H$64,MATCH($T424,'Координати майданчиків'!$B$4:$B$64,0)),IFERROR(IF(ABS(INDEX(Геокодування!$C$2:$C$361,MATCH($Q424,Геокодування!$B$2:$B$361,0))-50.5884)+ABS(INDEX(Геокодування!$D$2:$D$361,MATCH($Q424,Геокодування!$B$2:$B$361,0))-32.3876)&gt;0.15,"",INDEX(Геокодування!$C$2:$C$361,MATCH($Q424,Геокодування!$B$2:$B$361,0))),IFERROR(IF(ABS(INDEX(Геокодування!$C$2:$C$361,MATCH("Прилуки, Чернігівська обл., "&amp;$A424,Геокодування!$B$2:$B$361,0))-50.5884)+ABS(INDEX(Геокодування!$D$2:$D$361,MATCH("Прилуки, Чернігівська обл., "&amp;$A424,Геокодування!$B$2:$B$361,0))-32.3876)&gt;0.15,"",INDEX(Геокодування!$C$2:$C$361,MATCH("Прилуки, Чернігівська обл., "&amp;$A424,Геокодування!$B$2:$B$361,0))),""))))</f>
        <v>50.592551</v>
      </c>
      <c r="S424" s="43">
        <f>IF($O424="","",IFERROR(INDEX('Координати майданчиків'!$I$4:$I$64,MATCH($T424,'Координати майданчиків'!$B$4:$B$64,0)),IFERROR(IF(ABS(INDEX(Геокодування!$C$2:$C$361,MATCH($Q424,Геокодування!$B$2:$B$361,0))-50.5884)+ABS(INDEX(Геокодування!$D$2:$D$361,MATCH($Q424,Геокодування!$B$2:$B$361,0))-32.3876)&gt;0.15,"",INDEX(Геокодування!$D$2:$D$361,MATCH($Q424,Геокодування!$B$2:$B$361,0))),IFERROR(IF(ABS(INDEX(Геокодування!$C$2:$C$361,MATCH("Прилуки, Чернігівська обл., "&amp;$A424,Геокодування!$B$2:$B$361,0))-50.5884)+ABS(INDEX(Геокодування!$D$2:$D$361,MATCH("Прилуки, Чернігівська обл., "&amp;$A424,Геокодування!$B$2:$B$361,0))-32.3876)&gt;0.15,"",INDEX(Геокодування!$D$2:$D$361,MATCH("Прилуки, Чернігівська обл., "&amp;$A424,Геокодування!$B$2:$B$361,0))),""))))</f>
        <v>32.403139000000003</v>
      </c>
      <c r="T424" s="44" t="str">
        <f>IF($O424="","",IFERROR(INDEX('Координати майданчиків'!$B$4:$B$64,MATCH($A424&amp;IF($P424="","",", "&amp;$P424),'Координати майданчиків'!$B$4:$B$64,0)),IFERROR(INDEX('Координати майданчиків'!$B$4:$B$64,MATCH($A424,'Координати майданчиків'!$B$4:$B$64,0)),"")))</f>
        <v/>
      </c>
    </row>
    <row r="425" spans="1:20" x14ac:dyDescent="0.35">
      <c r="A425" s="26" t="str">
        <f t="shared" si="18"/>
        <v>вул. Ярмаркова</v>
      </c>
      <c r="B425" s="26" t="str">
        <f t="shared" si="19"/>
        <v>Д/с</v>
      </c>
      <c r="C425" s="27" t="str" cm="1">
        <f t="array" ref="C425">IF($O425="","",_xlfn.TEXTJOIN(", ",TRUE,IF(EXACT('Дані_зв''язок'!$J$4:$J$1012,$O425)*('Дані_зв''язок'!$C$4:$C$1012=C$4),'Дані_зв''язок'!$D$4:$D$1012,"")))</f>
        <v>12:30</v>
      </c>
      <c r="D425" s="27" t="str" cm="1">
        <f t="array" ref="D425">IF($O425="","",_xlfn.TEXTJOIN(", ",TRUE,IF(EXACT('Дані_зв''язок'!$J$4:$J$1012,$O425)*('Дані_зв''язок'!$C$4:$C$1012=D$4),'Дані_зв''язок'!$D$4:$D$1012,"")))</f>
        <v>12:30</v>
      </c>
      <c r="E425" s="27" t="str" cm="1">
        <f t="array" ref="E425">IF($O425="","",_xlfn.TEXTJOIN(", ",TRUE,IF(EXACT('Дані_зв''язок'!$J$4:$J$1012,$O425)*('Дані_зв''язок'!$C$4:$C$1012=E$4),'Дані_зв''язок'!$D$4:$D$1012,"")))</f>
        <v>10:20</v>
      </c>
      <c r="F425" s="27" t="str" cm="1">
        <f t="array" ref="F425">IF($O425="","",_xlfn.TEXTJOIN(", ",TRUE,IF(EXACT('Дані_зв''язок'!$J$4:$J$1012,$O425)*('Дані_зв''язок'!$C$4:$C$1012=F$4),'Дані_зв''язок'!$D$4:$D$1012,"")))</f>
        <v>12:30</v>
      </c>
      <c r="G425" s="27" t="str" cm="1">
        <f t="array" ref="G425">IF($O425="","",_xlfn.TEXTJOIN(", ",TRUE,IF(EXACT('Дані_зв''язок'!$J$4:$J$1012,$O425)*('Дані_зв''язок'!$C$4:$C$1012=G$4),'Дані_зв''язок'!$D$4:$D$1012,"")))</f>
        <v>12:30</v>
      </c>
      <c r="H425" s="27" t="str" cm="1">
        <f t="array" ref="H425">IF($O425="","",_xlfn.TEXTJOIN(", ",TRUE,IF(EXACT('Дані_зв''язок'!$J$4:$J$1012,$O425)*('Дані_зв''язок'!$C$4:$C$1012=H$4),'Дані_зв''язок'!$D$4:$D$1012,"")))</f>
        <v>10:20</v>
      </c>
      <c r="I425" s="27" t="str" cm="1">
        <f t="array" ref="I425">IF($O425="","",_xlfn.TEXTJOIN(", ",TRUE,IF(EXACT('Дані_зв''язок'!$J$4:$J$1012,$O425)*('Дані_зв''язок'!$C$4:$C$1012=I$4),'Дані_зв''язок'!$D$4:$D$1012,"")))</f>
        <v>12:30</v>
      </c>
      <c r="J425" s="27" cm="1">
        <f t="array" ref="J425">IF($O425="","",COUNTIF(C425:I425,"?*")+SUMPRODUCT(LEN(C425:I425)-LEN(SUBSTITUTE(C425:I425,",",""))))</f>
        <v>7</v>
      </c>
      <c r="K425" s="28" t="str" cm="1">
        <f t="array" ref="K425">IF($O425="","",_xlfn.TEXTJOIN(", ",TRUE,IF(EXACT('Дані_зв''язок'!$J$4:$J$1012,$O425),'Дані_зв''язок'!$L$4:$L$1012,"")))</f>
        <v>№2</v>
      </c>
      <c r="L425" s="28" t="str" cm="1">
        <f t="array" ref="L425">IF($O425="","",_xlfn.TEXTJOIN(", ",TRUE,IF(EXACT('Дані_зв''язок'!$J$4:$J$1012,$O425),'Дані_зв''язок'!$M$4:$M$1012,"")))</f>
        <v>АТ 4021/1120, АТ-4021/1120</v>
      </c>
      <c r="M425" s="27" cm="1">
        <f t="array" ref="M425">IF($O425="","",IF(SUMPRODUCT(MAX(EXACT('Дані_зв''язок'!$J$4:$J$1012,$O425)*IFERROR('Дані_зв''язок'!$H$4:$H$1012,0)))=0,"",SUMPRODUCT(MAX(EXACT('Дані_зв''язок'!$J$4:$J$1012,$O425)*IFERROR('Дані_зв''язок'!$H$4:$H$1012,0)))))</f>
        <v>4</v>
      </c>
      <c r="O425" s="30" t="s">
        <v>1543</v>
      </c>
      <c r="P425" s="24" t="str" cm="1">
        <f t="array" ref="P425">IF($O425="","",IF($B425="","",IFERROR(IF(MIN(IFERROR(VALUE(TRIM(MID(SUBSTITUTE(SUBSTITUTE($B425,","," ")," ",REPT(" ",30)),{1;31;61;91;121;151;181},30))),""))=0,"",MIN(IFERROR(VALUE(TRIM(MID(SUBSTITUTE(SUBSTITUTE($B425,","," ")," ",REPT(" ",30)),{1;31;61;91;121;151;181},30))),""))),"")))</f>
        <v/>
      </c>
      <c r="Q425" s="23" t="str">
        <f t="shared" si="20"/>
        <v>Прилуки, Чернігівська обл., вул. Ярмаркова</v>
      </c>
      <c r="R425" s="69">
        <f>IF($O425="","",IFERROR(INDEX('Координати майданчиків'!$H$4:$H$64,MATCH($T425,'Координати майданчиків'!$B$4:$B$64,0)),IFERROR(IF(ABS(INDEX(Геокодування!$C$2:$C$361,MATCH($Q425,Геокодування!$B$2:$B$361,0))-50.5884)+ABS(INDEX(Геокодування!$D$2:$D$361,MATCH($Q425,Геокодування!$B$2:$B$361,0))-32.3876)&gt;0.15,"",INDEX(Геокодування!$C$2:$C$361,MATCH($Q425,Геокодування!$B$2:$B$361,0))),IFERROR(IF(ABS(INDEX(Геокодування!$C$2:$C$361,MATCH("Прилуки, Чернігівська обл., "&amp;$A425,Геокодування!$B$2:$B$361,0))-50.5884)+ABS(INDEX(Геокодування!$D$2:$D$361,MATCH("Прилуки, Чернігівська обл., "&amp;$A425,Геокодування!$B$2:$B$361,0))-32.3876)&gt;0.15,"",INDEX(Геокодування!$C$2:$C$361,MATCH("Прилуки, Чернігівська обл., "&amp;$A425,Геокодування!$B$2:$B$361,0))),""))))</f>
        <v>50.592551</v>
      </c>
      <c r="S425" s="69">
        <f>IF($O425="","",IFERROR(INDEX('Координати майданчиків'!$I$4:$I$64,MATCH($T425,'Координати майданчиків'!$B$4:$B$64,0)),IFERROR(IF(ABS(INDEX(Геокодування!$C$2:$C$361,MATCH($Q425,Геокодування!$B$2:$B$361,0))-50.5884)+ABS(INDEX(Геокодування!$D$2:$D$361,MATCH($Q425,Геокодування!$B$2:$B$361,0))-32.3876)&gt;0.15,"",INDEX(Геокодування!$D$2:$D$361,MATCH($Q425,Геокодування!$B$2:$B$361,0))),IFERROR(IF(ABS(INDEX(Геокодування!$C$2:$C$361,MATCH("Прилуки, Чернігівська обл., "&amp;$A425,Геокодування!$B$2:$B$361,0))-50.5884)+ABS(INDEX(Геокодування!$D$2:$D$361,MATCH("Прилуки, Чернігівська обл., "&amp;$A425,Геокодування!$B$2:$B$361,0))-32.3876)&gt;0.15,"",INDEX(Геокодування!$D$2:$D$361,MATCH("Прилуки, Чернігівська обл., "&amp;$A425,Геокодування!$B$2:$B$361,0))),""))))</f>
        <v>32.403139000000003</v>
      </c>
      <c r="T425" s="44" t="str">
        <f>IF($O425="","",IFERROR(INDEX('Координати майданчиків'!$B$4:$B$64,MATCH($A425&amp;IF($P425="","",", "&amp;$P425),'Координати майданчиків'!$B$4:$B$64,0)),IFERROR(INDEX('Координати майданчиків'!$B$4:$B$64,MATCH($A425,'Координати майданчиків'!$B$4:$B$64,0)),"")))</f>
        <v/>
      </c>
    </row>
    <row r="426" spans="1:20" x14ac:dyDescent="0.35">
      <c r="A426" s="26" t="str">
        <f t="shared" si="18"/>
        <v>вул. Ярмаркова</v>
      </c>
      <c r="B426" s="26" t="str">
        <f t="shared" si="19"/>
        <v>Д/с 26</v>
      </c>
      <c r="C426" s="27" t="str" cm="1">
        <f t="array" ref="C426">IF($O426="","",_xlfn.TEXTJOIN(", ",TRUE,IF(EXACT('Дані_зв''язок'!$J$4:$J$1012,$O426)*('Дані_зв''язок'!$C$4:$C$1012=C$4),'Дані_зв''язок'!$D$4:$D$1012,"")))</f>
        <v/>
      </c>
      <c r="D426" s="27" t="str" cm="1">
        <f t="array" ref="D426">IF($O426="","",_xlfn.TEXTJOIN(", ",TRUE,IF(EXACT('Дані_зв''язок'!$J$4:$J$1012,$O426)*('Дані_зв''язок'!$C$4:$C$1012=D$4),'Дані_зв''язок'!$D$4:$D$1012,"")))</f>
        <v/>
      </c>
      <c r="E426" s="27" t="str" cm="1">
        <f t="array" ref="E426">IF($O426="","",_xlfn.TEXTJOIN(", ",TRUE,IF(EXACT('Дані_зв''язок'!$J$4:$J$1012,$O426)*('Дані_зв''язок'!$C$4:$C$1012=E$4),'Дані_зв''язок'!$D$4:$D$1012,"")))</f>
        <v/>
      </c>
      <c r="F426" s="27" t="str" cm="1">
        <f t="array" ref="F426">IF($O426="","",_xlfn.TEXTJOIN(", ",TRUE,IF(EXACT('Дані_зв''язок'!$J$4:$J$1012,$O426)*('Дані_зв''язок'!$C$4:$C$1012=F$4),'Дані_зв''язок'!$D$4:$D$1012,"")))</f>
        <v/>
      </c>
      <c r="G426" s="27" t="str" cm="1">
        <f t="array" ref="G426">IF($O426="","",_xlfn.TEXTJOIN(", ",TRUE,IF(EXACT('Дані_зв''язок'!$J$4:$J$1012,$O426)*('Дані_зв''язок'!$C$4:$C$1012=G$4),'Дані_зв''язок'!$D$4:$D$1012,"")))</f>
        <v>15:40</v>
      </c>
      <c r="H426" s="27" t="str" cm="1">
        <f t="array" ref="H426">IF($O426="","",_xlfn.TEXTJOIN(", ",TRUE,IF(EXACT('Дані_зв''язок'!$J$4:$J$1012,$O426)*('Дані_зв''язок'!$C$4:$C$1012=H$4),'Дані_зв''язок'!$D$4:$D$1012,"")))</f>
        <v/>
      </c>
      <c r="I426" s="27" t="str" cm="1">
        <f t="array" ref="I426">IF($O426="","",_xlfn.TEXTJOIN(", ",TRUE,IF(EXACT('Дані_зв''язок'!$J$4:$J$1012,$O426)*('Дані_зв''язок'!$C$4:$C$1012=I$4),'Дані_зв''язок'!$D$4:$D$1012,"")))</f>
        <v/>
      </c>
      <c r="J426" s="27" cm="1">
        <f t="array" ref="J426">IF($O426="","",COUNTIF(C426:I426,"?*")+SUMPRODUCT(LEN(C426:I426)-LEN(SUBSTITUTE(C426:I426,",",""))))</f>
        <v>1</v>
      </c>
      <c r="K426" s="28" t="str" cm="1">
        <f t="array" ref="K426">IF($O426="","",_xlfn.TEXTJOIN(", ",TRUE,IF(EXACT('Дані_зв''язок'!$J$4:$J$1012,$O426),'Дані_зв''язок'!$L$4:$L$1012,"")))</f>
        <v>№4</v>
      </c>
      <c r="L426" s="28" t="str" cm="1">
        <f t="array" ref="L426">IF($O426="","",_xlfn.TEXTJOIN(", ",TRUE,IF(EXACT('Дані_зв''язок'!$J$4:$J$1012,$O426),'Дані_зв''язок'!$M$4:$M$1012,"")))</f>
        <v>АТ 40-42/ROD21003</v>
      </c>
      <c r="M426" s="27" cm="1">
        <f t="array" ref="M426">IF($O426="","",IF(SUMPRODUCT(MAX(EXACT('Дані_зв''язок'!$J$4:$J$1012,$O426)*IFERROR('Дані_зв''язок'!$H$4:$H$1012,0)))=0,"",SUMPRODUCT(MAX(EXACT('Дані_зв''язок'!$J$4:$J$1012,$O426)*IFERROR('Дані_зв''язок'!$H$4:$H$1012,0)))))</f>
        <v>2</v>
      </c>
      <c r="O426" s="30" t="s">
        <v>1544</v>
      </c>
      <c r="P426" s="24" cm="1">
        <f t="array" ref="P426">IF($O426="","",IF($B426="","",IFERROR(IF(MIN(IFERROR(VALUE(TRIM(MID(SUBSTITUTE(SUBSTITUTE($B426,","," ")," ",REPT(" ",30)),{1;31;61;91;121;151;181},30))),""))=0,"",MIN(IFERROR(VALUE(TRIM(MID(SUBSTITUTE(SUBSTITUTE($B426,","," ")," ",REPT(" ",30)),{1;31;61;91;121;151;181},30))),""))),"")))</f>
        <v>26</v>
      </c>
      <c r="Q426" s="23" t="str">
        <f t="shared" si="20"/>
        <v>Прилуки, Чернігівська обл., вул. Ярмаркова, 26</v>
      </c>
      <c r="R426" s="35">
        <f>IF($O426="","",IFERROR(INDEX('Координати майданчиків'!$H$4:$H$64,MATCH($T426,'Координати майданчиків'!$B$4:$B$64,0)),IFERROR(IF(ABS(INDEX(Геокодування!$C$2:$C$361,MATCH($Q426,Геокодування!$B$2:$B$361,0))-50.5884)+ABS(INDEX(Геокодування!$D$2:$D$361,MATCH($Q426,Геокодування!$B$2:$B$361,0))-32.3876)&gt;0.15,"",INDEX(Геокодування!$C$2:$C$361,MATCH($Q426,Геокодування!$B$2:$B$361,0))),IFERROR(IF(ABS(INDEX(Геокодування!$C$2:$C$361,MATCH("Прилуки, Чернігівська обл., "&amp;$A426,Геокодування!$B$2:$B$361,0))-50.5884)+ABS(INDEX(Геокодування!$D$2:$D$361,MATCH("Прилуки, Чернігівська обл., "&amp;$A426,Геокодування!$B$2:$B$361,0))-32.3876)&gt;0.15,"",INDEX(Геокодування!$C$2:$C$361,MATCH("Прилуки, Чернігівська обл., "&amp;$A426,Геокодування!$B$2:$B$361,0))),""))))</f>
        <v>50.592551</v>
      </c>
      <c r="S426" s="43">
        <f>IF($O426="","",IFERROR(INDEX('Координати майданчиків'!$I$4:$I$64,MATCH($T426,'Координати майданчиків'!$B$4:$B$64,0)),IFERROR(IF(ABS(INDEX(Геокодування!$C$2:$C$361,MATCH($Q426,Геокодування!$B$2:$B$361,0))-50.5884)+ABS(INDEX(Геокодування!$D$2:$D$361,MATCH($Q426,Геокодування!$B$2:$B$361,0))-32.3876)&gt;0.15,"",INDEX(Геокодування!$D$2:$D$361,MATCH($Q426,Геокодування!$B$2:$B$361,0))),IFERROR(IF(ABS(INDEX(Геокодування!$C$2:$C$361,MATCH("Прилуки, Чернігівська обл., "&amp;$A426,Геокодування!$B$2:$B$361,0))-50.5884)+ABS(INDEX(Геокодування!$D$2:$D$361,MATCH("Прилуки, Чернігівська обл., "&amp;$A426,Геокодування!$B$2:$B$361,0))-32.3876)&gt;0.15,"",INDEX(Геокодування!$D$2:$D$361,MATCH("Прилуки, Чернігівська обл., "&amp;$A426,Геокодування!$B$2:$B$361,0))),""))))</f>
        <v>32.403139000000003</v>
      </c>
      <c r="T426" s="44" t="str">
        <f>IF($O426="","",IFERROR(INDEX('Координати майданчиків'!$B$4:$B$64,MATCH($A426&amp;IF($P426="","",", "&amp;$P426),'Координати майданчиків'!$B$4:$B$64,0)),IFERROR(INDEX('Координати майданчиків'!$B$4:$B$64,MATCH($A426,'Координати майданчиків'!$B$4:$B$64,0)),"")))</f>
        <v/>
      </c>
    </row>
    <row r="427" spans="1:20" x14ac:dyDescent="0.35">
      <c r="A427" s="26" t="str">
        <f t="shared" si="18"/>
        <v>вул. Ярмаркова</v>
      </c>
      <c r="B427" s="26" t="str">
        <f t="shared" si="19"/>
        <v>Н/П 6</v>
      </c>
      <c r="C427" s="27" t="str" cm="1">
        <f t="array" ref="C427">IF($O427="","",_xlfn.TEXTJOIN(", ",TRUE,IF(EXACT('Дані_зв''язок'!$J$4:$J$1012,$O427)*('Дані_зв''язок'!$C$4:$C$1012=C$4),'Дані_зв''язок'!$D$4:$D$1012,"")))</f>
        <v>13:55</v>
      </c>
      <c r="D427" s="27" t="str" cm="1">
        <f t="array" ref="D427">IF($O427="","",_xlfn.TEXTJOIN(", ",TRUE,IF(EXACT('Дані_зв''язок'!$J$4:$J$1012,$O427)*('Дані_зв''язок'!$C$4:$C$1012=D$4),'Дані_зв''язок'!$D$4:$D$1012,"")))</f>
        <v/>
      </c>
      <c r="E427" s="27" t="str" cm="1">
        <f t="array" ref="E427">IF($O427="","",_xlfn.TEXTJOIN(", ",TRUE,IF(EXACT('Дані_зв''язок'!$J$4:$J$1012,$O427)*('Дані_зв''язок'!$C$4:$C$1012=E$4),'Дані_зв''язок'!$D$4:$D$1012,"")))</f>
        <v/>
      </c>
      <c r="F427" s="27" t="str" cm="1">
        <f t="array" ref="F427">IF($O427="","",_xlfn.TEXTJOIN(", ",TRUE,IF(EXACT('Дані_зв''язок'!$J$4:$J$1012,$O427)*('Дані_зв''язок'!$C$4:$C$1012=F$4),'Дані_зв''язок'!$D$4:$D$1012,"")))</f>
        <v/>
      </c>
      <c r="G427" s="27" t="str" cm="1">
        <f t="array" ref="G427">IF($O427="","",_xlfn.TEXTJOIN(", ",TRUE,IF(EXACT('Дані_зв''язок'!$J$4:$J$1012,$O427)*('Дані_зв''язок'!$C$4:$C$1012=G$4),'Дані_зв''язок'!$D$4:$D$1012,"")))</f>
        <v/>
      </c>
      <c r="H427" s="27" t="str" cm="1">
        <f t="array" ref="H427">IF($O427="","",_xlfn.TEXTJOIN(", ",TRUE,IF(EXACT('Дані_зв''язок'!$J$4:$J$1012,$O427)*('Дані_зв''язок'!$C$4:$C$1012=H$4),'Дані_зв''язок'!$D$4:$D$1012,"")))</f>
        <v/>
      </c>
      <c r="I427" s="27" t="str" cm="1">
        <f t="array" ref="I427">IF($O427="","",_xlfn.TEXTJOIN(", ",TRUE,IF(EXACT('Дані_зв''язок'!$J$4:$J$1012,$O427)*('Дані_зв''язок'!$C$4:$C$1012=I$4),'Дані_зв''язок'!$D$4:$D$1012,"")))</f>
        <v/>
      </c>
      <c r="J427" s="27" cm="1">
        <f t="array" ref="J427">IF($O427="","",COUNTIF(C427:I427,"?*")+SUMPRODUCT(LEN(C427:I427)-LEN(SUBSTITUTE(C427:I427,",",""))))</f>
        <v>1</v>
      </c>
      <c r="K427" s="28" t="str" cm="1">
        <f t="array" ref="K427">IF($O427="","",_xlfn.TEXTJOIN(", ",TRUE,IF(EXACT('Дані_зв''язок'!$J$4:$J$1012,$O427),'Дані_зв''язок'!$L$4:$L$1012,"")))</f>
        <v>№1</v>
      </c>
      <c r="L427" s="28" t="str" cm="1">
        <f t="array" ref="L427">IF($O427="","",_xlfn.TEXTJOIN(", ",TRUE,IF(EXACT('Дані_зв''язок'!$J$4:$J$1012,$O427),'Дані_зв''язок'!$M$4:$M$1012,"")))</f>
        <v>АТ-4021/1120</v>
      </c>
      <c r="M427" s="27" cm="1">
        <f t="array" ref="M427">IF($O427="","",IF(SUMPRODUCT(MAX(EXACT('Дані_зв''язок'!$J$4:$J$1012,$O427)*IFERROR('Дані_зв''язок'!$H$4:$H$1012,0)))=0,"",SUMPRODUCT(MAX(EXACT('Дані_зв''язок'!$J$4:$J$1012,$O427)*IFERROR('Дані_зв''язок'!$H$4:$H$1012,0)))))</f>
        <v>1</v>
      </c>
      <c r="O427" s="30" t="s">
        <v>1547</v>
      </c>
      <c r="P427" s="24" cm="1">
        <f t="array" ref="P427">IF($O427="","",IF($B427="","",IFERROR(IF(MIN(IFERROR(VALUE(TRIM(MID(SUBSTITUTE(SUBSTITUTE($B427,","," ")," ",REPT(" ",30)),{1;31;61;91;121;151;181},30))),""))=0,"",MIN(IFERROR(VALUE(TRIM(MID(SUBSTITUTE(SUBSTITUTE($B427,","," ")," ",REPT(" ",30)),{1;31;61;91;121;151;181},30))),""))),"")))</f>
        <v>6</v>
      </c>
      <c r="Q427" s="23" t="str">
        <f t="shared" si="20"/>
        <v>Прилуки, Чернігівська обл., вул. Ярмаркова, 6</v>
      </c>
      <c r="R427" s="35">
        <f>IF($O427="","",IFERROR(INDEX('Координати майданчиків'!$H$4:$H$64,MATCH($T427,'Координати майданчиків'!$B$4:$B$64,0)),IFERROR(IF(ABS(INDEX(Геокодування!$C$2:$C$361,MATCH($Q427,Геокодування!$B$2:$B$361,0))-50.5884)+ABS(INDEX(Геокодування!$D$2:$D$361,MATCH($Q427,Геокодування!$B$2:$B$361,0))-32.3876)&gt;0.15,"",INDEX(Геокодування!$C$2:$C$361,MATCH($Q427,Геокодування!$B$2:$B$361,0))),IFERROR(IF(ABS(INDEX(Геокодування!$C$2:$C$361,MATCH("Прилуки, Чернігівська обл., "&amp;$A427,Геокодування!$B$2:$B$361,0))-50.5884)+ABS(INDEX(Геокодування!$D$2:$D$361,MATCH("Прилуки, Чернігівська обл., "&amp;$A427,Геокодування!$B$2:$B$361,0))-32.3876)&gt;0.15,"",INDEX(Геокодування!$C$2:$C$361,MATCH("Прилуки, Чернігівська обл., "&amp;$A427,Геокодування!$B$2:$B$361,0))),""))))</f>
        <v>50.592551</v>
      </c>
      <c r="S427" s="43">
        <f>IF($O427="","",IFERROR(INDEX('Координати майданчиків'!$I$4:$I$64,MATCH($T427,'Координати майданчиків'!$B$4:$B$64,0)),IFERROR(IF(ABS(INDEX(Геокодування!$C$2:$C$361,MATCH($Q427,Геокодування!$B$2:$B$361,0))-50.5884)+ABS(INDEX(Геокодування!$D$2:$D$361,MATCH($Q427,Геокодування!$B$2:$B$361,0))-32.3876)&gt;0.15,"",INDEX(Геокодування!$D$2:$D$361,MATCH($Q427,Геокодування!$B$2:$B$361,0))),IFERROR(IF(ABS(INDEX(Геокодування!$C$2:$C$361,MATCH("Прилуки, Чернігівська обл., "&amp;$A427,Геокодування!$B$2:$B$361,0))-50.5884)+ABS(INDEX(Геокодування!$D$2:$D$361,MATCH("Прилуки, Чернігівська обл., "&amp;$A427,Геокодування!$B$2:$B$361,0))-32.3876)&gt;0.15,"",INDEX(Геокодування!$D$2:$D$361,MATCH("Прилуки, Чернігівська обл., "&amp;$A427,Геокодування!$B$2:$B$361,0))),""))))</f>
        <v>32.403139000000003</v>
      </c>
      <c r="T427" s="44" t="str">
        <f>IF($O427="","",IFERROR(INDEX('Координати майданчиків'!$B$4:$B$64,MATCH($A427&amp;IF($P427="","",", "&amp;$P427),'Координати майданчиків'!$B$4:$B$64,0)),IFERROR(INDEX('Координати майданчиків'!$B$4:$B$64,MATCH($A427,'Координати майданчиків'!$B$4:$B$64,0)),"")))</f>
        <v/>
      </c>
    </row>
    <row r="428" spans="1:20" ht="25" x14ac:dyDescent="0.35">
      <c r="A428" s="26" t="str">
        <f t="shared" si="18"/>
        <v>вул. Ярмаркова</v>
      </c>
      <c r="B428" s="26" t="str">
        <f t="shared" si="19"/>
        <v>Приймальний пункт</v>
      </c>
      <c r="C428" s="27" t="str" cm="1">
        <f t="array" ref="C428">IF($O428="","",_xlfn.TEXTJOIN(", ",TRUE,IF(EXACT('Дані_зв''язок'!$J$4:$J$1012,$O428)*('Дані_зв''язок'!$C$4:$C$1012=C$4),'Дані_зв''язок'!$D$4:$D$1012,"")))</f>
        <v>10:30, 15:50</v>
      </c>
      <c r="D428" s="27" t="str" cm="1">
        <f t="array" ref="D428">IF($O428="","",_xlfn.TEXTJOIN(", ",TRUE,IF(EXACT('Дані_зв''язок'!$J$4:$J$1012,$O428)*('Дані_зв''язок'!$C$4:$C$1012=D$4),'Дані_зв''язок'!$D$4:$D$1012,"")))</f>
        <v>10:30</v>
      </c>
      <c r="E428" s="27" t="str" cm="1">
        <f t="array" ref="E428">IF($O428="","",_xlfn.TEXTJOIN(", ",TRUE,IF(EXACT('Дані_зв''язок'!$J$4:$J$1012,$O428)*('Дані_зв''язок'!$C$4:$C$1012=E$4),'Дані_зв''язок'!$D$4:$D$1012,"")))</f>
        <v>12:15</v>
      </c>
      <c r="F428" s="27" t="str" cm="1">
        <f t="array" ref="F428">IF($O428="","",_xlfn.TEXTJOIN(", ",TRUE,IF(EXACT('Дані_зв''язок'!$J$4:$J$1012,$O428)*('Дані_зв''язок'!$C$4:$C$1012=F$4),'Дані_зв''язок'!$D$4:$D$1012,"")))</f>
        <v>10:30</v>
      </c>
      <c r="G428" s="27" t="str" cm="1">
        <f t="array" ref="G428">IF($O428="","",_xlfn.TEXTJOIN(", ",TRUE,IF(EXACT('Дані_зв''язок'!$J$4:$J$1012,$O428)*('Дані_зв''язок'!$C$4:$C$1012=G$4),'Дані_зв''язок'!$D$4:$D$1012,"")))</f>
        <v>10:30</v>
      </c>
      <c r="H428" s="27" t="str" cm="1">
        <f t="array" ref="H428">IF($O428="","",_xlfn.TEXTJOIN(", ",TRUE,IF(EXACT('Дані_зв''язок'!$J$4:$J$1012,$O428)*('Дані_зв''язок'!$C$4:$C$1012=H$4),'Дані_зв''язок'!$D$4:$D$1012,"")))</f>
        <v>12:15</v>
      </c>
      <c r="I428" s="27" t="str" cm="1">
        <f t="array" ref="I428">IF($O428="","",_xlfn.TEXTJOIN(", ",TRUE,IF(EXACT('Дані_зв''язок'!$J$4:$J$1012,$O428)*('Дані_зв''язок'!$C$4:$C$1012=I$4),'Дані_зв''язок'!$D$4:$D$1012,"")))</f>
        <v>10:30</v>
      </c>
      <c r="J428" s="27" cm="1">
        <f t="array" ref="J428">IF($O428="","",COUNTIF(C428:I428,"?*")+SUMPRODUCT(LEN(C428:I428)-LEN(SUBSTITUTE(C428:I428,",",""))))</f>
        <v>8</v>
      </c>
      <c r="K428" s="28" t="str" cm="1">
        <f t="array" ref="K428">IF($O428="","",_xlfn.TEXTJOIN(", ",TRUE,IF(EXACT('Дані_зв''язок'!$J$4:$J$1012,$O428),'Дані_зв''язок'!$L$4:$L$1012,"")))</f>
        <v>№2, №6</v>
      </c>
      <c r="L428" s="28" t="str" cm="1">
        <f t="array" ref="L428">IF($O428="","",_xlfn.TEXTJOIN(", ",TRUE,IF(EXACT('Дані_зв''язок'!$J$4:$J$1012,$O428),'Дані_зв''язок'!$M$4:$M$1012,"")))</f>
        <v>АТ 4021/1120, АТ 4021, АТ-4021/1120</v>
      </c>
      <c r="M428" s="27" cm="1">
        <f t="array" ref="M428">IF($O428="","",IF(SUMPRODUCT(MAX(EXACT('Дані_зв''язок'!$J$4:$J$1012,$O428)*IFERROR('Дані_зв''язок'!$H$4:$H$1012,0)))=0,"",SUMPRODUCT(MAX(EXACT('Дані_зв''язок'!$J$4:$J$1012,$O428)*IFERROR('Дані_зв''язок'!$H$4:$H$1012,0)))))</f>
        <v>6</v>
      </c>
      <c r="O428" s="30" t="s">
        <v>1548</v>
      </c>
      <c r="P428" s="24" t="str" cm="1">
        <f t="array" ref="P428">IF($O428="","",IF($B428="","",IFERROR(IF(MIN(IFERROR(VALUE(TRIM(MID(SUBSTITUTE(SUBSTITUTE($B428,","," ")," ",REPT(" ",30)),{1;31;61;91;121;151;181},30))),""))=0,"",MIN(IFERROR(VALUE(TRIM(MID(SUBSTITUTE(SUBSTITUTE($B428,","," ")," ",REPT(" ",30)),{1;31;61;91;121;151;181},30))),""))),"")))</f>
        <v/>
      </c>
      <c r="Q428" s="23" t="str">
        <f t="shared" si="20"/>
        <v>Прилуки, Чернігівська обл., вул. Ярмаркова</v>
      </c>
      <c r="R428" s="69">
        <f>IF($O428="","",IFERROR(INDEX('Координати майданчиків'!$H$4:$H$64,MATCH($T428,'Координати майданчиків'!$B$4:$B$64,0)),IFERROR(IF(ABS(INDEX(Геокодування!$C$2:$C$361,MATCH($Q428,Геокодування!$B$2:$B$361,0))-50.5884)+ABS(INDEX(Геокодування!$D$2:$D$361,MATCH($Q428,Геокодування!$B$2:$B$361,0))-32.3876)&gt;0.15,"",INDEX(Геокодування!$C$2:$C$361,MATCH($Q428,Геокодування!$B$2:$B$361,0))),IFERROR(IF(ABS(INDEX(Геокодування!$C$2:$C$361,MATCH("Прилуки, Чернігівська обл., "&amp;$A428,Геокодування!$B$2:$B$361,0))-50.5884)+ABS(INDEX(Геокодування!$D$2:$D$361,MATCH("Прилуки, Чернігівська обл., "&amp;$A428,Геокодування!$B$2:$B$361,0))-32.3876)&gt;0.15,"",INDEX(Геокодування!$C$2:$C$361,MATCH("Прилуки, Чернігівська обл., "&amp;$A428,Геокодування!$B$2:$B$361,0))),""))))</f>
        <v>50.592551</v>
      </c>
      <c r="S428" s="69">
        <f>IF($O428="","",IFERROR(INDEX('Координати майданчиків'!$I$4:$I$64,MATCH($T428,'Координати майданчиків'!$B$4:$B$64,0)),IFERROR(IF(ABS(INDEX(Геокодування!$C$2:$C$361,MATCH($Q428,Геокодування!$B$2:$B$361,0))-50.5884)+ABS(INDEX(Геокодування!$D$2:$D$361,MATCH($Q428,Геокодування!$B$2:$B$361,0))-32.3876)&gt;0.15,"",INDEX(Геокодування!$D$2:$D$361,MATCH($Q428,Геокодування!$B$2:$B$361,0))),IFERROR(IF(ABS(INDEX(Геокодування!$C$2:$C$361,MATCH("Прилуки, Чернігівська обл., "&amp;$A428,Геокодування!$B$2:$B$361,0))-50.5884)+ABS(INDEX(Геокодування!$D$2:$D$361,MATCH("Прилуки, Чернігівська обл., "&amp;$A428,Геокодування!$B$2:$B$361,0))-32.3876)&gt;0.15,"",INDEX(Геокодування!$D$2:$D$361,MATCH("Прилуки, Чернігівська обл., "&amp;$A428,Геокодування!$B$2:$B$361,0))),""))))</f>
        <v>32.403139000000003</v>
      </c>
      <c r="T428" s="44" t="str">
        <f>IF($O428="","",IFERROR(INDEX('Координати майданчиків'!$B$4:$B$64,MATCH($A428&amp;IF($P428="","",", "&amp;$P428),'Координати майданчиків'!$B$4:$B$64,0)),IFERROR(INDEX('Координати майданчиків'!$B$4:$B$64,MATCH($A428,'Координати майданчиків'!$B$4:$B$64,0)),"")))</f>
        <v/>
      </c>
    </row>
    <row r="429" spans="1:20" x14ac:dyDescent="0.35">
      <c r="A429" s="26" t="str">
        <f t="shared" si="18"/>
        <v>вул. Ярмаркова</v>
      </c>
      <c r="B429" s="26" t="str">
        <f t="shared" si="19"/>
        <v>м-н "Веселка"</v>
      </c>
      <c r="C429" s="27" t="str" cm="1">
        <f t="array" ref="C429">IF($O429="","",_xlfn.TEXTJOIN(", ",TRUE,IF(EXACT('Дані_зв''язок'!$J$4:$J$1012,$O429)*('Дані_зв''язок'!$C$4:$C$1012=C$4),'Дані_зв''язок'!$D$4:$D$1012,"")))</f>
        <v>9:10</v>
      </c>
      <c r="D429" s="27" t="str" cm="1">
        <f t="array" ref="D429">IF($O429="","",_xlfn.TEXTJOIN(", ",TRUE,IF(EXACT('Дані_зв''язок'!$J$4:$J$1012,$O429)*('Дані_зв''язок'!$C$4:$C$1012=D$4),'Дані_зв''язок'!$D$4:$D$1012,"")))</f>
        <v>9:35</v>
      </c>
      <c r="E429" s="27" t="str" cm="1">
        <f t="array" ref="E429">IF($O429="","",_xlfn.TEXTJOIN(", ",TRUE,IF(EXACT('Дані_зв''язок'!$J$4:$J$1012,$O429)*('Дані_зв''язок'!$C$4:$C$1012=E$4),'Дані_зв''язок'!$D$4:$D$1012,"")))</f>
        <v/>
      </c>
      <c r="F429" s="27" t="str" cm="1">
        <f t="array" ref="F429">IF($O429="","",_xlfn.TEXTJOIN(", ",TRUE,IF(EXACT('Дані_зв''язок'!$J$4:$J$1012,$O429)*('Дані_зв''язок'!$C$4:$C$1012=F$4),'Дані_зв''язок'!$D$4:$D$1012,"")))</f>
        <v>8:40</v>
      </c>
      <c r="G429" s="27" t="str" cm="1">
        <f t="array" ref="G429">IF($O429="","",_xlfn.TEXTJOIN(", ",TRUE,IF(EXACT('Дані_зв''язок'!$J$4:$J$1012,$O429)*('Дані_зв''язок'!$C$4:$C$1012=G$4),'Дані_зв''язок'!$D$4:$D$1012,"")))</f>
        <v>9:10</v>
      </c>
      <c r="H429" s="27" t="str" cm="1">
        <f t="array" ref="H429">IF($O429="","",_xlfn.TEXTJOIN(", ",TRUE,IF(EXACT('Дані_зв''язок'!$J$4:$J$1012,$O429)*('Дані_зв''язок'!$C$4:$C$1012=H$4),'Дані_зв''язок'!$D$4:$D$1012,"")))</f>
        <v/>
      </c>
      <c r="I429" s="27" t="str" cm="1">
        <f t="array" ref="I429">IF($O429="","",_xlfn.TEXTJOIN(", ",TRUE,IF(EXACT('Дані_зв''язок'!$J$4:$J$1012,$O429)*('Дані_зв''язок'!$C$4:$C$1012=I$4),'Дані_зв''язок'!$D$4:$D$1012,"")))</f>
        <v>9:25</v>
      </c>
      <c r="J429" s="27" cm="1">
        <f t="array" ref="J429">IF($O429="","",COUNTIF(C429:I429,"?*")+SUMPRODUCT(LEN(C429:I429)-LEN(SUBSTITUTE(C429:I429,",",""))))</f>
        <v>5</v>
      </c>
      <c r="K429" s="28" t="str" cm="1">
        <f t="array" ref="K429">IF($O429="","",_xlfn.TEXTJOIN(", ",TRUE,IF(EXACT('Дані_зв''язок'!$J$4:$J$1012,$O429),'Дані_зв''язок'!$L$4:$L$1012,"")))</f>
        <v>№4</v>
      </c>
      <c r="L429" s="28" t="str" cm="1">
        <f t="array" ref="L429">IF($O429="","",_xlfn.TEXTJOIN(", ",TRUE,IF(EXACT('Дані_зв''язок'!$J$4:$J$1012,$O429),'Дані_зв''язок'!$M$4:$M$1012,"")))</f>
        <v>АТ 40-42/ROD21003</v>
      </c>
      <c r="M429" s="27" cm="1">
        <f t="array" ref="M429">IF($O429="","",IF(SUMPRODUCT(MAX(EXACT('Дані_зв''язок'!$J$4:$J$1012,$O429)*IFERROR('Дані_зв''язок'!$H$4:$H$1012,0)))=0,"",SUMPRODUCT(MAX(EXACT('Дані_зв''язок'!$J$4:$J$1012,$O429)*IFERROR('Дані_зв''язок'!$H$4:$H$1012,0)))))</f>
        <v>4</v>
      </c>
      <c r="O429" s="30" t="s">
        <v>1546</v>
      </c>
      <c r="P429" s="24" t="str" cm="1">
        <f t="array" ref="P429">IF($O429="","",IF($B429="","",IFERROR(IF(MIN(IFERROR(VALUE(TRIM(MID(SUBSTITUTE(SUBSTITUTE($B429,","," ")," ",REPT(" ",30)),{1;31;61;91;121;151;181},30))),""))=0,"",MIN(IFERROR(VALUE(TRIM(MID(SUBSTITUTE(SUBSTITUTE($B429,","," ")," ",REPT(" ",30)),{1;31;61;91;121;151;181},30))),""))),"")))</f>
        <v/>
      </c>
      <c r="Q429" s="23" t="str">
        <f t="shared" si="20"/>
        <v>Прилуки, Чернігівська обл., вул. Ярмаркова</v>
      </c>
      <c r="R429" s="69">
        <f>IF($O429="","",IFERROR(INDEX('Координати майданчиків'!$H$4:$H$64,MATCH($T429,'Координати майданчиків'!$B$4:$B$64,0)),IFERROR(IF(ABS(INDEX(Геокодування!$C$2:$C$361,MATCH($Q429,Геокодування!$B$2:$B$361,0))-50.5884)+ABS(INDEX(Геокодування!$D$2:$D$361,MATCH($Q429,Геокодування!$B$2:$B$361,0))-32.3876)&gt;0.15,"",INDEX(Геокодування!$C$2:$C$361,MATCH($Q429,Геокодування!$B$2:$B$361,0))),IFERROR(IF(ABS(INDEX(Геокодування!$C$2:$C$361,MATCH("Прилуки, Чернігівська обл., "&amp;$A429,Геокодування!$B$2:$B$361,0))-50.5884)+ABS(INDEX(Геокодування!$D$2:$D$361,MATCH("Прилуки, Чернігівська обл., "&amp;$A429,Геокодування!$B$2:$B$361,0))-32.3876)&gt;0.15,"",INDEX(Геокодування!$C$2:$C$361,MATCH("Прилуки, Чернігівська обл., "&amp;$A429,Геокодування!$B$2:$B$361,0))),""))))</f>
        <v>50.592551</v>
      </c>
      <c r="S429" s="69">
        <f>IF($O429="","",IFERROR(INDEX('Координати майданчиків'!$I$4:$I$64,MATCH($T429,'Координати майданчиків'!$B$4:$B$64,0)),IFERROR(IF(ABS(INDEX(Геокодування!$C$2:$C$361,MATCH($Q429,Геокодування!$B$2:$B$361,0))-50.5884)+ABS(INDEX(Геокодування!$D$2:$D$361,MATCH($Q429,Геокодування!$B$2:$B$361,0))-32.3876)&gt;0.15,"",INDEX(Геокодування!$D$2:$D$361,MATCH($Q429,Геокодування!$B$2:$B$361,0))),IFERROR(IF(ABS(INDEX(Геокодування!$C$2:$C$361,MATCH("Прилуки, Чернігівська обл., "&amp;$A429,Геокодування!$B$2:$B$361,0))-50.5884)+ABS(INDEX(Геокодування!$D$2:$D$361,MATCH("Прилуки, Чернігівська обл., "&amp;$A429,Геокодування!$B$2:$B$361,0))-32.3876)&gt;0.15,"",INDEX(Геокодування!$D$2:$D$361,MATCH("Прилуки, Чернігівська обл., "&amp;$A429,Геокодування!$B$2:$B$361,0))),""))))</f>
        <v>32.403139000000003</v>
      </c>
      <c r="T429" s="44" t="str">
        <f>IF($O429="","",IFERROR(INDEX('Координати майданчиків'!$B$4:$B$64,MATCH($A429&amp;IF($P429="","",", "&amp;$P429),'Координати майданчиків'!$B$4:$B$64,0)),IFERROR(INDEX('Координати майданчиків'!$B$4:$B$64,MATCH($A429,'Координати майданчиків'!$B$4:$B$64,0)),"")))</f>
        <v/>
      </c>
    </row>
    <row r="430" spans="1:20" x14ac:dyDescent="0.35">
      <c r="A430" s="26" t="str">
        <f t="shared" si="18"/>
        <v>від вул. Перемоги до</v>
      </c>
      <c r="B430" s="26" t="str">
        <f t="shared" si="19"/>
        <v/>
      </c>
      <c r="C430" s="27" t="str" cm="1">
        <f t="array" ref="C430">IF($O430="","",_xlfn.TEXTJOIN(", ",TRUE,IF(EXACT('Дані_зв''язок'!$J$4:$J$1012,$O430)*('Дані_зв''язок'!$C$4:$C$1012=C$4),'Дані_зв''язок'!$D$4:$D$1012,"")))</f>
        <v/>
      </c>
      <c r="D430" s="27" t="str" cm="1">
        <f t="array" ref="D430">IF($O430="","",_xlfn.TEXTJOIN(", ",TRUE,IF(EXACT('Дані_зв''язок'!$J$4:$J$1012,$O430)*('Дані_зв''язок'!$C$4:$C$1012=D$4),'Дані_зв''язок'!$D$4:$D$1012,"")))</f>
        <v/>
      </c>
      <c r="E430" s="27" t="str" cm="1">
        <f t="array" ref="E430">IF($O430="","",_xlfn.TEXTJOIN(", ",TRUE,IF(EXACT('Дані_зв''язок'!$J$4:$J$1012,$O430)*('Дані_зв''язок'!$C$4:$C$1012=E$4),'Дані_зв''язок'!$D$4:$D$1012,"")))</f>
        <v/>
      </c>
      <c r="F430" s="27" t="str" cm="1">
        <f t="array" ref="F430">IF($O430="","",_xlfn.TEXTJOIN(", ",TRUE,IF(EXACT('Дані_зв''язок'!$J$4:$J$1012,$O430)*('Дані_зв''язок'!$C$4:$C$1012=F$4),'Дані_зв''язок'!$D$4:$D$1012,"")))</f>
        <v/>
      </c>
      <c r="G430" s="27" t="str" cm="1">
        <f t="array" ref="G430">IF($O430="","",_xlfn.TEXTJOIN(", ",TRUE,IF(EXACT('Дані_зв''язок'!$J$4:$J$1012,$O430)*('Дані_зв''язок'!$C$4:$C$1012=G$4),'Дані_зв''язок'!$D$4:$D$1012,"")))</f>
        <v>12:45</v>
      </c>
      <c r="H430" s="27" t="str" cm="1">
        <f t="array" ref="H430">IF($O430="","",_xlfn.TEXTJOIN(", ",TRUE,IF(EXACT('Дані_зв''язок'!$J$4:$J$1012,$O430)*('Дані_зв''язок'!$C$4:$C$1012=H$4),'Дані_зв''язок'!$D$4:$D$1012,"")))</f>
        <v/>
      </c>
      <c r="I430" s="27" t="str" cm="1">
        <f t="array" ref="I430">IF($O430="","",_xlfn.TEXTJOIN(", ",TRUE,IF(EXACT('Дані_зв''язок'!$J$4:$J$1012,$O430)*('Дані_зв''язок'!$C$4:$C$1012=I$4),'Дані_зв''язок'!$D$4:$D$1012,"")))</f>
        <v/>
      </c>
      <c r="J430" s="27" cm="1">
        <f t="array" ref="J430">IF($O430="","",COUNTIF(C430:I430,"?*")+SUMPRODUCT(LEN(C430:I430)-LEN(SUBSTITUTE(C430:I430,",",""))))</f>
        <v>1</v>
      </c>
      <c r="K430" s="28" t="str" cm="1">
        <f t="array" ref="K430">IF($O430="","",_xlfn.TEXTJOIN(", ",TRUE,IF(EXACT('Дані_зв''язок'!$J$4:$J$1012,$O430),'Дані_зв''язок'!$L$4:$L$1012,"")))</f>
        <v>№6</v>
      </c>
      <c r="L430" s="28" t="str" cm="1">
        <f t="array" ref="L430">IF($O430="","",_xlfn.TEXTJOIN(", ",TRUE,IF(EXACT('Дані_зв''язок'!$J$4:$J$1012,$O430),'Дані_зв''язок'!$M$4:$M$1012,"")))</f>
        <v>АТ 4021</v>
      </c>
      <c r="M430" s="27" t="str" cm="1">
        <f t="array" ref="M430">IF($O430="","",IF(SUMPRODUCT(MAX(EXACT('Дані_зв''язок'!$J$4:$J$1012,$O430)*IFERROR('Дані_зв''язок'!$H$4:$H$1012,0)))=0,"",SUMPRODUCT(MAX(EXACT('Дані_зв''язок'!$J$4:$J$1012,$O430)*IFERROR('Дані_зв''язок'!$H$4:$H$1012,0)))))</f>
        <v/>
      </c>
      <c r="O430" s="30" t="s">
        <v>1192</v>
      </c>
      <c r="P430" s="24" t="str" cm="1">
        <f t="array" ref="P430">IF($O430="","",IF($B430="","",IFERROR(IF(MIN(IFERROR(VALUE(TRIM(MID(SUBSTITUTE(SUBSTITUTE($B430,","," ")," ",REPT(" ",30)),{1;31;61;91;121;151;181},30))),""))=0,"",MIN(IFERROR(VALUE(TRIM(MID(SUBSTITUTE(SUBSTITUTE($B430,","," ")," ",REPT(" ",30)),{1;31;61;91;121;151;181},30))),""))),"")))</f>
        <v/>
      </c>
      <c r="Q430" s="23" t="str">
        <f t="shared" si="20"/>
        <v>Прилуки, Чернігівська обл., від вул. Перемоги до</v>
      </c>
      <c r="R430" s="35">
        <f>IF($O430="","",IFERROR(INDEX('Координати майданчиків'!$H$4:$H$64,MATCH($T430,'Координати майданчиків'!$B$4:$B$64,0)),IFERROR(IF(ABS(INDEX(Геокодування!$C$2:$C$361,MATCH($Q430,Геокодування!$B$2:$B$361,0))-50.5884)+ABS(INDEX(Геокодування!$D$2:$D$361,MATCH($Q430,Геокодування!$B$2:$B$361,0))-32.3876)&gt;0.15,"",INDEX(Геокодування!$C$2:$C$361,MATCH($Q430,Геокодування!$B$2:$B$361,0))),IFERROR(IF(ABS(INDEX(Геокодування!$C$2:$C$361,MATCH("Прилуки, Чернігівська обл., "&amp;$A430,Геокодування!$B$2:$B$361,0))-50.5884)+ABS(INDEX(Геокодування!$D$2:$D$361,MATCH("Прилуки, Чернігівська обл., "&amp;$A430,Геокодування!$B$2:$B$361,0))-32.3876)&gt;0.15,"",INDEX(Геокодування!$C$2:$C$361,MATCH("Прилуки, Чернігівська обл., "&amp;$A430,Геокодування!$B$2:$B$361,0))),""))))</f>
        <v>50.571258999999998</v>
      </c>
      <c r="S430" s="43">
        <f>IF($O430="","",IFERROR(INDEX('Координати майданчиків'!$I$4:$I$64,MATCH($T430,'Координати майданчиків'!$B$4:$B$64,0)),IFERROR(IF(ABS(INDEX(Геокодування!$C$2:$C$361,MATCH($Q430,Геокодування!$B$2:$B$361,0))-50.5884)+ABS(INDEX(Геокодування!$D$2:$D$361,MATCH($Q430,Геокодування!$B$2:$B$361,0))-32.3876)&gt;0.15,"",INDEX(Геокодування!$D$2:$D$361,MATCH($Q430,Геокодування!$B$2:$B$361,0))),IFERROR(IF(ABS(INDEX(Геокодування!$C$2:$C$361,MATCH("Прилуки, Чернігівська обл., "&amp;$A430,Геокодування!$B$2:$B$361,0))-50.5884)+ABS(INDEX(Геокодування!$D$2:$D$361,MATCH("Прилуки, Чернігівська обл., "&amp;$A430,Геокодування!$B$2:$B$361,0))-32.3876)&gt;0.15,"",INDEX(Геокодування!$D$2:$D$361,MATCH("Прилуки, Чернігівська обл., "&amp;$A430,Геокодування!$B$2:$B$361,0))),""))))</f>
        <v>32.401103999999997</v>
      </c>
      <c r="T430" s="44" t="str">
        <f>IF($O430="","",IFERROR(INDEX('Координати майданчиків'!$B$4:$B$64,MATCH($A430&amp;IF($P430="","",", "&amp;$P430),'Координати майданчиків'!$B$4:$B$64,0)),IFERROR(INDEX('Координати майданчиків'!$B$4:$B$64,MATCH($A430,'Координати майданчиків'!$B$4:$B$64,0)),"")))</f>
        <v/>
      </c>
    </row>
    <row r="431" spans="1:20" ht="25" x14ac:dyDescent="0.35">
      <c r="A431" s="26" t="str">
        <f t="shared" si="18"/>
        <v>перехрестя Земська-Скоропадського</v>
      </c>
      <c r="B431" s="26" t="str">
        <f t="shared" si="19"/>
        <v/>
      </c>
      <c r="C431" s="27" t="str" cm="1">
        <f t="array" ref="C431">IF($O431="","",_xlfn.TEXTJOIN(", ",TRUE,IF(EXACT('Дані_зв''язок'!$J$4:$J$1012,$O431)*('Дані_зв''язок'!$C$4:$C$1012=C$4),'Дані_зв''язок'!$D$4:$D$1012,"")))</f>
        <v>14:35</v>
      </c>
      <c r="D431" s="27" t="str" cm="1">
        <f t="array" ref="D431">IF($O431="","",_xlfn.TEXTJOIN(", ",TRUE,IF(EXACT('Дані_зв''язок'!$J$4:$J$1012,$O431)*('Дані_зв''язок'!$C$4:$C$1012=D$4),'Дані_зв''язок'!$D$4:$D$1012,"")))</f>
        <v/>
      </c>
      <c r="E431" s="27" t="str" cm="1">
        <f t="array" ref="E431">IF($O431="","",_xlfn.TEXTJOIN(", ",TRUE,IF(EXACT('Дані_зв''язок'!$J$4:$J$1012,$O431)*('Дані_зв''язок'!$C$4:$C$1012=E$4),'Дані_зв''язок'!$D$4:$D$1012,"")))</f>
        <v>8:25, 14:35</v>
      </c>
      <c r="F431" s="27" t="str" cm="1">
        <f t="array" ref="F431">IF($O431="","",_xlfn.TEXTJOIN(", ",TRUE,IF(EXACT('Дані_зв''язок'!$J$4:$J$1012,$O431)*('Дані_зв''язок'!$C$4:$C$1012=F$4),'Дані_зв''язок'!$D$4:$D$1012,"")))</f>
        <v>8:00, 15:45</v>
      </c>
      <c r="G431" s="27" t="str" cm="1">
        <f t="array" ref="G431">IF($O431="","",_xlfn.TEXTJOIN(", ",TRUE,IF(EXACT('Дані_зв''язок'!$J$4:$J$1012,$O431)*('Дані_зв''язок'!$C$4:$C$1012=G$4),'Дані_зв''язок'!$D$4:$D$1012,"")))</f>
        <v>8:20, 14:35</v>
      </c>
      <c r="H431" s="27" t="str" cm="1">
        <f t="array" ref="H431">IF($O431="","",_xlfn.TEXTJOIN(", ",TRUE,IF(EXACT('Дані_зв''язок'!$J$4:$J$1012,$O431)*('Дані_зв''язок'!$C$4:$C$1012=H$4),'Дані_зв''язок'!$D$4:$D$1012,"")))</f>
        <v>8:00</v>
      </c>
      <c r="I431" s="27" t="str" cm="1">
        <f t="array" ref="I431">IF($O431="","",_xlfn.TEXTJOIN(", ",TRUE,IF(EXACT('Дані_зв''язок'!$J$4:$J$1012,$O431)*('Дані_зв''язок'!$C$4:$C$1012=I$4),'Дані_зв''язок'!$D$4:$D$1012,"")))</f>
        <v>8:00, 15:45</v>
      </c>
      <c r="J431" s="27" cm="1">
        <f t="array" ref="J431">IF($O431="","",COUNTIF(C431:I431,"?*")+SUMPRODUCT(LEN(C431:I431)-LEN(SUBSTITUTE(C431:I431,",",""))))</f>
        <v>10</v>
      </c>
      <c r="K431" s="28" t="str" cm="1">
        <f t="array" ref="K431">IF($O431="","",_xlfn.TEXTJOIN(", ",TRUE,IF(EXACT('Дані_зв''язок'!$J$4:$J$1012,$O431),'Дані_зв''язок'!$L$4:$L$1012,"")))</f>
        <v>№3</v>
      </c>
      <c r="L431" s="28" t="str" cm="1">
        <f t="array" ref="L431">IF($O431="","",_xlfn.TEXTJOIN(", ",TRUE,IF(EXACT('Дані_зв''язок'!$J$4:$J$1012,$O431),'Дані_зв''язок'!$M$4:$M$1012,"")))</f>
        <v>МАЗ-4371, ГАЗ 3309</v>
      </c>
      <c r="M431" s="27" cm="1">
        <f t="array" ref="M431">IF($O431="","",IF(SUMPRODUCT(MAX(EXACT('Дані_зв''язок'!$J$4:$J$1012,$O431)*IFERROR('Дані_зв''язок'!$H$4:$H$1012,0)))=0,"",SUMPRODUCT(MAX(EXACT('Дані_зв''язок'!$J$4:$J$1012,$O431)*IFERROR('Дані_зв''язок'!$H$4:$H$1012,0)))))</f>
        <v>3</v>
      </c>
      <c r="O431" s="30" t="s">
        <v>1553</v>
      </c>
      <c r="P431" s="24" t="str" cm="1">
        <f t="array" ref="P431">IF($O431="","",IF($B431="","",IFERROR(IF(MIN(IFERROR(VALUE(TRIM(MID(SUBSTITUTE(SUBSTITUTE($B431,","," ")," ",REPT(" ",30)),{1;31;61;91;121;151;181},30))),""))=0,"",MIN(IFERROR(VALUE(TRIM(MID(SUBSTITUTE(SUBSTITUTE($B431,","," ")," ",REPT(" ",30)),{1;31;61;91;121;151;181},30))),""))),"")))</f>
        <v/>
      </c>
      <c r="Q431" s="23" t="str">
        <f t="shared" si="20"/>
        <v>Прилуки, Чернігівська обл., перехрестя Земська-Скоропадського</v>
      </c>
      <c r="R431" s="35" t="str">
        <f>IF($O431="","",IFERROR(INDEX('Координати майданчиків'!$H$4:$H$64,MATCH($T431,'Координати майданчиків'!$B$4:$B$64,0)),IFERROR(IF(ABS(INDEX(Геокодування!$C$2:$C$361,MATCH($Q431,Геокодування!$B$2:$B$361,0))-50.5884)+ABS(INDEX(Геокодування!$D$2:$D$361,MATCH($Q431,Геокодування!$B$2:$B$361,0))-32.3876)&gt;0.15,"",INDEX(Геокодування!$C$2:$C$361,MATCH($Q431,Геокодування!$B$2:$B$361,0))),IFERROR(IF(ABS(INDEX(Геокодування!$C$2:$C$361,MATCH("Прилуки, Чернігівська обл., "&amp;$A431,Геокодування!$B$2:$B$361,0))-50.5884)+ABS(INDEX(Геокодування!$D$2:$D$361,MATCH("Прилуки, Чернігівська обл., "&amp;$A431,Геокодування!$B$2:$B$361,0))-32.3876)&gt;0.15,"",INDEX(Геокодування!$C$2:$C$361,MATCH("Прилуки, Чернігівська обл., "&amp;$A431,Геокодування!$B$2:$B$361,0))),""))))</f>
        <v/>
      </c>
      <c r="S431" s="43" t="str">
        <f>IF($O431="","",IFERROR(INDEX('Координати майданчиків'!$I$4:$I$64,MATCH($T431,'Координати майданчиків'!$B$4:$B$64,0)),IFERROR(IF(ABS(INDEX(Геокодування!$C$2:$C$361,MATCH($Q431,Геокодування!$B$2:$B$361,0))-50.5884)+ABS(INDEX(Геокодування!$D$2:$D$361,MATCH($Q431,Геокодування!$B$2:$B$361,0))-32.3876)&gt;0.15,"",INDEX(Геокодування!$D$2:$D$361,MATCH($Q431,Геокодування!$B$2:$B$361,0))),IFERROR(IF(ABS(INDEX(Геокодування!$C$2:$C$361,MATCH("Прилуки, Чернігівська обл., "&amp;$A431,Геокодування!$B$2:$B$361,0))-50.5884)+ABS(INDEX(Геокодування!$D$2:$D$361,MATCH("Прилуки, Чернігівська обл., "&amp;$A431,Геокодування!$B$2:$B$361,0))-32.3876)&gt;0.15,"",INDEX(Геокодування!$D$2:$D$361,MATCH("Прилуки, Чернігівська обл., "&amp;$A431,Геокодування!$B$2:$B$361,0))),""))))</f>
        <v/>
      </c>
      <c r="T431" s="44" t="str">
        <f>IF($O431="","",IFERROR(INDEX('Координати майданчиків'!$B$4:$B$64,MATCH($A431&amp;IF($P431="","",", "&amp;$P431),'Координати майданчиків'!$B$4:$B$64,0)),IFERROR(INDEX('Координати майданчиків'!$B$4:$B$64,MATCH($A431,'Координати майданчиків'!$B$4:$B$64,0)),"")))</f>
        <v/>
      </c>
    </row>
    <row r="432" spans="1:20" ht="25" x14ac:dyDescent="0.35">
      <c r="A432" s="26" t="str">
        <f t="shared" si="18"/>
        <v>перехрестя Київська-Котляревського</v>
      </c>
      <c r="B432" s="26" t="str">
        <f t="shared" si="19"/>
        <v>кафе "Бандера"</v>
      </c>
      <c r="C432" s="27" t="str" cm="1">
        <f t="array" ref="C432">IF($O432="","",_xlfn.TEXTJOIN(", ",TRUE,IF(EXACT('Дані_зв''язок'!$J$4:$J$1012,$O432)*('Дані_зв''язок'!$C$4:$C$1012=C$4),'Дані_зв''язок'!$D$4:$D$1012,"")))</f>
        <v/>
      </c>
      <c r="D432" s="27" t="str" cm="1">
        <f t="array" ref="D432">IF($O432="","",_xlfn.TEXTJOIN(", ",TRUE,IF(EXACT('Дані_зв''язок'!$J$4:$J$1012,$O432)*('Дані_зв''язок'!$C$4:$C$1012=D$4),'Дані_зв''язок'!$D$4:$D$1012,"")))</f>
        <v/>
      </c>
      <c r="E432" s="27" t="str" cm="1">
        <f t="array" ref="E432">IF($O432="","",_xlfn.TEXTJOIN(", ",TRUE,IF(EXACT('Дані_зв''язок'!$J$4:$J$1012,$O432)*('Дані_зв''язок'!$C$4:$C$1012=E$4),'Дані_зв''язок'!$D$4:$D$1012,"")))</f>
        <v>8:40</v>
      </c>
      <c r="F432" s="27" t="str" cm="1">
        <f t="array" ref="F432">IF($O432="","",_xlfn.TEXTJOIN(", ",TRUE,IF(EXACT('Дані_зв''язок'!$J$4:$J$1012,$O432)*('Дані_зв''язок'!$C$4:$C$1012=F$4),'Дані_зв''язок'!$D$4:$D$1012,"")))</f>
        <v/>
      </c>
      <c r="G432" s="27" t="str" cm="1">
        <f t="array" ref="G432">IF($O432="","",_xlfn.TEXTJOIN(", ",TRUE,IF(EXACT('Дані_зв''язок'!$J$4:$J$1012,$O432)*('Дані_зв''язок'!$C$4:$C$1012=G$4),'Дані_зв''язок'!$D$4:$D$1012,"")))</f>
        <v>8:25</v>
      </c>
      <c r="H432" s="27" t="str" cm="1">
        <f t="array" ref="H432">IF($O432="","",_xlfn.TEXTJOIN(", ",TRUE,IF(EXACT('Дані_зв''язок'!$J$4:$J$1012,$O432)*('Дані_зв''язок'!$C$4:$C$1012=H$4),'Дані_зв''язок'!$D$4:$D$1012,"")))</f>
        <v>8:25</v>
      </c>
      <c r="I432" s="27" t="str" cm="1">
        <f t="array" ref="I432">IF($O432="","",_xlfn.TEXTJOIN(", ",TRUE,IF(EXACT('Дані_зв''язок'!$J$4:$J$1012,$O432)*('Дані_зв''язок'!$C$4:$C$1012=I$4),'Дані_зв''язок'!$D$4:$D$1012,"")))</f>
        <v/>
      </c>
      <c r="J432" s="27" cm="1">
        <f t="array" ref="J432">IF($O432="","",COUNTIF(C432:I432,"?*")+SUMPRODUCT(LEN(C432:I432)-LEN(SUBSTITUTE(C432:I432,",",""))))</f>
        <v>3</v>
      </c>
      <c r="K432" s="28" t="str" cm="1">
        <f t="array" ref="K432">IF($O432="","",_xlfn.TEXTJOIN(", ",TRUE,IF(EXACT('Дані_зв''язок'!$J$4:$J$1012,$O432),'Дані_зв''язок'!$L$4:$L$1012,"")))</f>
        <v>№3</v>
      </c>
      <c r="L432" s="28" t="str" cm="1">
        <f t="array" ref="L432">IF($O432="","",_xlfn.TEXTJOIN(", ",TRUE,IF(EXACT('Дані_зв''язок'!$J$4:$J$1012,$O432),'Дані_зв''язок'!$M$4:$M$1012,"")))</f>
        <v>МАЗ-4371</v>
      </c>
      <c r="M432" s="27" cm="1">
        <f t="array" ref="M432">IF($O432="","",IF(SUMPRODUCT(MAX(EXACT('Дані_зв''язок'!$J$4:$J$1012,$O432)*IFERROR('Дані_зв''язок'!$H$4:$H$1012,0)))=0,"",SUMPRODUCT(MAX(EXACT('Дані_зв''язок'!$J$4:$J$1012,$O432)*IFERROR('Дані_зв''язок'!$H$4:$H$1012,0)))))</f>
        <v>1</v>
      </c>
      <c r="O432" s="30" t="s">
        <v>1554</v>
      </c>
      <c r="P432" s="24" t="str" cm="1">
        <f t="array" ref="P432">IF($O432="","",IF($B432="","",IFERROR(IF(MIN(IFERROR(VALUE(TRIM(MID(SUBSTITUTE(SUBSTITUTE($B432,","," ")," ",REPT(" ",30)),{1;31;61;91;121;151;181},30))),""))=0,"",MIN(IFERROR(VALUE(TRIM(MID(SUBSTITUTE(SUBSTITUTE($B432,","," ")," ",REPT(" ",30)),{1;31;61;91;121;151;181},30))),""))),"")))</f>
        <v/>
      </c>
      <c r="Q432" s="23" t="str">
        <f t="shared" si="20"/>
        <v>Прилуки, Чернігівська обл., перехрестя Київська-Котляревського</v>
      </c>
      <c r="R432" s="35" t="str">
        <f>IF($O432="","",IFERROR(INDEX('Координати майданчиків'!$H$4:$H$64,MATCH($T432,'Координати майданчиків'!$B$4:$B$64,0)),IFERROR(IF(ABS(INDEX(Геокодування!$C$2:$C$361,MATCH($Q432,Геокодування!$B$2:$B$361,0))-50.5884)+ABS(INDEX(Геокодування!$D$2:$D$361,MATCH($Q432,Геокодування!$B$2:$B$361,0))-32.3876)&gt;0.15,"",INDEX(Геокодування!$C$2:$C$361,MATCH($Q432,Геокодування!$B$2:$B$361,0))),IFERROR(IF(ABS(INDEX(Геокодування!$C$2:$C$361,MATCH("Прилуки, Чернігівська обл., "&amp;$A432,Геокодування!$B$2:$B$361,0))-50.5884)+ABS(INDEX(Геокодування!$D$2:$D$361,MATCH("Прилуки, Чернігівська обл., "&amp;$A432,Геокодування!$B$2:$B$361,0))-32.3876)&gt;0.15,"",INDEX(Геокодування!$C$2:$C$361,MATCH("Прилуки, Чернігівська обл., "&amp;$A432,Геокодування!$B$2:$B$361,0))),""))))</f>
        <v/>
      </c>
      <c r="S432" s="43" t="str">
        <f>IF($O432="","",IFERROR(INDEX('Координати майданчиків'!$I$4:$I$64,MATCH($T432,'Координати майданчиків'!$B$4:$B$64,0)),IFERROR(IF(ABS(INDEX(Геокодування!$C$2:$C$361,MATCH($Q432,Геокодування!$B$2:$B$361,0))-50.5884)+ABS(INDEX(Геокодування!$D$2:$D$361,MATCH($Q432,Геокодування!$B$2:$B$361,0))-32.3876)&gt;0.15,"",INDEX(Геокодування!$D$2:$D$361,MATCH($Q432,Геокодування!$B$2:$B$361,0))),IFERROR(IF(ABS(INDEX(Геокодування!$C$2:$C$361,MATCH("Прилуки, Чернігівська обл., "&amp;$A432,Геокодування!$B$2:$B$361,0))-50.5884)+ABS(INDEX(Геокодування!$D$2:$D$361,MATCH("Прилуки, Чернігівська обл., "&amp;$A432,Геокодування!$B$2:$B$361,0))-32.3876)&gt;0.15,"",INDEX(Геокодування!$D$2:$D$361,MATCH("Прилуки, Чернігівська обл., "&amp;$A432,Геокодування!$B$2:$B$361,0))),""))))</f>
        <v/>
      </c>
      <c r="T432" s="44" t="str">
        <f>IF($O432="","",IFERROR(INDEX('Координати майданчиків'!$B$4:$B$64,MATCH($A432&amp;IF($P432="","",", "&amp;$P432),'Координати майданчиків'!$B$4:$B$64,0)),IFERROR(INDEX('Координати майданчиків'!$B$4:$B$64,MATCH($A432,'Координати майданчиків'!$B$4:$B$64,0)),"")))</f>
        <v/>
      </c>
    </row>
    <row r="433" spans="1:20" x14ac:dyDescent="0.35">
      <c r="A433" s="26" t="str">
        <f t="shared" si="18"/>
        <v>пров. І. Мазепи</v>
      </c>
      <c r="B433" s="26" t="str">
        <f t="shared" si="19"/>
        <v/>
      </c>
      <c r="C433" s="27" t="str" cm="1">
        <f t="array" ref="C433">IF($O433="","",_xlfn.TEXTJOIN(", ",TRUE,IF(EXACT('Дані_зв''язок'!$J$4:$J$1012,$O433)*('Дані_зв''язок'!$C$4:$C$1012=C$4),'Дані_зв''язок'!$D$4:$D$1012,"")))</f>
        <v/>
      </c>
      <c r="D433" s="27" t="str" cm="1">
        <f t="array" ref="D433">IF($O433="","",_xlfn.TEXTJOIN(", ",TRUE,IF(EXACT('Дані_зв''язок'!$J$4:$J$1012,$O433)*('Дані_зв''язок'!$C$4:$C$1012=D$4),'Дані_зв''язок'!$D$4:$D$1012,"")))</f>
        <v>8:35</v>
      </c>
      <c r="E433" s="27" t="str" cm="1">
        <f t="array" ref="E433">IF($O433="","",_xlfn.TEXTJOIN(", ",TRUE,IF(EXACT('Дані_зв''язок'!$J$4:$J$1012,$O433)*('Дані_зв''язок'!$C$4:$C$1012=E$4),'Дані_зв''язок'!$D$4:$D$1012,"")))</f>
        <v/>
      </c>
      <c r="F433" s="27" t="str" cm="1">
        <f t="array" ref="F433">IF($O433="","",_xlfn.TEXTJOIN(", ",TRUE,IF(EXACT('Дані_зв''язок'!$J$4:$J$1012,$O433)*('Дані_зв''язок'!$C$4:$C$1012=F$4),'Дані_зв''язок'!$D$4:$D$1012,"")))</f>
        <v/>
      </c>
      <c r="G433" s="27" t="str" cm="1">
        <f t="array" ref="G433">IF($O433="","",_xlfn.TEXTJOIN(", ",TRUE,IF(EXACT('Дані_зв''язок'!$J$4:$J$1012,$O433)*('Дані_зв''язок'!$C$4:$C$1012=G$4),'Дані_зв''язок'!$D$4:$D$1012,"")))</f>
        <v/>
      </c>
      <c r="H433" s="27" t="str" cm="1">
        <f t="array" ref="H433">IF($O433="","",_xlfn.TEXTJOIN(", ",TRUE,IF(EXACT('Дані_зв''язок'!$J$4:$J$1012,$O433)*('Дані_зв''язок'!$C$4:$C$1012=H$4),'Дані_зв''язок'!$D$4:$D$1012,"")))</f>
        <v/>
      </c>
      <c r="I433" s="27" t="str" cm="1">
        <f t="array" ref="I433">IF($O433="","",_xlfn.TEXTJOIN(", ",TRUE,IF(EXACT('Дані_зв''язок'!$J$4:$J$1012,$O433)*('Дані_зв''язок'!$C$4:$C$1012=I$4),'Дані_зв''язок'!$D$4:$D$1012,"")))</f>
        <v/>
      </c>
      <c r="J433" s="27" cm="1">
        <f t="array" ref="J433">IF($O433="","",COUNTIF(C433:I433,"?*")+SUMPRODUCT(LEN(C433:I433)-LEN(SUBSTITUTE(C433:I433,",",""))))</f>
        <v>1</v>
      </c>
      <c r="K433" s="28" t="str" cm="1">
        <f t="array" ref="K433">IF($O433="","",_xlfn.TEXTJOIN(", ",TRUE,IF(EXACT('Дані_зв''язок'!$J$4:$J$1012,$O433),'Дані_зв''язок'!$L$4:$L$1012,"")))</f>
        <v>№5</v>
      </c>
      <c r="L433" s="28" t="str" cm="1">
        <f t="array" ref="L433">IF($O433="","",_xlfn.TEXTJOIN(", ",TRUE,IF(EXACT('Дані_зв''язок'!$J$4:$J$1012,$O433),'Дані_зв''язок'!$M$4:$M$1012,"")))</f>
        <v>МАЗ 4381</v>
      </c>
      <c r="M433" s="27" t="str" cm="1">
        <f t="array" ref="M433">IF($O433="","",IF(SUMPRODUCT(MAX(EXACT('Дані_зв''язок'!$J$4:$J$1012,$O433)*IFERROR('Дані_зв''язок'!$H$4:$H$1012,0)))=0,"",SUMPRODUCT(MAX(EXACT('Дані_зв''язок'!$J$4:$J$1012,$O433)*IFERROR('Дані_зв''язок'!$H$4:$H$1012,0)))))</f>
        <v/>
      </c>
      <c r="O433" s="30" t="s">
        <v>1564</v>
      </c>
      <c r="P433" s="24" t="str" cm="1">
        <f t="array" ref="P433">IF($O433="","",IF($B433="","",IFERROR(IF(MIN(IFERROR(VALUE(TRIM(MID(SUBSTITUTE(SUBSTITUTE($B433,","," ")," ",REPT(" ",30)),{1;31;61;91;121;151;181},30))),""))=0,"",MIN(IFERROR(VALUE(TRIM(MID(SUBSTITUTE(SUBSTITUTE($B433,","," ")," ",REPT(" ",30)),{1;31;61;91;121;151;181},30))),""))),"")))</f>
        <v/>
      </c>
      <c r="Q433" s="23" t="str">
        <f t="shared" si="20"/>
        <v>Прилуки, Чернігівська обл., пров. І. Мазепи</v>
      </c>
      <c r="R433" s="35">
        <f>IF($O433="","",IFERROR(INDEX('Координати майданчиків'!$H$4:$H$64,MATCH($T433,'Координати майданчиків'!$B$4:$B$64,0)),IFERROR(IF(ABS(INDEX(Геокодування!$C$2:$C$361,MATCH($Q433,Геокодування!$B$2:$B$361,0))-50.5884)+ABS(INDEX(Геокодування!$D$2:$D$361,MATCH($Q433,Геокодування!$B$2:$B$361,0))-32.3876)&gt;0.15,"",INDEX(Геокодування!$C$2:$C$361,MATCH($Q433,Геокодування!$B$2:$B$361,0))),IFERROR(IF(ABS(INDEX(Геокодування!$C$2:$C$361,MATCH("Прилуки, Чернігівська обл., "&amp;$A433,Геокодування!$B$2:$B$361,0))-50.5884)+ABS(INDEX(Геокодування!$D$2:$D$361,MATCH("Прилуки, Чернігівська обл., "&amp;$A433,Геокодування!$B$2:$B$361,0))-32.3876)&gt;0.15,"",INDEX(Геокодування!$C$2:$C$361,MATCH("Прилуки, Чернігівська обл., "&amp;$A433,Геокодування!$B$2:$B$361,0))),""))))</f>
        <v>50.577232000000002</v>
      </c>
      <c r="S433" s="43">
        <f>IF($O433="","",IFERROR(INDEX('Координати майданчиків'!$I$4:$I$64,MATCH($T433,'Координати майданчиків'!$B$4:$B$64,0)),IFERROR(IF(ABS(INDEX(Геокодування!$C$2:$C$361,MATCH($Q433,Геокодування!$B$2:$B$361,0))-50.5884)+ABS(INDEX(Геокодування!$D$2:$D$361,MATCH($Q433,Геокодування!$B$2:$B$361,0))-32.3876)&gt;0.15,"",INDEX(Геокодування!$D$2:$D$361,MATCH($Q433,Геокодування!$B$2:$B$361,0))),IFERROR(IF(ABS(INDEX(Геокодування!$C$2:$C$361,MATCH("Прилуки, Чернігівська обл., "&amp;$A433,Геокодування!$B$2:$B$361,0))-50.5884)+ABS(INDEX(Геокодування!$D$2:$D$361,MATCH("Прилуки, Чернігівська обл., "&amp;$A433,Геокодування!$B$2:$B$361,0))-32.3876)&gt;0.15,"",INDEX(Геокодування!$D$2:$D$361,MATCH("Прилуки, Чернігівська обл., "&amp;$A433,Геокодування!$B$2:$B$361,0))),""))))</f>
        <v>32.407688</v>
      </c>
      <c r="T433" s="44" t="str">
        <f>IF($O433="","",IFERROR(INDEX('Координати майданчиків'!$B$4:$B$64,MATCH($A433&amp;IF($P433="","",", "&amp;$P433),'Координати майданчиків'!$B$4:$B$64,0)),IFERROR(INDEX('Координати майданчиків'!$B$4:$B$64,MATCH($A433,'Координати майданчиків'!$B$4:$B$64,0)),"")))</f>
        <v/>
      </c>
    </row>
    <row r="434" spans="1:20" x14ac:dyDescent="0.35">
      <c r="A434" s="26" t="str">
        <f t="shared" si="18"/>
        <v>пров. І. Франка</v>
      </c>
      <c r="B434" s="26" t="str">
        <f t="shared" si="19"/>
        <v/>
      </c>
      <c r="C434" s="27" t="str" cm="1">
        <f t="array" ref="C434">IF($O434="","",_xlfn.TEXTJOIN(", ",TRUE,IF(EXACT('Дані_зв''язок'!$J$4:$J$1012,$O434)*('Дані_зв''язок'!$C$4:$C$1012=C$4),'Дані_зв''язок'!$D$4:$D$1012,"")))</f>
        <v/>
      </c>
      <c r="D434" s="27" t="str" cm="1">
        <f t="array" ref="D434">IF($O434="","",_xlfn.TEXTJOIN(", ",TRUE,IF(EXACT('Дані_зв''язок'!$J$4:$J$1012,$O434)*('Дані_зв''язок'!$C$4:$C$1012=D$4),'Дані_зв''язок'!$D$4:$D$1012,"")))</f>
        <v/>
      </c>
      <c r="E434" s="27" t="str" cm="1">
        <f t="array" ref="E434">IF($O434="","",_xlfn.TEXTJOIN(", ",TRUE,IF(EXACT('Дані_зв''язок'!$J$4:$J$1012,$O434)*('Дані_зв''язок'!$C$4:$C$1012=E$4),'Дані_зв''язок'!$D$4:$D$1012,"")))</f>
        <v/>
      </c>
      <c r="F434" s="27" t="str" cm="1">
        <f t="array" ref="F434">IF($O434="","",_xlfn.TEXTJOIN(", ",TRUE,IF(EXACT('Дані_зв''язок'!$J$4:$J$1012,$O434)*('Дані_зв''язок'!$C$4:$C$1012=F$4),'Дані_зв''язок'!$D$4:$D$1012,"")))</f>
        <v/>
      </c>
      <c r="G434" s="27" t="str" cm="1">
        <f t="array" ref="G434">IF($O434="","",_xlfn.TEXTJOIN(", ",TRUE,IF(EXACT('Дані_зв''язок'!$J$4:$J$1012,$O434)*('Дані_зв''язок'!$C$4:$C$1012=G$4),'Дані_зв''язок'!$D$4:$D$1012,"")))</f>
        <v>10:10</v>
      </c>
      <c r="H434" s="27" t="str" cm="1">
        <f t="array" ref="H434">IF($O434="","",_xlfn.TEXTJOIN(", ",TRUE,IF(EXACT('Дані_зв''язок'!$J$4:$J$1012,$O434)*('Дані_зв''язок'!$C$4:$C$1012=H$4),'Дані_зв''язок'!$D$4:$D$1012,"")))</f>
        <v/>
      </c>
      <c r="I434" s="27" t="str" cm="1">
        <f t="array" ref="I434">IF($O434="","",_xlfn.TEXTJOIN(", ",TRUE,IF(EXACT('Дані_зв''язок'!$J$4:$J$1012,$O434)*('Дані_зв''язок'!$C$4:$C$1012=I$4),'Дані_зв''язок'!$D$4:$D$1012,"")))</f>
        <v/>
      </c>
      <c r="J434" s="27" cm="1">
        <f t="array" ref="J434">IF($O434="","",COUNTIF(C434:I434,"?*")+SUMPRODUCT(LEN(C434:I434)-LEN(SUBSTITUTE(C434:I434,",",""))))</f>
        <v>1</v>
      </c>
      <c r="K434" s="28" t="str" cm="1">
        <f t="array" ref="K434">IF($O434="","",_xlfn.TEXTJOIN(", ",TRUE,IF(EXACT('Дані_зв''язок'!$J$4:$J$1012,$O434),'Дані_зв''язок'!$L$4:$L$1012,"")))</f>
        <v>№5</v>
      </c>
      <c r="L434" s="28" t="str" cm="1">
        <f t="array" ref="L434">IF($O434="","",_xlfn.TEXTJOIN(", ",TRUE,IF(EXACT('Дані_зв''язок'!$J$4:$J$1012,$O434),'Дані_зв''язок'!$M$4:$M$1012,"")))</f>
        <v>МАЗ 4381</v>
      </c>
      <c r="M434" s="27" t="str" cm="1">
        <f t="array" ref="M434">IF($O434="","",IF(SUMPRODUCT(MAX(EXACT('Дані_зв''язок'!$J$4:$J$1012,$O434)*IFERROR('Дані_зв''язок'!$H$4:$H$1012,0)))=0,"",SUMPRODUCT(MAX(EXACT('Дані_зв''язок'!$J$4:$J$1012,$O434)*IFERROR('Дані_зв''язок'!$H$4:$H$1012,0)))))</f>
        <v/>
      </c>
      <c r="O434" s="30" t="s">
        <v>1565</v>
      </c>
      <c r="P434" s="24" t="str" cm="1">
        <f t="array" ref="P434">IF($O434="","",IF($B434="","",IFERROR(IF(MIN(IFERROR(VALUE(TRIM(MID(SUBSTITUTE(SUBSTITUTE($B434,","," ")," ",REPT(" ",30)),{1;31;61;91;121;151;181},30))),""))=0,"",MIN(IFERROR(VALUE(TRIM(MID(SUBSTITUTE(SUBSTITUTE($B434,","," ")," ",REPT(" ",30)),{1;31;61;91;121;151;181},30))),""))),"")))</f>
        <v/>
      </c>
      <c r="Q434" s="23" t="str">
        <f t="shared" si="20"/>
        <v>Прилуки, Чернігівська обл., пров. І. Франка</v>
      </c>
      <c r="R434" s="35">
        <f>IF($O434="","",IFERROR(INDEX('Координати майданчиків'!$H$4:$H$64,MATCH($T434,'Координати майданчиків'!$B$4:$B$64,0)),IFERROR(IF(ABS(INDEX(Геокодування!$C$2:$C$361,MATCH($Q434,Геокодування!$B$2:$B$361,0))-50.5884)+ABS(INDEX(Геокодування!$D$2:$D$361,MATCH($Q434,Геокодування!$B$2:$B$361,0))-32.3876)&gt;0.15,"",INDEX(Геокодування!$C$2:$C$361,MATCH($Q434,Геокодування!$B$2:$B$361,0))),IFERROR(IF(ABS(INDEX(Геокодування!$C$2:$C$361,MATCH("Прилуки, Чернігівська обл., "&amp;$A434,Геокодування!$B$2:$B$361,0))-50.5884)+ABS(INDEX(Геокодування!$D$2:$D$361,MATCH("Прилуки, Чернігівська обл., "&amp;$A434,Геокодування!$B$2:$B$361,0))-32.3876)&gt;0.15,"",INDEX(Геокодування!$C$2:$C$361,MATCH("Прилуки, Чернігівська обл., "&amp;$A434,Геокодування!$B$2:$B$361,0))),""))))</f>
        <v>50.578350999999998</v>
      </c>
      <c r="S434" s="43">
        <f>IF($O434="","",IFERROR(INDEX('Координати майданчиків'!$I$4:$I$64,MATCH($T434,'Координати майданчиків'!$B$4:$B$64,0)),IFERROR(IF(ABS(INDEX(Геокодування!$C$2:$C$361,MATCH($Q434,Геокодування!$B$2:$B$361,0))-50.5884)+ABS(INDEX(Геокодування!$D$2:$D$361,MATCH($Q434,Геокодування!$B$2:$B$361,0))-32.3876)&gt;0.15,"",INDEX(Геокодування!$D$2:$D$361,MATCH($Q434,Геокодування!$B$2:$B$361,0))),IFERROR(IF(ABS(INDEX(Геокодування!$C$2:$C$361,MATCH("Прилуки, Чернігівська обл., "&amp;$A434,Геокодування!$B$2:$B$361,0))-50.5884)+ABS(INDEX(Геокодування!$D$2:$D$361,MATCH("Прилуки, Чернігівська обл., "&amp;$A434,Геокодування!$B$2:$B$361,0))-32.3876)&gt;0.15,"",INDEX(Геокодування!$D$2:$D$361,MATCH("Прилуки, Чернігівська обл., "&amp;$A434,Геокодування!$B$2:$B$361,0))),""))))</f>
        <v>32.380541000000001</v>
      </c>
      <c r="T434" s="44" t="str">
        <f>IF($O434="","",IFERROR(INDEX('Координати майданчиків'!$B$4:$B$64,MATCH($A434&amp;IF($P434="","",", "&amp;$P434),'Координати майданчиків'!$B$4:$B$64,0)),IFERROR(INDEX('Координати майданчиків'!$B$4:$B$64,MATCH($A434,'Координати майданчиків'!$B$4:$B$64,0)),"")))</f>
        <v/>
      </c>
    </row>
    <row r="435" spans="1:20" x14ac:dyDescent="0.35">
      <c r="A435" s="26" t="str">
        <f t="shared" si="18"/>
        <v>пров. Іподромний</v>
      </c>
      <c r="B435" s="26" t="str">
        <f t="shared" si="19"/>
        <v>17,9  3,1</v>
      </c>
      <c r="C435" s="27" t="str" cm="1">
        <f t="array" ref="C435">IF($O435="","",_xlfn.TEXTJOIN(", ",TRUE,IF(EXACT('Дані_зв''язок'!$J$4:$J$1012,$O435)*('Дані_зв''язок'!$C$4:$C$1012=C$4),'Дані_зв''язок'!$D$4:$D$1012,"")))</f>
        <v/>
      </c>
      <c r="D435" s="27" t="str" cm="1">
        <f t="array" ref="D435">IF($O435="","",_xlfn.TEXTJOIN(", ",TRUE,IF(EXACT('Дані_зв''язок'!$J$4:$J$1012,$O435)*('Дані_зв''язок'!$C$4:$C$1012=D$4),'Дані_зв''язок'!$D$4:$D$1012,"")))</f>
        <v/>
      </c>
      <c r="E435" s="27" t="str" cm="1">
        <f t="array" ref="E435">IF($O435="","",_xlfn.TEXTJOIN(", ",TRUE,IF(EXACT('Дані_зв''язок'!$J$4:$J$1012,$O435)*('Дані_зв''язок'!$C$4:$C$1012=E$4),'Дані_зв''язок'!$D$4:$D$1012,"")))</f>
        <v>12:15</v>
      </c>
      <c r="F435" s="27" t="str" cm="1">
        <f t="array" ref="F435">IF($O435="","",_xlfn.TEXTJOIN(", ",TRUE,IF(EXACT('Дані_зв''язок'!$J$4:$J$1012,$O435)*('Дані_зв''язок'!$C$4:$C$1012=F$4),'Дані_зв''язок'!$D$4:$D$1012,"")))</f>
        <v/>
      </c>
      <c r="G435" s="27" t="str" cm="1">
        <f t="array" ref="G435">IF($O435="","",_xlfn.TEXTJOIN(", ",TRUE,IF(EXACT('Дані_зв''язок'!$J$4:$J$1012,$O435)*('Дані_зв''язок'!$C$4:$C$1012=G$4),'Дані_зв''язок'!$D$4:$D$1012,"")))</f>
        <v/>
      </c>
      <c r="H435" s="27" t="str" cm="1">
        <f t="array" ref="H435">IF($O435="","",_xlfn.TEXTJOIN(", ",TRUE,IF(EXACT('Дані_зв''язок'!$J$4:$J$1012,$O435)*('Дані_зв''язок'!$C$4:$C$1012=H$4),'Дані_зв''язок'!$D$4:$D$1012,"")))</f>
        <v/>
      </c>
      <c r="I435" s="27" t="str" cm="1">
        <f t="array" ref="I435">IF($O435="","",_xlfn.TEXTJOIN(", ",TRUE,IF(EXACT('Дані_зв''язок'!$J$4:$J$1012,$O435)*('Дані_зв''язок'!$C$4:$C$1012=I$4),'Дані_зв''язок'!$D$4:$D$1012,"")))</f>
        <v/>
      </c>
      <c r="J435" s="27" cm="1">
        <f t="array" ref="J435">IF($O435="","",COUNTIF(C435:I435,"?*")+SUMPRODUCT(LEN(C435:I435)-LEN(SUBSTITUTE(C435:I435,",",""))))</f>
        <v>1</v>
      </c>
      <c r="K435" s="28" t="str" cm="1">
        <f t="array" ref="K435">IF($O435="","",_xlfn.TEXTJOIN(", ",TRUE,IF(EXACT('Дані_зв''язок'!$J$4:$J$1012,$O435),'Дані_зв''язок'!$L$4:$L$1012,"")))</f>
        <v>№6</v>
      </c>
      <c r="L435" s="28" t="str" cm="1">
        <f t="array" ref="L435">IF($O435="","",_xlfn.TEXTJOIN(", ",TRUE,IF(EXACT('Дані_зв''язок'!$J$4:$J$1012,$O435),'Дані_зв''язок'!$M$4:$M$1012,"")))</f>
        <v>АТ 4021</v>
      </c>
      <c r="M435" s="27" t="str" cm="1">
        <f t="array" ref="M435">IF($O435="","",IF(SUMPRODUCT(MAX(EXACT('Дані_зв''язок'!$J$4:$J$1012,$O435)*IFERROR('Дані_зв''язок'!$H$4:$H$1012,0)))=0,"",SUMPRODUCT(MAX(EXACT('Дані_зв''язок'!$J$4:$J$1012,$O435)*IFERROR('Дані_зв''язок'!$H$4:$H$1012,0)))))</f>
        <v/>
      </c>
      <c r="O435" s="30" t="s">
        <v>1566</v>
      </c>
      <c r="P435" s="24" cm="1">
        <f t="array" ref="P435">IF($O435="","",IF($B435="","",IFERROR(IF(MIN(IFERROR(VALUE(TRIM(MID(SUBSTITUTE(SUBSTITUTE($B435,","," ")," ",REPT(" ",30)),{1;31;61;91;121;151;181},30))),""))=0,"",MIN(IFERROR(VALUE(TRIM(MID(SUBSTITUTE(SUBSTITUTE($B435,","," ")," ",REPT(" ",30)),{1;31;61;91;121;151;181},30))),""))),"")))</f>
        <v>1</v>
      </c>
      <c r="Q435" s="23" t="str">
        <f t="shared" si="20"/>
        <v>Прилуки, Чернігівська обл., пров. Іподромний, 1</v>
      </c>
      <c r="R435" s="35">
        <f>IF($O435="","",IFERROR(INDEX('Координати майданчиків'!$H$4:$H$64,MATCH($T435,'Координати майданчиків'!$B$4:$B$64,0)),IFERROR(IF(ABS(INDEX(Геокодування!$C$2:$C$361,MATCH($Q435,Геокодування!$B$2:$B$361,0))-50.5884)+ABS(INDEX(Геокодування!$D$2:$D$361,MATCH($Q435,Геокодування!$B$2:$B$361,0))-32.3876)&gt;0.15,"",INDEX(Геокодування!$C$2:$C$361,MATCH($Q435,Геокодування!$B$2:$B$361,0))),IFERROR(IF(ABS(INDEX(Геокодування!$C$2:$C$361,MATCH("Прилуки, Чернігівська обл., "&amp;$A435,Геокодування!$B$2:$B$361,0))-50.5884)+ABS(INDEX(Геокодування!$D$2:$D$361,MATCH("Прилуки, Чернігівська обл., "&amp;$A435,Геокодування!$B$2:$B$361,0))-32.3876)&gt;0.15,"",INDEX(Геокодування!$C$2:$C$361,MATCH("Прилуки, Чернігівська обл., "&amp;$A435,Геокодування!$B$2:$B$361,0))),""))))</f>
        <v>50.609361999999997</v>
      </c>
      <c r="S435" s="43">
        <f>IF($O435="","",IFERROR(INDEX('Координати майданчиків'!$I$4:$I$64,MATCH($T435,'Координати майданчиків'!$B$4:$B$64,0)),IFERROR(IF(ABS(INDEX(Геокодування!$C$2:$C$361,MATCH($Q435,Геокодування!$B$2:$B$361,0))-50.5884)+ABS(INDEX(Геокодування!$D$2:$D$361,MATCH($Q435,Геокодування!$B$2:$B$361,0))-32.3876)&gt;0.15,"",INDEX(Геокодування!$D$2:$D$361,MATCH($Q435,Геокодування!$B$2:$B$361,0))),IFERROR(IF(ABS(INDEX(Геокодування!$C$2:$C$361,MATCH("Прилуки, Чернігівська обл., "&amp;$A435,Геокодування!$B$2:$B$361,0))-50.5884)+ABS(INDEX(Геокодування!$D$2:$D$361,MATCH("Прилуки, Чернігівська обл., "&amp;$A435,Геокодування!$B$2:$B$361,0))-32.3876)&gt;0.15,"",INDEX(Геокодування!$D$2:$D$361,MATCH("Прилуки, Чернігівська обл., "&amp;$A435,Геокодування!$B$2:$B$361,0))),""))))</f>
        <v>32.395558999999999</v>
      </c>
      <c r="T435" s="44" t="str">
        <f>IF($O435="","",IFERROR(INDEX('Координати майданчиків'!$B$4:$B$64,MATCH($A435&amp;IF($P435="","",", "&amp;$P435),'Координати майданчиків'!$B$4:$B$64,0)),IFERROR(INDEX('Координати майданчиків'!$B$4:$B$64,MATCH($A435,'Координати майданчиків'!$B$4:$B$64,0)),"")))</f>
        <v/>
      </c>
    </row>
    <row r="436" spans="1:20" x14ac:dyDescent="0.35">
      <c r="A436" s="26" t="str">
        <f t="shared" si="18"/>
        <v>пров. Ветеранський</v>
      </c>
      <c r="B436" s="26" t="str">
        <f t="shared" si="19"/>
        <v/>
      </c>
      <c r="C436" s="27" t="str" cm="1">
        <f t="array" ref="C436">IF($O436="","",_xlfn.TEXTJOIN(", ",TRUE,IF(EXACT('Дані_зв''язок'!$J$4:$J$1012,$O436)*('Дані_зв''язок'!$C$4:$C$1012=C$4),'Дані_зв''язок'!$D$4:$D$1012,"")))</f>
        <v>14:00</v>
      </c>
      <c r="D436" s="27" t="str" cm="1">
        <f t="array" ref="D436">IF($O436="","",_xlfn.TEXTJOIN(", ",TRUE,IF(EXACT('Дані_зв''язок'!$J$4:$J$1012,$O436)*('Дані_зв''язок'!$C$4:$C$1012=D$4),'Дані_зв''язок'!$D$4:$D$1012,"")))</f>
        <v/>
      </c>
      <c r="E436" s="27" t="str" cm="1">
        <f t="array" ref="E436">IF($O436="","",_xlfn.TEXTJOIN(", ",TRUE,IF(EXACT('Дані_зв''язок'!$J$4:$J$1012,$O436)*('Дані_зв''язок'!$C$4:$C$1012=E$4),'Дані_зв''язок'!$D$4:$D$1012,"")))</f>
        <v/>
      </c>
      <c r="F436" s="27" t="str" cm="1">
        <f t="array" ref="F436">IF($O436="","",_xlfn.TEXTJOIN(", ",TRUE,IF(EXACT('Дані_зв''язок'!$J$4:$J$1012,$O436)*('Дані_зв''язок'!$C$4:$C$1012=F$4),'Дані_зв''язок'!$D$4:$D$1012,"")))</f>
        <v/>
      </c>
      <c r="G436" s="27" t="str" cm="1">
        <f t="array" ref="G436">IF($O436="","",_xlfn.TEXTJOIN(", ",TRUE,IF(EXACT('Дані_зв''язок'!$J$4:$J$1012,$O436)*('Дані_зв''язок'!$C$4:$C$1012=G$4),'Дані_зв''язок'!$D$4:$D$1012,"")))</f>
        <v/>
      </c>
      <c r="H436" s="27" t="str" cm="1">
        <f t="array" ref="H436">IF($O436="","",_xlfn.TEXTJOIN(", ",TRUE,IF(EXACT('Дані_зв''язок'!$J$4:$J$1012,$O436)*('Дані_зв''язок'!$C$4:$C$1012=H$4),'Дані_зв''язок'!$D$4:$D$1012,"")))</f>
        <v/>
      </c>
      <c r="I436" s="27" t="str" cm="1">
        <f t="array" ref="I436">IF($O436="","",_xlfn.TEXTJOIN(", ",TRUE,IF(EXACT('Дані_зв''язок'!$J$4:$J$1012,$O436)*('Дані_зв''язок'!$C$4:$C$1012=I$4),'Дані_зв''язок'!$D$4:$D$1012,"")))</f>
        <v/>
      </c>
      <c r="J436" s="27" cm="1">
        <f t="array" ref="J436">IF($O436="","",COUNTIF(C436:I436,"?*")+SUMPRODUCT(LEN(C436:I436)-LEN(SUBSTITUTE(C436:I436,",",""))))</f>
        <v>1</v>
      </c>
      <c r="K436" s="28" t="str" cm="1">
        <f t="array" ref="K436">IF($O436="","",_xlfn.TEXTJOIN(", ",TRUE,IF(EXACT('Дані_зв''язок'!$J$4:$J$1012,$O436),'Дані_зв''язок'!$L$4:$L$1012,"")))</f>
        <v>№5</v>
      </c>
      <c r="L436" s="28" t="str" cm="1">
        <f t="array" ref="L436">IF($O436="","",_xlfn.TEXTJOIN(", ",TRUE,IF(EXACT('Дані_зв''язок'!$J$4:$J$1012,$O436),'Дані_зв''язок'!$M$4:$M$1012,"")))</f>
        <v>МАЗ 4381</v>
      </c>
      <c r="M436" s="27" t="str" cm="1">
        <f t="array" ref="M436">IF($O436="","",IF(SUMPRODUCT(MAX(EXACT('Дані_зв''язок'!$J$4:$J$1012,$O436)*IFERROR('Дані_зв''язок'!$H$4:$H$1012,0)))=0,"",SUMPRODUCT(MAX(EXACT('Дані_зв''язок'!$J$4:$J$1012,$O436)*IFERROR('Дані_зв''язок'!$H$4:$H$1012,0)))))</f>
        <v/>
      </c>
      <c r="O436" s="30" t="s">
        <v>1557</v>
      </c>
      <c r="P436" s="24" t="str" cm="1">
        <f t="array" ref="P436">IF($O436="","",IF($B436="","",IFERROR(IF(MIN(IFERROR(VALUE(TRIM(MID(SUBSTITUTE(SUBSTITUTE($B436,","," ")," ",REPT(" ",30)),{1;31;61;91;121;151;181},30))),""))=0,"",MIN(IFERROR(VALUE(TRIM(MID(SUBSTITUTE(SUBSTITUTE($B436,","," ")," ",REPT(" ",30)),{1;31;61;91;121;151;181},30))),""))),"")))</f>
        <v/>
      </c>
      <c r="Q436" s="23" t="str">
        <f t="shared" si="20"/>
        <v>Прилуки, Чернігівська обл., пров. Ветеранський</v>
      </c>
      <c r="R436" s="35">
        <f>IF($O436="","",IFERROR(INDEX('Координати майданчиків'!$H$4:$H$64,MATCH($T436,'Координати майданчиків'!$B$4:$B$64,0)),IFERROR(IF(ABS(INDEX(Геокодування!$C$2:$C$361,MATCH($Q436,Геокодування!$B$2:$B$361,0))-50.5884)+ABS(INDEX(Геокодування!$D$2:$D$361,MATCH($Q436,Геокодування!$B$2:$B$361,0))-32.3876)&gt;0.15,"",INDEX(Геокодування!$C$2:$C$361,MATCH($Q436,Геокодування!$B$2:$B$361,0))),IFERROR(IF(ABS(INDEX(Геокодування!$C$2:$C$361,MATCH("Прилуки, Чернігівська обл., "&amp;$A436,Геокодування!$B$2:$B$361,0))-50.5884)+ABS(INDEX(Геокодування!$D$2:$D$361,MATCH("Прилуки, Чернігівська обл., "&amp;$A436,Геокодування!$B$2:$B$361,0))-32.3876)&gt;0.15,"",INDEX(Геокодування!$C$2:$C$361,MATCH("Прилуки, Чернігівська обл., "&amp;$A436,Геокодування!$B$2:$B$361,0))),""))))</f>
        <v>50.590432</v>
      </c>
      <c r="S436" s="43">
        <f>IF($O436="","",IFERROR(INDEX('Координати майданчиків'!$I$4:$I$64,MATCH($T436,'Координати майданчиків'!$B$4:$B$64,0)),IFERROR(IF(ABS(INDEX(Геокодування!$C$2:$C$361,MATCH($Q436,Геокодування!$B$2:$B$361,0))-50.5884)+ABS(INDEX(Геокодування!$D$2:$D$361,MATCH($Q436,Геокодування!$B$2:$B$361,0))-32.3876)&gt;0.15,"",INDEX(Геокодування!$D$2:$D$361,MATCH($Q436,Геокодування!$B$2:$B$361,0))),IFERROR(IF(ABS(INDEX(Геокодування!$C$2:$C$361,MATCH("Прилуки, Чернігівська обл., "&amp;$A436,Геокодування!$B$2:$B$361,0))-50.5884)+ABS(INDEX(Геокодування!$D$2:$D$361,MATCH("Прилуки, Чернігівська обл., "&amp;$A436,Геокодування!$B$2:$B$361,0))-32.3876)&gt;0.15,"",INDEX(Геокодування!$D$2:$D$361,MATCH("Прилуки, Чернігівська обл., "&amp;$A436,Геокодування!$B$2:$B$361,0))),""))))</f>
        <v>32.371955999999997</v>
      </c>
      <c r="T436" s="44" t="str">
        <f>IF($O436="","",IFERROR(INDEX('Координати майданчиків'!$B$4:$B$64,MATCH($A436&amp;IF($P436="","",", "&amp;$P436),'Координати майданчиків'!$B$4:$B$64,0)),IFERROR(INDEX('Координати майданчиків'!$B$4:$B$64,MATCH($A436,'Координати майданчиків'!$B$4:$B$64,0)),"")))</f>
        <v/>
      </c>
    </row>
    <row r="437" spans="1:20" x14ac:dyDescent="0.35">
      <c r="A437" s="26" t="str">
        <f t="shared" si="18"/>
        <v>пров. Героїв Прилук</v>
      </c>
      <c r="B437" s="26" t="str">
        <f t="shared" si="19"/>
        <v>33,44  20,18</v>
      </c>
      <c r="C437" s="27" t="str" cm="1">
        <f t="array" ref="C437">IF($O437="","",_xlfn.TEXTJOIN(", ",TRUE,IF(EXACT('Дані_зв''язок'!$J$4:$J$1012,$O437)*('Дані_зв''язок'!$C$4:$C$1012=C$4),'Дані_зв''язок'!$D$4:$D$1012,"")))</f>
        <v/>
      </c>
      <c r="D437" s="27" t="str" cm="1">
        <f t="array" ref="D437">IF($O437="","",_xlfn.TEXTJOIN(", ",TRUE,IF(EXACT('Дані_зв''язок'!$J$4:$J$1012,$O437)*('Дані_зв''язок'!$C$4:$C$1012=D$4),'Дані_зв''язок'!$D$4:$D$1012,"")))</f>
        <v>8:50</v>
      </c>
      <c r="E437" s="27" t="str" cm="1">
        <f t="array" ref="E437">IF($O437="","",_xlfn.TEXTJOIN(", ",TRUE,IF(EXACT('Дані_зв''язок'!$J$4:$J$1012,$O437)*('Дані_зв''язок'!$C$4:$C$1012=E$4),'Дані_зв''язок'!$D$4:$D$1012,"")))</f>
        <v/>
      </c>
      <c r="F437" s="27" t="str" cm="1">
        <f t="array" ref="F437">IF($O437="","",_xlfn.TEXTJOIN(", ",TRUE,IF(EXACT('Дані_зв''язок'!$J$4:$J$1012,$O437)*('Дані_зв''язок'!$C$4:$C$1012=F$4),'Дані_зв''язок'!$D$4:$D$1012,"")))</f>
        <v/>
      </c>
      <c r="G437" s="27" t="str" cm="1">
        <f t="array" ref="G437">IF($O437="","",_xlfn.TEXTJOIN(", ",TRUE,IF(EXACT('Дані_зв''язок'!$J$4:$J$1012,$O437)*('Дані_зв''язок'!$C$4:$C$1012=G$4),'Дані_зв''язок'!$D$4:$D$1012,"")))</f>
        <v/>
      </c>
      <c r="H437" s="27" t="str" cm="1">
        <f t="array" ref="H437">IF($O437="","",_xlfn.TEXTJOIN(", ",TRUE,IF(EXACT('Дані_зв''язок'!$J$4:$J$1012,$O437)*('Дані_зв''язок'!$C$4:$C$1012=H$4),'Дані_зв''язок'!$D$4:$D$1012,"")))</f>
        <v/>
      </c>
      <c r="I437" s="27" t="str" cm="1">
        <f t="array" ref="I437">IF($O437="","",_xlfn.TEXTJOIN(", ",TRUE,IF(EXACT('Дані_зв''язок'!$J$4:$J$1012,$O437)*('Дані_зв''язок'!$C$4:$C$1012=I$4),'Дані_зв''язок'!$D$4:$D$1012,"")))</f>
        <v/>
      </c>
      <c r="J437" s="27" cm="1">
        <f t="array" ref="J437">IF($O437="","",COUNTIF(C437:I437,"?*")+SUMPRODUCT(LEN(C437:I437)-LEN(SUBSTITUTE(C437:I437,",",""))))</f>
        <v>1</v>
      </c>
      <c r="K437" s="28" t="str" cm="1">
        <f t="array" ref="K437">IF($O437="","",_xlfn.TEXTJOIN(", ",TRUE,IF(EXACT('Дані_зв''язок'!$J$4:$J$1012,$O437),'Дані_зв''язок'!$L$4:$L$1012,"")))</f>
        <v>№6</v>
      </c>
      <c r="L437" s="28" t="str" cm="1">
        <f t="array" ref="L437">IF($O437="","",_xlfn.TEXTJOIN(", ",TRUE,IF(EXACT('Дані_зв''язок'!$J$4:$J$1012,$O437),'Дані_зв''язок'!$M$4:$M$1012,"")))</f>
        <v>АТ 4021</v>
      </c>
      <c r="M437" s="27" t="str" cm="1">
        <f t="array" ref="M437">IF($O437="","",IF(SUMPRODUCT(MAX(EXACT('Дані_зв''язок'!$J$4:$J$1012,$O437)*IFERROR('Дані_зв''язок'!$H$4:$H$1012,0)))=0,"",SUMPRODUCT(MAX(EXACT('Дані_зв''язок'!$J$4:$J$1012,$O437)*IFERROR('Дані_зв''язок'!$H$4:$H$1012,0)))))</f>
        <v/>
      </c>
      <c r="O437" s="30" t="s">
        <v>1558</v>
      </c>
      <c r="P437" s="24" cm="1">
        <f t="array" ref="P437">IF($O437="","",IF($B437="","",IFERROR(IF(MIN(IFERROR(VALUE(TRIM(MID(SUBSTITUTE(SUBSTITUTE($B437,","," ")," ",REPT(" ",30)),{1;31;61;91;121;151;181},30))),""))=0,"",MIN(IFERROR(VALUE(TRIM(MID(SUBSTITUTE(SUBSTITUTE($B437,","," ")," ",REPT(" ",30)),{1;31;61;91;121;151;181},30))),""))),"")))</f>
        <v>18</v>
      </c>
      <c r="Q437" s="23" t="str">
        <f t="shared" si="20"/>
        <v>Прилуки, Чернігівська обл., пров. Героїв Прилук, 18</v>
      </c>
      <c r="R437" s="35">
        <f>IF($O437="","",IFERROR(INDEX('Координати майданчиків'!$H$4:$H$64,MATCH($T437,'Координати майданчиків'!$B$4:$B$64,0)),IFERROR(IF(ABS(INDEX(Геокодування!$C$2:$C$361,MATCH($Q437,Геокодування!$B$2:$B$361,0))-50.5884)+ABS(INDEX(Геокодування!$D$2:$D$361,MATCH($Q437,Геокодування!$B$2:$B$361,0))-32.3876)&gt;0.15,"",INDEX(Геокодування!$C$2:$C$361,MATCH($Q437,Геокодування!$B$2:$B$361,0))),IFERROR(IF(ABS(INDEX(Геокодування!$C$2:$C$361,MATCH("Прилуки, Чернігівська обл., "&amp;$A437,Геокодування!$B$2:$B$361,0))-50.5884)+ABS(INDEX(Геокодування!$D$2:$D$361,MATCH("Прилуки, Чернігівська обл., "&amp;$A437,Геокодування!$B$2:$B$361,0))-32.3876)&gt;0.15,"",INDEX(Геокодування!$C$2:$C$361,MATCH("Прилуки, Чернігівська обл., "&amp;$A437,Геокодування!$B$2:$B$361,0))),""))))</f>
        <v>50.609361999999997</v>
      </c>
      <c r="S437" s="43">
        <f>IF($O437="","",IFERROR(INDEX('Координати майданчиків'!$I$4:$I$64,MATCH($T437,'Координати майданчиків'!$B$4:$B$64,0)),IFERROR(IF(ABS(INDEX(Геокодування!$C$2:$C$361,MATCH($Q437,Геокодування!$B$2:$B$361,0))-50.5884)+ABS(INDEX(Геокодування!$D$2:$D$361,MATCH($Q437,Геокодування!$B$2:$B$361,0))-32.3876)&gt;0.15,"",INDEX(Геокодування!$D$2:$D$361,MATCH($Q437,Геокодування!$B$2:$B$361,0))),IFERROR(IF(ABS(INDEX(Геокодування!$C$2:$C$361,MATCH("Прилуки, Чернігівська обл., "&amp;$A437,Геокодування!$B$2:$B$361,0))-50.5884)+ABS(INDEX(Геокодування!$D$2:$D$361,MATCH("Прилуки, Чернігівська обл., "&amp;$A437,Геокодування!$B$2:$B$361,0))-32.3876)&gt;0.15,"",INDEX(Геокодування!$D$2:$D$361,MATCH("Прилуки, Чернігівська обл., "&amp;$A437,Геокодування!$B$2:$B$361,0))),""))))</f>
        <v>32.395558999999999</v>
      </c>
      <c r="T437" s="44" t="str">
        <f>IF($O437="","",IFERROR(INDEX('Координати майданчиків'!$B$4:$B$64,MATCH($A437&amp;IF($P437="","",", "&amp;$P437),'Координати майданчиків'!$B$4:$B$64,0)),IFERROR(INDEX('Координати майданчиків'!$B$4:$B$64,MATCH($A437,'Координати майданчиків'!$B$4:$B$64,0)),"")))</f>
        <v/>
      </c>
    </row>
    <row r="438" spans="1:20" x14ac:dyDescent="0.35">
      <c r="A438" s="26" t="str">
        <f t="shared" si="18"/>
        <v>пров. Густинський</v>
      </c>
      <c r="B438" s="26" t="str">
        <f t="shared" si="19"/>
        <v/>
      </c>
      <c r="C438" s="27" t="str" cm="1">
        <f t="array" ref="C438">IF($O438="","",_xlfn.TEXTJOIN(", ",TRUE,IF(EXACT('Дані_зв''язок'!$J$4:$J$1012,$O438)*('Дані_зв''язок'!$C$4:$C$1012=C$4),'Дані_зв''язок'!$D$4:$D$1012,"")))</f>
        <v/>
      </c>
      <c r="D438" s="27" t="str" cm="1">
        <f t="array" ref="D438">IF($O438="","",_xlfn.TEXTJOIN(", ",TRUE,IF(EXACT('Дані_зв''язок'!$J$4:$J$1012,$O438)*('Дані_зв''язок'!$C$4:$C$1012=D$4),'Дані_зв''язок'!$D$4:$D$1012,"")))</f>
        <v/>
      </c>
      <c r="E438" s="27" t="str" cm="1">
        <f t="array" ref="E438">IF($O438="","",_xlfn.TEXTJOIN(", ",TRUE,IF(EXACT('Дані_зв''язок'!$J$4:$J$1012,$O438)*('Дані_зв''язок'!$C$4:$C$1012=E$4),'Дані_зв''язок'!$D$4:$D$1012,"")))</f>
        <v/>
      </c>
      <c r="F438" s="27" t="str" cm="1">
        <f t="array" ref="F438">IF($O438="","",_xlfn.TEXTJOIN(", ",TRUE,IF(EXACT('Дані_зв''язок'!$J$4:$J$1012,$O438)*('Дані_зв''язок'!$C$4:$C$1012=F$4),'Дані_зв''язок'!$D$4:$D$1012,"")))</f>
        <v/>
      </c>
      <c r="G438" s="27" t="str" cm="1">
        <f t="array" ref="G438">IF($O438="","",_xlfn.TEXTJOIN(", ",TRUE,IF(EXACT('Дані_зв''язок'!$J$4:$J$1012,$O438)*('Дані_зв''язок'!$C$4:$C$1012=G$4),'Дані_зв''язок'!$D$4:$D$1012,"")))</f>
        <v>7:00</v>
      </c>
      <c r="H438" s="27" t="str" cm="1">
        <f t="array" ref="H438">IF($O438="","",_xlfn.TEXTJOIN(", ",TRUE,IF(EXACT('Дані_зв''язок'!$J$4:$J$1012,$O438)*('Дані_зв''язок'!$C$4:$C$1012=H$4),'Дані_зв''язок'!$D$4:$D$1012,"")))</f>
        <v/>
      </c>
      <c r="I438" s="27" t="str" cm="1">
        <f t="array" ref="I438">IF($O438="","",_xlfn.TEXTJOIN(", ",TRUE,IF(EXACT('Дані_зв''язок'!$J$4:$J$1012,$O438)*('Дані_зв''язок'!$C$4:$C$1012=I$4),'Дані_зв''язок'!$D$4:$D$1012,"")))</f>
        <v/>
      </c>
      <c r="J438" s="27" cm="1">
        <f t="array" ref="J438">IF($O438="","",COUNTIF(C438:I438,"?*")+SUMPRODUCT(LEN(C438:I438)-LEN(SUBSTITUTE(C438:I438,",",""))))</f>
        <v>1</v>
      </c>
      <c r="K438" s="28" t="str" cm="1">
        <f t="array" ref="K438">IF($O438="","",_xlfn.TEXTJOIN(", ",TRUE,IF(EXACT('Дані_зв''язок'!$J$4:$J$1012,$O438),'Дані_зв''язок'!$L$4:$L$1012,"")))</f>
        <v>№6</v>
      </c>
      <c r="L438" s="28" t="str" cm="1">
        <f t="array" ref="L438">IF($O438="","",_xlfn.TEXTJOIN(", ",TRUE,IF(EXACT('Дані_зв''язок'!$J$4:$J$1012,$O438),'Дані_зв''язок'!$M$4:$M$1012,"")))</f>
        <v>АТ 4021</v>
      </c>
      <c r="M438" s="27" t="str" cm="1">
        <f t="array" ref="M438">IF($O438="","",IF(SUMPRODUCT(MAX(EXACT('Дані_зв''язок'!$J$4:$J$1012,$O438)*IFERROR('Дані_зв''язок'!$H$4:$H$1012,0)))=0,"",SUMPRODUCT(MAX(EXACT('Дані_зв''язок'!$J$4:$J$1012,$O438)*IFERROR('Дані_зв''язок'!$H$4:$H$1012,0)))))</f>
        <v/>
      </c>
      <c r="O438" s="30" t="s">
        <v>1559</v>
      </c>
      <c r="P438" s="24" t="str" cm="1">
        <f t="array" ref="P438">IF($O438="","",IF($B438="","",IFERROR(IF(MIN(IFERROR(VALUE(TRIM(MID(SUBSTITUTE(SUBSTITUTE($B438,","," ")," ",REPT(" ",30)),{1;31;61;91;121;151;181},30))),""))=0,"",MIN(IFERROR(VALUE(TRIM(MID(SUBSTITUTE(SUBSTITUTE($B438,","," ")," ",REPT(" ",30)),{1;31;61;91;121;151;181},30))),""))),"")))</f>
        <v/>
      </c>
      <c r="Q438" s="23" t="str">
        <f t="shared" si="20"/>
        <v>Прилуки, Чернігівська обл., пров. Густинський</v>
      </c>
      <c r="R438" s="35">
        <f>IF($O438="","",IFERROR(INDEX('Координати майданчиків'!$H$4:$H$64,MATCH($T438,'Координати майданчиків'!$B$4:$B$64,0)),IFERROR(IF(ABS(INDEX(Геокодування!$C$2:$C$361,MATCH($Q438,Геокодування!$B$2:$B$361,0))-50.5884)+ABS(INDEX(Геокодування!$D$2:$D$361,MATCH($Q438,Геокодування!$B$2:$B$361,0))-32.3876)&gt;0.15,"",INDEX(Геокодування!$C$2:$C$361,MATCH($Q438,Геокодування!$B$2:$B$361,0))),IFERROR(IF(ABS(INDEX(Геокодування!$C$2:$C$361,MATCH("Прилуки, Чернігівська обл., "&amp;$A438,Геокодування!$B$2:$B$361,0))-50.5884)+ABS(INDEX(Геокодування!$D$2:$D$361,MATCH("Прилуки, Чернігівська обл., "&amp;$A438,Геокодування!$B$2:$B$361,0))-32.3876)&gt;0.15,"",INDEX(Геокодування!$C$2:$C$361,MATCH("Прилуки, Чернігівська обл., "&amp;$A438,Геокодування!$B$2:$B$361,0))),""))))</f>
        <v>50.612611000000001</v>
      </c>
      <c r="S438" s="43">
        <f>IF($O438="","",IFERROR(INDEX('Координати майданчиків'!$I$4:$I$64,MATCH($T438,'Координати майданчиків'!$B$4:$B$64,0)),IFERROR(IF(ABS(INDEX(Геокодування!$C$2:$C$361,MATCH($Q438,Геокодування!$B$2:$B$361,0))-50.5884)+ABS(INDEX(Геокодування!$D$2:$D$361,MATCH($Q438,Геокодування!$B$2:$B$361,0))-32.3876)&gt;0.15,"",INDEX(Геокодування!$D$2:$D$361,MATCH($Q438,Геокодування!$B$2:$B$361,0))),IFERROR(IF(ABS(INDEX(Геокодування!$C$2:$C$361,MATCH("Прилуки, Чернігівська обл., "&amp;$A438,Геокодування!$B$2:$B$361,0))-50.5884)+ABS(INDEX(Геокодування!$D$2:$D$361,MATCH("Прилуки, Чернігівська обл., "&amp;$A438,Геокодування!$B$2:$B$361,0))-32.3876)&gt;0.15,"",INDEX(Геокодування!$D$2:$D$361,MATCH("Прилуки, Чернігівська обл., "&amp;$A438,Геокодування!$B$2:$B$361,0))),""))))</f>
        <v>32.392440000000001</v>
      </c>
      <c r="T438" s="44" t="str">
        <f>IF($O438="","",IFERROR(INDEX('Координати майданчиків'!$B$4:$B$64,MATCH($A438&amp;IF($P438="","",", "&amp;$P438),'Координати майданчиків'!$B$4:$B$64,0)),IFERROR(INDEX('Координати майданчиків'!$B$4:$B$64,MATCH($A438,'Координати майданчиків'!$B$4:$B$64,0)),"")))</f>
        <v/>
      </c>
    </row>
    <row r="439" spans="1:20" x14ac:dyDescent="0.35">
      <c r="A439" s="26" t="str">
        <f t="shared" si="18"/>
        <v>пров. Ждановича</v>
      </c>
      <c r="B439" s="26" t="str">
        <f t="shared" si="19"/>
        <v/>
      </c>
      <c r="C439" s="27" t="str" cm="1">
        <f t="array" ref="C439">IF($O439="","",_xlfn.TEXTJOIN(", ",TRUE,IF(EXACT('Дані_зв''язок'!$J$4:$J$1012,$O439)*('Дані_зв''язок'!$C$4:$C$1012=C$4),'Дані_зв''язок'!$D$4:$D$1012,"")))</f>
        <v/>
      </c>
      <c r="D439" s="27" t="str" cm="1">
        <f t="array" ref="D439">IF($O439="","",_xlfn.TEXTJOIN(", ",TRUE,IF(EXACT('Дані_зв''язок'!$J$4:$J$1012,$O439)*('Дані_зв''язок'!$C$4:$C$1012=D$4),'Дані_зв''язок'!$D$4:$D$1012,"")))</f>
        <v/>
      </c>
      <c r="E439" s="27" t="str" cm="1">
        <f t="array" ref="E439">IF($O439="","",_xlfn.TEXTJOIN(", ",TRUE,IF(EXACT('Дані_зв''язок'!$J$4:$J$1012,$O439)*('Дані_зв''язок'!$C$4:$C$1012=E$4),'Дані_зв''язок'!$D$4:$D$1012,"")))</f>
        <v/>
      </c>
      <c r="F439" s="27" t="str" cm="1">
        <f t="array" ref="F439">IF($O439="","",_xlfn.TEXTJOIN(", ",TRUE,IF(EXACT('Дані_зв''язок'!$J$4:$J$1012,$O439)*('Дані_зв''язок'!$C$4:$C$1012=F$4),'Дані_зв''язок'!$D$4:$D$1012,"")))</f>
        <v/>
      </c>
      <c r="G439" s="27" t="str" cm="1">
        <f t="array" ref="G439">IF($O439="","",_xlfn.TEXTJOIN(", ",TRUE,IF(EXACT('Дані_зв''язок'!$J$4:$J$1012,$O439)*('Дані_зв''язок'!$C$4:$C$1012=G$4),'Дані_зв''язок'!$D$4:$D$1012,"")))</f>
        <v>9:15</v>
      </c>
      <c r="H439" s="27" t="str" cm="1">
        <f t="array" ref="H439">IF($O439="","",_xlfn.TEXTJOIN(", ",TRUE,IF(EXACT('Дані_зв''язок'!$J$4:$J$1012,$O439)*('Дані_зв''язок'!$C$4:$C$1012=H$4),'Дані_зв''язок'!$D$4:$D$1012,"")))</f>
        <v/>
      </c>
      <c r="I439" s="27" t="str" cm="1">
        <f t="array" ref="I439">IF($O439="","",_xlfn.TEXTJOIN(", ",TRUE,IF(EXACT('Дані_зв''язок'!$J$4:$J$1012,$O439)*('Дані_зв''язок'!$C$4:$C$1012=I$4),'Дані_зв''язок'!$D$4:$D$1012,"")))</f>
        <v/>
      </c>
      <c r="J439" s="27" cm="1">
        <f t="array" ref="J439">IF($O439="","",COUNTIF(C439:I439,"?*")+SUMPRODUCT(LEN(C439:I439)-LEN(SUBSTITUTE(C439:I439,",",""))))</f>
        <v>1</v>
      </c>
      <c r="K439" s="28" t="str" cm="1">
        <f t="array" ref="K439">IF($O439="","",_xlfn.TEXTJOIN(", ",TRUE,IF(EXACT('Дані_зв''язок'!$J$4:$J$1012,$O439),'Дані_зв''язок'!$L$4:$L$1012,"")))</f>
        <v>№5</v>
      </c>
      <c r="L439" s="28" t="str" cm="1">
        <f t="array" ref="L439">IF($O439="","",_xlfn.TEXTJOIN(", ",TRUE,IF(EXACT('Дані_зв''язок'!$J$4:$J$1012,$O439),'Дані_зв''язок'!$M$4:$M$1012,"")))</f>
        <v>МАЗ 4381</v>
      </c>
      <c r="M439" s="27" t="str" cm="1">
        <f t="array" ref="M439">IF($O439="","",IF(SUMPRODUCT(MAX(EXACT('Дані_зв''язок'!$J$4:$J$1012,$O439)*IFERROR('Дані_зв''язок'!$H$4:$H$1012,0)))=0,"",SUMPRODUCT(MAX(EXACT('Дані_зв''язок'!$J$4:$J$1012,$O439)*IFERROR('Дані_зв''язок'!$H$4:$H$1012,0)))))</f>
        <v/>
      </c>
      <c r="O439" s="30" t="s">
        <v>1560</v>
      </c>
      <c r="P439" s="24" t="str" cm="1">
        <f t="array" ref="P439">IF($O439="","",IF($B439="","",IFERROR(IF(MIN(IFERROR(VALUE(TRIM(MID(SUBSTITUTE(SUBSTITUTE($B439,","," ")," ",REPT(" ",30)),{1;31;61;91;121;151;181},30))),""))=0,"",MIN(IFERROR(VALUE(TRIM(MID(SUBSTITUTE(SUBSTITUTE($B439,","," ")," ",REPT(" ",30)),{1;31;61;91;121;151;181},30))),""))),"")))</f>
        <v/>
      </c>
      <c r="Q439" s="23" t="str">
        <f t="shared" si="20"/>
        <v>Прилуки, Чернігівська обл., пров. Ждановича</v>
      </c>
      <c r="R439" s="35">
        <f>IF($O439="","",IFERROR(INDEX('Координати майданчиків'!$H$4:$H$64,MATCH($T439,'Координати майданчиків'!$B$4:$B$64,0)),IFERROR(IF(ABS(INDEX(Геокодування!$C$2:$C$361,MATCH($Q439,Геокодування!$B$2:$B$361,0))-50.5884)+ABS(INDEX(Геокодування!$D$2:$D$361,MATCH($Q439,Геокодування!$B$2:$B$361,0))-32.3876)&gt;0.15,"",INDEX(Геокодування!$C$2:$C$361,MATCH($Q439,Геокодування!$B$2:$B$361,0))),IFERROR(IF(ABS(INDEX(Геокодування!$C$2:$C$361,MATCH("Прилуки, Чернігівська обл., "&amp;$A439,Геокодування!$B$2:$B$361,0))-50.5884)+ABS(INDEX(Геокодування!$D$2:$D$361,MATCH("Прилуки, Чернігівська обл., "&amp;$A439,Геокодування!$B$2:$B$361,0))-32.3876)&gt;0.15,"",INDEX(Геокодування!$C$2:$C$361,MATCH("Прилуки, Чернігівська обл., "&amp;$A439,Геокодування!$B$2:$B$361,0))),""))))</f>
        <v>50.596513999999999</v>
      </c>
      <c r="S439" s="43">
        <f>IF($O439="","",IFERROR(INDEX('Координати майданчиків'!$I$4:$I$64,MATCH($T439,'Координати майданчиків'!$B$4:$B$64,0)),IFERROR(IF(ABS(INDEX(Геокодування!$C$2:$C$361,MATCH($Q439,Геокодування!$B$2:$B$361,0))-50.5884)+ABS(INDEX(Геокодування!$D$2:$D$361,MATCH($Q439,Геокодування!$B$2:$B$361,0))-32.3876)&gt;0.15,"",INDEX(Геокодування!$D$2:$D$361,MATCH($Q439,Геокодування!$B$2:$B$361,0))),IFERROR(IF(ABS(INDEX(Геокодування!$C$2:$C$361,MATCH("Прилуки, Чернігівська обл., "&amp;$A439,Геокодування!$B$2:$B$361,0))-50.5884)+ABS(INDEX(Геокодування!$D$2:$D$361,MATCH("Прилуки, Чернігівська обл., "&amp;$A439,Геокодування!$B$2:$B$361,0))-32.3876)&gt;0.15,"",INDEX(Геокодування!$D$2:$D$361,MATCH("Прилуки, Чернігівська обл., "&amp;$A439,Геокодування!$B$2:$B$361,0))),""))))</f>
        <v>32.345258000000001</v>
      </c>
      <c r="T439" s="44" t="str">
        <f>IF($O439="","",IFERROR(INDEX('Координати майданчиків'!$B$4:$B$64,MATCH($A439&amp;IF($P439="","",", "&amp;$P439),'Координати майданчиків'!$B$4:$B$64,0)),IFERROR(INDEX('Координати майданчиків'!$B$4:$B$64,MATCH($A439,'Координати майданчиків'!$B$4:$B$64,0)),"")))</f>
        <v/>
      </c>
    </row>
    <row r="440" spans="1:20" x14ac:dyDescent="0.35">
      <c r="A440" s="26" t="str">
        <f t="shared" si="18"/>
        <v>пров. Заводський</v>
      </c>
      <c r="B440" s="26" t="str">
        <f t="shared" si="19"/>
        <v/>
      </c>
      <c r="C440" s="27" t="str" cm="1">
        <f t="array" ref="C440">IF($O440="","",_xlfn.TEXTJOIN(", ",TRUE,IF(EXACT('Дані_зв''язок'!$J$4:$J$1012,$O440)*('Дані_зв''язок'!$C$4:$C$1012=C$4),'Дані_зв''язок'!$D$4:$D$1012,"")))</f>
        <v/>
      </c>
      <c r="D440" s="27" t="str" cm="1">
        <f t="array" ref="D440">IF($O440="","",_xlfn.TEXTJOIN(", ",TRUE,IF(EXACT('Дані_зв''язок'!$J$4:$J$1012,$O440)*('Дані_зв''язок'!$C$4:$C$1012=D$4),'Дані_зв''язок'!$D$4:$D$1012,"")))</f>
        <v/>
      </c>
      <c r="E440" s="27" t="str" cm="1">
        <f t="array" ref="E440">IF($O440="","",_xlfn.TEXTJOIN(", ",TRUE,IF(EXACT('Дані_зв''язок'!$J$4:$J$1012,$O440)*('Дані_зв''язок'!$C$4:$C$1012=E$4),'Дані_зв''язок'!$D$4:$D$1012,"")))</f>
        <v>7:25</v>
      </c>
      <c r="F440" s="27" t="str" cm="1">
        <f t="array" ref="F440">IF($O440="","",_xlfn.TEXTJOIN(", ",TRUE,IF(EXACT('Дані_зв''язок'!$J$4:$J$1012,$O440)*('Дані_зв''язок'!$C$4:$C$1012=F$4),'Дані_зв''язок'!$D$4:$D$1012,"")))</f>
        <v/>
      </c>
      <c r="G440" s="27" t="str" cm="1">
        <f t="array" ref="G440">IF($O440="","",_xlfn.TEXTJOIN(", ",TRUE,IF(EXACT('Дані_зв''язок'!$J$4:$J$1012,$O440)*('Дані_зв''язок'!$C$4:$C$1012=G$4),'Дані_зв''язок'!$D$4:$D$1012,"")))</f>
        <v/>
      </c>
      <c r="H440" s="27" t="str" cm="1">
        <f t="array" ref="H440">IF($O440="","",_xlfn.TEXTJOIN(", ",TRUE,IF(EXACT('Дані_зв''язок'!$J$4:$J$1012,$O440)*('Дані_зв''язок'!$C$4:$C$1012=H$4),'Дані_зв''язок'!$D$4:$D$1012,"")))</f>
        <v/>
      </c>
      <c r="I440" s="27" t="str" cm="1">
        <f t="array" ref="I440">IF($O440="","",_xlfn.TEXTJOIN(", ",TRUE,IF(EXACT('Дані_зв''язок'!$J$4:$J$1012,$O440)*('Дані_зв''язок'!$C$4:$C$1012=I$4),'Дані_зв''язок'!$D$4:$D$1012,"")))</f>
        <v/>
      </c>
      <c r="J440" s="27" cm="1">
        <f t="array" ref="J440">IF($O440="","",COUNTIF(C440:I440,"?*")+SUMPRODUCT(LEN(C440:I440)-LEN(SUBSTITUTE(C440:I440,",",""))))</f>
        <v>1</v>
      </c>
      <c r="K440" s="28" t="str" cm="1">
        <f t="array" ref="K440">IF($O440="","",_xlfn.TEXTJOIN(", ",TRUE,IF(EXACT('Дані_зв''язок'!$J$4:$J$1012,$O440),'Дані_зв''язок'!$L$4:$L$1012,"")))</f>
        <v>№5</v>
      </c>
      <c r="L440" s="28" t="str" cm="1">
        <f t="array" ref="L440">IF($O440="","",_xlfn.TEXTJOIN(", ",TRUE,IF(EXACT('Дані_зв''язок'!$J$4:$J$1012,$O440),'Дані_зв''язок'!$M$4:$M$1012,"")))</f>
        <v>МАЗ 4381</v>
      </c>
      <c r="M440" s="27" t="str" cm="1">
        <f t="array" ref="M440">IF($O440="","",IF(SUMPRODUCT(MAX(EXACT('Дані_зв''язок'!$J$4:$J$1012,$O440)*IFERROR('Дані_зв''язок'!$H$4:$H$1012,0)))=0,"",SUMPRODUCT(MAX(EXACT('Дані_зв''язок'!$J$4:$J$1012,$O440)*IFERROR('Дані_зв''язок'!$H$4:$H$1012,0)))))</f>
        <v/>
      </c>
      <c r="O440" s="30" t="s">
        <v>1561</v>
      </c>
      <c r="P440" s="24" t="str" cm="1">
        <f t="array" ref="P440">IF($O440="","",IF($B440="","",IFERROR(IF(MIN(IFERROR(VALUE(TRIM(MID(SUBSTITUTE(SUBSTITUTE($B440,","," ")," ",REPT(" ",30)),{1;31;61;91;121;151;181},30))),""))=0,"",MIN(IFERROR(VALUE(TRIM(MID(SUBSTITUTE(SUBSTITUTE($B440,","," ")," ",REPT(" ",30)),{1;31;61;91;121;151;181},30))),""))),"")))</f>
        <v/>
      </c>
      <c r="Q440" s="23" t="str">
        <f t="shared" si="20"/>
        <v>Прилуки, Чернігівська обл., пров. Заводський</v>
      </c>
      <c r="R440" s="35">
        <f>IF($O440="","",IFERROR(INDEX('Координати майданчиків'!$H$4:$H$64,MATCH($T440,'Координати майданчиків'!$B$4:$B$64,0)),IFERROR(IF(ABS(INDEX(Геокодування!$C$2:$C$361,MATCH($Q440,Геокодування!$B$2:$B$361,0))-50.5884)+ABS(INDEX(Геокодування!$D$2:$D$361,MATCH($Q440,Геокодування!$B$2:$B$361,0))-32.3876)&gt;0.15,"",INDEX(Геокодування!$C$2:$C$361,MATCH($Q440,Геокодування!$B$2:$B$361,0))),IFERROR(IF(ABS(INDEX(Геокодування!$C$2:$C$361,MATCH("Прилуки, Чернігівська обл., "&amp;$A440,Геокодування!$B$2:$B$361,0))-50.5884)+ABS(INDEX(Геокодування!$D$2:$D$361,MATCH("Прилуки, Чернігівська обл., "&amp;$A440,Геокодування!$B$2:$B$361,0))-32.3876)&gt;0.15,"",INDEX(Геокодування!$C$2:$C$361,MATCH("Прилуки, Чернігівська обл., "&amp;$A440,Геокодування!$B$2:$B$361,0))),""))))</f>
        <v>50.580317000000001</v>
      </c>
      <c r="S440" s="43">
        <f>IF($O440="","",IFERROR(INDEX('Координати майданчиків'!$I$4:$I$64,MATCH($T440,'Координати майданчиків'!$B$4:$B$64,0)),IFERROR(IF(ABS(INDEX(Геокодування!$C$2:$C$361,MATCH($Q440,Геокодування!$B$2:$B$361,0))-50.5884)+ABS(INDEX(Геокодування!$D$2:$D$361,MATCH($Q440,Геокодування!$B$2:$B$361,0))-32.3876)&gt;0.15,"",INDEX(Геокодування!$D$2:$D$361,MATCH($Q440,Геокодування!$B$2:$B$361,0))),IFERROR(IF(ABS(INDEX(Геокодування!$C$2:$C$361,MATCH("Прилуки, Чернігівська обл., "&amp;$A440,Геокодування!$B$2:$B$361,0))-50.5884)+ABS(INDEX(Геокодування!$D$2:$D$361,MATCH("Прилуки, Чернігівська обл., "&amp;$A440,Геокодування!$B$2:$B$361,0))-32.3876)&gt;0.15,"",INDEX(Геокодування!$D$2:$D$361,MATCH("Прилуки, Чернігівська обл., "&amp;$A440,Геокодування!$B$2:$B$361,0))),""))))</f>
        <v>32.374046999999997</v>
      </c>
      <c r="T440" s="44" t="str">
        <f>IF($O440="","",IFERROR(INDEX('Координати майданчиків'!$B$4:$B$64,MATCH($A440&amp;IF($P440="","",", "&amp;$P440),'Координати майданчиків'!$B$4:$B$64,0)),IFERROR(INDEX('Координати майданчиків'!$B$4:$B$64,MATCH($A440,'Координати майданчиків'!$B$4:$B$64,0)),"")))</f>
        <v/>
      </c>
    </row>
    <row r="441" spans="1:20" x14ac:dyDescent="0.35">
      <c r="A441" s="26" t="str">
        <f t="shared" si="18"/>
        <v>пров. Залізничний</v>
      </c>
      <c r="B441" s="26" t="str">
        <f t="shared" si="19"/>
        <v/>
      </c>
      <c r="C441" s="27" t="str" cm="1">
        <f t="array" ref="C441">IF($O441="","",_xlfn.TEXTJOIN(", ",TRUE,IF(EXACT('Дані_зв''язок'!$J$4:$J$1012,$O441)*('Дані_зв''язок'!$C$4:$C$1012=C$4),'Дані_зв''язок'!$D$4:$D$1012,"")))</f>
        <v/>
      </c>
      <c r="D441" s="27" t="str" cm="1">
        <f t="array" ref="D441">IF($O441="","",_xlfn.TEXTJOIN(", ",TRUE,IF(EXACT('Дані_зв''язок'!$J$4:$J$1012,$O441)*('Дані_зв''язок'!$C$4:$C$1012=D$4),'Дані_зв''язок'!$D$4:$D$1012,"")))</f>
        <v>7:20</v>
      </c>
      <c r="E441" s="27" t="str" cm="1">
        <f t="array" ref="E441">IF($O441="","",_xlfn.TEXTJOIN(", ",TRUE,IF(EXACT('Дані_зв''язок'!$J$4:$J$1012,$O441)*('Дані_зв''язок'!$C$4:$C$1012=E$4),'Дані_зв''язок'!$D$4:$D$1012,"")))</f>
        <v/>
      </c>
      <c r="F441" s="27" t="str" cm="1">
        <f t="array" ref="F441">IF($O441="","",_xlfn.TEXTJOIN(", ",TRUE,IF(EXACT('Дані_зв''язок'!$J$4:$J$1012,$O441)*('Дані_зв''язок'!$C$4:$C$1012=F$4),'Дані_зв''язок'!$D$4:$D$1012,"")))</f>
        <v/>
      </c>
      <c r="G441" s="27" t="str" cm="1">
        <f t="array" ref="G441">IF($O441="","",_xlfn.TEXTJOIN(", ",TRUE,IF(EXACT('Дані_зв''язок'!$J$4:$J$1012,$O441)*('Дані_зв''язок'!$C$4:$C$1012=G$4),'Дані_зв''язок'!$D$4:$D$1012,"")))</f>
        <v/>
      </c>
      <c r="H441" s="27" t="str" cm="1">
        <f t="array" ref="H441">IF($O441="","",_xlfn.TEXTJOIN(", ",TRUE,IF(EXACT('Дані_зв''язок'!$J$4:$J$1012,$O441)*('Дані_зв''язок'!$C$4:$C$1012=H$4),'Дані_зв''язок'!$D$4:$D$1012,"")))</f>
        <v/>
      </c>
      <c r="I441" s="27" t="str" cm="1">
        <f t="array" ref="I441">IF($O441="","",_xlfn.TEXTJOIN(", ",TRUE,IF(EXACT('Дані_зв''язок'!$J$4:$J$1012,$O441)*('Дані_зв''язок'!$C$4:$C$1012=I$4),'Дані_зв''язок'!$D$4:$D$1012,"")))</f>
        <v/>
      </c>
      <c r="J441" s="27" cm="1">
        <f t="array" ref="J441">IF($O441="","",COUNTIF(C441:I441,"?*")+SUMPRODUCT(LEN(C441:I441)-LEN(SUBSTITUTE(C441:I441,",",""))))</f>
        <v>1</v>
      </c>
      <c r="K441" s="28" t="str" cm="1">
        <f t="array" ref="K441">IF($O441="","",_xlfn.TEXTJOIN(", ",TRUE,IF(EXACT('Дані_зв''язок'!$J$4:$J$1012,$O441),'Дані_зв''язок'!$L$4:$L$1012,"")))</f>
        <v>№5</v>
      </c>
      <c r="L441" s="28" t="str" cm="1">
        <f t="array" ref="L441">IF($O441="","",_xlfn.TEXTJOIN(", ",TRUE,IF(EXACT('Дані_зв''язок'!$J$4:$J$1012,$O441),'Дані_зв''язок'!$M$4:$M$1012,"")))</f>
        <v>МАЗ 4381</v>
      </c>
      <c r="M441" s="27" t="str" cm="1">
        <f t="array" ref="M441">IF($O441="","",IF(SUMPRODUCT(MAX(EXACT('Дані_зв''язок'!$J$4:$J$1012,$O441)*IFERROR('Дані_зв''язок'!$H$4:$H$1012,0)))=0,"",SUMPRODUCT(MAX(EXACT('Дані_зв''язок'!$J$4:$J$1012,$O441)*IFERROR('Дані_зв''язок'!$H$4:$H$1012,0)))))</f>
        <v/>
      </c>
      <c r="O441" s="30" t="s">
        <v>1562</v>
      </c>
      <c r="P441" s="24" t="str" cm="1">
        <f t="array" ref="P441">IF($O441="","",IF($B441="","",IFERROR(IF(MIN(IFERROR(VALUE(TRIM(MID(SUBSTITUTE(SUBSTITUTE($B441,","," ")," ",REPT(" ",30)),{1;31;61;91;121;151;181},30))),""))=0,"",MIN(IFERROR(VALUE(TRIM(MID(SUBSTITUTE(SUBSTITUTE($B441,","," ")," ",REPT(" ",30)),{1;31;61;91;121;151;181},30))),""))),"")))</f>
        <v/>
      </c>
      <c r="Q441" s="23" t="str">
        <f t="shared" si="20"/>
        <v>Прилуки, Чернігівська обл., пров. Залізничний</v>
      </c>
      <c r="R441" s="35">
        <f>IF($O441="","",IFERROR(INDEX('Координати майданчиків'!$H$4:$H$64,MATCH($T441,'Координати майданчиків'!$B$4:$B$64,0)),IFERROR(IF(ABS(INDEX(Геокодування!$C$2:$C$361,MATCH($Q441,Геокодування!$B$2:$B$361,0))-50.5884)+ABS(INDEX(Геокодування!$D$2:$D$361,MATCH($Q441,Геокодування!$B$2:$B$361,0))-32.3876)&gt;0.15,"",INDEX(Геокодування!$C$2:$C$361,MATCH($Q441,Геокодування!$B$2:$B$361,0))),IFERROR(IF(ABS(INDEX(Геокодування!$C$2:$C$361,MATCH("Прилуки, Чернігівська обл., "&amp;$A441,Геокодування!$B$2:$B$361,0))-50.5884)+ABS(INDEX(Геокодування!$D$2:$D$361,MATCH("Прилуки, Чернігівська обл., "&amp;$A441,Геокодування!$B$2:$B$361,0))-32.3876)&gt;0.15,"",INDEX(Геокодування!$C$2:$C$361,MATCH("Прилуки, Чернігівська обл., "&amp;$A441,Геокодування!$B$2:$B$361,0))),""))))</f>
        <v>50.582067000000002</v>
      </c>
      <c r="S441" s="43">
        <f>IF($O441="","",IFERROR(INDEX('Координати майданчиків'!$I$4:$I$64,MATCH($T441,'Координати майданчиків'!$B$4:$B$64,0)),IFERROR(IF(ABS(INDEX(Геокодування!$C$2:$C$361,MATCH($Q441,Геокодування!$B$2:$B$361,0))-50.5884)+ABS(INDEX(Геокодування!$D$2:$D$361,MATCH($Q441,Геокодування!$B$2:$B$361,0))-32.3876)&gt;0.15,"",INDEX(Геокодування!$D$2:$D$361,MATCH($Q441,Геокодування!$B$2:$B$361,0))),IFERROR(IF(ABS(INDEX(Геокодування!$C$2:$C$361,MATCH("Прилуки, Чернігівська обл., "&amp;$A441,Геокодування!$B$2:$B$361,0))-50.5884)+ABS(INDEX(Геокодування!$D$2:$D$361,MATCH("Прилуки, Чернігівська обл., "&amp;$A441,Геокодування!$B$2:$B$361,0))-32.3876)&gt;0.15,"",INDEX(Геокодування!$D$2:$D$361,MATCH("Прилуки, Чернігівська обл., "&amp;$A441,Геокодування!$B$2:$B$361,0))),""))))</f>
        <v>32.386690999999999</v>
      </c>
      <c r="T441" s="44" t="str">
        <f>IF($O441="","",IFERROR(INDEX('Координати майданчиків'!$B$4:$B$64,MATCH($A441&amp;IF($P441="","",", "&amp;$P441),'Координати майданчиків'!$B$4:$B$64,0)),IFERROR(INDEX('Координати майданчиків'!$B$4:$B$64,MATCH($A441,'Координати майданчиків'!$B$4:$B$64,0)),"")))</f>
        <v/>
      </c>
    </row>
    <row r="442" spans="1:20" x14ac:dyDescent="0.35">
      <c r="A442" s="26" t="str">
        <f t="shared" si="18"/>
        <v>пров. Західний</v>
      </c>
      <c r="B442" s="26" t="str">
        <f t="shared" si="19"/>
        <v/>
      </c>
      <c r="C442" s="27" t="str" cm="1">
        <f t="array" ref="C442">IF($O442="","",_xlfn.TEXTJOIN(", ",TRUE,IF(EXACT('Дані_зв''язок'!$J$4:$J$1012,$O442)*('Дані_зв''язок'!$C$4:$C$1012=C$4),'Дані_зв''язок'!$D$4:$D$1012,"")))</f>
        <v/>
      </c>
      <c r="D442" s="27" t="str" cm="1">
        <f t="array" ref="D442">IF($O442="","",_xlfn.TEXTJOIN(", ",TRUE,IF(EXACT('Дані_зв''язок'!$J$4:$J$1012,$O442)*('Дані_зв''язок'!$C$4:$C$1012=D$4),'Дані_зв''язок'!$D$4:$D$1012,"")))</f>
        <v>10:45</v>
      </c>
      <c r="E442" s="27" t="str" cm="1">
        <f t="array" ref="E442">IF($O442="","",_xlfn.TEXTJOIN(", ",TRUE,IF(EXACT('Дані_зв''язок'!$J$4:$J$1012,$O442)*('Дані_зв''язок'!$C$4:$C$1012=E$4),'Дані_зв''язок'!$D$4:$D$1012,"")))</f>
        <v/>
      </c>
      <c r="F442" s="27" t="str" cm="1">
        <f t="array" ref="F442">IF($O442="","",_xlfn.TEXTJOIN(", ",TRUE,IF(EXACT('Дані_зв''язок'!$J$4:$J$1012,$O442)*('Дані_зв''язок'!$C$4:$C$1012=F$4),'Дані_зв''язок'!$D$4:$D$1012,"")))</f>
        <v/>
      </c>
      <c r="G442" s="27" t="str" cm="1">
        <f t="array" ref="G442">IF($O442="","",_xlfn.TEXTJOIN(", ",TRUE,IF(EXACT('Дані_зв''язок'!$J$4:$J$1012,$O442)*('Дані_зв''язок'!$C$4:$C$1012=G$4),'Дані_зв''язок'!$D$4:$D$1012,"")))</f>
        <v/>
      </c>
      <c r="H442" s="27" t="str" cm="1">
        <f t="array" ref="H442">IF($O442="","",_xlfn.TEXTJOIN(", ",TRUE,IF(EXACT('Дані_зв''язок'!$J$4:$J$1012,$O442)*('Дані_зв''язок'!$C$4:$C$1012=H$4),'Дані_зв''язок'!$D$4:$D$1012,"")))</f>
        <v/>
      </c>
      <c r="I442" s="27" t="str" cm="1">
        <f t="array" ref="I442">IF($O442="","",_xlfn.TEXTJOIN(", ",TRUE,IF(EXACT('Дані_зв''язок'!$J$4:$J$1012,$O442)*('Дані_зв''язок'!$C$4:$C$1012=I$4),'Дані_зв''язок'!$D$4:$D$1012,"")))</f>
        <v/>
      </c>
      <c r="J442" s="27" cm="1">
        <f t="array" ref="J442">IF($O442="","",COUNTIF(C442:I442,"?*")+SUMPRODUCT(LEN(C442:I442)-LEN(SUBSTITUTE(C442:I442,",",""))))</f>
        <v>1</v>
      </c>
      <c r="K442" s="28" t="str" cm="1">
        <f t="array" ref="K442">IF($O442="","",_xlfn.TEXTJOIN(", ",TRUE,IF(EXACT('Дані_зв''язок'!$J$4:$J$1012,$O442),'Дані_зв''язок'!$L$4:$L$1012,"")))</f>
        <v>№5</v>
      </c>
      <c r="L442" s="28" t="str" cm="1">
        <f t="array" ref="L442">IF($O442="","",_xlfn.TEXTJOIN(", ",TRUE,IF(EXACT('Дані_зв''язок'!$J$4:$J$1012,$O442),'Дані_зв''язок'!$M$4:$M$1012,"")))</f>
        <v>МАЗ 4381</v>
      </c>
      <c r="M442" s="27" t="str" cm="1">
        <f t="array" ref="M442">IF($O442="","",IF(SUMPRODUCT(MAX(EXACT('Дані_зв''язок'!$J$4:$J$1012,$O442)*IFERROR('Дані_зв''язок'!$H$4:$H$1012,0)))=0,"",SUMPRODUCT(MAX(EXACT('Дані_зв''язок'!$J$4:$J$1012,$O442)*IFERROR('Дані_зв''язок'!$H$4:$H$1012,0)))))</f>
        <v/>
      </c>
      <c r="O442" s="30" t="s">
        <v>1563</v>
      </c>
      <c r="P442" s="24" t="str" cm="1">
        <f t="array" ref="P442">IF($O442="","",IF($B442="","",IFERROR(IF(MIN(IFERROR(VALUE(TRIM(MID(SUBSTITUTE(SUBSTITUTE($B442,","," ")," ",REPT(" ",30)),{1;31;61;91;121;151;181},30))),""))=0,"",MIN(IFERROR(VALUE(TRIM(MID(SUBSTITUTE(SUBSTITUTE($B442,","," ")," ",REPT(" ",30)),{1;31;61;91;121;151;181},30))),""))),"")))</f>
        <v/>
      </c>
      <c r="Q442" s="23" t="str">
        <f t="shared" si="20"/>
        <v>Прилуки, Чернігівська обл., пров. Західний</v>
      </c>
      <c r="R442" s="35">
        <f>IF($O442="","",IFERROR(INDEX('Координати майданчиків'!$H$4:$H$64,MATCH($T442,'Координати майданчиків'!$B$4:$B$64,0)),IFERROR(IF(ABS(INDEX(Геокодування!$C$2:$C$361,MATCH($Q442,Геокодування!$B$2:$B$361,0))-50.5884)+ABS(INDEX(Геокодування!$D$2:$D$361,MATCH($Q442,Геокодування!$B$2:$B$361,0))-32.3876)&gt;0.15,"",INDEX(Геокодування!$C$2:$C$361,MATCH($Q442,Геокодування!$B$2:$B$361,0))),IFERROR(IF(ABS(INDEX(Геокодування!$C$2:$C$361,MATCH("Прилуки, Чернігівська обл., "&amp;$A442,Геокодування!$B$2:$B$361,0))-50.5884)+ABS(INDEX(Геокодування!$D$2:$D$361,MATCH("Прилуки, Чернігівська обл., "&amp;$A442,Геокодування!$B$2:$B$361,0))-32.3876)&gt;0.15,"",INDEX(Геокодування!$C$2:$C$361,MATCH("Прилуки, Чернігівська обл., "&amp;$A442,Геокодування!$B$2:$B$361,0))),""))))</f>
        <v>50.604374999999997</v>
      </c>
      <c r="S442" s="43">
        <f>IF($O442="","",IFERROR(INDEX('Координати майданчиків'!$I$4:$I$64,MATCH($T442,'Координати майданчиків'!$B$4:$B$64,0)),IFERROR(IF(ABS(INDEX(Геокодування!$C$2:$C$361,MATCH($Q442,Геокодування!$B$2:$B$361,0))-50.5884)+ABS(INDEX(Геокодування!$D$2:$D$361,MATCH($Q442,Геокодування!$B$2:$B$361,0))-32.3876)&gt;0.15,"",INDEX(Геокодування!$D$2:$D$361,MATCH($Q442,Геокодування!$B$2:$B$361,0))),IFERROR(IF(ABS(INDEX(Геокодування!$C$2:$C$361,MATCH("Прилуки, Чернігівська обл., "&amp;$A442,Геокодування!$B$2:$B$361,0))-50.5884)+ABS(INDEX(Геокодування!$D$2:$D$361,MATCH("Прилуки, Чернігівська обл., "&amp;$A442,Геокодування!$B$2:$B$361,0))-32.3876)&gt;0.15,"",INDEX(Геокодування!$D$2:$D$361,MATCH("Прилуки, Чернігівська обл., "&amp;$A442,Геокодування!$B$2:$B$361,0))),""))))</f>
        <v>32.330573000000001</v>
      </c>
      <c r="T442" s="44" t="str">
        <f>IF($O442="","",IFERROR(INDEX('Координати майданчиків'!$B$4:$B$64,MATCH($A442&amp;IF($P442="","",", "&amp;$P442),'Координати майданчиків'!$B$4:$B$64,0)),IFERROR(INDEX('Координати майданчиків'!$B$4:$B$64,MATCH($A442,'Координати майданчиків'!$B$4:$B$64,0)),"")))</f>
        <v/>
      </c>
    </row>
    <row r="443" spans="1:20" x14ac:dyDescent="0.35">
      <c r="A443" s="26" t="str">
        <f t="shared" si="18"/>
        <v>пров. Кустівський</v>
      </c>
      <c r="B443" s="26" t="str">
        <f t="shared" si="19"/>
        <v>1,2  15,20</v>
      </c>
      <c r="C443" s="27" t="str" cm="1">
        <f t="array" ref="C443">IF($O443="","",_xlfn.TEXTJOIN(", ",TRUE,IF(EXACT('Дані_зв''язок'!$J$4:$J$1012,$O443)*('Дані_зв''язок'!$C$4:$C$1012=C$4),'Дані_зв''язок'!$D$4:$D$1012,"")))</f>
        <v/>
      </c>
      <c r="D443" s="27" t="str" cm="1">
        <f t="array" ref="D443">IF($O443="","",_xlfn.TEXTJOIN(", ",TRUE,IF(EXACT('Дані_зв''язок'!$J$4:$J$1012,$O443)*('Дані_зв''язок'!$C$4:$C$1012=D$4),'Дані_зв''язок'!$D$4:$D$1012,"")))</f>
        <v>11:25</v>
      </c>
      <c r="E443" s="27" t="str" cm="1">
        <f t="array" ref="E443">IF($O443="","",_xlfn.TEXTJOIN(", ",TRUE,IF(EXACT('Дані_зв''язок'!$J$4:$J$1012,$O443)*('Дані_зв''язок'!$C$4:$C$1012=E$4),'Дані_зв''язок'!$D$4:$D$1012,"")))</f>
        <v/>
      </c>
      <c r="F443" s="27" t="str" cm="1">
        <f t="array" ref="F443">IF($O443="","",_xlfn.TEXTJOIN(", ",TRUE,IF(EXACT('Дані_зв''язок'!$J$4:$J$1012,$O443)*('Дані_зв''язок'!$C$4:$C$1012=F$4),'Дані_зв''язок'!$D$4:$D$1012,"")))</f>
        <v/>
      </c>
      <c r="G443" s="27" t="str" cm="1">
        <f t="array" ref="G443">IF($O443="","",_xlfn.TEXTJOIN(", ",TRUE,IF(EXACT('Дані_зв''язок'!$J$4:$J$1012,$O443)*('Дані_зв''язок'!$C$4:$C$1012=G$4),'Дані_зв''язок'!$D$4:$D$1012,"")))</f>
        <v/>
      </c>
      <c r="H443" s="27" t="str" cm="1">
        <f t="array" ref="H443">IF($O443="","",_xlfn.TEXTJOIN(", ",TRUE,IF(EXACT('Дані_зв''язок'!$J$4:$J$1012,$O443)*('Дані_зв''язок'!$C$4:$C$1012=H$4),'Дані_зв''язок'!$D$4:$D$1012,"")))</f>
        <v/>
      </c>
      <c r="I443" s="27" t="str" cm="1">
        <f t="array" ref="I443">IF($O443="","",_xlfn.TEXTJOIN(", ",TRUE,IF(EXACT('Дані_зв''язок'!$J$4:$J$1012,$O443)*('Дані_зв''язок'!$C$4:$C$1012=I$4),'Дані_зв''язок'!$D$4:$D$1012,"")))</f>
        <v/>
      </c>
      <c r="J443" s="27" cm="1">
        <f t="array" ref="J443">IF($O443="","",COUNTIF(C443:I443,"?*")+SUMPRODUCT(LEN(C443:I443)-LEN(SUBSTITUTE(C443:I443,",",""))))</f>
        <v>1</v>
      </c>
      <c r="K443" s="28" t="str" cm="1">
        <f t="array" ref="K443">IF($O443="","",_xlfn.TEXTJOIN(", ",TRUE,IF(EXACT('Дані_зв''язок'!$J$4:$J$1012,$O443),'Дані_зв''язок'!$L$4:$L$1012,"")))</f>
        <v>№6</v>
      </c>
      <c r="L443" s="28" t="str" cm="1">
        <f t="array" ref="L443">IF($O443="","",_xlfn.TEXTJOIN(", ",TRUE,IF(EXACT('Дані_зв''язок'!$J$4:$J$1012,$O443),'Дані_зв''язок'!$M$4:$M$1012,"")))</f>
        <v>АТ 4021</v>
      </c>
      <c r="M443" s="27" t="str" cm="1">
        <f t="array" ref="M443">IF($O443="","",IF(SUMPRODUCT(MAX(EXACT('Дані_зв''язок'!$J$4:$J$1012,$O443)*IFERROR('Дані_зв''язок'!$H$4:$H$1012,0)))=0,"",SUMPRODUCT(MAX(EXACT('Дані_зв''язок'!$J$4:$J$1012,$O443)*IFERROR('Дані_зв''язок'!$H$4:$H$1012,0)))))</f>
        <v/>
      </c>
      <c r="O443" s="30" t="s">
        <v>1567</v>
      </c>
      <c r="P443" s="24" cm="1">
        <f t="array" ref="P443">IF($O443="","",IF($B443="","",IFERROR(IF(MIN(IFERROR(VALUE(TRIM(MID(SUBSTITUTE(SUBSTITUTE($B443,","," ")," ",REPT(" ",30)),{1;31;61;91;121;151;181},30))),""))=0,"",MIN(IFERROR(VALUE(TRIM(MID(SUBSTITUTE(SUBSTITUTE($B443,","," ")," ",REPT(" ",30)),{1;31;61;91;121;151;181},30))),""))),"")))</f>
        <v>1</v>
      </c>
      <c r="Q443" s="23" t="str">
        <f t="shared" si="20"/>
        <v>Прилуки, Чернігівська обл., пров. Кустівський, 1</v>
      </c>
      <c r="R443" s="35">
        <f>IF($O443="","",IFERROR(INDEX('Координати майданчиків'!$H$4:$H$64,MATCH($T443,'Координати майданчиків'!$B$4:$B$64,0)),IFERROR(IF(ABS(INDEX(Геокодування!$C$2:$C$361,MATCH($Q443,Геокодування!$B$2:$B$361,0))-50.5884)+ABS(INDEX(Геокодування!$D$2:$D$361,MATCH($Q443,Геокодування!$B$2:$B$361,0))-32.3876)&gt;0.15,"",INDEX(Геокодування!$C$2:$C$361,MATCH($Q443,Геокодування!$B$2:$B$361,0))),IFERROR(IF(ABS(INDEX(Геокодування!$C$2:$C$361,MATCH("Прилуки, Чернігівська обл., "&amp;$A443,Геокодування!$B$2:$B$361,0))-50.5884)+ABS(INDEX(Геокодування!$D$2:$D$361,MATCH("Прилуки, Чернігівська обл., "&amp;$A443,Геокодування!$B$2:$B$361,0))-32.3876)&gt;0.15,"",INDEX(Геокодування!$C$2:$C$361,MATCH("Прилуки, Чернігівська обл., "&amp;$A443,Геокодування!$B$2:$B$361,0))),""))))</f>
        <v>50.592658</v>
      </c>
      <c r="S443" s="43">
        <f>IF($O443="","",IFERROR(INDEX('Координати майданчиків'!$I$4:$I$64,MATCH($T443,'Координати майданчиків'!$B$4:$B$64,0)),IFERROR(IF(ABS(INDEX(Геокодування!$C$2:$C$361,MATCH($Q443,Геокодування!$B$2:$B$361,0))-50.5884)+ABS(INDEX(Геокодування!$D$2:$D$361,MATCH($Q443,Геокодування!$B$2:$B$361,0))-32.3876)&gt;0.15,"",INDEX(Геокодування!$D$2:$D$361,MATCH($Q443,Геокодування!$B$2:$B$361,0))),IFERROR(IF(ABS(INDEX(Геокодування!$C$2:$C$361,MATCH("Прилуки, Чернігівська обл., "&amp;$A443,Геокодування!$B$2:$B$361,0))-50.5884)+ABS(INDEX(Геокодування!$D$2:$D$361,MATCH("Прилуки, Чернігівська обл., "&amp;$A443,Геокодування!$B$2:$B$361,0))-32.3876)&gt;0.15,"",INDEX(Геокодування!$D$2:$D$361,MATCH("Прилуки, Чернігівська обл., "&amp;$A443,Геокодування!$B$2:$B$361,0))),""))))</f>
        <v>32.407020000000003</v>
      </c>
      <c r="T443" s="44" t="str">
        <f>IF($O443="","",IFERROR(INDEX('Координати майданчиків'!$B$4:$B$64,MATCH($A443&amp;IF($P443="","",", "&amp;$P443),'Координати майданчиків'!$B$4:$B$64,0)),IFERROR(INDEX('Координати майданчиків'!$B$4:$B$64,MATCH($A443,'Координати майданчиків'!$B$4:$B$64,0)),"")))</f>
        <v/>
      </c>
    </row>
    <row r="444" spans="1:20" x14ac:dyDescent="0.35">
      <c r="A444" s="26" t="str">
        <f t="shared" si="18"/>
        <v>пров. Л. Українки</v>
      </c>
      <c r="B444" s="26" t="str">
        <f t="shared" si="19"/>
        <v/>
      </c>
      <c r="C444" s="27" t="str" cm="1">
        <f t="array" ref="C444">IF($O444="","",_xlfn.TEXTJOIN(", ",TRUE,IF(EXACT('Дані_зв''язок'!$J$4:$J$1012,$O444)*('Дані_зв''язок'!$C$4:$C$1012=C$4),'Дані_зв''язок'!$D$4:$D$1012,"")))</f>
        <v/>
      </c>
      <c r="D444" s="27" t="str" cm="1">
        <f t="array" ref="D444">IF($O444="","",_xlfn.TEXTJOIN(", ",TRUE,IF(EXACT('Дані_зв''язок'!$J$4:$J$1012,$O444)*('Дані_зв''язок'!$C$4:$C$1012=D$4),'Дані_зв''язок'!$D$4:$D$1012,"")))</f>
        <v>8:00</v>
      </c>
      <c r="E444" s="27" t="str" cm="1">
        <f t="array" ref="E444">IF($O444="","",_xlfn.TEXTJOIN(", ",TRUE,IF(EXACT('Дані_зв''язок'!$J$4:$J$1012,$O444)*('Дані_зв''язок'!$C$4:$C$1012=E$4),'Дані_зв''язок'!$D$4:$D$1012,"")))</f>
        <v/>
      </c>
      <c r="F444" s="27" t="str" cm="1">
        <f t="array" ref="F444">IF($O444="","",_xlfn.TEXTJOIN(", ",TRUE,IF(EXACT('Дані_зв''язок'!$J$4:$J$1012,$O444)*('Дані_зв''язок'!$C$4:$C$1012=F$4),'Дані_зв''язок'!$D$4:$D$1012,"")))</f>
        <v/>
      </c>
      <c r="G444" s="27" t="str" cm="1">
        <f t="array" ref="G444">IF($O444="","",_xlfn.TEXTJOIN(", ",TRUE,IF(EXACT('Дані_зв''язок'!$J$4:$J$1012,$O444)*('Дані_зв''язок'!$C$4:$C$1012=G$4),'Дані_зв''язок'!$D$4:$D$1012,"")))</f>
        <v/>
      </c>
      <c r="H444" s="27" t="str" cm="1">
        <f t="array" ref="H444">IF($O444="","",_xlfn.TEXTJOIN(", ",TRUE,IF(EXACT('Дані_зв''язок'!$J$4:$J$1012,$O444)*('Дані_зв''язок'!$C$4:$C$1012=H$4),'Дані_зв''язок'!$D$4:$D$1012,"")))</f>
        <v/>
      </c>
      <c r="I444" s="27" t="str" cm="1">
        <f t="array" ref="I444">IF($O444="","",_xlfn.TEXTJOIN(", ",TRUE,IF(EXACT('Дані_зв''язок'!$J$4:$J$1012,$O444)*('Дані_зв''язок'!$C$4:$C$1012=I$4),'Дані_зв''язок'!$D$4:$D$1012,"")))</f>
        <v/>
      </c>
      <c r="J444" s="27" cm="1">
        <f t="array" ref="J444">IF($O444="","",COUNTIF(C444:I444,"?*")+SUMPRODUCT(LEN(C444:I444)-LEN(SUBSTITUTE(C444:I444,",",""))))</f>
        <v>1</v>
      </c>
      <c r="K444" s="28" t="str" cm="1">
        <f t="array" ref="K444">IF($O444="","",_xlfn.TEXTJOIN(", ",TRUE,IF(EXACT('Дані_зв''язок'!$J$4:$J$1012,$O444),'Дані_зв''язок'!$L$4:$L$1012,"")))</f>
        <v>№5</v>
      </c>
      <c r="L444" s="28" t="str" cm="1">
        <f t="array" ref="L444">IF($O444="","",_xlfn.TEXTJOIN(", ",TRUE,IF(EXACT('Дані_зв''язок'!$J$4:$J$1012,$O444),'Дані_зв''язок'!$M$4:$M$1012,"")))</f>
        <v>МАЗ 4381</v>
      </c>
      <c r="M444" s="27" t="str" cm="1">
        <f t="array" ref="M444">IF($O444="","",IF(SUMPRODUCT(MAX(EXACT('Дані_зв''язок'!$J$4:$J$1012,$O444)*IFERROR('Дані_зв''язок'!$H$4:$H$1012,0)))=0,"",SUMPRODUCT(MAX(EXACT('Дані_зв''язок'!$J$4:$J$1012,$O444)*IFERROR('Дані_зв''язок'!$H$4:$H$1012,0)))))</f>
        <v/>
      </c>
      <c r="O444" s="30" t="s">
        <v>1568</v>
      </c>
      <c r="P444" s="24" t="str" cm="1">
        <f t="array" ref="P444">IF($O444="","",IF($B444="","",IFERROR(IF(MIN(IFERROR(VALUE(TRIM(MID(SUBSTITUTE(SUBSTITUTE($B444,","," ")," ",REPT(" ",30)),{1;31;61;91;121;151;181},30))),""))=0,"",MIN(IFERROR(VALUE(TRIM(MID(SUBSTITUTE(SUBSTITUTE($B444,","," ")," ",REPT(" ",30)),{1;31;61;91;121;151;181},30))),""))),"")))</f>
        <v/>
      </c>
      <c r="Q444" s="23" t="str">
        <f t="shared" si="20"/>
        <v>Прилуки, Чернігівська обл., пров. Л. Українки</v>
      </c>
      <c r="R444" s="35">
        <f>IF($O444="","",IFERROR(INDEX('Координати майданчиків'!$H$4:$H$64,MATCH($T444,'Координати майданчиків'!$B$4:$B$64,0)),IFERROR(IF(ABS(INDEX(Геокодування!$C$2:$C$361,MATCH($Q444,Геокодування!$B$2:$B$361,0))-50.5884)+ABS(INDEX(Геокодування!$D$2:$D$361,MATCH($Q444,Геокодування!$B$2:$B$361,0))-32.3876)&gt;0.15,"",INDEX(Геокодування!$C$2:$C$361,MATCH($Q444,Геокодування!$B$2:$B$361,0))),IFERROR(IF(ABS(INDEX(Геокодування!$C$2:$C$361,MATCH("Прилуки, Чернігівська обл., "&amp;$A444,Геокодування!$B$2:$B$361,0))-50.5884)+ABS(INDEX(Геокодування!$D$2:$D$361,MATCH("Прилуки, Чернігівська обл., "&amp;$A444,Геокодування!$B$2:$B$361,0))-32.3876)&gt;0.15,"",INDEX(Геокодування!$C$2:$C$361,MATCH("Прилуки, Чернігівська обл., "&amp;$A444,Геокодування!$B$2:$B$361,0))),""))))</f>
        <v>50.576805999999998</v>
      </c>
      <c r="S444" s="43">
        <f>IF($O444="","",IFERROR(INDEX('Координати майданчиків'!$I$4:$I$64,MATCH($T444,'Координати майданчиків'!$B$4:$B$64,0)),IFERROR(IF(ABS(INDEX(Геокодування!$C$2:$C$361,MATCH($Q444,Геокодування!$B$2:$B$361,0))-50.5884)+ABS(INDEX(Геокодування!$D$2:$D$361,MATCH($Q444,Геокодування!$B$2:$B$361,0))-32.3876)&gt;0.15,"",INDEX(Геокодування!$D$2:$D$361,MATCH($Q444,Геокодування!$B$2:$B$361,0))),IFERROR(IF(ABS(INDEX(Геокодування!$C$2:$C$361,MATCH("Прилуки, Чернігівська обл., "&amp;$A444,Геокодування!$B$2:$B$361,0))-50.5884)+ABS(INDEX(Геокодування!$D$2:$D$361,MATCH("Прилуки, Чернігівська обл., "&amp;$A444,Геокодування!$B$2:$B$361,0))-32.3876)&gt;0.15,"",INDEX(Геокодування!$D$2:$D$361,MATCH("Прилуки, Чернігівська обл., "&amp;$A444,Геокодування!$B$2:$B$361,0))),""))))</f>
        <v>32.403942999999998</v>
      </c>
      <c r="T444" s="44" t="str">
        <f>IF($O444="","",IFERROR(INDEX('Координати майданчиків'!$B$4:$B$64,MATCH($A444&amp;IF($P444="","",", "&amp;$P444),'Координати майданчиків'!$B$4:$B$64,0)),IFERROR(INDEX('Координати майданчиків'!$B$4:$B$64,MATCH($A444,'Координати майданчиків'!$B$4:$B$64,0)),"")))</f>
        <v/>
      </c>
    </row>
    <row r="445" spans="1:20" x14ac:dyDescent="0.35">
      <c r="A445" s="26" t="str">
        <f t="shared" si="18"/>
        <v>пров. М. Леонтовича</v>
      </c>
      <c r="B445" s="26" t="str">
        <f t="shared" si="19"/>
        <v>17</v>
      </c>
      <c r="C445" s="27" t="str" cm="1">
        <f t="array" ref="C445">IF($O445="","",_xlfn.TEXTJOIN(", ",TRUE,IF(EXACT('Дані_зв''язок'!$J$4:$J$1012,$O445)*('Дані_зв''язок'!$C$4:$C$1012=C$4),'Дані_зв''язок'!$D$4:$D$1012,"")))</f>
        <v/>
      </c>
      <c r="D445" s="27" t="str" cm="1">
        <f t="array" ref="D445">IF($O445="","",_xlfn.TEXTJOIN(", ",TRUE,IF(EXACT('Дані_зв''язок'!$J$4:$J$1012,$O445)*('Дані_зв''язок'!$C$4:$C$1012=D$4),'Дані_зв''язок'!$D$4:$D$1012,"")))</f>
        <v/>
      </c>
      <c r="E445" s="27" t="str" cm="1">
        <f t="array" ref="E445">IF($O445="","",_xlfn.TEXTJOIN(", ",TRUE,IF(EXACT('Дані_зв''язок'!$J$4:$J$1012,$O445)*('Дані_зв''язок'!$C$4:$C$1012=E$4),'Дані_зв''язок'!$D$4:$D$1012,"")))</f>
        <v>9:20</v>
      </c>
      <c r="F445" s="27" t="str" cm="1">
        <f t="array" ref="F445">IF($O445="","",_xlfn.TEXTJOIN(", ",TRUE,IF(EXACT('Дані_зв''язок'!$J$4:$J$1012,$O445)*('Дані_зв''язок'!$C$4:$C$1012=F$4),'Дані_зв''язок'!$D$4:$D$1012,"")))</f>
        <v/>
      </c>
      <c r="G445" s="27" t="str" cm="1">
        <f t="array" ref="G445">IF($O445="","",_xlfn.TEXTJOIN(", ",TRUE,IF(EXACT('Дані_зв''язок'!$J$4:$J$1012,$O445)*('Дані_зв''язок'!$C$4:$C$1012=G$4),'Дані_зв''язок'!$D$4:$D$1012,"")))</f>
        <v/>
      </c>
      <c r="H445" s="27" t="str" cm="1">
        <f t="array" ref="H445">IF($O445="","",_xlfn.TEXTJOIN(", ",TRUE,IF(EXACT('Дані_зв''язок'!$J$4:$J$1012,$O445)*('Дані_зв''язок'!$C$4:$C$1012=H$4),'Дані_зв''язок'!$D$4:$D$1012,"")))</f>
        <v/>
      </c>
      <c r="I445" s="27" t="str" cm="1">
        <f t="array" ref="I445">IF($O445="","",_xlfn.TEXTJOIN(", ",TRUE,IF(EXACT('Дані_зв''язок'!$J$4:$J$1012,$O445)*('Дані_зв''язок'!$C$4:$C$1012=I$4),'Дані_зв''язок'!$D$4:$D$1012,"")))</f>
        <v/>
      </c>
      <c r="J445" s="27" cm="1">
        <f t="array" ref="J445">IF($O445="","",COUNTIF(C445:I445,"?*")+SUMPRODUCT(LEN(C445:I445)-LEN(SUBSTITUTE(C445:I445,",",""))))</f>
        <v>1</v>
      </c>
      <c r="K445" s="28" t="str" cm="1">
        <f t="array" ref="K445">IF($O445="","",_xlfn.TEXTJOIN(", ",TRUE,IF(EXACT('Дані_зв''язок'!$J$4:$J$1012,$O445),'Дані_зв''язок'!$L$4:$L$1012,"")))</f>
        <v>№6</v>
      </c>
      <c r="L445" s="28" t="str" cm="1">
        <f t="array" ref="L445">IF($O445="","",_xlfn.TEXTJOIN(", ",TRUE,IF(EXACT('Дані_зв''язок'!$J$4:$J$1012,$O445),'Дані_зв''язок'!$M$4:$M$1012,"")))</f>
        <v>АТ 4021</v>
      </c>
      <c r="M445" s="27" t="str" cm="1">
        <f t="array" ref="M445">IF($O445="","",IF(SUMPRODUCT(MAX(EXACT('Дані_зв''язок'!$J$4:$J$1012,$O445)*IFERROR('Дані_зв''язок'!$H$4:$H$1012,0)))=0,"",SUMPRODUCT(MAX(EXACT('Дані_зв''язок'!$J$4:$J$1012,$O445)*IFERROR('Дані_зв''язок'!$H$4:$H$1012,0)))))</f>
        <v/>
      </c>
      <c r="O445" s="30" t="s">
        <v>1569</v>
      </c>
      <c r="P445" s="24" cm="1">
        <f t="array" ref="P445">IF($O445="","",IF($B445="","",IFERROR(IF(MIN(IFERROR(VALUE(TRIM(MID(SUBSTITUTE(SUBSTITUTE($B445,","," ")," ",REPT(" ",30)),{1;31;61;91;121;151;181},30))),""))=0,"",MIN(IFERROR(VALUE(TRIM(MID(SUBSTITUTE(SUBSTITUTE($B445,","," ")," ",REPT(" ",30)),{1;31;61;91;121;151;181},30))),""))),"")))</f>
        <v>17</v>
      </c>
      <c r="Q445" s="23" t="str">
        <f t="shared" si="20"/>
        <v>Прилуки, Чернігівська обл., пров. М. Леонтовича, 17</v>
      </c>
      <c r="R445" s="35">
        <f>IF($O445="","",IFERROR(INDEX('Координати майданчиків'!$H$4:$H$64,MATCH($T445,'Координати майданчиків'!$B$4:$B$64,0)),IFERROR(IF(ABS(INDEX(Геокодування!$C$2:$C$361,MATCH($Q445,Геокодування!$B$2:$B$361,0))-50.5884)+ABS(INDEX(Геокодування!$D$2:$D$361,MATCH($Q445,Геокодування!$B$2:$B$361,0))-32.3876)&gt;0.15,"",INDEX(Геокодування!$C$2:$C$361,MATCH($Q445,Геокодування!$B$2:$B$361,0))),IFERROR(IF(ABS(INDEX(Геокодування!$C$2:$C$361,MATCH("Прилуки, Чернігівська обл., "&amp;$A445,Геокодування!$B$2:$B$361,0))-50.5884)+ABS(INDEX(Геокодування!$D$2:$D$361,MATCH("Прилуки, Чернігівська обл., "&amp;$A445,Геокодування!$B$2:$B$361,0))-32.3876)&gt;0.15,"",INDEX(Геокодування!$C$2:$C$361,MATCH("Прилуки, Чернігівська обл., "&amp;$A445,Геокодування!$B$2:$B$361,0))),""))))</f>
        <v>50.596961</v>
      </c>
      <c r="S445" s="43">
        <f>IF($O445="","",IFERROR(INDEX('Координати майданчиків'!$I$4:$I$64,MATCH($T445,'Координати майданчиків'!$B$4:$B$64,0)),IFERROR(IF(ABS(INDEX(Геокодування!$C$2:$C$361,MATCH($Q445,Геокодування!$B$2:$B$361,0))-50.5884)+ABS(INDEX(Геокодування!$D$2:$D$361,MATCH($Q445,Геокодування!$B$2:$B$361,0))-32.3876)&gt;0.15,"",INDEX(Геокодування!$D$2:$D$361,MATCH($Q445,Геокодування!$B$2:$B$361,0))),IFERROR(IF(ABS(INDEX(Геокодування!$C$2:$C$361,MATCH("Прилуки, Чернігівська обл., "&amp;$A445,Геокодування!$B$2:$B$361,0))-50.5884)+ABS(INDEX(Геокодування!$D$2:$D$361,MATCH("Прилуки, Чернігівська обл., "&amp;$A445,Геокодування!$B$2:$B$361,0))-32.3876)&gt;0.15,"",INDEX(Геокодування!$D$2:$D$361,MATCH("Прилуки, Чернігівська обл., "&amp;$A445,Геокодування!$B$2:$B$361,0))),""))))</f>
        <v>32.402532000000001</v>
      </c>
      <c r="T445" s="44" t="str">
        <f>IF($O445="","",IFERROR(INDEX('Координати майданчиків'!$B$4:$B$64,MATCH($A445&amp;IF($P445="","",", "&amp;$P445),'Координати майданчиків'!$B$4:$B$64,0)),IFERROR(INDEX('Координати майданчиків'!$B$4:$B$64,MATCH($A445,'Координати майданчиків'!$B$4:$B$64,0)),"")))</f>
        <v/>
      </c>
    </row>
    <row r="446" spans="1:20" x14ac:dyDescent="0.35">
      <c r="A446" s="26" t="str">
        <f t="shared" si="18"/>
        <v>пров. М. Лисенка</v>
      </c>
      <c r="B446" s="26" t="str">
        <f t="shared" si="19"/>
        <v>3,9  13,20</v>
      </c>
      <c r="C446" s="27" t="str" cm="1">
        <f t="array" ref="C446">IF($O446="","",_xlfn.TEXTJOIN(", ",TRUE,IF(EXACT('Дані_зв''язок'!$J$4:$J$1012,$O446)*('Дані_зв''язок'!$C$4:$C$1012=C$4),'Дані_зв''язок'!$D$4:$D$1012,"")))</f>
        <v>11:10</v>
      </c>
      <c r="D446" s="27" t="str" cm="1">
        <f t="array" ref="D446">IF($O446="","",_xlfn.TEXTJOIN(", ",TRUE,IF(EXACT('Дані_зв''язок'!$J$4:$J$1012,$O446)*('Дані_зв''язок'!$C$4:$C$1012=D$4),'Дані_зв''язок'!$D$4:$D$1012,"")))</f>
        <v/>
      </c>
      <c r="E446" s="27" t="str" cm="1">
        <f t="array" ref="E446">IF($O446="","",_xlfn.TEXTJOIN(", ",TRUE,IF(EXACT('Дані_зв''язок'!$J$4:$J$1012,$O446)*('Дані_зв''язок'!$C$4:$C$1012=E$4),'Дані_зв''язок'!$D$4:$D$1012,"")))</f>
        <v/>
      </c>
      <c r="F446" s="27" t="str" cm="1">
        <f t="array" ref="F446">IF($O446="","",_xlfn.TEXTJOIN(", ",TRUE,IF(EXACT('Дані_зв''язок'!$J$4:$J$1012,$O446)*('Дані_зв''язок'!$C$4:$C$1012=F$4),'Дані_зв''язок'!$D$4:$D$1012,"")))</f>
        <v/>
      </c>
      <c r="G446" s="27" t="str" cm="1">
        <f t="array" ref="G446">IF($O446="","",_xlfn.TEXTJOIN(", ",TRUE,IF(EXACT('Дані_зв''язок'!$J$4:$J$1012,$O446)*('Дані_зв''язок'!$C$4:$C$1012=G$4),'Дані_зв''язок'!$D$4:$D$1012,"")))</f>
        <v/>
      </c>
      <c r="H446" s="27" t="str" cm="1">
        <f t="array" ref="H446">IF($O446="","",_xlfn.TEXTJOIN(", ",TRUE,IF(EXACT('Дані_зв''язок'!$J$4:$J$1012,$O446)*('Дані_зв''язок'!$C$4:$C$1012=H$4),'Дані_зв''язок'!$D$4:$D$1012,"")))</f>
        <v/>
      </c>
      <c r="I446" s="27" t="str" cm="1">
        <f t="array" ref="I446">IF($O446="","",_xlfn.TEXTJOIN(", ",TRUE,IF(EXACT('Дані_зв''язок'!$J$4:$J$1012,$O446)*('Дані_зв''язок'!$C$4:$C$1012=I$4),'Дані_зв''язок'!$D$4:$D$1012,"")))</f>
        <v/>
      </c>
      <c r="J446" s="27" cm="1">
        <f t="array" ref="J446">IF($O446="","",COUNTIF(C446:I446,"?*")+SUMPRODUCT(LEN(C446:I446)-LEN(SUBSTITUTE(C446:I446,",",""))))</f>
        <v>1</v>
      </c>
      <c r="K446" s="28" t="str" cm="1">
        <f t="array" ref="K446">IF($O446="","",_xlfn.TEXTJOIN(", ",TRUE,IF(EXACT('Дані_зв''язок'!$J$4:$J$1012,$O446),'Дані_зв''язок'!$L$4:$L$1012,"")))</f>
        <v>№6</v>
      </c>
      <c r="L446" s="28" t="str" cm="1">
        <f t="array" ref="L446">IF($O446="","",_xlfn.TEXTJOIN(", ",TRUE,IF(EXACT('Дані_зв''язок'!$J$4:$J$1012,$O446),'Дані_зв''язок'!$M$4:$M$1012,"")))</f>
        <v>АТ 4021</v>
      </c>
      <c r="M446" s="27" t="str" cm="1">
        <f t="array" ref="M446">IF($O446="","",IF(SUMPRODUCT(MAX(EXACT('Дані_зв''язок'!$J$4:$J$1012,$O446)*IFERROR('Дані_зв''язок'!$H$4:$H$1012,0)))=0,"",SUMPRODUCT(MAX(EXACT('Дані_зв''язок'!$J$4:$J$1012,$O446)*IFERROR('Дані_зв''язок'!$H$4:$H$1012,0)))))</f>
        <v/>
      </c>
      <c r="O446" s="30" t="s">
        <v>1570</v>
      </c>
      <c r="P446" s="24" cm="1">
        <f t="array" ref="P446">IF($O446="","",IF($B446="","",IFERROR(IF(MIN(IFERROR(VALUE(TRIM(MID(SUBSTITUTE(SUBSTITUTE($B446,","," ")," ",REPT(" ",30)),{1;31;61;91;121;151;181},30))),""))=0,"",MIN(IFERROR(VALUE(TRIM(MID(SUBSTITUTE(SUBSTITUTE($B446,","," ")," ",REPT(" ",30)),{1;31;61;91;121;151;181},30))),""))),"")))</f>
        <v>3</v>
      </c>
      <c r="Q446" s="23" t="str">
        <f t="shared" si="20"/>
        <v>Прилуки, Чернігівська обл., пров. М. Лисенка, 3</v>
      </c>
      <c r="R446" s="35">
        <f>IF($O446="","",IFERROR(INDEX('Координати майданчиків'!$H$4:$H$64,MATCH($T446,'Координати майданчиків'!$B$4:$B$64,0)),IFERROR(IF(ABS(INDEX(Геокодування!$C$2:$C$361,MATCH($Q446,Геокодування!$B$2:$B$361,0))-50.5884)+ABS(INDEX(Геокодування!$D$2:$D$361,MATCH($Q446,Геокодування!$B$2:$B$361,0))-32.3876)&gt;0.15,"",INDEX(Геокодування!$C$2:$C$361,MATCH($Q446,Геокодування!$B$2:$B$361,0))),IFERROR(IF(ABS(INDEX(Геокодування!$C$2:$C$361,MATCH("Прилуки, Чернігівська обл., "&amp;$A446,Геокодування!$B$2:$B$361,0))-50.5884)+ABS(INDEX(Геокодування!$D$2:$D$361,MATCH("Прилуки, Чернігівська обл., "&amp;$A446,Геокодування!$B$2:$B$361,0))-32.3876)&gt;0.15,"",INDEX(Геокодування!$C$2:$C$361,MATCH("Прилуки, Чернігівська обл., "&amp;$A446,Геокодування!$B$2:$B$361,0))),""))))</f>
        <v>50.613729999999997</v>
      </c>
      <c r="S446" s="43">
        <f>IF($O446="","",IFERROR(INDEX('Координати майданчиків'!$I$4:$I$64,MATCH($T446,'Координати майданчиків'!$B$4:$B$64,0)),IFERROR(IF(ABS(INDEX(Геокодування!$C$2:$C$361,MATCH($Q446,Геокодування!$B$2:$B$361,0))-50.5884)+ABS(INDEX(Геокодування!$D$2:$D$361,MATCH($Q446,Геокодування!$B$2:$B$361,0))-32.3876)&gt;0.15,"",INDEX(Геокодування!$D$2:$D$361,MATCH($Q446,Геокодування!$B$2:$B$361,0))),IFERROR(IF(ABS(INDEX(Геокодування!$C$2:$C$361,MATCH("Прилуки, Чернігівська обл., "&amp;$A446,Геокодування!$B$2:$B$361,0))-50.5884)+ABS(INDEX(Геокодування!$D$2:$D$361,MATCH("Прилуки, Чернігівська обл., "&amp;$A446,Геокодування!$B$2:$B$361,0))-32.3876)&gt;0.15,"",INDEX(Геокодування!$D$2:$D$361,MATCH("Прилуки, Чернігівська обл., "&amp;$A446,Геокодування!$B$2:$B$361,0))),""))))</f>
        <v>32.372826000000003</v>
      </c>
      <c r="T446" s="44" t="str">
        <f>IF($O446="","",IFERROR(INDEX('Координати майданчиків'!$B$4:$B$64,MATCH($A446&amp;IF($P446="","",", "&amp;$P446),'Координати майданчиків'!$B$4:$B$64,0)),IFERROR(INDEX('Координати майданчиків'!$B$4:$B$64,MATCH($A446,'Координати майданчиків'!$B$4:$B$64,0)),"")))</f>
        <v/>
      </c>
    </row>
    <row r="447" spans="1:20" x14ac:dyDescent="0.35">
      <c r="A447" s="26" t="str">
        <f t="shared" si="18"/>
        <v>пров. М. Приймаченко</v>
      </c>
      <c r="B447" s="26" t="str">
        <f t="shared" si="19"/>
        <v/>
      </c>
      <c r="C447" s="27" t="str" cm="1">
        <f t="array" ref="C447">IF($O447="","",_xlfn.TEXTJOIN(", ",TRUE,IF(EXACT('Дані_зв''язок'!$J$4:$J$1012,$O447)*('Дані_зв''язок'!$C$4:$C$1012=C$4),'Дані_зв''язок'!$D$4:$D$1012,"")))</f>
        <v/>
      </c>
      <c r="D447" s="27" t="str" cm="1">
        <f t="array" ref="D447">IF($O447="","",_xlfn.TEXTJOIN(", ",TRUE,IF(EXACT('Дані_зв''язок'!$J$4:$J$1012,$O447)*('Дані_зв''язок'!$C$4:$C$1012=D$4),'Дані_зв''язок'!$D$4:$D$1012,"")))</f>
        <v/>
      </c>
      <c r="E447" s="27" t="str" cm="1">
        <f t="array" ref="E447">IF($O447="","",_xlfn.TEXTJOIN(", ",TRUE,IF(EXACT('Дані_зв''язок'!$J$4:$J$1012,$O447)*('Дані_зв''язок'!$C$4:$C$1012=E$4),'Дані_зв''язок'!$D$4:$D$1012,"")))</f>
        <v>9:30</v>
      </c>
      <c r="F447" s="27" t="str" cm="1">
        <f t="array" ref="F447">IF($O447="","",_xlfn.TEXTJOIN(", ",TRUE,IF(EXACT('Дані_зв''язок'!$J$4:$J$1012,$O447)*('Дані_зв''язок'!$C$4:$C$1012=F$4),'Дані_зв''язок'!$D$4:$D$1012,"")))</f>
        <v/>
      </c>
      <c r="G447" s="27" t="str" cm="1">
        <f t="array" ref="G447">IF($O447="","",_xlfn.TEXTJOIN(", ",TRUE,IF(EXACT('Дані_зв''язок'!$J$4:$J$1012,$O447)*('Дані_зв''язок'!$C$4:$C$1012=G$4),'Дані_зв''язок'!$D$4:$D$1012,"")))</f>
        <v/>
      </c>
      <c r="H447" s="27" t="str" cm="1">
        <f t="array" ref="H447">IF($O447="","",_xlfn.TEXTJOIN(", ",TRUE,IF(EXACT('Дані_зв''язок'!$J$4:$J$1012,$O447)*('Дані_зв''язок'!$C$4:$C$1012=H$4),'Дані_зв''язок'!$D$4:$D$1012,"")))</f>
        <v/>
      </c>
      <c r="I447" s="27" t="str" cm="1">
        <f t="array" ref="I447">IF($O447="","",_xlfn.TEXTJOIN(", ",TRUE,IF(EXACT('Дані_зв''язок'!$J$4:$J$1012,$O447)*('Дані_зв''язок'!$C$4:$C$1012=I$4),'Дані_зв''язок'!$D$4:$D$1012,"")))</f>
        <v/>
      </c>
      <c r="J447" s="27" cm="1">
        <f t="array" ref="J447">IF($O447="","",COUNTIF(C447:I447,"?*")+SUMPRODUCT(LEN(C447:I447)-LEN(SUBSTITUTE(C447:I447,",",""))))</f>
        <v>1</v>
      </c>
      <c r="K447" s="28" t="str" cm="1">
        <f t="array" ref="K447">IF($O447="","",_xlfn.TEXTJOIN(", ",TRUE,IF(EXACT('Дані_зв''язок'!$J$4:$J$1012,$O447),'Дані_зв''язок'!$L$4:$L$1012,"")))</f>
        <v>№5</v>
      </c>
      <c r="L447" s="28" t="str" cm="1">
        <f t="array" ref="L447">IF($O447="","",_xlfn.TEXTJOIN(", ",TRUE,IF(EXACT('Дані_зв''язок'!$J$4:$J$1012,$O447),'Дані_зв''язок'!$M$4:$M$1012,"")))</f>
        <v>МАЗ 4381</v>
      </c>
      <c r="M447" s="27" t="str" cm="1">
        <f t="array" ref="M447">IF($O447="","",IF(SUMPRODUCT(MAX(EXACT('Дані_зв''язок'!$J$4:$J$1012,$O447)*IFERROR('Дані_зв''язок'!$H$4:$H$1012,0)))=0,"",SUMPRODUCT(MAX(EXACT('Дані_зв''язок'!$J$4:$J$1012,$O447)*IFERROR('Дані_зв''язок'!$H$4:$H$1012,0)))))</f>
        <v/>
      </c>
      <c r="O447" s="30" t="s">
        <v>1571</v>
      </c>
      <c r="P447" s="24" t="str" cm="1">
        <f t="array" ref="P447">IF($O447="","",IF($B447="","",IFERROR(IF(MIN(IFERROR(VALUE(TRIM(MID(SUBSTITUTE(SUBSTITUTE($B447,","," ")," ",REPT(" ",30)),{1;31;61;91;121;151;181},30))),""))=0,"",MIN(IFERROR(VALUE(TRIM(MID(SUBSTITUTE(SUBSTITUTE($B447,","," ")," ",REPT(" ",30)),{1;31;61;91;121;151;181},30))),""))),"")))</f>
        <v/>
      </c>
      <c r="Q447" s="23" t="str">
        <f t="shared" si="20"/>
        <v>Прилуки, Чернігівська обл., пров. М. Приймаченко</v>
      </c>
      <c r="R447" s="35">
        <f>IF($O447="","",IFERROR(INDEX('Координати майданчиків'!$H$4:$H$64,MATCH($T447,'Координати майданчиків'!$B$4:$B$64,0)),IFERROR(IF(ABS(INDEX(Геокодування!$C$2:$C$361,MATCH($Q447,Геокодування!$B$2:$B$361,0))-50.5884)+ABS(INDEX(Геокодування!$D$2:$D$361,MATCH($Q447,Геокодування!$B$2:$B$361,0))-32.3876)&gt;0.15,"",INDEX(Геокодування!$C$2:$C$361,MATCH($Q447,Геокодування!$B$2:$B$361,0))),IFERROR(IF(ABS(INDEX(Геокодування!$C$2:$C$361,MATCH("Прилуки, Чернігівська обл., "&amp;$A447,Геокодування!$B$2:$B$361,0))-50.5884)+ABS(INDEX(Геокодування!$D$2:$D$361,MATCH("Прилуки, Чернігівська обл., "&amp;$A447,Геокодування!$B$2:$B$361,0))-32.3876)&gt;0.15,"",INDEX(Геокодування!$C$2:$C$361,MATCH("Прилуки, Чернігівська обл., "&amp;$A447,Геокодування!$B$2:$B$361,0))),""))))</f>
        <v>50.575603999999998</v>
      </c>
      <c r="S447" s="43">
        <f>IF($O447="","",IFERROR(INDEX('Координати майданчиків'!$I$4:$I$64,MATCH($T447,'Координати майданчиків'!$B$4:$B$64,0)),IFERROR(IF(ABS(INDEX(Геокодування!$C$2:$C$361,MATCH($Q447,Геокодування!$B$2:$B$361,0))-50.5884)+ABS(INDEX(Геокодування!$D$2:$D$361,MATCH($Q447,Геокодування!$B$2:$B$361,0))-32.3876)&gt;0.15,"",INDEX(Геокодування!$D$2:$D$361,MATCH($Q447,Геокодування!$B$2:$B$361,0))),IFERROR(IF(ABS(INDEX(Геокодування!$C$2:$C$361,MATCH("Прилуки, Чернігівська обл., "&amp;$A447,Геокодування!$B$2:$B$361,0))-50.5884)+ABS(INDEX(Геокодування!$D$2:$D$361,MATCH("Прилуки, Чернігівська обл., "&amp;$A447,Геокодування!$B$2:$B$361,0))-32.3876)&gt;0.15,"",INDEX(Геокодування!$D$2:$D$361,MATCH("Прилуки, Чернігівська обл., "&amp;$A447,Геокодування!$B$2:$B$361,0))),""))))</f>
        <v>32.363954</v>
      </c>
      <c r="T447" s="44" t="str">
        <f>IF($O447="","",IFERROR(INDEX('Координати майданчиків'!$B$4:$B$64,MATCH($A447&amp;IF($P447="","",", "&amp;$P447),'Координати майданчиків'!$B$4:$B$64,0)),IFERROR(INDEX('Координати майданчиків'!$B$4:$B$64,MATCH($A447,'Координати майданчиків'!$B$4:$B$64,0)),"")))</f>
        <v/>
      </c>
    </row>
    <row r="448" spans="1:20" x14ac:dyDescent="0.35">
      <c r="A448" s="26" t="str">
        <f t="shared" si="18"/>
        <v>пров. М. Старицького</v>
      </c>
      <c r="B448" s="26" t="str">
        <f t="shared" si="19"/>
        <v/>
      </c>
      <c r="C448" s="27" t="str" cm="1">
        <f t="array" ref="C448">IF($O448="","",_xlfn.TEXTJOIN(", ",TRUE,IF(EXACT('Дані_зв''язок'!$J$4:$J$1012,$O448)*('Дані_зв''язок'!$C$4:$C$1012=C$4),'Дані_зв''язок'!$D$4:$D$1012,"")))</f>
        <v/>
      </c>
      <c r="D448" s="27" t="str" cm="1">
        <f t="array" ref="D448">IF($O448="","",_xlfn.TEXTJOIN(", ",TRUE,IF(EXACT('Дані_зв''язок'!$J$4:$J$1012,$O448)*('Дані_зв''язок'!$C$4:$C$1012=D$4),'Дані_зв''язок'!$D$4:$D$1012,"")))</f>
        <v/>
      </c>
      <c r="E448" s="27" t="str" cm="1">
        <f t="array" ref="E448">IF($O448="","",_xlfn.TEXTJOIN(", ",TRUE,IF(EXACT('Дані_зв''язок'!$J$4:$J$1012,$O448)*('Дані_зв''язок'!$C$4:$C$1012=E$4),'Дані_зв''язок'!$D$4:$D$1012,"")))</f>
        <v/>
      </c>
      <c r="F448" s="27" t="str" cm="1">
        <f t="array" ref="F448">IF($O448="","",_xlfn.TEXTJOIN(", ",TRUE,IF(EXACT('Дані_зв''язок'!$J$4:$J$1012,$O448)*('Дані_зв''язок'!$C$4:$C$1012=F$4),'Дані_зв''язок'!$D$4:$D$1012,"")))</f>
        <v/>
      </c>
      <c r="G448" s="27" t="str" cm="1">
        <f t="array" ref="G448">IF($O448="","",_xlfn.TEXTJOIN(", ",TRUE,IF(EXACT('Дані_зв''язок'!$J$4:$J$1012,$O448)*('Дані_зв''язок'!$C$4:$C$1012=G$4),'Дані_зв''язок'!$D$4:$D$1012,"")))</f>
        <v>8:55</v>
      </c>
      <c r="H448" s="27" t="str" cm="1">
        <f t="array" ref="H448">IF($O448="","",_xlfn.TEXTJOIN(", ",TRUE,IF(EXACT('Дані_зв''язок'!$J$4:$J$1012,$O448)*('Дані_зв''язок'!$C$4:$C$1012=H$4),'Дані_зв''язок'!$D$4:$D$1012,"")))</f>
        <v/>
      </c>
      <c r="I448" s="27" t="str" cm="1">
        <f t="array" ref="I448">IF($O448="","",_xlfn.TEXTJOIN(", ",TRUE,IF(EXACT('Дані_зв''язок'!$J$4:$J$1012,$O448)*('Дані_зв''язок'!$C$4:$C$1012=I$4),'Дані_зв''язок'!$D$4:$D$1012,"")))</f>
        <v/>
      </c>
      <c r="J448" s="27" cm="1">
        <f t="array" ref="J448">IF($O448="","",COUNTIF(C448:I448,"?*")+SUMPRODUCT(LEN(C448:I448)-LEN(SUBSTITUTE(C448:I448,",",""))))</f>
        <v>1</v>
      </c>
      <c r="K448" s="28" t="str" cm="1">
        <f t="array" ref="K448">IF($O448="","",_xlfn.TEXTJOIN(", ",TRUE,IF(EXACT('Дані_зв''язок'!$J$4:$J$1012,$O448),'Дані_зв''язок'!$L$4:$L$1012,"")))</f>
        <v>№5</v>
      </c>
      <c r="L448" s="28" t="str" cm="1">
        <f t="array" ref="L448">IF($O448="","",_xlfn.TEXTJOIN(", ",TRUE,IF(EXACT('Дані_зв''язок'!$J$4:$J$1012,$O448),'Дані_зв''язок'!$M$4:$M$1012,"")))</f>
        <v>МАЗ 4381</v>
      </c>
      <c r="M448" s="27" t="str" cm="1">
        <f t="array" ref="M448">IF($O448="","",IF(SUMPRODUCT(MAX(EXACT('Дані_зв''язок'!$J$4:$J$1012,$O448)*IFERROR('Дані_зв''язок'!$H$4:$H$1012,0)))=0,"",SUMPRODUCT(MAX(EXACT('Дані_зв''язок'!$J$4:$J$1012,$O448)*IFERROR('Дані_зв''язок'!$H$4:$H$1012,0)))))</f>
        <v/>
      </c>
      <c r="O448" s="30" t="s">
        <v>1572</v>
      </c>
      <c r="P448" s="24" t="str" cm="1">
        <f t="array" ref="P448">IF($O448="","",IF($B448="","",IFERROR(IF(MIN(IFERROR(VALUE(TRIM(MID(SUBSTITUTE(SUBSTITUTE($B448,","," ")," ",REPT(" ",30)),{1;31;61;91;121;151;181},30))),""))=0,"",MIN(IFERROR(VALUE(TRIM(MID(SUBSTITUTE(SUBSTITUTE($B448,","," ")," ",REPT(" ",30)),{1;31;61;91;121;151;181},30))),""))),"")))</f>
        <v/>
      </c>
      <c r="Q448" s="23" t="str">
        <f t="shared" si="20"/>
        <v>Прилуки, Чернігівська обл., пров. М. Старицького</v>
      </c>
      <c r="R448" s="35">
        <f>IF($O448="","",IFERROR(INDEX('Координати майданчиків'!$H$4:$H$64,MATCH($T448,'Координати майданчиків'!$B$4:$B$64,0)),IFERROR(IF(ABS(INDEX(Геокодування!$C$2:$C$361,MATCH($Q448,Геокодування!$B$2:$B$361,0))-50.5884)+ABS(INDEX(Геокодування!$D$2:$D$361,MATCH($Q448,Геокодування!$B$2:$B$361,0))-32.3876)&gt;0.15,"",INDEX(Геокодування!$C$2:$C$361,MATCH($Q448,Геокодування!$B$2:$B$361,0))),IFERROR(IF(ABS(INDEX(Геокодування!$C$2:$C$361,MATCH("Прилуки, Чернігівська обл., "&amp;$A448,Геокодування!$B$2:$B$361,0))-50.5884)+ABS(INDEX(Геокодування!$D$2:$D$361,MATCH("Прилуки, Чернігівська обл., "&amp;$A448,Геокодування!$B$2:$B$361,0))-32.3876)&gt;0.15,"",INDEX(Геокодування!$C$2:$C$361,MATCH("Прилуки, Чернігівська обл., "&amp;$A448,Геокодування!$B$2:$B$361,0))),""))))</f>
        <v>50.598030999999999</v>
      </c>
      <c r="S448" s="43">
        <f>IF($O448="","",IFERROR(INDEX('Координати майданчиків'!$I$4:$I$64,MATCH($T448,'Координати майданчиків'!$B$4:$B$64,0)),IFERROR(IF(ABS(INDEX(Геокодування!$C$2:$C$361,MATCH($Q448,Геокодування!$B$2:$B$361,0))-50.5884)+ABS(INDEX(Геокодування!$D$2:$D$361,MATCH($Q448,Геокодування!$B$2:$B$361,0))-32.3876)&gt;0.15,"",INDEX(Геокодування!$D$2:$D$361,MATCH($Q448,Геокодування!$B$2:$B$361,0))),IFERROR(IF(ABS(INDEX(Геокодування!$C$2:$C$361,MATCH("Прилуки, Чернігівська обл., "&amp;$A448,Геокодування!$B$2:$B$361,0))-50.5884)+ABS(INDEX(Геокодування!$D$2:$D$361,MATCH("Прилуки, Чернігівська обл., "&amp;$A448,Геокодування!$B$2:$B$361,0))-32.3876)&gt;0.15,"",INDEX(Геокодування!$D$2:$D$361,MATCH("Прилуки, Чернігівська обл., "&amp;$A448,Геокодування!$B$2:$B$361,0))),""))))</f>
        <v>32.342886999999997</v>
      </c>
      <c r="T448" s="44" t="str">
        <f>IF($O448="","",IFERROR(INDEX('Координати майданчиків'!$B$4:$B$64,MATCH($A448&amp;IF($P448="","",", "&amp;$P448),'Координати майданчиків'!$B$4:$B$64,0)),IFERROR(INDEX('Координати майданчиків'!$B$4:$B$64,MATCH($A448,'Координати майданчиків'!$B$4:$B$64,0)),"")))</f>
        <v/>
      </c>
    </row>
    <row r="449" spans="1:20" x14ac:dyDescent="0.35">
      <c r="A449" s="26" t="str">
        <f t="shared" si="18"/>
        <v>пров. О. Вересая</v>
      </c>
      <c r="B449" s="26" t="str">
        <f t="shared" si="19"/>
        <v/>
      </c>
      <c r="C449" s="27" t="str" cm="1">
        <f t="array" ref="C449">IF($O449="","",_xlfn.TEXTJOIN(", ",TRUE,IF(EXACT('Дані_зв''язок'!$J$4:$J$1012,$O449)*('Дані_зв''язок'!$C$4:$C$1012=C$4),'Дані_зв''язок'!$D$4:$D$1012,"")))</f>
        <v/>
      </c>
      <c r="D449" s="27" t="str" cm="1">
        <f t="array" ref="D449">IF($O449="","",_xlfn.TEXTJOIN(", ",TRUE,IF(EXACT('Дані_зв''язок'!$J$4:$J$1012,$O449)*('Дані_зв''язок'!$C$4:$C$1012=D$4),'Дані_зв''язок'!$D$4:$D$1012,"")))</f>
        <v/>
      </c>
      <c r="E449" s="27" t="str" cm="1">
        <f t="array" ref="E449">IF($O449="","",_xlfn.TEXTJOIN(", ",TRUE,IF(EXACT('Дані_зв''язок'!$J$4:$J$1012,$O449)*('Дані_зв''язок'!$C$4:$C$1012=E$4),'Дані_зв''язок'!$D$4:$D$1012,"")))</f>
        <v/>
      </c>
      <c r="F449" s="27" t="str" cm="1">
        <f t="array" ref="F449">IF($O449="","",_xlfn.TEXTJOIN(", ",TRUE,IF(EXACT('Дані_зв''язок'!$J$4:$J$1012,$O449)*('Дані_зв''язок'!$C$4:$C$1012=F$4),'Дані_зв''язок'!$D$4:$D$1012,"")))</f>
        <v/>
      </c>
      <c r="G449" s="27" t="str" cm="1">
        <f t="array" ref="G449">IF($O449="","",_xlfn.TEXTJOIN(", ",TRUE,IF(EXACT('Дані_зв''язок'!$J$4:$J$1012,$O449)*('Дані_зв''язок'!$C$4:$C$1012=G$4),'Дані_зв''язок'!$D$4:$D$1012,"")))</f>
        <v>9:05</v>
      </c>
      <c r="H449" s="27" t="str" cm="1">
        <f t="array" ref="H449">IF($O449="","",_xlfn.TEXTJOIN(", ",TRUE,IF(EXACT('Дані_зв''язок'!$J$4:$J$1012,$O449)*('Дані_зв''язок'!$C$4:$C$1012=H$4),'Дані_зв''язок'!$D$4:$D$1012,"")))</f>
        <v/>
      </c>
      <c r="I449" s="27" t="str" cm="1">
        <f t="array" ref="I449">IF($O449="","",_xlfn.TEXTJOIN(", ",TRUE,IF(EXACT('Дані_зв''язок'!$J$4:$J$1012,$O449)*('Дані_зв''язок'!$C$4:$C$1012=I$4),'Дані_зв''язок'!$D$4:$D$1012,"")))</f>
        <v/>
      </c>
      <c r="J449" s="27" cm="1">
        <f t="array" ref="J449">IF($O449="","",COUNTIF(C449:I449,"?*")+SUMPRODUCT(LEN(C449:I449)-LEN(SUBSTITUTE(C449:I449,",",""))))</f>
        <v>1</v>
      </c>
      <c r="K449" s="28" t="str" cm="1">
        <f t="array" ref="K449">IF($O449="","",_xlfn.TEXTJOIN(", ",TRUE,IF(EXACT('Дані_зв''язок'!$J$4:$J$1012,$O449),'Дані_зв''язок'!$L$4:$L$1012,"")))</f>
        <v>№5</v>
      </c>
      <c r="L449" s="28" t="str" cm="1">
        <f t="array" ref="L449">IF($O449="","",_xlfn.TEXTJOIN(", ",TRUE,IF(EXACT('Дані_зв''язок'!$J$4:$J$1012,$O449),'Дані_зв''язок'!$M$4:$M$1012,"")))</f>
        <v>МАЗ 4381</v>
      </c>
      <c r="M449" s="27" t="str" cm="1">
        <f t="array" ref="M449">IF($O449="","",IF(SUMPRODUCT(MAX(EXACT('Дані_зв''язок'!$J$4:$J$1012,$O449)*IFERROR('Дані_зв''язок'!$H$4:$H$1012,0)))=0,"",SUMPRODUCT(MAX(EXACT('Дані_зв''язок'!$J$4:$J$1012,$O449)*IFERROR('Дані_зв''язок'!$H$4:$H$1012,0)))))</f>
        <v/>
      </c>
      <c r="O449" s="30" t="s">
        <v>1573</v>
      </c>
      <c r="P449" s="24" t="str" cm="1">
        <f t="array" ref="P449">IF($O449="","",IF($B449="","",IFERROR(IF(MIN(IFERROR(VALUE(TRIM(MID(SUBSTITUTE(SUBSTITUTE($B449,","," ")," ",REPT(" ",30)),{1;31;61;91;121;151;181},30))),""))=0,"",MIN(IFERROR(VALUE(TRIM(MID(SUBSTITUTE(SUBSTITUTE($B449,","," ")," ",REPT(" ",30)),{1;31;61;91;121;151;181},30))),""))),"")))</f>
        <v/>
      </c>
      <c r="Q449" s="23" t="str">
        <f t="shared" si="20"/>
        <v>Прилуки, Чернігівська обл., пров. О. Вересая</v>
      </c>
      <c r="R449" s="35">
        <f>IF($O449="","",IFERROR(INDEX('Координати майданчиків'!$H$4:$H$64,MATCH($T449,'Координати майданчиків'!$B$4:$B$64,0)),IFERROR(IF(ABS(INDEX(Геокодування!$C$2:$C$361,MATCH($Q449,Геокодування!$B$2:$B$361,0))-50.5884)+ABS(INDEX(Геокодування!$D$2:$D$361,MATCH($Q449,Геокодування!$B$2:$B$361,0))-32.3876)&gt;0.15,"",INDEX(Геокодування!$C$2:$C$361,MATCH($Q449,Геокодування!$B$2:$B$361,0))),IFERROR(IF(ABS(INDEX(Геокодування!$C$2:$C$361,MATCH("Прилуки, Чернігівська обл., "&amp;$A449,Геокодування!$B$2:$B$361,0))-50.5884)+ABS(INDEX(Геокодування!$D$2:$D$361,MATCH("Прилуки, Чернігівська обл., "&amp;$A449,Геокодування!$B$2:$B$361,0))-32.3876)&gt;0.15,"",INDEX(Геокодування!$C$2:$C$361,MATCH("Прилуки, Чернігівська обл., "&amp;$A449,Геокодування!$B$2:$B$361,0))),""))))</f>
        <v>50.596981999999997</v>
      </c>
      <c r="S449" s="43">
        <f>IF($O449="","",IFERROR(INDEX('Координати майданчиків'!$I$4:$I$64,MATCH($T449,'Координати майданчиків'!$B$4:$B$64,0)),IFERROR(IF(ABS(INDEX(Геокодування!$C$2:$C$361,MATCH($Q449,Геокодування!$B$2:$B$361,0))-50.5884)+ABS(INDEX(Геокодування!$D$2:$D$361,MATCH($Q449,Геокодування!$B$2:$B$361,0))-32.3876)&gt;0.15,"",INDEX(Геокодування!$D$2:$D$361,MATCH($Q449,Геокодування!$B$2:$B$361,0))),IFERROR(IF(ABS(INDEX(Геокодування!$C$2:$C$361,MATCH("Прилуки, Чернігівська обл., "&amp;$A449,Геокодування!$B$2:$B$361,0))-50.5884)+ABS(INDEX(Геокодування!$D$2:$D$361,MATCH("Прилуки, Чернігівська обл., "&amp;$A449,Геокодування!$B$2:$B$361,0))-32.3876)&gt;0.15,"",INDEX(Геокодування!$D$2:$D$361,MATCH("Прилуки, Чернігівська обл., "&amp;$A449,Геокодування!$B$2:$B$361,0))),""))))</f>
        <v>32.344532999999998</v>
      </c>
      <c r="T449" s="44" t="str">
        <f>IF($O449="","",IFERROR(INDEX('Координати майданчиків'!$B$4:$B$64,MATCH($A449&amp;IF($P449="","",", "&amp;$P449),'Координати майданчиків'!$B$4:$B$64,0)),IFERROR(INDEX('Координати майданчиків'!$B$4:$B$64,MATCH($A449,'Координати майданчиків'!$B$4:$B$64,0)),"")))</f>
        <v/>
      </c>
    </row>
    <row r="450" spans="1:20" x14ac:dyDescent="0.35">
      <c r="A450" s="26" t="str">
        <f t="shared" si="18"/>
        <v>пров. П. Орлика</v>
      </c>
      <c r="B450" s="26" t="str">
        <f t="shared" si="19"/>
        <v/>
      </c>
      <c r="C450" s="27" t="str" cm="1">
        <f t="array" ref="C450">IF($O450="","",_xlfn.TEXTJOIN(", ",TRUE,IF(EXACT('Дані_зв''язок'!$J$4:$J$1012,$O450)*('Дані_зв''язок'!$C$4:$C$1012=C$4),'Дані_зв''язок'!$D$4:$D$1012,"")))</f>
        <v/>
      </c>
      <c r="D450" s="27" t="str" cm="1">
        <f t="array" ref="D450">IF($O450="","",_xlfn.TEXTJOIN(", ",TRUE,IF(EXACT('Дані_зв''язок'!$J$4:$J$1012,$O450)*('Дані_зв''язок'!$C$4:$C$1012=D$4),'Дані_зв''язок'!$D$4:$D$1012,"")))</f>
        <v/>
      </c>
      <c r="E450" s="27" t="str" cm="1">
        <f t="array" ref="E450">IF($O450="","",_xlfn.TEXTJOIN(", ",TRUE,IF(EXACT('Дані_зв''язок'!$J$4:$J$1012,$O450)*('Дані_зв''язок'!$C$4:$C$1012=E$4),'Дані_зв''язок'!$D$4:$D$1012,"")))</f>
        <v/>
      </c>
      <c r="F450" s="27" t="str" cm="1">
        <f t="array" ref="F450">IF($O450="","",_xlfn.TEXTJOIN(", ",TRUE,IF(EXACT('Дані_зв''язок'!$J$4:$J$1012,$O450)*('Дані_зв''язок'!$C$4:$C$1012=F$4),'Дані_зв''язок'!$D$4:$D$1012,"")))</f>
        <v/>
      </c>
      <c r="G450" s="27" t="str" cm="1">
        <f t="array" ref="G450">IF($O450="","",_xlfn.TEXTJOIN(", ",TRUE,IF(EXACT('Дані_зв''язок'!$J$4:$J$1012,$O450)*('Дані_зв''язок'!$C$4:$C$1012=G$4),'Дані_зв''язок'!$D$4:$D$1012,"")))</f>
        <v>10:45</v>
      </c>
      <c r="H450" s="27" t="str" cm="1">
        <f t="array" ref="H450">IF($O450="","",_xlfn.TEXTJOIN(", ",TRUE,IF(EXACT('Дані_зв''язок'!$J$4:$J$1012,$O450)*('Дані_зв''язок'!$C$4:$C$1012=H$4),'Дані_зв''язок'!$D$4:$D$1012,"")))</f>
        <v/>
      </c>
      <c r="I450" s="27" t="str" cm="1">
        <f t="array" ref="I450">IF($O450="","",_xlfn.TEXTJOIN(", ",TRUE,IF(EXACT('Дані_зв''язок'!$J$4:$J$1012,$O450)*('Дані_зв''язок'!$C$4:$C$1012=I$4),'Дані_зв''язок'!$D$4:$D$1012,"")))</f>
        <v/>
      </c>
      <c r="J450" s="27" cm="1">
        <f t="array" ref="J450">IF($O450="","",COUNTIF(C450:I450,"?*")+SUMPRODUCT(LEN(C450:I450)-LEN(SUBSTITUTE(C450:I450,",",""))))</f>
        <v>1</v>
      </c>
      <c r="K450" s="28" t="str" cm="1">
        <f t="array" ref="K450">IF($O450="","",_xlfn.TEXTJOIN(", ",TRUE,IF(EXACT('Дані_зв''язок'!$J$4:$J$1012,$O450),'Дані_зв''язок'!$L$4:$L$1012,"")))</f>
        <v>№5</v>
      </c>
      <c r="L450" s="28" t="str" cm="1">
        <f t="array" ref="L450">IF($O450="","",_xlfn.TEXTJOIN(", ",TRUE,IF(EXACT('Дані_зв''язок'!$J$4:$J$1012,$O450),'Дані_зв''язок'!$M$4:$M$1012,"")))</f>
        <v>МАЗ 4381</v>
      </c>
      <c r="M450" s="27" t="str" cm="1">
        <f t="array" ref="M450">IF($O450="","",IF(SUMPRODUCT(MAX(EXACT('Дані_зв''язок'!$J$4:$J$1012,$O450)*IFERROR('Дані_зв''язок'!$H$4:$H$1012,0)))=0,"",SUMPRODUCT(MAX(EXACT('Дані_зв''язок'!$J$4:$J$1012,$O450)*IFERROR('Дані_зв''язок'!$H$4:$H$1012,0)))))</f>
        <v/>
      </c>
      <c r="O450" s="30" t="s">
        <v>1574</v>
      </c>
      <c r="P450" s="24" t="str" cm="1">
        <f t="array" ref="P450">IF($O450="","",IF($B450="","",IFERROR(IF(MIN(IFERROR(VALUE(TRIM(MID(SUBSTITUTE(SUBSTITUTE($B450,","," ")," ",REPT(" ",30)),{1;31;61;91;121;151;181},30))),""))=0,"",MIN(IFERROR(VALUE(TRIM(MID(SUBSTITUTE(SUBSTITUTE($B450,","," ")," ",REPT(" ",30)),{1;31;61;91;121;151;181},30))),""))),"")))</f>
        <v/>
      </c>
      <c r="Q450" s="23" t="str">
        <f t="shared" si="20"/>
        <v>Прилуки, Чернігівська обл., пров. П. Орлика</v>
      </c>
      <c r="R450" s="35">
        <f>IF($O450="","",IFERROR(INDEX('Координати майданчиків'!$H$4:$H$64,MATCH($T450,'Координати майданчиків'!$B$4:$B$64,0)),IFERROR(IF(ABS(INDEX(Геокодування!$C$2:$C$361,MATCH($Q450,Геокодування!$B$2:$B$361,0))-50.5884)+ABS(INDEX(Геокодування!$D$2:$D$361,MATCH($Q450,Геокодування!$B$2:$B$361,0))-32.3876)&gt;0.15,"",INDEX(Геокодування!$C$2:$C$361,MATCH($Q450,Геокодування!$B$2:$B$361,0))),IFERROR(IF(ABS(INDEX(Геокодування!$C$2:$C$361,MATCH("Прилуки, Чернігівська обл., "&amp;$A450,Геокодування!$B$2:$B$361,0))-50.5884)+ABS(INDEX(Геокодування!$D$2:$D$361,MATCH("Прилуки, Чернігівська обл., "&amp;$A450,Геокодування!$B$2:$B$361,0))-32.3876)&gt;0.15,"",INDEX(Геокодування!$C$2:$C$361,MATCH("Прилуки, Чернігівська обл., "&amp;$A450,Геокодування!$B$2:$B$361,0))),""))))</f>
        <v>50.579095000000002</v>
      </c>
      <c r="S450" s="43">
        <f>IF($O450="","",IFERROR(INDEX('Координати майданчиків'!$I$4:$I$64,MATCH($T450,'Координати майданчиків'!$B$4:$B$64,0)),IFERROR(IF(ABS(INDEX(Геокодування!$C$2:$C$361,MATCH($Q450,Геокодування!$B$2:$B$361,0))-50.5884)+ABS(INDEX(Геокодування!$D$2:$D$361,MATCH($Q450,Геокодування!$B$2:$B$361,0))-32.3876)&gt;0.15,"",INDEX(Геокодування!$D$2:$D$361,MATCH($Q450,Геокодування!$B$2:$B$361,0))),IFERROR(IF(ABS(INDEX(Геокодування!$C$2:$C$361,MATCH("Прилуки, Чернігівська обл., "&amp;$A450,Геокодування!$B$2:$B$361,0))-50.5884)+ABS(INDEX(Геокодування!$D$2:$D$361,MATCH("Прилуки, Чернігівська обл., "&amp;$A450,Геокодування!$B$2:$B$361,0))-32.3876)&gt;0.15,"",INDEX(Геокодування!$D$2:$D$361,MATCH("Прилуки, Чернігівська обл., "&amp;$A450,Геокодування!$B$2:$B$361,0))),""))))</f>
        <v>32.375973999999999</v>
      </c>
      <c r="T450" s="44" t="str">
        <f>IF($O450="","",IFERROR(INDEX('Координати майданчиків'!$B$4:$B$64,MATCH($A450&amp;IF($P450="","",", "&amp;$P450),'Координати майданчиків'!$B$4:$B$64,0)),IFERROR(INDEX('Координати майданчиків'!$B$4:$B$64,MATCH($A450,'Координати майданчиків'!$B$4:$B$64,0)),"")))</f>
        <v/>
      </c>
    </row>
    <row r="451" spans="1:20" x14ac:dyDescent="0.35">
      <c r="A451" s="26" t="str">
        <f t="shared" si="18"/>
        <v>пров. П. Сагайдачного</v>
      </c>
      <c r="B451" s="26" t="str">
        <f t="shared" si="19"/>
        <v/>
      </c>
      <c r="C451" s="27" t="str" cm="1">
        <f t="array" ref="C451">IF($O451="","",_xlfn.TEXTJOIN(", ",TRUE,IF(EXACT('Дані_зв''язок'!$J$4:$J$1012,$O451)*('Дані_зв''язок'!$C$4:$C$1012=C$4),'Дані_зв''язок'!$D$4:$D$1012,"")))</f>
        <v/>
      </c>
      <c r="D451" s="27" t="str" cm="1">
        <f t="array" ref="D451">IF($O451="","",_xlfn.TEXTJOIN(", ",TRUE,IF(EXACT('Дані_зв''язок'!$J$4:$J$1012,$O451)*('Дані_зв''язок'!$C$4:$C$1012=D$4),'Дані_зв''язок'!$D$4:$D$1012,"")))</f>
        <v/>
      </c>
      <c r="E451" s="27" t="str" cm="1">
        <f t="array" ref="E451">IF($O451="","",_xlfn.TEXTJOIN(", ",TRUE,IF(EXACT('Дані_зв''язок'!$J$4:$J$1012,$O451)*('Дані_зв''язок'!$C$4:$C$1012=E$4),'Дані_зв''язок'!$D$4:$D$1012,"")))</f>
        <v>7:15</v>
      </c>
      <c r="F451" s="27" t="str" cm="1">
        <f t="array" ref="F451">IF($O451="","",_xlfn.TEXTJOIN(", ",TRUE,IF(EXACT('Дані_зв''язок'!$J$4:$J$1012,$O451)*('Дані_зв''язок'!$C$4:$C$1012=F$4),'Дані_зв''язок'!$D$4:$D$1012,"")))</f>
        <v/>
      </c>
      <c r="G451" s="27" t="str" cm="1">
        <f t="array" ref="G451">IF($O451="","",_xlfn.TEXTJOIN(", ",TRUE,IF(EXACT('Дані_зв''язок'!$J$4:$J$1012,$O451)*('Дані_зв''язок'!$C$4:$C$1012=G$4),'Дані_зв''язок'!$D$4:$D$1012,"")))</f>
        <v/>
      </c>
      <c r="H451" s="27" t="str" cm="1">
        <f t="array" ref="H451">IF($O451="","",_xlfn.TEXTJOIN(", ",TRUE,IF(EXACT('Дані_зв''язок'!$J$4:$J$1012,$O451)*('Дані_зв''язок'!$C$4:$C$1012=H$4),'Дані_зв''язок'!$D$4:$D$1012,"")))</f>
        <v/>
      </c>
      <c r="I451" s="27" t="str" cm="1">
        <f t="array" ref="I451">IF($O451="","",_xlfn.TEXTJOIN(", ",TRUE,IF(EXACT('Дані_зв''язок'!$J$4:$J$1012,$O451)*('Дані_зв''язок'!$C$4:$C$1012=I$4),'Дані_зв''язок'!$D$4:$D$1012,"")))</f>
        <v/>
      </c>
      <c r="J451" s="27" cm="1">
        <f t="array" ref="J451">IF($O451="","",COUNTIF(C451:I451,"?*")+SUMPRODUCT(LEN(C451:I451)-LEN(SUBSTITUTE(C451:I451,",",""))))</f>
        <v>1</v>
      </c>
      <c r="K451" s="28" t="str" cm="1">
        <f t="array" ref="K451">IF($O451="","",_xlfn.TEXTJOIN(", ",TRUE,IF(EXACT('Дані_зв''язок'!$J$4:$J$1012,$O451),'Дані_зв''язок'!$L$4:$L$1012,"")))</f>
        <v>№5</v>
      </c>
      <c r="L451" s="28" t="str" cm="1">
        <f t="array" ref="L451">IF($O451="","",_xlfn.TEXTJOIN(", ",TRUE,IF(EXACT('Дані_зв''язок'!$J$4:$J$1012,$O451),'Дані_зв''язок'!$M$4:$M$1012,"")))</f>
        <v>МАЗ 4381</v>
      </c>
      <c r="M451" s="27" t="str" cm="1">
        <f t="array" ref="M451">IF($O451="","",IF(SUMPRODUCT(MAX(EXACT('Дані_зв''язок'!$J$4:$J$1012,$O451)*IFERROR('Дані_зв''язок'!$H$4:$H$1012,0)))=0,"",SUMPRODUCT(MAX(EXACT('Дані_зв''язок'!$J$4:$J$1012,$O451)*IFERROR('Дані_зв''язок'!$H$4:$H$1012,0)))))</f>
        <v/>
      </c>
      <c r="O451" s="30" t="s">
        <v>1575</v>
      </c>
      <c r="P451" s="24" t="str" cm="1">
        <f t="array" ref="P451">IF($O451="","",IF($B451="","",IFERROR(IF(MIN(IFERROR(VALUE(TRIM(MID(SUBSTITUTE(SUBSTITUTE($B451,","," ")," ",REPT(" ",30)),{1;31;61;91;121;151;181},30))),""))=0,"",MIN(IFERROR(VALUE(TRIM(MID(SUBSTITUTE(SUBSTITUTE($B451,","," ")," ",REPT(" ",30)),{1;31;61;91;121;151;181},30))),""))),"")))</f>
        <v/>
      </c>
      <c r="Q451" s="23" t="str">
        <f t="shared" si="20"/>
        <v>Прилуки, Чернігівська обл., пров. П. Сагайдачного</v>
      </c>
      <c r="R451" s="35">
        <f>IF($O451="","",IFERROR(INDEX('Координати майданчиків'!$H$4:$H$64,MATCH($T451,'Координати майданчиків'!$B$4:$B$64,0)),IFERROR(IF(ABS(INDEX(Геокодування!$C$2:$C$361,MATCH($Q451,Геокодування!$B$2:$B$361,0))-50.5884)+ABS(INDEX(Геокодування!$D$2:$D$361,MATCH($Q451,Геокодування!$B$2:$B$361,0))-32.3876)&gt;0.15,"",INDEX(Геокодування!$C$2:$C$361,MATCH($Q451,Геокодування!$B$2:$B$361,0))),IFERROR(IF(ABS(INDEX(Геокодування!$C$2:$C$361,MATCH("Прилуки, Чернігівська обл., "&amp;$A451,Геокодування!$B$2:$B$361,0))-50.5884)+ABS(INDEX(Геокодування!$D$2:$D$361,MATCH("Прилуки, Чернігівська обл., "&amp;$A451,Геокодування!$B$2:$B$361,0))-32.3876)&gt;0.15,"",INDEX(Геокодування!$C$2:$C$361,MATCH("Прилуки, Чернігівська обл., "&amp;$A451,Геокодування!$B$2:$B$361,0))),""))))</f>
        <v>50.578158000000002</v>
      </c>
      <c r="S451" s="43">
        <f>IF($O451="","",IFERROR(INDEX('Координати майданчиків'!$I$4:$I$64,MATCH($T451,'Координати майданчиків'!$B$4:$B$64,0)),IFERROR(IF(ABS(INDEX(Геокодування!$C$2:$C$361,MATCH($Q451,Геокодування!$B$2:$B$361,0))-50.5884)+ABS(INDEX(Геокодування!$D$2:$D$361,MATCH($Q451,Геокодування!$B$2:$B$361,0))-32.3876)&gt;0.15,"",INDEX(Геокодування!$D$2:$D$361,MATCH($Q451,Геокодування!$B$2:$B$361,0))),IFERROR(IF(ABS(INDEX(Геокодування!$C$2:$C$361,MATCH("Прилуки, Чернігівська обл., "&amp;$A451,Геокодування!$B$2:$B$361,0))-50.5884)+ABS(INDEX(Геокодування!$D$2:$D$361,MATCH("Прилуки, Чернігівська обл., "&amp;$A451,Геокодування!$B$2:$B$361,0))-32.3876)&gt;0.15,"",INDEX(Геокодування!$D$2:$D$361,MATCH("Прилуки, Чернігівська обл., "&amp;$A451,Геокодування!$B$2:$B$361,0))),""))))</f>
        <v>32.360615000000003</v>
      </c>
      <c r="T451" s="44" t="str">
        <f>IF($O451="","",IFERROR(INDEX('Координати майданчиків'!$B$4:$B$64,MATCH($A451&amp;IF($P451="","",", "&amp;$P451),'Координати майданчиків'!$B$4:$B$64,0)),IFERROR(INDEX('Координати майданчиків'!$B$4:$B$64,MATCH($A451,'Координати майданчиків'!$B$4:$B$64,0)),"")))</f>
        <v/>
      </c>
    </row>
    <row r="452" spans="1:20" x14ac:dyDescent="0.35">
      <c r="A452" s="26" t="str">
        <f t="shared" si="18"/>
        <v>пров. Партизанський</v>
      </c>
      <c r="B452" s="26" t="str">
        <f t="shared" si="19"/>
        <v/>
      </c>
      <c r="C452" s="27" t="str" cm="1">
        <f t="array" ref="C452">IF($O452="","",_xlfn.TEXTJOIN(", ",TRUE,IF(EXACT('Дані_зв''язок'!$J$4:$J$1012,$O452)*('Дані_зв''язок'!$C$4:$C$1012=C$4),'Дані_зв''язок'!$D$4:$D$1012,"")))</f>
        <v/>
      </c>
      <c r="D452" s="27" t="str" cm="1">
        <f t="array" ref="D452">IF($O452="","",_xlfn.TEXTJOIN(", ",TRUE,IF(EXACT('Дані_зв''язок'!$J$4:$J$1012,$O452)*('Дані_зв''язок'!$C$4:$C$1012=D$4),'Дані_зв''язок'!$D$4:$D$1012,"")))</f>
        <v/>
      </c>
      <c r="E452" s="27" t="str" cm="1">
        <f t="array" ref="E452">IF($O452="","",_xlfn.TEXTJOIN(", ",TRUE,IF(EXACT('Дані_зв''язок'!$J$4:$J$1012,$O452)*('Дані_зв''язок'!$C$4:$C$1012=E$4),'Дані_зв''язок'!$D$4:$D$1012,"")))</f>
        <v>14:00</v>
      </c>
      <c r="F452" s="27" t="str" cm="1">
        <f t="array" ref="F452">IF($O452="","",_xlfn.TEXTJOIN(", ",TRUE,IF(EXACT('Дані_зв''язок'!$J$4:$J$1012,$O452)*('Дані_зв''язок'!$C$4:$C$1012=F$4),'Дані_зв''язок'!$D$4:$D$1012,"")))</f>
        <v/>
      </c>
      <c r="G452" s="27" t="str" cm="1">
        <f t="array" ref="G452">IF($O452="","",_xlfn.TEXTJOIN(", ",TRUE,IF(EXACT('Дані_зв''язок'!$J$4:$J$1012,$O452)*('Дані_зв''язок'!$C$4:$C$1012=G$4),'Дані_зв''язок'!$D$4:$D$1012,"")))</f>
        <v/>
      </c>
      <c r="H452" s="27" t="str" cm="1">
        <f t="array" ref="H452">IF($O452="","",_xlfn.TEXTJOIN(", ",TRUE,IF(EXACT('Дані_зв''язок'!$J$4:$J$1012,$O452)*('Дані_зв''язок'!$C$4:$C$1012=H$4),'Дані_зв''язок'!$D$4:$D$1012,"")))</f>
        <v/>
      </c>
      <c r="I452" s="27" t="str" cm="1">
        <f t="array" ref="I452">IF($O452="","",_xlfn.TEXTJOIN(", ",TRUE,IF(EXACT('Дані_зв''язок'!$J$4:$J$1012,$O452)*('Дані_зв''язок'!$C$4:$C$1012=I$4),'Дані_зв''язок'!$D$4:$D$1012,"")))</f>
        <v/>
      </c>
      <c r="J452" s="27" cm="1">
        <f t="array" ref="J452">IF($O452="","",COUNTIF(C452:I452,"?*")+SUMPRODUCT(LEN(C452:I452)-LEN(SUBSTITUTE(C452:I452,",",""))))</f>
        <v>1</v>
      </c>
      <c r="K452" s="28" t="str" cm="1">
        <f t="array" ref="K452">IF($O452="","",_xlfn.TEXTJOIN(", ",TRUE,IF(EXACT('Дані_зв''язок'!$J$4:$J$1012,$O452),'Дані_зв''язок'!$L$4:$L$1012,"")))</f>
        <v>№5</v>
      </c>
      <c r="L452" s="28" t="str" cm="1">
        <f t="array" ref="L452">IF($O452="","",_xlfn.TEXTJOIN(", ",TRUE,IF(EXACT('Дані_зв''язок'!$J$4:$J$1012,$O452),'Дані_зв''язок'!$M$4:$M$1012,"")))</f>
        <v>МАЗ 4381</v>
      </c>
      <c r="M452" s="27" t="str" cm="1">
        <f t="array" ref="M452">IF($O452="","",IF(SUMPRODUCT(MAX(EXACT('Дані_зв''язок'!$J$4:$J$1012,$O452)*IFERROR('Дані_зв''язок'!$H$4:$H$1012,0)))=0,"",SUMPRODUCT(MAX(EXACT('Дані_зв''язок'!$J$4:$J$1012,$O452)*IFERROR('Дані_зв''язок'!$H$4:$H$1012,0)))))</f>
        <v/>
      </c>
      <c r="O452" s="30" t="s">
        <v>1576</v>
      </c>
      <c r="P452" s="24" t="str" cm="1">
        <f t="array" ref="P452">IF($O452="","",IF($B452="","",IFERROR(IF(MIN(IFERROR(VALUE(TRIM(MID(SUBSTITUTE(SUBSTITUTE($B452,","," ")," ",REPT(" ",30)),{1;31;61;91;121;151;181},30))),""))=0,"",MIN(IFERROR(VALUE(TRIM(MID(SUBSTITUTE(SUBSTITUTE($B452,","," ")," ",REPT(" ",30)),{1;31;61;91;121;151;181},30))),""))),"")))</f>
        <v/>
      </c>
      <c r="Q452" s="23" t="str">
        <f t="shared" si="20"/>
        <v>Прилуки, Чернігівська обл., пров. Партизанський</v>
      </c>
      <c r="R452" s="35">
        <f>IF($O452="","",IFERROR(INDEX('Координати майданчиків'!$H$4:$H$64,MATCH($T452,'Координати майданчиків'!$B$4:$B$64,0)),IFERROR(IF(ABS(INDEX(Геокодування!$C$2:$C$361,MATCH($Q452,Геокодування!$B$2:$B$361,0))-50.5884)+ABS(INDEX(Геокодування!$D$2:$D$361,MATCH($Q452,Геокодування!$B$2:$B$361,0))-32.3876)&gt;0.15,"",INDEX(Геокодування!$C$2:$C$361,MATCH($Q452,Геокодування!$B$2:$B$361,0))),IFERROR(IF(ABS(INDEX(Геокодування!$C$2:$C$361,MATCH("Прилуки, Чернігівська обл., "&amp;$A452,Геокодування!$B$2:$B$361,0))-50.5884)+ABS(INDEX(Геокодування!$D$2:$D$361,MATCH("Прилуки, Чернігівська обл., "&amp;$A452,Геокодування!$B$2:$B$361,0))-32.3876)&gt;0.15,"",INDEX(Геокодування!$C$2:$C$361,MATCH("Прилуки, Чернігівська обл., "&amp;$A452,Геокодування!$B$2:$B$361,0))),""))))</f>
        <v>50.595820000000003</v>
      </c>
      <c r="S452" s="43">
        <f>IF($O452="","",IFERROR(INDEX('Координати майданчиків'!$I$4:$I$64,MATCH($T452,'Координати майданчиків'!$B$4:$B$64,0)),IFERROR(IF(ABS(INDEX(Геокодування!$C$2:$C$361,MATCH($Q452,Геокодування!$B$2:$B$361,0))-50.5884)+ABS(INDEX(Геокодування!$D$2:$D$361,MATCH($Q452,Геокодування!$B$2:$B$361,0))-32.3876)&gt;0.15,"",INDEX(Геокодування!$D$2:$D$361,MATCH($Q452,Геокодування!$B$2:$B$361,0))),IFERROR(IF(ABS(INDEX(Геокодування!$C$2:$C$361,MATCH("Прилуки, Чернігівська обл., "&amp;$A452,Геокодування!$B$2:$B$361,0))-50.5884)+ABS(INDEX(Геокодування!$D$2:$D$361,MATCH("Прилуки, Чернігівська обл., "&amp;$A452,Геокодування!$B$2:$B$361,0))-32.3876)&gt;0.15,"",INDEX(Геокодування!$D$2:$D$361,MATCH("Прилуки, Чернігівська обл., "&amp;$A452,Геокодування!$B$2:$B$361,0))),""))))</f>
        <v>32.356659999999998</v>
      </c>
      <c r="T452" s="44" t="str">
        <f>IF($O452="","",IFERROR(INDEX('Координати майданчиків'!$B$4:$B$64,MATCH($A452&amp;IF($P452="","",", "&amp;$P452),'Координати майданчиків'!$B$4:$B$64,0)),IFERROR(INDEX('Координати майданчиків'!$B$4:$B$64,MATCH($A452,'Координати майданчиків'!$B$4:$B$64,0)),"")))</f>
        <v/>
      </c>
    </row>
    <row r="453" spans="1:20" x14ac:dyDescent="0.35">
      <c r="A453" s="26" t="str">
        <f t="shared" si="18"/>
        <v>пров. Пирятинський</v>
      </c>
      <c r="B453" s="26" t="str">
        <f t="shared" si="19"/>
        <v>12,32  54</v>
      </c>
      <c r="C453" s="27" t="str" cm="1">
        <f t="array" ref="C453">IF($O453="","",_xlfn.TEXTJOIN(", ",TRUE,IF(EXACT('Дані_зв''язок'!$J$4:$J$1012,$O453)*('Дані_зв''язок'!$C$4:$C$1012=C$4),'Дані_зв''язок'!$D$4:$D$1012,"")))</f>
        <v/>
      </c>
      <c r="D453" s="27" t="str" cm="1">
        <f t="array" ref="D453">IF($O453="","",_xlfn.TEXTJOIN(", ",TRUE,IF(EXACT('Дані_зв''язок'!$J$4:$J$1012,$O453)*('Дані_зв''язок'!$C$4:$C$1012=D$4),'Дані_зв''язок'!$D$4:$D$1012,"")))</f>
        <v/>
      </c>
      <c r="E453" s="27" t="str" cm="1">
        <f t="array" ref="E453">IF($O453="","",_xlfn.TEXTJOIN(", ",TRUE,IF(EXACT('Дані_зв''язок'!$J$4:$J$1012,$O453)*('Дані_зв''язок'!$C$4:$C$1012=E$4),'Дані_зв''язок'!$D$4:$D$1012,"")))</f>
        <v>10:00</v>
      </c>
      <c r="F453" s="27" t="str" cm="1">
        <f t="array" ref="F453">IF($O453="","",_xlfn.TEXTJOIN(", ",TRUE,IF(EXACT('Дані_зв''язок'!$J$4:$J$1012,$O453)*('Дані_зв''язок'!$C$4:$C$1012=F$4),'Дані_зв''язок'!$D$4:$D$1012,"")))</f>
        <v/>
      </c>
      <c r="G453" s="27" t="str" cm="1">
        <f t="array" ref="G453">IF($O453="","",_xlfn.TEXTJOIN(", ",TRUE,IF(EXACT('Дані_зв''язок'!$J$4:$J$1012,$O453)*('Дані_зв''язок'!$C$4:$C$1012=G$4),'Дані_зв''язок'!$D$4:$D$1012,"")))</f>
        <v/>
      </c>
      <c r="H453" s="27" t="str" cm="1">
        <f t="array" ref="H453">IF($O453="","",_xlfn.TEXTJOIN(", ",TRUE,IF(EXACT('Дані_зв''язок'!$J$4:$J$1012,$O453)*('Дані_зв''язок'!$C$4:$C$1012=H$4),'Дані_зв''язок'!$D$4:$D$1012,"")))</f>
        <v/>
      </c>
      <c r="I453" s="27" t="str" cm="1">
        <f t="array" ref="I453">IF($O453="","",_xlfn.TEXTJOIN(", ",TRUE,IF(EXACT('Дані_зв''язок'!$J$4:$J$1012,$O453)*('Дані_зв''язок'!$C$4:$C$1012=I$4),'Дані_зв''язок'!$D$4:$D$1012,"")))</f>
        <v/>
      </c>
      <c r="J453" s="27" cm="1">
        <f t="array" ref="J453">IF($O453="","",COUNTIF(C453:I453,"?*")+SUMPRODUCT(LEN(C453:I453)-LEN(SUBSTITUTE(C453:I453,",",""))))</f>
        <v>1</v>
      </c>
      <c r="K453" s="28" t="str" cm="1">
        <f t="array" ref="K453">IF($O453="","",_xlfn.TEXTJOIN(", ",TRUE,IF(EXACT('Дані_зв''язок'!$J$4:$J$1012,$O453),'Дані_зв''язок'!$L$4:$L$1012,"")))</f>
        <v>№6</v>
      </c>
      <c r="L453" s="28" t="str" cm="1">
        <f t="array" ref="L453">IF($O453="","",_xlfn.TEXTJOIN(", ",TRUE,IF(EXACT('Дані_зв''язок'!$J$4:$J$1012,$O453),'Дані_зв''язок'!$M$4:$M$1012,"")))</f>
        <v>АТ 4021</v>
      </c>
      <c r="M453" s="27" t="str" cm="1">
        <f t="array" ref="M453">IF($O453="","",IF(SUMPRODUCT(MAX(EXACT('Дані_зв''язок'!$J$4:$J$1012,$O453)*IFERROR('Дані_зв''язок'!$H$4:$H$1012,0)))=0,"",SUMPRODUCT(MAX(EXACT('Дані_зв''язок'!$J$4:$J$1012,$O453)*IFERROR('Дані_зв''язок'!$H$4:$H$1012,0)))))</f>
        <v/>
      </c>
      <c r="O453" s="30" t="s">
        <v>1577</v>
      </c>
      <c r="P453" s="24" cm="1">
        <f t="array" ref="P453">IF($O453="","",IF($B453="","",IFERROR(IF(MIN(IFERROR(VALUE(TRIM(MID(SUBSTITUTE(SUBSTITUTE($B453,","," ")," ",REPT(" ",30)),{1;31;61;91;121;151;181},30))),""))=0,"",MIN(IFERROR(VALUE(TRIM(MID(SUBSTITUTE(SUBSTITUTE($B453,","," ")," ",REPT(" ",30)),{1;31;61;91;121;151;181},30))),""))),"")))</f>
        <v>12</v>
      </c>
      <c r="Q453" s="23" t="str">
        <f t="shared" si="20"/>
        <v>Прилуки, Чернігівська обл., пров. Пирятинський, 12</v>
      </c>
      <c r="R453" s="35">
        <f>IF($O453="","",IFERROR(INDEX('Координати майданчиків'!$H$4:$H$64,MATCH($T453,'Координати майданчиків'!$B$4:$B$64,0)),IFERROR(IF(ABS(INDEX(Геокодування!$C$2:$C$361,MATCH($Q453,Геокодування!$B$2:$B$361,0))-50.5884)+ABS(INDEX(Геокодування!$D$2:$D$361,MATCH($Q453,Геокодування!$B$2:$B$361,0))-32.3876)&gt;0.15,"",INDEX(Геокодування!$C$2:$C$361,MATCH($Q453,Геокодування!$B$2:$B$361,0))),IFERROR(IF(ABS(INDEX(Геокодування!$C$2:$C$361,MATCH("Прилуки, Чернігівська обл., "&amp;$A453,Геокодування!$B$2:$B$361,0))-50.5884)+ABS(INDEX(Геокодування!$D$2:$D$361,MATCH("Прилуки, Чернігівська обл., "&amp;$A453,Геокодування!$B$2:$B$361,0))-32.3876)&gt;0.15,"",INDEX(Геокодування!$C$2:$C$361,MATCH("Прилуки, Чернігівська обл., "&amp;$A453,Геокодування!$B$2:$B$361,0))),""))))</f>
        <v>50.580392000000003</v>
      </c>
      <c r="S453" s="43">
        <f>IF($O453="","",IFERROR(INDEX('Координати майданчиків'!$I$4:$I$64,MATCH($T453,'Координати майданчиків'!$B$4:$B$64,0)),IFERROR(IF(ABS(INDEX(Геокодування!$C$2:$C$361,MATCH($Q453,Геокодування!$B$2:$B$361,0))-50.5884)+ABS(INDEX(Геокодування!$D$2:$D$361,MATCH($Q453,Геокодування!$B$2:$B$361,0))-32.3876)&gt;0.15,"",INDEX(Геокодування!$D$2:$D$361,MATCH($Q453,Геокодування!$B$2:$B$361,0))),IFERROR(IF(ABS(INDEX(Геокодування!$C$2:$C$361,MATCH("Прилуки, Чернігівська обл., "&amp;$A453,Геокодування!$B$2:$B$361,0))-50.5884)+ABS(INDEX(Геокодування!$D$2:$D$361,MATCH("Прилуки, Чернігівська обл., "&amp;$A453,Геокодування!$B$2:$B$361,0))-32.3876)&gt;0.15,"",INDEX(Геокодування!$D$2:$D$361,MATCH("Прилуки, Чернігівська обл., "&amp;$A453,Геокодування!$B$2:$B$361,0))),""))))</f>
        <v>32.397933999999999</v>
      </c>
      <c r="T453" s="44" t="str">
        <f>IF($O453="","",IFERROR(INDEX('Координати майданчиків'!$B$4:$B$64,MATCH($A453&amp;IF($P453="","",", "&amp;$P453),'Координати майданчиків'!$B$4:$B$64,0)),IFERROR(INDEX('Координати майданчиків'!$B$4:$B$64,MATCH($A453,'Координати майданчиків'!$B$4:$B$64,0)),"")))</f>
        <v/>
      </c>
    </row>
    <row r="454" spans="1:20" x14ac:dyDescent="0.35">
      <c r="A454" s="26" t="str">
        <f t="shared" ref="A454:A468" si="21">IF($O454="","",LEFT($O454,FIND("|",$O454)-1))</f>
        <v>пров. Польовий</v>
      </c>
      <c r="B454" s="26" t="str">
        <f t="shared" ref="B454:B468" si="22">IF($O454="","",MID($O454,FIND("|",$O454)+1,999))</f>
        <v/>
      </c>
      <c r="C454" s="27" t="str" cm="1">
        <f t="array" ref="C454">IF($O454="","",_xlfn.TEXTJOIN(", ",TRUE,IF(EXACT('Дані_зв''язок'!$J$4:$J$1012,$O454)*('Дані_зв''язок'!$C$4:$C$1012=C$4),'Дані_зв''язок'!$D$4:$D$1012,"")))</f>
        <v/>
      </c>
      <c r="D454" s="27" t="str" cm="1">
        <f t="array" ref="D454">IF($O454="","",_xlfn.TEXTJOIN(", ",TRUE,IF(EXACT('Дані_зв''язок'!$J$4:$J$1012,$O454)*('Дані_зв''язок'!$C$4:$C$1012=D$4),'Дані_зв''язок'!$D$4:$D$1012,"")))</f>
        <v/>
      </c>
      <c r="E454" s="27" t="str" cm="1">
        <f t="array" ref="E454">IF($O454="","",_xlfn.TEXTJOIN(", ",TRUE,IF(EXACT('Дані_зв''язок'!$J$4:$J$1012,$O454)*('Дані_зв''язок'!$C$4:$C$1012=E$4),'Дані_зв''язок'!$D$4:$D$1012,"")))</f>
        <v/>
      </c>
      <c r="F454" s="27" t="str" cm="1">
        <f t="array" ref="F454">IF($O454="","",_xlfn.TEXTJOIN(", ",TRUE,IF(EXACT('Дані_зв''язок'!$J$4:$J$1012,$O454)*('Дані_зв''язок'!$C$4:$C$1012=F$4),'Дані_зв''язок'!$D$4:$D$1012,"")))</f>
        <v/>
      </c>
      <c r="G454" s="27" t="str" cm="1">
        <f t="array" ref="G454">IF($O454="","",_xlfn.TEXTJOIN(", ",TRUE,IF(EXACT('Дані_зв''язок'!$J$4:$J$1012,$O454)*('Дані_зв''язок'!$C$4:$C$1012=G$4),'Дані_зв''язок'!$D$4:$D$1012,"")))</f>
        <v>13:45</v>
      </c>
      <c r="H454" s="27" t="str" cm="1">
        <f t="array" ref="H454">IF($O454="","",_xlfn.TEXTJOIN(", ",TRUE,IF(EXACT('Дані_зв''язок'!$J$4:$J$1012,$O454)*('Дані_зв''язок'!$C$4:$C$1012=H$4),'Дані_зв''язок'!$D$4:$D$1012,"")))</f>
        <v/>
      </c>
      <c r="I454" s="27" t="str" cm="1">
        <f t="array" ref="I454">IF($O454="","",_xlfn.TEXTJOIN(", ",TRUE,IF(EXACT('Дані_зв''язок'!$J$4:$J$1012,$O454)*('Дані_зв''язок'!$C$4:$C$1012=I$4),'Дані_зв''язок'!$D$4:$D$1012,"")))</f>
        <v/>
      </c>
      <c r="J454" s="27" cm="1">
        <f t="array" ref="J454">IF($O454="","",COUNTIF(C454:I454,"?*")+SUMPRODUCT(LEN(C454:I454)-LEN(SUBSTITUTE(C454:I454,",",""))))</f>
        <v>1</v>
      </c>
      <c r="K454" s="28" t="str" cm="1">
        <f t="array" ref="K454">IF($O454="","",_xlfn.TEXTJOIN(", ",TRUE,IF(EXACT('Дані_зв''язок'!$J$4:$J$1012,$O454),'Дані_зв''язок'!$L$4:$L$1012,"")))</f>
        <v>№5</v>
      </c>
      <c r="L454" s="28" t="str" cm="1">
        <f t="array" ref="L454">IF($O454="","",_xlfn.TEXTJOIN(", ",TRUE,IF(EXACT('Дані_зв''язок'!$J$4:$J$1012,$O454),'Дані_зв''язок'!$M$4:$M$1012,"")))</f>
        <v>МАЗ 4381</v>
      </c>
      <c r="M454" s="27" t="str" cm="1">
        <f t="array" ref="M454">IF($O454="","",IF(SUMPRODUCT(MAX(EXACT('Дані_зв''язок'!$J$4:$J$1012,$O454)*IFERROR('Дані_зв''язок'!$H$4:$H$1012,0)))=0,"",SUMPRODUCT(MAX(EXACT('Дані_зв''язок'!$J$4:$J$1012,$O454)*IFERROR('Дані_зв''язок'!$H$4:$H$1012,0)))))</f>
        <v/>
      </c>
      <c r="O454" s="30" t="s">
        <v>1580</v>
      </c>
      <c r="P454" s="24" t="str" cm="1">
        <f t="array" ref="P454">IF($O454="","",IF($B454="","",IFERROR(IF(MIN(IFERROR(VALUE(TRIM(MID(SUBSTITUTE(SUBSTITUTE($B454,","," ")," ",REPT(" ",30)),{1;31;61;91;121;151;181},30))),""))=0,"",MIN(IFERROR(VALUE(TRIM(MID(SUBSTITUTE(SUBSTITUTE($B454,","," ")," ",REPT(" ",30)),{1;31;61;91;121;151;181},30))),""))),"")))</f>
        <v/>
      </c>
      <c r="Q454" s="23" t="str">
        <f t="shared" ref="Q454:Q468" si="23">IF($O454="","","Прилуки, Чернігівська обл., "&amp;$A454&amp;IF($P454="","",", "&amp;$P454))</f>
        <v>Прилуки, Чернігівська обл., пров. Польовий</v>
      </c>
      <c r="R454" s="35">
        <f>IF($O454="","",IFERROR(INDEX('Координати майданчиків'!$H$4:$H$64,MATCH($T454,'Координати майданчиків'!$B$4:$B$64,0)),IFERROR(IF(ABS(INDEX(Геокодування!$C$2:$C$361,MATCH($Q454,Геокодування!$B$2:$B$361,0))-50.5884)+ABS(INDEX(Геокодування!$D$2:$D$361,MATCH($Q454,Геокодування!$B$2:$B$361,0))-32.3876)&gt;0.15,"",INDEX(Геокодування!$C$2:$C$361,MATCH($Q454,Геокодування!$B$2:$B$361,0))),IFERROR(IF(ABS(INDEX(Геокодування!$C$2:$C$361,MATCH("Прилуки, Чернігівська обл., "&amp;$A454,Геокодування!$B$2:$B$361,0))-50.5884)+ABS(INDEX(Геокодування!$D$2:$D$361,MATCH("Прилуки, Чернігівська обл., "&amp;$A454,Геокодування!$B$2:$B$361,0))-32.3876)&gt;0.15,"",INDEX(Геокодування!$C$2:$C$361,MATCH("Прилуки, Чернігівська обл., "&amp;$A454,Геокодування!$B$2:$B$361,0))),""))))</f>
        <v>50.587707999999999</v>
      </c>
      <c r="S454" s="43">
        <f>IF($O454="","",IFERROR(INDEX('Координати майданчиків'!$I$4:$I$64,MATCH($T454,'Координати майданчиків'!$B$4:$B$64,0)),IFERROR(IF(ABS(INDEX(Геокодування!$C$2:$C$361,MATCH($Q454,Геокодування!$B$2:$B$361,0))-50.5884)+ABS(INDEX(Геокодування!$D$2:$D$361,MATCH($Q454,Геокодування!$B$2:$B$361,0))-32.3876)&gt;0.15,"",INDEX(Геокодування!$D$2:$D$361,MATCH($Q454,Геокодування!$B$2:$B$361,0))),IFERROR(IF(ABS(INDEX(Геокодування!$C$2:$C$361,MATCH("Прилуки, Чернігівська обл., "&amp;$A454,Геокодування!$B$2:$B$361,0))-50.5884)+ABS(INDEX(Геокодування!$D$2:$D$361,MATCH("Прилуки, Чернігівська обл., "&amp;$A454,Геокодування!$B$2:$B$361,0))-32.3876)&gt;0.15,"",INDEX(Геокодування!$D$2:$D$361,MATCH("Прилуки, Чернігівська обл., "&amp;$A454,Геокодування!$B$2:$B$361,0))),""))))</f>
        <v>32.425939</v>
      </c>
      <c r="T454" s="44" t="str">
        <f>IF($O454="","",IFERROR(INDEX('Координати майданчиків'!$B$4:$B$64,MATCH($A454&amp;IF($P454="","",", "&amp;$P454),'Координати майданчиків'!$B$4:$B$64,0)),IFERROR(INDEX('Координати майданчиків'!$B$4:$B$64,MATCH($A454,'Координати майданчиків'!$B$4:$B$64,0)),"")))</f>
        <v/>
      </c>
    </row>
    <row r="455" spans="1:20" x14ac:dyDescent="0.35">
      <c r="A455" s="26" t="str">
        <f t="shared" si="21"/>
        <v>пров. Прорізний</v>
      </c>
      <c r="B455" s="26" t="str">
        <f t="shared" si="22"/>
        <v/>
      </c>
      <c r="C455" s="27" t="str" cm="1">
        <f t="array" ref="C455">IF($O455="","",_xlfn.TEXTJOIN(", ",TRUE,IF(EXACT('Дані_зв''язок'!$J$4:$J$1012,$O455)*('Дані_зв''язок'!$C$4:$C$1012=C$4),'Дані_зв''язок'!$D$4:$D$1012,"")))</f>
        <v/>
      </c>
      <c r="D455" s="27" t="str" cm="1">
        <f t="array" ref="D455">IF($O455="","",_xlfn.TEXTJOIN(", ",TRUE,IF(EXACT('Дані_зв''язок'!$J$4:$J$1012,$O455)*('Дані_зв''язок'!$C$4:$C$1012=D$4),'Дані_зв''язок'!$D$4:$D$1012,"")))</f>
        <v/>
      </c>
      <c r="E455" s="27" t="str" cm="1">
        <f t="array" ref="E455">IF($O455="","",_xlfn.TEXTJOIN(", ",TRUE,IF(EXACT('Дані_зв''язок'!$J$4:$J$1012,$O455)*('Дані_зв''язок'!$C$4:$C$1012=E$4),'Дані_зв''язок'!$D$4:$D$1012,"")))</f>
        <v/>
      </c>
      <c r="F455" s="27" t="str" cm="1">
        <f t="array" ref="F455">IF($O455="","",_xlfn.TEXTJOIN(", ",TRUE,IF(EXACT('Дані_зв''язок'!$J$4:$J$1012,$O455)*('Дані_зв''язок'!$C$4:$C$1012=F$4),'Дані_зв''язок'!$D$4:$D$1012,"")))</f>
        <v>8:35</v>
      </c>
      <c r="G455" s="27" t="str" cm="1">
        <f t="array" ref="G455">IF($O455="","",_xlfn.TEXTJOIN(", ",TRUE,IF(EXACT('Дані_зв''язок'!$J$4:$J$1012,$O455)*('Дані_зв''язок'!$C$4:$C$1012=G$4),'Дані_зв''язок'!$D$4:$D$1012,"")))</f>
        <v/>
      </c>
      <c r="H455" s="27" t="str" cm="1">
        <f t="array" ref="H455">IF($O455="","",_xlfn.TEXTJOIN(", ",TRUE,IF(EXACT('Дані_зв''язок'!$J$4:$J$1012,$O455)*('Дані_зв''язок'!$C$4:$C$1012=H$4),'Дані_зв''язок'!$D$4:$D$1012,"")))</f>
        <v/>
      </c>
      <c r="I455" s="27" t="str" cm="1">
        <f t="array" ref="I455">IF($O455="","",_xlfn.TEXTJOIN(", ",TRUE,IF(EXACT('Дані_зв''язок'!$J$4:$J$1012,$O455)*('Дані_зв''язок'!$C$4:$C$1012=I$4),'Дані_зв''язок'!$D$4:$D$1012,"")))</f>
        <v/>
      </c>
      <c r="J455" s="27" cm="1">
        <f t="array" ref="J455">IF($O455="","",COUNTIF(C455:I455,"?*")+SUMPRODUCT(LEN(C455:I455)-LEN(SUBSTITUTE(C455:I455,",",""))))</f>
        <v>1</v>
      </c>
      <c r="K455" s="28" t="str" cm="1">
        <f t="array" ref="K455">IF($O455="","",_xlfn.TEXTJOIN(", ",TRUE,IF(EXACT('Дані_зв''язок'!$J$4:$J$1012,$O455),'Дані_зв''язок'!$L$4:$L$1012,"")))</f>
        <v>№5</v>
      </c>
      <c r="L455" s="28" t="str" cm="1">
        <f t="array" ref="L455">IF($O455="","",_xlfn.TEXTJOIN(", ",TRUE,IF(EXACT('Дані_зв''язок'!$J$4:$J$1012,$O455),'Дані_зв''язок'!$M$4:$M$1012,"")))</f>
        <v>МАЗ 4381</v>
      </c>
      <c r="M455" s="27" t="str" cm="1">
        <f t="array" ref="M455">IF($O455="","",IF(SUMPRODUCT(MAX(EXACT('Дані_зв''язок'!$J$4:$J$1012,$O455)*IFERROR('Дані_зв''язок'!$H$4:$H$1012,0)))=0,"",SUMPRODUCT(MAX(EXACT('Дані_зв''язок'!$J$4:$J$1012,$O455)*IFERROR('Дані_зв''язок'!$H$4:$H$1012,0)))))</f>
        <v/>
      </c>
      <c r="O455" s="30" t="s">
        <v>1581</v>
      </c>
      <c r="P455" s="24" t="str" cm="1">
        <f t="array" ref="P455">IF($O455="","",IF($B455="","",IFERROR(IF(MIN(IFERROR(VALUE(TRIM(MID(SUBSTITUTE(SUBSTITUTE($B455,","," ")," ",REPT(" ",30)),{1;31;61;91;121;151;181},30))),""))=0,"",MIN(IFERROR(VALUE(TRIM(MID(SUBSTITUTE(SUBSTITUTE($B455,","," ")," ",REPT(" ",30)),{1;31;61;91;121;151;181},30))),""))),"")))</f>
        <v/>
      </c>
      <c r="Q455" s="23" t="str">
        <f t="shared" si="23"/>
        <v>Прилуки, Чернігівська обл., пров. Прорізний</v>
      </c>
      <c r="R455" s="67" t="s">
        <v>2017</v>
      </c>
      <c r="S455" s="67" t="s">
        <v>2018</v>
      </c>
      <c r="T455" s="44" t="str">
        <f>IF($O455="","",IFERROR(INDEX('Координати майданчиків'!$B$4:$B$64,MATCH($A455&amp;IF($P455="","",", "&amp;$P455),'Координати майданчиків'!$B$4:$B$64,0)),IFERROR(INDEX('Координати майданчиків'!$B$4:$B$64,MATCH($A455,'Координати майданчиків'!$B$4:$B$64,0)),"")))</f>
        <v/>
      </c>
    </row>
    <row r="456" spans="1:20" x14ac:dyDescent="0.35">
      <c r="A456" s="26" t="str">
        <f t="shared" si="21"/>
        <v>пров. Північний</v>
      </c>
      <c r="B456" s="26" t="str">
        <f t="shared" si="22"/>
        <v>2,9  18,24</v>
      </c>
      <c r="C456" s="27" t="str" cm="1">
        <f t="array" ref="C456">IF($O456="","",_xlfn.TEXTJOIN(", ",TRUE,IF(EXACT('Дані_зв''язок'!$J$4:$J$1012,$O456)*('Дані_зв''язок'!$C$4:$C$1012=C$4),'Дані_зв''язок'!$D$4:$D$1012,"")))</f>
        <v/>
      </c>
      <c r="D456" s="27" t="str" cm="1">
        <f t="array" ref="D456">IF($O456="","",_xlfn.TEXTJOIN(", ",TRUE,IF(EXACT('Дані_зв''язок'!$J$4:$J$1012,$O456)*('Дані_зв''язок'!$C$4:$C$1012=D$4),'Дані_зв''язок'!$D$4:$D$1012,"")))</f>
        <v/>
      </c>
      <c r="E456" s="27" t="str" cm="1">
        <f t="array" ref="E456">IF($O456="","",_xlfn.TEXTJOIN(", ",TRUE,IF(EXACT('Дані_зв''язок'!$J$4:$J$1012,$O456)*('Дані_зв''язок'!$C$4:$C$1012=E$4),'Дані_зв''язок'!$D$4:$D$1012,"")))</f>
        <v>8:30</v>
      </c>
      <c r="F456" s="27" t="str" cm="1">
        <f t="array" ref="F456">IF($O456="","",_xlfn.TEXTJOIN(", ",TRUE,IF(EXACT('Дані_зв''язок'!$J$4:$J$1012,$O456)*('Дані_зв''язок'!$C$4:$C$1012=F$4),'Дані_зв''язок'!$D$4:$D$1012,"")))</f>
        <v/>
      </c>
      <c r="G456" s="27" t="str" cm="1">
        <f t="array" ref="G456">IF($O456="","",_xlfn.TEXTJOIN(", ",TRUE,IF(EXACT('Дані_зв''язок'!$J$4:$J$1012,$O456)*('Дані_зв''язок'!$C$4:$C$1012=G$4),'Дані_зв''язок'!$D$4:$D$1012,"")))</f>
        <v/>
      </c>
      <c r="H456" s="27" t="str" cm="1">
        <f t="array" ref="H456">IF($O456="","",_xlfn.TEXTJOIN(", ",TRUE,IF(EXACT('Дані_зв''язок'!$J$4:$J$1012,$O456)*('Дані_зв''язок'!$C$4:$C$1012=H$4),'Дані_зв''язок'!$D$4:$D$1012,"")))</f>
        <v/>
      </c>
      <c r="I456" s="27" t="str" cm="1">
        <f t="array" ref="I456">IF($O456="","",_xlfn.TEXTJOIN(", ",TRUE,IF(EXACT('Дані_зв''язок'!$J$4:$J$1012,$O456)*('Дані_зв''язок'!$C$4:$C$1012=I$4),'Дані_зв''язок'!$D$4:$D$1012,"")))</f>
        <v/>
      </c>
      <c r="J456" s="27" cm="1">
        <f t="array" ref="J456">IF($O456="","",COUNTIF(C456:I456,"?*")+SUMPRODUCT(LEN(C456:I456)-LEN(SUBSTITUTE(C456:I456,",",""))))</f>
        <v>1</v>
      </c>
      <c r="K456" s="28" t="str" cm="1">
        <f t="array" ref="K456">IF($O456="","",_xlfn.TEXTJOIN(", ",TRUE,IF(EXACT('Дані_зв''язок'!$J$4:$J$1012,$O456),'Дані_зв''язок'!$L$4:$L$1012,"")))</f>
        <v>№6</v>
      </c>
      <c r="L456" s="28" t="str" cm="1">
        <f t="array" ref="L456">IF($O456="","",_xlfn.TEXTJOIN(", ",TRUE,IF(EXACT('Дані_зв''язок'!$J$4:$J$1012,$O456),'Дані_зв''язок'!$M$4:$M$1012,"")))</f>
        <v>АТ 4021</v>
      </c>
      <c r="M456" s="27" t="str" cm="1">
        <f t="array" ref="M456">IF($O456="","",IF(SUMPRODUCT(MAX(EXACT('Дані_зв''язок'!$J$4:$J$1012,$O456)*IFERROR('Дані_зв''язок'!$H$4:$H$1012,0)))=0,"",SUMPRODUCT(MAX(EXACT('Дані_зв''язок'!$J$4:$J$1012,$O456)*IFERROR('Дані_зв''язок'!$H$4:$H$1012,0)))))</f>
        <v/>
      </c>
      <c r="O456" s="30" t="s">
        <v>1578</v>
      </c>
      <c r="P456" s="24" cm="1">
        <f t="array" ref="P456">IF($O456="","",IF($B456="","",IFERROR(IF(MIN(IFERROR(VALUE(TRIM(MID(SUBSTITUTE(SUBSTITUTE($B456,","," ")," ",REPT(" ",30)),{1;31;61;91;121;151;181},30))),""))=0,"",MIN(IFERROR(VALUE(TRIM(MID(SUBSTITUTE(SUBSTITUTE($B456,","," ")," ",REPT(" ",30)),{1;31;61;91;121;151;181},30))),""))),"")))</f>
        <v>2</v>
      </c>
      <c r="Q456" s="23" t="str">
        <f t="shared" si="23"/>
        <v>Прилуки, Чернігівська обл., пров. Північний, 2</v>
      </c>
      <c r="R456" s="35">
        <f>IF($O456="","",IFERROR(INDEX('Координати майданчиків'!$H$4:$H$64,MATCH($T456,'Координати майданчиків'!$B$4:$B$64,0)),IFERROR(IF(ABS(INDEX(Геокодування!$C$2:$C$361,MATCH($Q456,Геокодування!$B$2:$B$361,0))-50.5884)+ABS(INDEX(Геокодування!$D$2:$D$361,MATCH($Q456,Геокодування!$B$2:$B$361,0))-32.3876)&gt;0.15,"",INDEX(Геокодування!$C$2:$C$361,MATCH($Q456,Геокодування!$B$2:$B$361,0))),IFERROR(IF(ABS(INDEX(Геокодування!$C$2:$C$361,MATCH("Прилуки, Чернігівська обл., "&amp;$A456,Геокодування!$B$2:$B$361,0))-50.5884)+ABS(INDEX(Геокодування!$D$2:$D$361,MATCH("Прилуки, Чернігівська обл., "&amp;$A456,Геокодування!$B$2:$B$361,0))-32.3876)&gt;0.15,"",INDEX(Геокодування!$C$2:$C$361,MATCH("Прилуки, Чернігівська обл., "&amp;$A456,Геокодування!$B$2:$B$361,0))),""))))</f>
        <v>50.598429000000003</v>
      </c>
      <c r="S456" s="43">
        <f>IF($O456="","",IFERROR(INDEX('Координати майданчиків'!$I$4:$I$64,MATCH($T456,'Координати майданчиків'!$B$4:$B$64,0)),IFERROR(IF(ABS(INDEX(Геокодування!$C$2:$C$361,MATCH($Q456,Геокодування!$B$2:$B$361,0))-50.5884)+ABS(INDEX(Геокодування!$D$2:$D$361,MATCH($Q456,Геокодування!$B$2:$B$361,0))-32.3876)&gt;0.15,"",INDEX(Геокодування!$D$2:$D$361,MATCH($Q456,Геокодування!$B$2:$B$361,0))),IFERROR(IF(ABS(INDEX(Геокодування!$C$2:$C$361,MATCH("Прилуки, Чернігівська обл., "&amp;$A456,Геокодування!$B$2:$B$361,0))-50.5884)+ABS(INDEX(Геокодування!$D$2:$D$361,MATCH("Прилуки, Чернігівська обл., "&amp;$A456,Геокодування!$B$2:$B$361,0))-32.3876)&gt;0.15,"",INDEX(Геокодування!$D$2:$D$361,MATCH("Прилуки, Чернігівська обл., "&amp;$A456,Геокодування!$B$2:$B$361,0))),""))))</f>
        <v>32.404040999999999</v>
      </c>
      <c r="T456" s="44" t="str">
        <f>IF($O456="","",IFERROR(INDEX('Координати майданчиків'!$B$4:$B$64,MATCH($A456&amp;IF($P456="","",", "&amp;$P456),'Координати майданчиків'!$B$4:$B$64,0)),IFERROR(INDEX('Координати майданчиків'!$B$4:$B$64,MATCH($A456,'Координати майданчиків'!$B$4:$B$64,0)),"")))</f>
        <v/>
      </c>
    </row>
    <row r="457" spans="1:20" x14ac:dyDescent="0.35">
      <c r="A457" s="26" t="str">
        <f t="shared" si="21"/>
        <v>пров. Північний</v>
      </c>
      <c r="B457" s="26" t="str">
        <f t="shared" si="22"/>
        <v>24,15  7</v>
      </c>
      <c r="C457" s="27" t="str" cm="1">
        <f t="array" ref="C457">IF($O457="","",_xlfn.TEXTJOIN(", ",TRUE,IF(EXACT('Дані_зв''язок'!$J$4:$J$1012,$O457)*('Дані_зв''язок'!$C$4:$C$1012=C$4),'Дані_зв''язок'!$D$4:$D$1012,"")))</f>
        <v/>
      </c>
      <c r="D457" s="27" t="str" cm="1">
        <f t="array" ref="D457">IF($O457="","",_xlfn.TEXTJOIN(", ",TRUE,IF(EXACT('Дані_зв''язок'!$J$4:$J$1012,$O457)*('Дані_зв''язок'!$C$4:$C$1012=D$4),'Дані_зв''язок'!$D$4:$D$1012,"")))</f>
        <v>15:35</v>
      </c>
      <c r="E457" s="27" t="str" cm="1">
        <f t="array" ref="E457">IF($O457="","",_xlfn.TEXTJOIN(", ",TRUE,IF(EXACT('Дані_зв''язок'!$J$4:$J$1012,$O457)*('Дані_зв''язок'!$C$4:$C$1012=E$4),'Дані_зв''язок'!$D$4:$D$1012,"")))</f>
        <v/>
      </c>
      <c r="F457" s="27" t="str" cm="1">
        <f t="array" ref="F457">IF($O457="","",_xlfn.TEXTJOIN(", ",TRUE,IF(EXACT('Дані_зв''язок'!$J$4:$J$1012,$O457)*('Дані_зв''язок'!$C$4:$C$1012=F$4),'Дані_зв''язок'!$D$4:$D$1012,"")))</f>
        <v/>
      </c>
      <c r="G457" s="27" t="str" cm="1">
        <f t="array" ref="G457">IF($O457="","",_xlfn.TEXTJOIN(", ",TRUE,IF(EXACT('Дані_зв''язок'!$J$4:$J$1012,$O457)*('Дані_зв''язок'!$C$4:$C$1012=G$4),'Дані_зв''язок'!$D$4:$D$1012,"")))</f>
        <v/>
      </c>
      <c r="H457" s="27" t="str" cm="1">
        <f t="array" ref="H457">IF($O457="","",_xlfn.TEXTJOIN(", ",TRUE,IF(EXACT('Дані_зв''язок'!$J$4:$J$1012,$O457)*('Дані_зв''язок'!$C$4:$C$1012=H$4),'Дані_зв''язок'!$D$4:$D$1012,"")))</f>
        <v/>
      </c>
      <c r="I457" s="27" t="str" cm="1">
        <f t="array" ref="I457">IF($O457="","",_xlfn.TEXTJOIN(", ",TRUE,IF(EXACT('Дані_зв''язок'!$J$4:$J$1012,$O457)*('Дані_зв''язок'!$C$4:$C$1012=I$4),'Дані_зв''язок'!$D$4:$D$1012,"")))</f>
        <v/>
      </c>
      <c r="J457" s="27" cm="1">
        <f t="array" ref="J457">IF($O457="","",COUNTIF(C457:I457,"?*")+SUMPRODUCT(LEN(C457:I457)-LEN(SUBSTITUTE(C457:I457,",",""))))</f>
        <v>1</v>
      </c>
      <c r="K457" s="28" t="str" cm="1">
        <f t="array" ref="K457">IF($O457="","",_xlfn.TEXTJOIN(", ",TRUE,IF(EXACT('Дані_зв''язок'!$J$4:$J$1012,$O457),'Дані_зв''язок'!$L$4:$L$1012,"")))</f>
        <v>№6</v>
      </c>
      <c r="L457" s="28" t="str" cm="1">
        <f t="array" ref="L457">IF($O457="","",_xlfn.TEXTJOIN(", ",TRUE,IF(EXACT('Дані_зв''язок'!$J$4:$J$1012,$O457),'Дані_зв''язок'!$M$4:$M$1012,"")))</f>
        <v>АТ 4021</v>
      </c>
      <c r="M457" s="27" t="str" cm="1">
        <f t="array" ref="M457">IF($O457="","",IF(SUMPRODUCT(MAX(EXACT('Дані_зв''язок'!$J$4:$J$1012,$O457)*IFERROR('Дані_зв''язок'!$H$4:$H$1012,0)))=0,"",SUMPRODUCT(MAX(EXACT('Дані_зв''язок'!$J$4:$J$1012,$O457)*IFERROR('Дані_зв''язок'!$H$4:$H$1012,0)))))</f>
        <v/>
      </c>
      <c r="O457" s="30" t="s">
        <v>1579</v>
      </c>
      <c r="P457" s="24" cm="1">
        <f t="array" ref="P457">IF($O457="","",IF($B457="","",IFERROR(IF(MIN(IFERROR(VALUE(TRIM(MID(SUBSTITUTE(SUBSTITUTE($B457,","," ")," ",REPT(" ",30)),{1;31;61;91;121;151;181},30))),""))=0,"",MIN(IFERROR(VALUE(TRIM(MID(SUBSTITUTE(SUBSTITUTE($B457,","," ")," ",REPT(" ",30)),{1;31;61;91;121;151;181},30))),""))),"")))</f>
        <v>7</v>
      </c>
      <c r="Q457" s="23" t="str">
        <f t="shared" si="23"/>
        <v>Прилуки, Чернігівська обл., пров. Північний, 7</v>
      </c>
      <c r="R457" s="35">
        <f>IF($O457="","",IFERROR(INDEX('Координати майданчиків'!$H$4:$H$64,MATCH($T457,'Координати майданчиків'!$B$4:$B$64,0)),IFERROR(IF(ABS(INDEX(Геокодування!$C$2:$C$361,MATCH($Q457,Геокодування!$B$2:$B$361,0))-50.5884)+ABS(INDEX(Геокодування!$D$2:$D$361,MATCH($Q457,Геокодування!$B$2:$B$361,0))-32.3876)&gt;0.15,"",INDEX(Геокодування!$C$2:$C$361,MATCH($Q457,Геокодування!$B$2:$B$361,0))),IFERROR(IF(ABS(INDEX(Геокодування!$C$2:$C$361,MATCH("Прилуки, Чернігівська обл., "&amp;$A457,Геокодування!$B$2:$B$361,0))-50.5884)+ABS(INDEX(Геокодування!$D$2:$D$361,MATCH("Прилуки, Чернігівська обл., "&amp;$A457,Геокодування!$B$2:$B$361,0))-32.3876)&gt;0.15,"",INDEX(Геокодування!$C$2:$C$361,MATCH("Прилуки, Чернігівська обл., "&amp;$A457,Геокодування!$B$2:$B$361,0))),""))))</f>
        <v>50.598429000000003</v>
      </c>
      <c r="S457" s="43">
        <f>IF($O457="","",IFERROR(INDEX('Координати майданчиків'!$I$4:$I$64,MATCH($T457,'Координати майданчиків'!$B$4:$B$64,0)),IFERROR(IF(ABS(INDEX(Геокодування!$C$2:$C$361,MATCH($Q457,Геокодування!$B$2:$B$361,0))-50.5884)+ABS(INDEX(Геокодування!$D$2:$D$361,MATCH($Q457,Геокодування!$B$2:$B$361,0))-32.3876)&gt;0.15,"",INDEX(Геокодування!$D$2:$D$361,MATCH($Q457,Геокодування!$B$2:$B$361,0))),IFERROR(IF(ABS(INDEX(Геокодування!$C$2:$C$361,MATCH("Прилуки, Чернігівська обл., "&amp;$A457,Геокодування!$B$2:$B$361,0))-50.5884)+ABS(INDEX(Геокодування!$D$2:$D$361,MATCH("Прилуки, Чернігівська обл., "&amp;$A457,Геокодування!$B$2:$B$361,0))-32.3876)&gt;0.15,"",INDEX(Геокодування!$D$2:$D$361,MATCH("Прилуки, Чернігівська обл., "&amp;$A457,Геокодування!$B$2:$B$361,0))),""))))</f>
        <v>32.404040999999999</v>
      </c>
      <c r="T457" s="44" t="str">
        <f>IF($O457="","",IFERROR(INDEX('Координати майданчиків'!$B$4:$B$64,MATCH($A457&amp;IF($P457="","",", "&amp;$P457),'Координати майданчиків'!$B$4:$B$64,0)),IFERROR(INDEX('Координати майданчиків'!$B$4:$B$64,MATCH($A457,'Координати майданчиків'!$B$4:$B$64,0)),"")))</f>
        <v/>
      </c>
    </row>
    <row r="458" spans="1:20" x14ac:dyDescent="0.35">
      <c r="A458" s="26" t="str">
        <f t="shared" si="21"/>
        <v>пров. Східний</v>
      </c>
      <c r="B458" s="26" t="str">
        <f t="shared" si="22"/>
        <v/>
      </c>
      <c r="C458" s="27" t="str" cm="1">
        <f t="array" ref="C458">IF($O458="","",_xlfn.TEXTJOIN(", ",TRUE,IF(EXACT('Дані_зв''язок'!$J$4:$J$1012,$O458)*('Дані_зв''язок'!$C$4:$C$1012=C$4),'Дані_зв''язок'!$D$4:$D$1012,"")))</f>
        <v/>
      </c>
      <c r="D458" s="27" t="str" cm="1">
        <f t="array" ref="D458">IF($O458="","",_xlfn.TEXTJOIN(", ",TRUE,IF(EXACT('Дані_зв''язок'!$J$4:$J$1012,$O458)*('Дані_зв''язок'!$C$4:$C$1012=D$4),'Дані_зв''язок'!$D$4:$D$1012,"")))</f>
        <v/>
      </c>
      <c r="E458" s="27" t="str" cm="1">
        <f t="array" ref="E458">IF($O458="","",_xlfn.TEXTJOIN(", ",TRUE,IF(EXACT('Дані_зв''язок'!$J$4:$J$1012,$O458)*('Дані_зв''язок'!$C$4:$C$1012=E$4),'Дані_зв''язок'!$D$4:$D$1012,"")))</f>
        <v/>
      </c>
      <c r="F458" s="27" t="str" cm="1">
        <f t="array" ref="F458">IF($O458="","",_xlfn.TEXTJOIN(", ",TRUE,IF(EXACT('Дані_зв''язок'!$J$4:$J$1012,$O458)*('Дані_зв''язок'!$C$4:$C$1012=F$4),'Дані_зв''язок'!$D$4:$D$1012,"")))</f>
        <v/>
      </c>
      <c r="G458" s="27" t="str" cm="1">
        <f t="array" ref="G458">IF($O458="","",_xlfn.TEXTJOIN(", ",TRUE,IF(EXACT('Дані_зв''язок'!$J$4:$J$1012,$O458)*('Дані_зв''язок'!$C$4:$C$1012=G$4),'Дані_зв''язок'!$D$4:$D$1012,"")))</f>
        <v>14:50</v>
      </c>
      <c r="H458" s="27" t="str" cm="1">
        <f t="array" ref="H458">IF($O458="","",_xlfn.TEXTJOIN(", ",TRUE,IF(EXACT('Дані_зв''язок'!$J$4:$J$1012,$O458)*('Дані_зв''язок'!$C$4:$C$1012=H$4),'Дані_зв''язок'!$D$4:$D$1012,"")))</f>
        <v/>
      </c>
      <c r="I458" s="27" t="str" cm="1">
        <f t="array" ref="I458">IF($O458="","",_xlfn.TEXTJOIN(", ",TRUE,IF(EXACT('Дані_зв''язок'!$J$4:$J$1012,$O458)*('Дані_зв''язок'!$C$4:$C$1012=I$4),'Дані_зв''язок'!$D$4:$D$1012,"")))</f>
        <v/>
      </c>
      <c r="J458" s="27" cm="1">
        <f t="array" ref="J458">IF($O458="","",COUNTIF(C458:I458,"?*")+SUMPRODUCT(LEN(C458:I458)-LEN(SUBSTITUTE(C458:I458,",",""))))</f>
        <v>1</v>
      </c>
      <c r="K458" s="28" t="str" cm="1">
        <f t="array" ref="K458">IF($O458="","",_xlfn.TEXTJOIN(", ",TRUE,IF(EXACT('Дані_зв''язок'!$J$4:$J$1012,$O458),'Дані_зв''язок'!$L$4:$L$1012,"")))</f>
        <v>№5</v>
      </c>
      <c r="L458" s="28" t="str" cm="1">
        <f t="array" ref="L458">IF($O458="","",_xlfn.TEXTJOIN(", ",TRUE,IF(EXACT('Дані_зв''язок'!$J$4:$J$1012,$O458),'Дані_зв''язок'!$M$4:$M$1012,"")))</f>
        <v>МАЗ 4381</v>
      </c>
      <c r="M458" s="27" t="str" cm="1">
        <f t="array" ref="M458">IF($O458="","",IF(SUMPRODUCT(MAX(EXACT('Дані_зв''язок'!$J$4:$J$1012,$O458)*IFERROR('Дані_зв''язок'!$H$4:$H$1012,0)))=0,"",SUMPRODUCT(MAX(EXACT('Дані_зв''язок'!$J$4:$J$1012,$O458)*IFERROR('Дані_зв''язок'!$H$4:$H$1012,0)))))</f>
        <v/>
      </c>
      <c r="O458" s="30" t="s">
        <v>1582</v>
      </c>
      <c r="P458" s="24" t="str" cm="1">
        <f t="array" ref="P458">IF($O458="","",IF($B458="","",IFERROR(IF(MIN(IFERROR(VALUE(TRIM(MID(SUBSTITUTE(SUBSTITUTE($B458,","," ")," ",REPT(" ",30)),{1;31;61;91;121;151;181},30))),""))=0,"",MIN(IFERROR(VALUE(TRIM(MID(SUBSTITUTE(SUBSTITUTE($B458,","," ")," ",REPT(" ",30)),{1;31;61;91;121;151;181},30))),""))),"")))</f>
        <v/>
      </c>
      <c r="Q458" s="23" t="str">
        <f t="shared" si="23"/>
        <v>Прилуки, Чернігівська обл., пров. Східний</v>
      </c>
      <c r="R458" s="35">
        <f>IF($O458="","",IFERROR(INDEX('Координати майданчиків'!$H$4:$H$64,MATCH($T458,'Координати майданчиків'!$B$4:$B$64,0)),IFERROR(IF(ABS(INDEX(Геокодування!$C$2:$C$361,MATCH($Q458,Геокодування!$B$2:$B$361,0))-50.5884)+ABS(INDEX(Геокодування!$D$2:$D$361,MATCH($Q458,Геокодування!$B$2:$B$361,0))-32.3876)&gt;0.15,"",INDEX(Геокодування!$C$2:$C$361,MATCH($Q458,Геокодування!$B$2:$B$361,0))),IFERROR(IF(ABS(INDEX(Геокодування!$C$2:$C$361,MATCH("Прилуки, Чернігівська обл., "&amp;$A458,Геокодування!$B$2:$B$361,0))-50.5884)+ABS(INDEX(Геокодування!$D$2:$D$361,MATCH("Прилуки, Чернігівська обл., "&amp;$A458,Геокодування!$B$2:$B$361,0))-32.3876)&gt;0.15,"",INDEX(Геокодування!$C$2:$C$361,MATCH("Прилуки, Чернігівська обл., "&amp;$A458,Геокодування!$B$2:$B$361,0))),""))))</f>
        <v>50.581086999999997</v>
      </c>
      <c r="S458" s="43">
        <f>IF($O458="","",IFERROR(INDEX('Координати майданчиків'!$I$4:$I$64,MATCH($T458,'Координати майданчиків'!$B$4:$B$64,0)),IFERROR(IF(ABS(INDEX(Геокодування!$C$2:$C$361,MATCH($Q458,Геокодування!$B$2:$B$361,0))-50.5884)+ABS(INDEX(Геокодування!$D$2:$D$361,MATCH($Q458,Геокодування!$B$2:$B$361,0))-32.3876)&gt;0.15,"",INDEX(Геокодування!$D$2:$D$361,MATCH($Q458,Геокодування!$B$2:$B$361,0))),IFERROR(IF(ABS(INDEX(Геокодування!$C$2:$C$361,MATCH("Прилуки, Чернігівська обл., "&amp;$A458,Геокодування!$B$2:$B$361,0))-50.5884)+ABS(INDEX(Геокодування!$D$2:$D$361,MATCH("Прилуки, Чернігівська обл., "&amp;$A458,Геокодування!$B$2:$B$361,0))-32.3876)&gt;0.15,"",INDEX(Геокодування!$D$2:$D$361,MATCH("Прилуки, Чернігівська обл., "&amp;$A458,Геокодування!$B$2:$B$361,0))),""))))</f>
        <v>32.405298000000002</v>
      </c>
      <c r="T458" s="44" t="str">
        <f>IF($O458="","",IFERROR(INDEX('Координати майданчиків'!$B$4:$B$64,MATCH($A458&amp;IF($P458="","",", "&amp;$P458),'Координати майданчиків'!$B$4:$B$64,0)),IFERROR(INDEX('Координати майданчиків'!$B$4:$B$64,MATCH($A458,'Координати майданчиків'!$B$4:$B$64,0)),"")))</f>
        <v/>
      </c>
    </row>
    <row r="459" spans="1:20" x14ac:dyDescent="0.35">
      <c r="A459" s="26" t="str">
        <f t="shared" si="21"/>
        <v>пров. Східний</v>
      </c>
      <c r="B459" s="26" t="str">
        <f t="shared" si="22"/>
        <v>10,7  5</v>
      </c>
      <c r="C459" s="27" t="str" cm="1">
        <f t="array" ref="C459">IF($O459="","",_xlfn.TEXTJOIN(", ",TRUE,IF(EXACT('Дані_зв''язок'!$J$4:$J$1012,$O459)*('Дані_зв''язок'!$C$4:$C$1012=C$4),'Дані_зв''язок'!$D$4:$D$1012,"")))</f>
        <v/>
      </c>
      <c r="D459" s="27" t="str" cm="1">
        <f t="array" ref="D459">IF($O459="","",_xlfn.TEXTJOIN(", ",TRUE,IF(EXACT('Дані_зв''язок'!$J$4:$J$1012,$O459)*('Дані_зв''язок'!$C$4:$C$1012=D$4),'Дані_зв''язок'!$D$4:$D$1012,"")))</f>
        <v>9:40</v>
      </c>
      <c r="E459" s="27" t="str" cm="1">
        <f t="array" ref="E459">IF($O459="","",_xlfn.TEXTJOIN(", ",TRUE,IF(EXACT('Дані_зв''язок'!$J$4:$J$1012,$O459)*('Дані_зв''язок'!$C$4:$C$1012=E$4),'Дані_зв''язок'!$D$4:$D$1012,"")))</f>
        <v/>
      </c>
      <c r="F459" s="27" t="str" cm="1">
        <f t="array" ref="F459">IF($O459="","",_xlfn.TEXTJOIN(", ",TRUE,IF(EXACT('Дані_зв''язок'!$J$4:$J$1012,$O459)*('Дані_зв''язок'!$C$4:$C$1012=F$4),'Дані_зв''язок'!$D$4:$D$1012,"")))</f>
        <v/>
      </c>
      <c r="G459" s="27" t="str" cm="1">
        <f t="array" ref="G459">IF($O459="","",_xlfn.TEXTJOIN(", ",TRUE,IF(EXACT('Дані_зв''язок'!$J$4:$J$1012,$O459)*('Дані_зв''язок'!$C$4:$C$1012=G$4),'Дані_зв''язок'!$D$4:$D$1012,"")))</f>
        <v/>
      </c>
      <c r="H459" s="27" t="str" cm="1">
        <f t="array" ref="H459">IF($O459="","",_xlfn.TEXTJOIN(", ",TRUE,IF(EXACT('Дані_зв''язок'!$J$4:$J$1012,$O459)*('Дані_зв''язок'!$C$4:$C$1012=H$4),'Дані_зв''язок'!$D$4:$D$1012,"")))</f>
        <v/>
      </c>
      <c r="I459" s="27" t="str" cm="1">
        <f t="array" ref="I459">IF($O459="","",_xlfn.TEXTJOIN(", ",TRUE,IF(EXACT('Дані_зв''язок'!$J$4:$J$1012,$O459)*('Дані_зв''язок'!$C$4:$C$1012=I$4),'Дані_зв''язок'!$D$4:$D$1012,"")))</f>
        <v/>
      </c>
      <c r="J459" s="27" cm="1">
        <f t="array" ref="J459">IF($O459="","",COUNTIF(C459:I459,"?*")+SUMPRODUCT(LEN(C459:I459)-LEN(SUBSTITUTE(C459:I459,",",""))))</f>
        <v>1</v>
      </c>
      <c r="K459" s="28" t="str" cm="1">
        <f t="array" ref="K459">IF($O459="","",_xlfn.TEXTJOIN(", ",TRUE,IF(EXACT('Дані_зв''язок'!$J$4:$J$1012,$O459),'Дані_зв''язок'!$L$4:$L$1012,"")))</f>
        <v>№6</v>
      </c>
      <c r="L459" s="28" t="str" cm="1">
        <f t="array" ref="L459">IF($O459="","",_xlfn.TEXTJOIN(", ",TRUE,IF(EXACT('Дані_зв''язок'!$J$4:$J$1012,$O459),'Дані_зв''язок'!$M$4:$M$1012,"")))</f>
        <v>АТ 4021</v>
      </c>
      <c r="M459" s="27" t="str" cm="1">
        <f t="array" ref="M459">IF($O459="","",IF(SUMPRODUCT(MAX(EXACT('Дані_зв''язок'!$J$4:$J$1012,$O459)*IFERROR('Дані_зв''язок'!$H$4:$H$1012,0)))=0,"",SUMPRODUCT(MAX(EXACT('Дані_зв''язок'!$J$4:$J$1012,$O459)*IFERROR('Дані_зв''язок'!$H$4:$H$1012,0)))))</f>
        <v/>
      </c>
      <c r="O459" s="30" t="s">
        <v>1583</v>
      </c>
      <c r="P459" s="24" cm="1">
        <f t="array" ref="P459">IF($O459="","",IF($B459="","",IFERROR(IF(MIN(IFERROR(VALUE(TRIM(MID(SUBSTITUTE(SUBSTITUTE($B459,","," ")," ",REPT(" ",30)),{1;31;61;91;121;151;181},30))),""))=0,"",MIN(IFERROR(VALUE(TRIM(MID(SUBSTITUTE(SUBSTITUTE($B459,","," ")," ",REPT(" ",30)),{1;31;61;91;121;151;181},30))),""))),"")))</f>
        <v>5</v>
      </c>
      <c r="Q459" s="23" t="str">
        <f t="shared" si="23"/>
        <v>Прилуки, Чернігівська обл., пров. Східний, 5</v>
      </c>
      <c r="R459" s="35">
        <f>IF($O459="","",IFERROR(INDEX('Координати майданчиків'!$H$4:$H$64,MATCH($T459,'Координати майданчиків'!$B$4:$B$64,0)),IFERROR(IF(ABS(INDEX(Геокодування!$C$2:$C$361,MATCH($Q459,Геокодування!$B$2:$B$361,0))-50.5884)+ABS(INDEX(Геокодування!$D$2:$D$361,MATCH($Q459,Геокодування!$B$2:$B$361,0))-32.3876)&gt;0.15,"",INDEX(Геокодування!$C$2:$C$361,MATCH($Q459,Геокодування!$B$2:$B$361,0))),IFERROR(IF(ABS(INDEX(Геокодування!$C$2:$C$361,MATCH("Прилуки, Чернігівська обл., "&amp;$A459,Геокодування!$B$2:$B$361,0))-50.5884)+ABS(INDEX(Геокодування!$D$2:$D$361,MATCH("Прилуки, Чернігівська обл., "&amp;$A459,Геокодування!$B$2:$B$361,0))-32.3876)&gt;0.15,"",INDEX(Геокодування!$C$2:$C$361,MATCH("Прилуки, Чернігівська обл., "&amp;$A459,Геокодування!$B$2:$B$361,0))),""))))</f>
        <v>50.580542999999999</v>
      </c>
      <c r="S459" s="43">
        <f>IF($O459="","",IFERROR(INDEX('Координати майданчиків'!$I$4:$I$64,MATCH($T459,'Координати майданчиків'!$B$4:$B$64,0)),IFERROR(IF(ABS(INDEX(Геокодування!$C$2:$C$361,MATCH($Q459,Геокодування!$B$2:$B$361,0))-50.5884)+ABS(INDEX(Геокодування!$D$2:$D$361,MATCH($Q459,Геокодування!$B$2:$B$361,0))-32.3876)&gt;0.15,"",INDEX(Геокодування!$D$2:$D$361,MATCH($Q459,Геокодування!$B$2:$B$361,0))),IFERROR(IF(ABS(INDEX(Геокодування!$C$2:$C$361,MATCH("Прилуки, Чернігівська обл., "&amp;$A459,Геокодування!$B$2:$B$361,0))-50.5884)+ABS(INDEX(Геокодування!$D$2:$D$361,MATCH("Прилуки, Чернігівська обл., "&amp;$A459,Геокодування!$B$2:$B$361,0))-32.3876)&gt;0.15,"",INDEX(Геокодування!$D$2:$D$361,MATCH("Прилуки, Чернігівська обл., "&amp;$A459,Геокодування!$B$2:$B$361,0))),""))))</f>
        <v>32.408766999999997</v>
      </c>
      <c r="T459" s="44" t="str">
        <f>IF($O459="","",IFERROR(INDEX('Координати майданчиків'!$B$4:$B$64,MATCH($A459&amp;IF($P459="","",", "&amp;$P459),'Координати майданчиків'!$B$4:$B$64,0)),IFERROR(INDEX('Координати майданчиків'!$B$4:$B$64,MATCH($A459,'Координати майданчиків'!$B$4:$B$64,0)),"")))</f>
        <v/>
      </c>
    </row>
    <row r="460" spans="1:20" x14ac:dyDescent="0.35">
      <c r="A460" s="26" t="str">
        <f t="shared" si="21"/>
        <v>пров. Трубарівський</v>
      </c>
      <c r="B460" s="26" t="str">
        <f t="shared" si="22"/>
        <v/>
      </c>
      <c r="C460" s="27" t="str" cm="1">
        <f t="array" ref="C460">IF($O460="","",_xlfn.TEXTJOIN(", ",TRUE,IF(EXACT('Дані_зв''язок'!$J$4:$J$1012,$O460)*('Дані_зв''язок'!$C$4:$C$1012=C$4),'Дані_зв''язок'!$D$4:$D$1012,"")))</f>
        <v/>
      </c>
      <c r="D460" s="27" t="str" cm="1">
        <f t="array" ref="D460">IF($O460="","",_xlfn.TEXTJOIN(", ",TRUE,IF(EXACT('Дані_зв''язок'!$J$4:$J$1012,$O460)*('Дані_зв''язок'!$C$4:$C$1012=D$4),'Дані_зв''язок'!$D$4:$D$1012,"")))</f>
        <v>13:05</v>
      </c>
      <c r="E460" s="27" t="str" cm="1">
        <f t="array" ref="E460">IF($O460="","",_xlfn.TEXTJOIN(", ",TRUE,IF(EXACT('Дані_зв''язок'!$J$4:$J$1012,$O460)*('Дані_зв''язок'!$C$4:$C$1012=E$4),'Дані_зв''язок'!$D$4:$D$1012,"")))</f>
        <v/>
      </c>
      <c r="F460" s="27" t="str" cm="1">
        <f t="array" ref="F460">IF($O460="","",_xlfn.TEXTJOIN(", ",TRUE,IF(EXACT('Дані_зв''язок'!$J$4:$J$1012,$O460)*('Дані_зв''язок'!$C$4:$C$1012=F$4),'Дані_зв''язок'!$D$4:$D$1012,"")))</f>
        <v/>
      </c>
      <c r="G460" s="27" t="str" cm="1">
        <f t="array" ref="G460">IF($O460="","",_xlfn.TEXTJOIN(", ",TRUE,IF(EXACT('Дані_зв''язок'!$J$4:$J$1012,$O460)*('Дані_зв''язок'!$C$4:$C$1012=G$4),'Дані_зв''язок'!$D$4:$D$1012,"")))</f>
        <v/>
      </c>
      <c r="H460" s="27" t="str" cm="1">
        <f t="array" ref="H460">IF($O460="","",_xlfn.TEXTJOIN(", ",TRUE,IF(EXACT('Дані_зв''язок'!$J$4:$J$1012,$O460)*('Дані_зв''язок'!$C$4:$C$1012=H$4),'Дані_зв''язок'!$D$4:$D$1012,"")))</f>
        <v/>
      </c>
      <c r="I460" s="27" t="str" cm="1">
        <f t="array" ref="I460">IF($O460="","",_xlfn.TEXTJOIN(", ",TRUE,IF(EXACT('Дані_зв''язок'!$J$4:$J$1012,$O460)*('Дані_зв''язок'!$C$4:$C$1012=I$4),'Дані_зв''язок'!$D$4:$D$1012,"")))</f>
        <v/>
      </c>
      <c r="J460" s="27" cm="1">
        <f t="array" ref="J460">IF($O460="","",COUNTIF(C460:I460,"?*")+SUMPRODUCT(LEN(C460:I460)-LEN(SUBSTITUTE(C460:I460,",",""))))</f>
        <v>1</v>
      </c>
      <c r="K460" s="28" t="str" cm="1">
        <f t="array" ref="K460">IF($O460="","",_xlfn.TEXTJOIN(", ",TRUE,IF(EXACT('Дані_зв''язок'!$J$4:$J$1012,$O460),'Дані_зв''язок'!$L$4:$L$1012,"")))</f>
        <v>№5</v>
      </c>
      <c r="L460" s="28" t="str" cm="1">
        <f t="array" ref="L460">IF($O460="","",_xlfn.TEXTJOIN(", ",TRUE,IF(EXACT('Дані_зв''язок'!$J$4:$J$1012,$O460),'Дані_зв''язок'!$M$4:$M$1012,"")))</f>
        <v>МАЗ 4381</v>
      </c>
      <c r="M460" s="27" t="str" cm="1">
        <f t="array" ref="M460">IF($O460="","",IF(SUMPRODUCT(MAX(EXACT('Дані_зв''язок'!$J$4:$J$1012,$O460)*IFERROR('Дані_зв''язок'!$H$4:$H$1012,0)))=0,"",SUMPRODUCT(MAX(EXACT('Дані_зв''язок'!$J$4:$J$1012,$O460)*IFERROR('Дані_зв''язок'!$H$4:$H$1012,0)))))</f>
        <v/>
      </c>
      <c r="O460" s="30" t="s">
        <v>1584</v>
      </c>
      <c r="P460" s="24" t="str" cm="1">
        <f t="array" ref="P460">IF($O460="","",IF($B460="","",IFERROR(IF(MIN(IFERROR(VALUE(TRIM(MID(SUBSTITUTE(SUBSTITUTE($B460,","," ")," ",REPT(" ",30)),{1;31;61;91;121;151;181},30))),""))=0,"",MIN(IFERROR(VALUE(TRIM(MID(SUBSTITUTE(SUBSTITUTE($B460,","," ")," ",REPT(" ",30)),{1;31;61;91;121;151;181},30))),""))),"")))</f>
        <v/>
      </c>
      <c r="Q460" s="23" t="str">
        <f t="shared" si="23"/>
        <v>Прилуки, Чернігівська обл., пров. Трубарівський</v>
      </c>
      <c r="R460" s="35">
        <f>IF($O460="","",IFERROR(INDEX('Координати майданчиків'!$H$4:$H$64,MATCH($T460,'Координати майданчиків'!$B$4:$B$64,0)),IFERROR(IF(ABS(INDEX(Геокодування!$C$2:$C$361,MATCH($Q460,Геокодування!$B$2:$B$361,0))-50.5884)+ABS(INDEX(Геокодування!$D$2:$D$361,MATCH($Q460,Геокодування!$B$2:$B$361,0))-32.3876)&gt;0.15,"",INDEX(Геокодування!$C$2:$C$361,MATCH($Q460,Геокодування!$B$2:$B$361,0))),IFERROR(IF(ABS(INDEX(Геокодування!$C$2:$C$361,MATCH("Прилуки, Чернігівська обл., "&amp;$A460,Геокодування!$B$2:$B$361,0))-50.5884)+ABS(INDEX(Геокодування!$D$2:$D$361,MATCH("Прилуки, Чернігівська обл., "&amp;$A460,Геокодування!$B$2:$B$361,0))-32.3876)&gt;0.15,"",INDEX(Геокодування!$C$2:$C$361,MATCH("Прилуки, Чернігівська обл., "&amp;$A460,Геокодування!$B$2:$B$361,0))),""))))</f>
        <v>50.588303000000003</v>
      </c>
      <c r="S460" s="43">
        <f>IF($O460="","",IFERROR(INDEX('Координати майданчиків'!$I$4:$I$64,MATCH($T460,'Координати майданчиків'!$B$4:$B$64,0)),IFERROR(IF(ABS(INDEX(Геокодування!$C$2:$C$361,MATCH($Q460,Геокодування!$B$2:$B$361,0))-50.5884)+ABS(INDEX(Геокодування!$D$2:$D$361,MATCH($Q460,Геокодування!$B$2:$B$361,0))-32.3876)&gt;0.15,"",INDEX(Геокодування!$D$2:$D$361,MATCH($Q460,Геокодування!$B$2:$B$361,0))),IFERROR(IF(ABS(INDEX(Геокодування!$C$2:$C$361,MATCH("Прилуки, Чернігівська обл., "&amp;$A460,Геокодування!$B$2:$B$361,0))-50.5884)+ABS(INDEX(Геокодування!$D$2:$D$361,MATCH("Прилуки, Чернігівська обл., "&amp;$A460,Геокодування!$B$2:$B$361,0))-32.3876)&gt;0.15,"",INDEX(Геокодування!$D$2:$D$361,MATCH("Прилуки, Чернігівська обл., "&amp;$A460,Геокодування!$B$2:$B$361,0))),""))))</f>
        <v>32.365586999999998</v>
      </c>
      <c r="T460" s="44" t="str">
        <f>IF($O460="","",IFERROR(INDEX('Координати майданчиків'!$B$4:$B$64,MATCH($A460&amp;IF($P460="","",", "&amp;$P460),'Координати майданчиків'!$B$4:$B$64,0)),IFERROR(INDEX('Координати майданчиків'!$B$4:$B$64,MATCH($A460,'Координати майданчиків'!$B$4:$B$64,0)),"")))</f>
        <v/>
      </c>
    </row>
    <row r="461" spans="1:20" x14ac:dyDescent="0.35">
      <c r="A461" s="26" t="str">
        <f t="shared" si="21"/>
        <v>пров. Трудовий</v>
      </c>
      <c r="B461" s="26" t="str">
        <f t="shared" si="22"/>
        <v>1,2  21,24</v>
      </c>
      <c r="C461" s="27" t="str" cm="1">
        <f t="array" ref="C461">IF($O461="","",_xlfn.TEXTJOIN(", ",TRUE,IF(EXACT('Дані_зв''язок'!$J$4:$J$1012,$O461)*('Дані_зв''язок'!$C$4:$C$1012=C$4),'Дані_зв''язок'!$D$4:$D$1012,"")))</f>
        <v/>
      </c>
      <c r="D461" s="27" t="str" cm="1">
        <f t="array" ref="D461">IF($O461="","",_xlfn.TEXTJOIN(", ",TRUE,IF(EXACT('Дані_зв''язок'!$J$4:$J$1012,$O461)*('Дані_зв''язок'!$C$4:$C$1012=D$4),'Дані_зв''язок'!$D$4:$D$1012,"")))</f>
        <v/>
      </c>
      <c r="E461" s="27" t="str" cm="1">
        <f t="array" ref="E461">IF($O461="","",_xlfn.TEXTJOIN(", ",TRUE,IF(EXACT('Дані_зв''язок'!$J$4:$J$1012,$O461)*('Дані_зв''язок'!$C$4:$C$1012=E$4),'Дані_зв''язок'!$D$4:$D$1012,"")))</f>
        <v/>
      </c>
      <c r="F461" s="27" t="str" cm="1">
        <f t="array" ref="F461">IF($O461="","",_xlfn.TEXTJOIN(", ",TRUE,IF(EXACT('Дані_зв''язок'!$J$4:$J$1012,$O461)*('Дані_зв''язок'!$C$4:$C$1012=F$4),'Дані_зв''язок'!$D$4:$D$1012,"")))</f>
        <v/>
      </c>
      <c r="G461" s="27" t="str" cm="1">
        <f t="array" ref="G461">IF($O461="","",_xlfn.TEXTJOIN(", ",TRUE,IF(EXACT('Дані_зв''язок'!$J$4:$J$1012,$O461)*('Дані_зв''язок'!$C$4:$C$1012=G$4),'Дані_зв''язок'!$D$4:$D$1012,"")))</f>
        <v>11:15</v>
      </c>
      <c r="H461" s="27" t="str" cm="1">
        <f t="array" ref="H461">IF($O461="","",_xlfn.TEXTJOIN(", ",TRUE,IF(EXACT('Дані_зв''язок'!$J$4:$J$1012,$O461)*('Дані_зв''язок'!$C$4:$C$1012=H$4),'Дані_зв''язок'!$D$4:$D$1012,"")))</f>
        <v/>
      </c>
      <c r="I461" s="27" t="str" cm="1">
        <f t="array" ref="I461">IF($O461="","",_xlfn.TEXTJOIN(", ",TRUE,IF(EXACT('Дані_зв''язок'!$J$4:$J$1012,$O461)*('Дані_зв''язок'!$C$4:$C$1012=I$4),'Дані_зв''язок'!$D$4:$D$1012,"")))</f>
        <v/>
      </c>
      <c r="J461" s="27" cm="1">
        <f t="array" ref="J461">IF($O461="","",COUNTIF(C461:I461,"?*")+SUMPRODUCT(LEN(C461:I461)-LEN(SUBSTITUTE(C461:I461,",",""))))</f>
        <v>1</v>
      </c>
      <c r="K461" s="28" t="str" cm="1">
        <f t="array" ref="K461">IF($O461="","",_xlfn.TEXTJOIN(", ",TRUE,IF(EXACT('Дані_зв''язок'!$J$4:$J$1012,$O461),'Дані_зв''язок'!$L$4:$L$1012,"")))</f>
        <v>№6</v>
      </c>
      <c r="L461" s="28" t="str" cm="1">
        <f t="array" ref="L461">IF($O461="","",_xlfn.TEXTJOIN(", ",TRUE,IF(EXACT('Дані_зв''язок'!$J$4:$J$1012,$O461),'Дані_зв''язок'!$M$4:$M$1012,"")))</f>
        <v>АТ 4021</v>
      </c>
      <c r="M461" s="27" t="str" cm="1">
        <f t="array" ref="M461">IF($O461="","",IF(SUMPRODUCT(MAX(EXACT('Дані_зв''язок'!$J$4:$J$1012,$O461)*IFERROR('Дані_зв''язок'!$H$4:$H$1012,0)))=0,"",SUMPRODUCT(MAX(EXACT('Дані_зв''язок'!$J$4:$J$1012,$O461)*IFERROR('Дані_зв''язок'!$H$4:$H$1012,0)))))</f>
        <v/>
      </c>
      <c r="O461" s="30" t="s">
        <v>1585</v>
      </c>
      <c r="P461" s="24" cm="1">
        <f t="array" ref="P461">IF($O461="","",IF($B461="","",IFERROR(IF(MIN(IFERROR(VALUE(TRIM(MID(SUBSTITUTE(SUBSTITUTE($B461,","," ")," ",REPT(" ",30)),{1;31;61;91;121;151;181},30))),""))=0,"",MIN(IFERROR(VALUE(TRIM(MID(SUBSTITUTE(SUBSTITUTE($B461,","," ")," ",REPT(" ",30)),{1;31;61;91;121;151;181},30))),""))),"")))</f>
        <v>1</v>
      </c>
      <c r="Q461" s="23" t="str">
        <f t="shared" si="23"/>
        <v>Прилуки, Чернігівська обл., пров. Трудовий, 1</v>
      </c>
      <c r="R461" s="35">
        <f>IF($O461="","",IFERROR(INDEX('Координати майданчиків'!$H$4:$H$64,MATCH($T461,'Координати майданчиків'!$B$4:$B$64,0)),IFERROR(IF(ABS(INDEX(Геокодування!$C$2:$C$361,MATCH($Q461,Геокодування!$B$2:$B$361,0))-50.5884)+ABS(INDEX(Геокодування!$D$2:$D$361,MATCH($Q461,Геокодування!$B$2:$B$361,0))-32.3876)&gt;0.15,"",INDEX(Геокодування!$C$2:$C$361,MATCH($Q461,Геокодування!$B$2:$B$361,0))),IFERROR(IF(ABS(INDEX(Геокодування!$C$2:$C$361,MATCH("Прилуки, Чернігівська обл., "&amp;$A461,Геокодування!$B$2:$B$361,0))-50.5884)+ABS(INDEX(Геокодування!$D$2:$D$361,MATCH("Прилуки, Чернігівська обл., "&amp;$A461,Геокодування!$B$2:$B$361,0))-32.3876)&gt;0.15,"",INDEX(Геокодування!$C$2:$C$361,MATCH("Прилуки, Чернігівська обл., "&amp;$A461,Геокодування!$B$2:$B$361,0))),""))))</f>
        <v>50.589855</v>
      </c>
      <c r="S461" s="43">
        <f>IF($O461="","",IFERROR(INDEX('Координати майданчиків'!$I$4:$I$64,MATCH($T461,'Координати майданчиків'!$B$4:$B$64,0)),IFERROR(IF(ABS(INDEX(Геокодування!$C$2:$C$361,MATCH($Q461,Геокодування!$B$2:$B$361,0))-50.5884)+ABS(INDEX(Геокодування!$D$2:$D$361,MATCH($Q461,Геокодування!$B$2:$B$361,0))-32.3876)&gt;0.15,"",INDEX(Геокодування!$D$2:$D$361,MATCH($Q461,Геокодування!$B$2:$B$361,0))),IFERROR(IF(ABS(INDEX(Геокодування!$C$2:$C$361,MATCH("Прилуки, Чернігівська обл., "&amp;$A461,Геокодування!$B$2:$B$361,0))-50.5884)+ABS(INDEX(Геокодування!$D$2:$D$361,MATCH("Прилуки, Чернігівська обл., "&amp;$A461,Геокодування!$B$2:$B$361,0))-32.3876)&gt;0.15,"",INDEX(Геокодування!$D$2:$D$361,MATCH("Прилуки, Чернігівська обл., "&amp;$A461,Геокодування!$B$2:$B$361,0))),""))))</f>
        <v>32.423023000000001</v>
      </c>
      <c r="T461" s="44" t="str">
        <f>IF($O461="","",IFERROR(INDEX('Координати майданчиків'!$B$4:$B$64,MATCH($A461&amp;IF($P461="","",", "&amp;$P461),'Координати майданчиків'!$B$4:$B$64,0)),IFERROR(INDEX('Координати майданчиків'!$B$4:$B$64,MATCH($A461,'Координати майданчиків'!$B$4:$B$64,0)),"")))</f>
        <v/>
      </c>
    </row>
    <row r="462" spans="1:20" x14ac:dyDescent="0.35">
      <c r="A462" s="26" t="str">
        <f t="shared" si="21"/>
        <v>пров. Фабричний</v>
      </c>
      <c r="B462" s="26" t="str">
        <f t="shared" si="22"/>
        <v>27,42  50</v>
      </c>
      <c r="C462" s="27" t="str" cm="1">
        <f t="array" ref="C462">IF($O462="","",_xlfn.TEXTJOIN(", ",TRUE,IF(EXACT('Дані_зв''язок'!$J$4:$J$1012,$O462)*('Дані_зв''язок'!$C$4:$C$1012=C$4),'Дані_зв''язок'!$D$4:$D$1012,"")))</f>
        <v>10:25</v>
      </c>
      <c r="D462" s="27" t="str" cm="1">
        <f t="array" ref="D462">IF($O462="","",_xlfn.TEXTJOIN(", ",TRUE,IF(EXACT('Дані_зв''язок'!$J$4:$J$1012,$O462)*('Дані_зв''язок'!$C$4:$C$1012=D$4),'Дані_зв''язок'!$D$4:$D$1012,"")))</f>
        <v/>
      </c>
      <c r="E462" s="27" t="str" cm="1">
        <f t="array" ref="E462">IF($O462="","",_xlfn.TEXTJOIN(", ",TRUE,IF(EXACT('Дані_зв''язок'!$J$4:$J$1012,$O462)*('Дані_зв''язок'!$C$4:$C$1012=E$4),'Дані_зв''язок'!$D$4:$D$1012,"")))</f>
        <v/>
      </c>
      <c r="F462" s="27" t="str" cm="1">
        <f t="array" ref="F462">IF($O462="","",_xlfn.TEXTJOIN(", ",TRUE,IF(EXACT('Дані_зв''язок'!$J$4:$J$1012,$O462)*('Дані_зв''язок'!$C$4:$C$1012=F$4),'Дані_зв''язок'!$D$4:$D$1012,"")))</f>
        <v/>
      </c>
      <c r="G462" s="27" t="str" cm="1">
        <f t="array" ref="G462">IF($O462="","",_xlfn.TEXTJOIN(", ",TRUE,IF(EXACT('Дані_зв''язок'!$J$4:$J$1012,$O462)*('Дані_зв''язок'!$C$4:$C$1012=G$4),'Дані_зв''язок'!$D$4:$D$1012,"")))</f>
        <v/>
      </c>
      <c r="H462" s="27" t="str" cm="1">
        <f t="array" ref="H462">IF($O462="","",_xlfn.TEXTJOIN(", ",TRUE,IF(EXACT('Дані_зв''язок'!$J$4:$J$1012,$O462)*('Дані_зв''язок'!$C$4:$C$1012=H$4),'Дані_зв''язок'!$D$4:$D$1012,"")))</f>
        <v/>
      </c>
      <c r="I462" s="27" t="str" cm="1">
        <f t="array" ref="I462">IF($O462="","",_xlfn.TEXTJOIN(", ",TRUE,IF(EXACT('Дані_зв''язок'!$J$4:$J$1012,$O462)*('Дані_зв''язок'!$C$4:$C$1012=I$4),'Дані_зв''язок'!$D$4:$D$1012,"")))</f>
        <v/>
      </c>
      <c r="J462" s="27" cm="1">
        <f t="array" ref="J462">IF($O462="","",COUNTIF(C462:I462,"?*")+SUMPRODUCT(LEN(C462:I462)-LEN(SUBSTITUTE(C462:I462,",",""))))</f>
        <v>1</v>
      </c>
      <c r="K462" s="28" t="str" cm="1">
        <f t="array" ref="K462">IF($O462="","",_xlfn.TEXTJOIN(", ",TRUE,IF(EXACT('Дані_зв''язок'!$J$4:$J$1012,$O462),'Дані_зв''язок'!$L$4:$L$1012,"")))</f>
        <v>№6</v>
      </c>
      <c r="L462" s="28" t="str" cm="1">
        <f t="array" ref="L462">IF($O462="","",_xlfn.TEXTJOIN(", ",TRUE,IF(EXACT('Дані_зв''язок'!$J$4:$J$1012,$O462),'Дані_зв''язок'!$M$4:$M$1012,"")))</f>
        <v>АТ 4021</v>
      </c>
      <c r="M462" s="27" t="str" cm="1">
        <f t="array" ref="M462">IF($O462="","",IF(SUMPRODUCT(MAX(EXACT('Дані_зв''язок'!$J$4:$J$1012,$O462)*IFERROR('Дані_зв''язок'!$H$4:$H$1012,0)))=0,"",SUMPRODUCT(MAX(EXACT('Дані_зв''язок'!$J$4:$J$1012,$O462)*IFERROR('Дані_зв''язок'!$H$4:$H$1012,0)))))</f>
        <v/>
      </c>
      <c r="O462" s="30" t="s">
        <v>1586</v>
      </c>
      <c r="P462" s="24" cm="1">
        <f t="array" ref="P462">IF($O462="","",IF($B462="","",IFERROR(IF(MIN(IFERROR(VALUE(TRIM(MID(SUBSTITUTE(SUBSTITUTE($B462,","," ")," ",REPT(" ",30)),{1;31;61;91;121;151;181},30))),""))=0,"",MIN(IFERROR(VALUE(TRIM(MID(SUBSTITUTE(SUBSTITUTE($B462,","," ")," ",REPT(" ",30)),{1;31;61;91;121;151;181},30))),""))),"")))</f>
        <v>27</v>
      </c>
      <c r="Q462" s="23" t="str">
        <f t="shared" si="23"/>
        <v>Прилуки, Чернігівська обл., пров. Фабричний, 27</v>
      </c>
      <c r="R462" s="35">
        <f>IF($O462="","",IFERROR(INDEX('Координати майданчиків'!$H$4:$H$64,MATCH($T462,'Координати майданчиків'!$B$4:$B$64,0)),IFERROR(IF(ABS(INDEX(Геокодування!$C$2:$C$361,MATCH($Q462,Геокодування!$B$2:$B$361,0))-50.5884)+ABS(INDEX(Геокодування!$D$2:$D$361,MATCH($Q462,Геокодування!$B$2:$B$361,0))-32.3876)&gt;0.15,"",INDEX(Геокодування!$C$2:$C$361,MATCH($Q462,Геокодування!$B$2:$B$361,0))),IFERROR(IF(ABS(INDEX(Геокодування!$C$2:$C$361,MATCH("Прилуки, Чернігівська обл., "&amp;$A462,Геокодування!$B$2:$B$361,0))-50.5884)+ABS(INDEX(Геокодування!$D$2:$D$361,MATCH("Прилуки, Чернігівська обл., "&amp;$A462,Геокодування!$B$2:$B$361,0))-32.3876)&gt;0.15,"",INDEX(Геокодування!$C$2:$C$361,MATCH("Прилуки, Чернігівська обл., "&amp;$A462,Геокодування!$B$2:$B$361,0))),""))))</f>
        <v>50.618051000000001</v>
      </c>
      <c r="S462" s="43">
        <f>IF($O462="","",IFERROR(INDEX('Координати майданчиків'!$I$4:$I$64,MATCH($T462,'Координати майданчиків'!$B$4:$B$64,0)),IFERROR(IF(ABS(INDEX(Геокодування!$C$2:$C$361,MATCH($Q462,Геокодування!$B$2:$B$361,0))-50.5884)+ABS(INDEX(Геокодування!$D$2:$D$361,MATCH($Q462,Геокодування!$B$2:$B$361,0))-32.3876)&gt;0.15,"",INDEX(Геокодування!$D$2:$D$361,MATCH($Q462,Геокодування!$B$2:$B$361,0))),IFERROR(IF(ABS(INDEX(Геокодування!$C$2:$C$361,MATCH("Прилуки, Чернігівська обл., "&amp;$A462,Геокодування!$B$2:$B$361,0))-50.5884)+ABS(INDEX(Геокодування!$D$2:$D$361,MATCH("Прилуки, Чернігівська обл., "&amp;$A462,Геокодування!$B$2:$B$361,0))-32.3876)&gt;0.15,"",INDEX(Геокодування!$D$2:$D$361,MATCH("Прилуки, Чернігівська обл., "&amp;$A462,Геокодування!$B$2:$B$361,0))),""))))</f>
        <v>32.372185999999999</v>
      </c>
      <c r="T462" s="44" t="str">
        <f>IF($O462="","",IFERROR(INDEX('Координати майданчиків'!$B$4:$B$64,MATCH($A462&amp;IF($P462="","",", "&amp;$P462),'Координати майданчиків'!$B$4:$B$64,0)),IFERROR(INDEX('Координати майданчиків'!$B$4:$B$64,MATCH($A462,'Координати майданчиків'!$B$4:$B$64,0)),"")))</f>
        <v/>
      </c>
    </row>
    <row r="463" spans="1:20" x14ac:dyDescent="0.35">
      <c r="A463" s="26" t="str">
        <f t="shared" si="21"/>
        <v>пров. Фізкультурника</v>
      </c>
      <c r="B463" s="26" t="str">
        <f t="shared" si="22"/>
        <v>4,12</v>
      </c>
      <c r="C463" s="27" t="str" cm="1">
        <f t="array" ref="C463">IF($O463="","",_xlfn.TEXTJOIN(", ",TRUE,IF(EXACT('Дані_зв''язок'!$J$4:$J$1012,$O463)*('Дані_зв''язок'!$C$4:$C$1012=C$4),'Дані_зв''язок'!$D$4:$D$1012,"")))</f>
        <v/>
      </c>
      <c r="D463" s="27" t="str" cm="1">
        <f t="array" ref="D463">IF($O463="","",_xlfn.TEXTJOIN(", ",TRUE,IF(EXACT('Дані_зв''язок'!$J$4:$J$1012,$O463)*('Дані_зв''язок'!$C$4:$C$1012=D$4),'Дані_зв''язок'!$D$4:$D$1012,"")))</f>
        <v/>
      </c>
      <c r="E463" s="27" t="str" cm="1">
        <f t="array" ref="E463">IF($O463="","",_xlfn.TEXTJOIN(", ",TRUE,IF(EXACT('Дані_зв''язок'!$J$4:$J$1012,$O463)*('Дані_зв''язок'!$C$4:$C$1012=E$4),'Дані_зв''язок'!$D$4:$D$1012,"")))</f>
        <v>8:45</v>
      </c>
      <c r="F463" s="27" t="str" cm="1">
        <f t="array" ref="F463">IF($O463="","",_xlfn.TEXTJOIN(", ",TRUE,IF(EXACT('Дані_зв''язок'!$J$4:$J$1012,$O463)*('Дані_зв''язок'!$C$4:$C$1012=F$4),'Дані_зв''язок'!$D$4:$D$1012,"")))</f>
        <v/>
      </c>
      <c r="G463" s="27" t="str" cm="1">
        <f t="array" ref="G463">IF($O463="","",_xlfn.TEXTJOIN(", ",TRUE,IF(EXACT('Дані_зв''язок'!$J$4:$J$1012,$O463)*('Дані_зв''язок'!$C$4:$C$1012=G$4),'Дані_зв''язок'!$D$4:$D$1012,"")))</f>
        <v/>
      </c>
      <c r="H463" s="27" t="str" cm="1">
        <f t="array" ref="H463">IF($O463="","",_xlfn.TEXTJOIN(", ",TRUE,IF(EXACT('Дані_зв''язок'!$J$4:$J$1012,$O463)*('Дані_зв''язок'!$C$4:$C$1012=H$4),'Дані_зв''язок'!$D$4:$D$1012,"")))</f>
        <v/>
      </c>
      <c r="I463" s="27" t="str" cm="1">
        <f t="array" ref="I463">IF($O463="","",_xlfn.TEXTJOIN(", ",TRUE,IF(EXACT('Дані_зв''язок'!$J$4:$J$1012,$O463)*('Дані_зв''язок'!$C$4:$C$1012=I$4),'Дані_зв''язок'!$D$4:$D$1012,"")))</f>
        <v/>
      </c>
      <c r="J463" s="27" cm="1">
        <f t="array" ref="J463">IF($O463="","",COUNTIF(C463:I463,"?*")+SUMPRODUCT(LEN(C463:I463)-LEN(SUBSTITUTE(C463:I463,",",""))))</f>
        <v>1</v>
      </c>
      <c r="K463" s="28" t="str" cm="1">
        <f t="array" ref="K463">IF($O463="","",_xlfn.TEXTJOIN(", ",TRUE,IF(EXACT('Дані_зв''язок'!$J$4:$J$1012,$O463),'Дані_зв''язок'!$L$4:$L$1012,"")))</f>
        <v>№6</v>
      </c>
      <c r="L463" s="28" t="str" cm="1">
        <f t="array" ref="L463">IF($O463="","",_xlfn.TEXTJOIN(", ",TRUE,IF(EXACT('Дані_зв''язок'!$J$4:$J$1012,$O463),'Дані_зв''язок'!$M$4:$M$1012,"")))</f>
        <v>АТ 4021</v>
      </c>
      <c r="M463" s="27" t="str" cm="1">
        <f t="array" ref="M463">IF($O463="","",IF(SUMPRODUCT(MAX(EXACT('Дані_зв''язок'!$J$4:$J$1012,$O463)*IFERROR('Дані_зв''язок'!$H$4:$H$1012,0)))=0,"",SUMPRODUCT(MAX(EXACT('Дані_зв''язок'!$J$4:$J$1012,$O463)*IFERROR('Дані_зв''язок'!$H$4:$H$1012,0)))))</f>
        <v/>
      </c>
      <c r="O463" s="30" t="s">
        <v>1587</v>
      </c>
      <c r="P463" s="24" cm="1">
        <f t="array" ref="P463">IF($O463="","",IF($B463="","",IFERROR(IF(MIN(IFERROR(VALUE(TRIM(MID(SUBSTITUTE(SUBSTITUTE($B463,","," ")," ",REPT(" ",30)),{1;31;61;91;121;151;181},30))),""))=0,"",MIN(IFERROR(VALUE(TRIM(MID(SUBSTITUTE(SUBSTITUTE($B463,","," ")," ",REPT(" ",30)),{1;31;61;91;121;151;181},30))),""))),"")))</f>
        <v>4</v>
      </c>
      <c r="Q463" s="23" t="str">
        <f t="shared" si="23"/>
        <v>Прилуки, Чернігівська обл., пров. Фізкультурника, 4</v>
      </c>
      <c r="R463" s="35">
        <f>IF($O463="","",IFERROR(INDEX('Координати майданчиків'!$H$4:$H$64,MATCH($T463,'Координати майданчиків'!$B$4:$B$64,0)),IFERROR(IF(ABS(INDEX(Геокодування!$C$2:$C$361,MATCH($Q463,Геокодування!$B$2:$B$361,0))-50.5884)+ABS(INDEX(Геокодування!$D$2:$D$361,MATCH($Q463,Геокодування!$B$2:$B$361,0))-32.3876)&gt;0.15,"",INDEX(Геокодування!$C$2:$C$361,MATCH($Q463,Геокодування!$B$2:$B$361,0))),IFERROR(IF(ABS(INDEX(Геокодування!$C$2:$C$361,MATCH("Прилуки, Чернігівська обл., "&amp;$A463,Геокодування!$B$2:$B$361,0))-50.5884)+ABS(INDEX(Геокодування!$D$2:$D$361,MATCH("Прилуки, Чернігівська обл., "&amp;$A463,Геокодування!$B$2:$B$361,0))-32.3876)&gt;0.15,"",INDEX(Геокодування!$C$2:$C$361,MATCH("Прилуки, Чернігівська обл., "&amp;$A463,Геокодування!$B$2:$B$361,0))),""))))</f>
        <v>50.581744999999998</v>
      </c>
      <c r="S463" s="43">
        <f>IF($O463="","",IFERROR(INDEX('Координати майданчиків'!$I$4:$I$64,MATCH($T463,'Координати майданчиків'!$B$4:$B$64,0)),IFERROR(IF(ABS(INDEX(Геокодування!$C$2:$C$361,MATCH($Q463,Геокодування!$B$2:$B$361,0))-50.5884)+ABS(INDEX(Геокодування!$D$2:$D$361,MATCH($Q463,Геокодування!$B$2:$B$361,0))-32.3876)&gt;0.15,"",INDEX(Геокодування!$D$2:$D$361,MATCH($Q463,Геокодування!$B$2:$B$361,0))),IFERROR(IF(ABS(INDEX(Геокодування!$C$2:$C$361,MATCH("Прилуки, Чернігівська обл., "&amp;$A463,Геокодування!$B$2:$B$361,0))-50.5884)+ABS(INDEX(Геокодування!$D$2:$D$361,MATCH("Прилуки, Чернігівська обл., "&amp;$A463,Геокодування!$B$2:$B$361,0))-32.3876)&gt;0.15,"",INDEX(Геокодування!$D$2:$D$361,MATCH("Прилуки, Чернігівська обл., "&amp;$A463,Геокодування!$B$2:$B$361,0))),""))))</f>
        <v>32.397621000000001</v>
      </c>
      <c r="T463" s="44" t="str">
        <f>IF($O463="","",IFERROR(INDEX('Координати майданчиків'!$B$4:$B$64,MATCH($A463&amp;IF($P463="","",", "&amp;$P463),'Координати майданчиків'!$B$4:$B$64,0)),IFERROR(INDEX('Координати майданчиків'!$B$4:$B$64,MATCH($A463,'Координати майданчиків'!$B$4:$B$64,0)),"")))</f>
        <v/>
      </c>
    </row>
    <row r="464" spans="1:20" x14ac:dyDescent="0.35">
      <c r="A464" s="26" t="str">
        <f t="shared" si="21"/>
        <v>пров. Фізкультурника</v>
      </c>
      <c r="B464" s="26" t="str">
        <f t="shared" si="22"/>
        <v>9 ліцей</v>
      </c>
      <c r="C464" s="27" t="str" cm="1">
        <f t="array" ref="C464">IF($O464="","",_xlfn.TEXTJOIN(", ",TRUE,IF(EXACT('Дані_зв''язок'!$J$4:$J$1012,$O464)*('Дані_зв''язок'!$C$4:$C$1012=C$4),'Дані_зв''язок'!$D$4:$D$1012,"")))</f>
        <v/>
      </c>
      <c r="D464" s="27" t="str" cm="1">
        <f t="array" ref="D464">IF($O464="","",_xlfn.TEXTJOIN(", ",TRUE,IF(EXACT('Дані_зв''язок'!$J$4:$J$1012,$O464)*('Дані_зв''язок'!$C$4:$C$1012=D$4),'Дані_зв''язок'!$D$4:$D$1012,"")))</f>
        <v/>
      </c>
      <c r="E464" s="27" t="str" cm="1">
        <f t="array" ref="E464">IF($O464="","",_xlfn.TEXTJOIN(", ",TRUE,IF(EXACT('Дані_зв''язок'!$J$4:$J$1012,$O464)*('Дані_зв''язок'!$C$4:$C$1012=E$4),'Дані_зв''язок'!$D$4:$D$1012,"")))</f>
        <v/>
      </c>
      <c r="F464" s="27" t="str" cm="1">
        <f t="array" ref="F464">IF($O464="","",_xlfn.TEXTJOIN(", ",TRUE,IF(EXACT('Дані_зв''язок'!$J$4:$J$1012,$O464)*('Дані_зв''язок'!$C$4:$C$1012=F$4),'Дані_зв''язок'!$D$4:$D$1012,"")))</f>
        <v>15:40</v>
      </c>
      <c r="G464" s="27" t="str" cm="1">
        <f t="array" ref="G464">IF($O464="","",_xlfn.TEXTJOIN(", ",TRUE,IF(EXACT('Дані_зв''язок'!$J$4:$J$1012,$O464)*('Дані_зв''язок'!$C$4:$C$1012=G$4),'Дані_зв''язок'!$D$4:$D$1012,"")))</f>
        <v/>
      </c>
      <c r="H464" s="27" t="str" cm="1">
        <f t="array" ref="H464">IF($O464="","",_xlfn.TEXTJOIN(", ",TRUE,IF(EXACT('Дані_зв''язок'!$J$4:$J$1012,$O464)*('Дані_зв''язок'!$C$4:$C$1012=H$4),'Дані_зв''язок'!$D$4:$D$1012,"")))</f>
        <v/>
      </c>
      <c r="I464" s="27" t="str" cm="1">
        <f t="array" ref="I464">IF($O464="","",_xlfn.TEXTJOIN(", ",TRUE,IF(EXACT('Дані_зв''язок'!$J$4:$J$1012,$O464)*('Дані_зв''язок'!$C$4:$C$1012=I$4),'Дані_зв''язок'!$D$4:$D$1012,"")))</f>
        <v/>
      </c>
      <c r="J464" s="27" cm="1">
        <f t="array" ref="J464">IF($O464="","",COUNTIF(C464:I464,"?*")+SUMPRODUCT(LEN(C464:I464)-LEN(SUBSTITUTE(C464:I464,",",""))))</f>
        <v>1</v>
      </c>
      <c r="K464" s="28" t="str" cm="1">
        <f t="array" ref="K464">IF($O464="","",_xlfn.TEXTJOIN(", ",TRUE,IF(EXACT('Дані_зв''язок'!$J$4:$J$1012,$O464),'Дані_зв''язок'!$L$4:$L$1012,"")))</f>
        <v>№4</v>
      </c>
      <c r="L464" s="28" t="str" cm="1">
        <f t="array" ref="L464">IF($O464="","",_xlfn.TEXTJOIN(", ",TRUE,IF(EXACT('Дані_зв''язок'!$J$4:$J$1012,$O464),'Дані_зв''язок'!$M$4:$M$1012,"")))</f>
        <v>АТ 40-42/ROD21003</v>
      </c>
      <c r="M464" s="27" cm="1">
        <f t="array" ref="M464">IF($O464="","",IF(SUMPRODUCT(MAX(EXACT('Дані_зв''язок'!$J$4:$J$1012,$O464)*IFERROR('Дані_зв''язок'!$H$4:$H$1012,0)))=0,"",SUMPRODUCT(MAX(EXACT('Дані_зв''язок'!$J$4:$J$1012,$O464)*IFERROR('Дані_зв''язок'!$H$4:$H$1012,0)))))</f>
        <v>2</v>
      </c>
      <c r="O464" s="30" t="s">
        <v>1588</v>
      </c>
      <c r="P464" s="24" cm="1">
        <f t="array" ref="P464">IF($O464="","",IF($B464="","",IFERROR(IF(MIN(IFERROR(VALUE(TRIM(MID(SUBSTITUTE(SUBSTITUTE($B464,","," ")," ",REPT(" ",30)),{1;31;61;91;121;151;181},30))),""))=0,"",MIN(IFERROR(VALUE(TRIM(MID(SUBSTITUTE(SUBSTITUTE($B464,","," ")," ",REPT(" ",30)),{1;31;61;91;121;151;181},30))),""))),"")))</f>
        <v>9</v>
      </c>
      <c r="Q464" s="23" t="str">
        <f t="shared" si="23"/>
        <v>Прилуки, Чернігівська обл., пров. Фізкультурника, 9</v>
      </c>
      <c r="R464" s="35">
        <f>IF($O464="","",IFERROR(INDEX('Координати майданчиків'!$H$4:$H$64,MATCH($T464,'Координати майданчиків'!$B$4:$B$64,0)),IFERROR(IF(ABS(INDEX(Геокодування!$C$2:$C$361,MATCH($Q464,Геокодування!$B$2:$B$361,0))-50.5884)+ABS(INDEX(Геокодування!$D$2:$D$361,MATCH($Q464,Геокодування!$B$2:$B$361,0))-32.3876)&gt;0.15,"",INDEX(Геокодування!$C$2:$C$361,MATCH($Q464,Геокодування!$B$2:$B$361,0))),IFERROR(IF(ABS(INDEX(Геокодування!$C$2:$C$361,MATCH("Прилуки, Чернігівська обл., "&amp;$A464,Геокодування!$B$2:$B$361,0))-50.5884)+ABS(INDEX(Геокодування!$D$2:$D$361,MATCH("Прилуки, Чернігівська обл., "&amp;$A464,Геокодування!$B$2:$B$361,0))-32.3876)&gt;0.15,"",INDEX(Геокодування!$C$2:$C$361,MATCH("Прилуки, Чернігівська обл., "&amp;$A464,Геокодування!$B$2:$B$361,0))),""))))</f>
        <v>50.581744999999998</v>
      </c>
      <c r="S464" s="43">
        <f>IF($O464="","",IFERROR(INDEX('Координати майданчиків'!$I$4:$I$64,MATCH($T464,'Координати майданчиків'!$B$4:$B$64,0)),IFERROR(IF(ABS(INDEX(Геокодування!$C$2:$C$361,MATCH($Q464,Геокодування!$B$2:$B$361,0))-50.5884)+ABS(INDEX(Геокодування!$D$2:$D$361,MATCH($Q464,Геокодування!$B$2:$B$361,0))-32.3876)&gt;0.15,"",INDEX(Геокодування!$D$2:$D$361,MATCH($Q464,Геокодування!$B$2:$B$361,0))),IFERROR(IF(ABS(INDEX(Геокодування!$C$2:$C$361,MATCH("Прилуки, Чернігівська обл., "&amp;$A464,Геокодування!$B$2:$B$361,0))-50.5884)+ABS(INDEX(Геокодування!$D$2:$D$361,MATCH("Прилуки, Чернігівська обл., "&amp;$A464,Геокодування!$B$2:$B$361,0))-32.3876)&gt;0.15,"",INDEX(Геокодування!$D$2:$D$361,MATCH("Прилуки, Чернігівська обл., "&amp;$A464,Геокодування!$B$2:$B$361,0))),""))))</f>
        <v>32.397621000000001</v>
      </c>
      <c r="T464" s="44" t="str">
        <f>IF($O464="","",IFERROR(INDEX('Координати майданчиків'!$B$4:$B$64,MATCH($A464&amp;IF($P464="","",", "&amp;$P464),'Координати майданчиків'!$B$4:$B$64,0)),IFERROR(INDEX('Координати майданчиків'!$B$4:$B$64,MATCH($A464,'Координати майданчиків'!$B$4:$B$64,0)),"")))</f>
        <v/>
      </c>
    </row>
    <row r="465" spans="1:20" x14ac:dyDescent="0.35">
      <c r="A465" s="26" t="str">
        <f t="shared" si="21"/>
        <v>пров. Шевченка</v>
      </c>
      <c r="B465" s="26" t="str">
        <f t="shared" si="22"/>
        <v>21,25</v>
      </c>
      <c r="C465" s="27" t="str" cm="1">
        <f t="array" ref="C465">IF($O465="","",_xlfn.TEXTJOIN(", ",TRUE,IF(EXACT('Дані_зв''язок'!$J$4:$J$1012,$O465)*('Дані_зв''язок'!$C$4:$C$1012=C$4),'Дані_зв''язок'!$D$4:$D$1012,"")))</f>
        <v>14:20</v>
      </c>
      <c r="D465" s="27" t="str" cm="1">
        <f t="array" ref="D465">IF($O465="","",_xlfn.TEXTJOIN(", ",TRUE,IF(EXACT('Дані_зв''язок'!$J$4:$J$1012,$O465)*('Дані_зв''язок'!$C$4:$C$1012=D$4),'Дані_зв''язок'!$D$4:$D$1012,"")))</f>
        <v/>
      </c>
      <c r="E465" s="27" t="str" cm="1">
        <f t="array" ref="E465">IF($O465="","",_xlfn.TEXTJOIN(", ",TRUE,IF(EXACT('Дані_зв''язок'!$J$4:$J$1012,$O465)*('Дані_зв''язок'!$C$4:$C$1012=E$4),'Дані_зв''язок'!$D$4:$D$1012,"")))</f>
        <v/>
      </c>
      <c r="F465" s="27" t="str" cm="1">
        <f t="array" ref="F465">IF($O465="","",_xlfn.TEXTJOIN(", ",TRUE,IF(EXACT('Дані_зв''язок'!$J$4:$J$1012,$O465)*('Дані_зв''язок'!$C$4:$C$1012=F$4),'Дані_зв''язок'!$D$4:$D$1012,"")))</f>
        <v/>
      </c>
      <c r="G465" s="27" t="str" cm="1">
        <f t="array" ref="G465">IF($O465="","",_xlfn.TEXTJOIN(", ",TRUE,IF(EXACT('Дані_зв''язок'!$J$4:$J$1012,$O465)*('Дані_зв''язок'!$C$4:$C$1012=G$4),'Дані_зв''язок'!$D$4:$D$1012,"")))</f>
        <v/>
      </c>
      <c r="H465" s="27" t="str" cm="1">
        <f t="array" ref="H465">IF($O465="","",_xlfn.TEXTJOIN(", ",TRUE,IF(EXACT('Дані_зв''язок'!$J$4:$J$1012,$O465)*('Дані_зв''язок'!$C$4:$C$1012=H$4),'Дані_зв''язок'!$D$4:$D$1012,"")))</f>
        <v/>
      </c>
      <c r="I465" s="27" t="str" cm="1">
        <f t="array" ref="I465">IF($O465="","",_xlfn.TEXTJOIN(", ",TRUE,IF(EXACT('Дані_зв''язок'!$J$4:$J$1012,$O465)*('Дані_зв''язок'!$C$4:$C$1012=I$4),'Дані_зв''язок'!$D$4:$D$1012,"")))</f>
        <v/>
      </c>
      <c r="J465" s="27" cm="1">
        <f t="array" ref="J465">IF($O465="","",COUNTIF(C465:I465,"?*")+SUMPRODUCT(LEN(C465:I465)-LEN(SUBSTITUTE(C465:I465,",",""))))</f>
        <v>1</v>
      </c>
      <c r="K465" s="28" t="str" cm="1">
        <f t="array" ref="K465">IF($O465="","",_xlfn.TEXTJOIN(", ",TRUE,IF(EXACT('Дані_зв''язок'!$J$4:$J$1012,$O465),'Дані_зв''язок'!$L$4:$L$1012,"")))</f>
        <v>№6</v>
      </c>
      <c r="L465" s="28" t="str" cm="1">
        <f t="array" ref="L465">IF($O465="","",_xlfn.TEXTJOIN(", ",TRUE,IF(EXACT('Дані_зв''язок'!$J$4:$J$1012,$O465),'Дані_зв''язок'!$M$4:$M$1012,"")))</f>
        <v>АТ 4021</v>
      </c>
      <c r="M465" s="27" t="str" cm="1">
        <f t="array" ref="M465">IF($O465="","",IF(SUMPRODUCT(MAX(EXACT('Дані_зв''язок'!$J$4:$J$1012,$O465)*IFERROR('Дані_зв''язок'!$H$4:$H$1012,0)))=0,"",SUMPRODUCT(MAX(EXACT('Дані_зв''язок'!$J$4:$J$1012,$O465)*IFERROR('Дані_зв''язок'!$H$4:$H$1012,0)))))</f>
        <v/>
      </c>
      <c r="O465" s="30" t="s">
        <v>1589</v>
      </c>
      <c r="P465" s="24" cm="1">
        <f t="array" ref="P465">IF($O465="","",IF($B465="","",IFERROR(IF(MIN(IFERROR(VALUE(TRIM(MID(SUBSTITUTE(SUBSTITUTE($B465,","," ")," ",REPT(" ",30)),{1;31;61;91;121;151;181},30))),""))=0,"",MIN(IFERROR(VALUE(TRIM(MID(SUBSTITUTE(SUBSTITUTE($B465,","," ")," ",REPT(" ",30)),{1;31;61;91;121;151;181},30))),""))),"")))</f>
        <v>21</v>
      </c>
      <c r="Q465" s="23" t="str">
        <f t="shared" si="23"/>
        <v>Прилуки, Чернігівська обл., пров. Шевченка, 21</v>
      </c>
      <c r="R465" s="69">
        <f>IF($O465="","",IFERROR(INDEX('Координати майданчиків'!$H$4:$H$64,MATCH($T465,'Координати майданчиків'!$B$4:$B$64,0)),IFERROR(IF(ABS(INDEX(Геокодування!$C$2:$C$361,MATCH($Q465,Геокодування!$B$2:$B$361,0))-50.5884)+ABS(INDEX(Геокодування!$D$2:$D$361,MATCH($Q465,Геокодування!$B$2:$B$361,0))-32.3876)&gt;0.15,"",INDEX(Геокодування!$C$2:$C$361,MATCH($Q465,Геокодування!$B$2:$B$361,0))),IFERROR(IF(ABS(INDEX(Геокодування!$C$2:$C$361,MATCH("Прилуки, Чернігівська обл., "&amp;$A465,Геокодування!$B$2:$B$361,0))-50.5884)+ABS(INDEX(Геокодування!$D$2:$D$361,MATCH("Прилуки, Чернігівська обл., "&amp;$A465,Геокодування!$B$2:$B$361,0))-32.3876)&gt;0.15,"",INDEX(Геокодування!$C$2:$C$361,MATCH("Прилуки, Чернігівська обл., "&amp;$A465,Геокодування!$B$2:$B$361,0))),""))))</f>
        <v>50.616728000000002</v>
      </c>
      <c r="S465" s="69">
        <f>IF($O465="","",IFERROR(INDEX('Координати майданчиків'!$I$4:$I$64,MATCH($T465,'Координати майданчиків'!$B$4:$B$64,0)),IFERROR(IF(ABS(INDEX(Геокодування!$C$2:$C$361,MATCH($Q465,Геокодування!$B$2:$B$361,0))-50.5884)+ABS(INDEX(Геокодування!$D$2:$D$361,MATCH($Q465,Геокодування!$B$2:$B$361,0))-32.3876)&gt;0.15,"",INDEX(Геокодування!$D$2:$D$361,MATCH($Q465,Геокодування!$B$2:$B$361,0))),IFERROR(IF(ABS(INDEX(Геокодування!$C$2:$C$361,MATCH("Прилуки, Чернігівська обл., "&amp;$A465,Геокодування!$B$2:$B$361,0))-50.5884)+ABS(INDEX(Геокодування!$D$2:$D$361,MATCH("Прилуки, Чернігівська обл., "&amp;$A465,Геокодування!$B$2:$B$361,0))-32.3876)&gt;0.15,"",INDEX(Геокодування!$D$2:$D$361,MATCH("Прилуки, Чернігівська обл., "&amp;$A465,Геокодування!$B$2:$B$361,0))),""))))</f>
        <v>32.416862999999999</v>
      </c>
      <c r="T465" s="44" t="str">
        <f>IF($O465="","",IFERROR(INDEX('Координати майданчиків'!$B$4:$B$64,MATCH($A465&amp;IF($P465="","",", "&amp;$P465),'Координати майданчиків'!$B$4:$B$64,0)),IFERROR(INDEX('Координати майданчиків'!$B$4:$B$64,MATCH($A465,'Координати майданчиків'!$B$4:$B$64,0)),"")))</f>
        <v/>
      </c>
    </row>
    <row r="466" spans="1:20" x14ac:dyDescent="0.35">
      <c r="A466" s="26" t="str">
        <f t="shared" si="21"/>
        <v>пров. Ю. Коваленка</v>
      </c>
      <c r="B466" s="26" t="str">
        <f t="shared" si="22"/>
        <v/>
      </c>
      <c r="C466" s="27" t="str" cm="1">
        <f t="array" ref="C466">IF($O466="","",_xlfn.TEXTJOIN(", ",TRUE,IF(EXACT('Дані_зв''язок'!$J$4:$J$1012,$O466)*('Дані_зв''язок'!$C$4:$C$1012=C$4),'Дані_зв''язок'!$D$4:$D$1012,"")))</f>
        <v/>
      </c>
      <c r="D466" s="27" t="str" cm="1">
        <f t="array" ref="D466">IF($O466="","",_xlfn.TEXTJOIN(", ",TRUE,IF(EXACT('Дані_зв''язок'!$J$4:$J$1012,$O466)*('Дані_зв''язок'!$C$4:$C$1012=D$4),'Дані_зв''язок'!$D$4:$D$1012,"")))</f>
        <v/>
      </c>
      <c r="E466" s="27" t="str" cm="1">
        <f t="array" ref="E466">IF($O466="","",_xlfn.TEXTJOIN(", ",TRUE,IF(EXACT('Дані_зв''язок'!$J$4:$J$1012,$O466)*('Дані_зв''язок'!$C$4:$C$1012=E$4),'Дані_зв''язок'!$D$4:$D$1012,"")))</f>
        <v>9:15</v>
      </c>
      <c r="F466" s="27" t="str" cm="1">
        <f t="array" ref="F466">IF($O466="","",_xlfn.TEXTJOIN(", ",TRUE,IF(EXACT('Дані_зв''язок'!$J$4:$J$1012,$O466)*('Дані_зв''язок'!$C$4:$C$1012=F$4),'Дані_зв''язок'!$D$4:$D$1012,"")))</f>
        <v/>
      </c>
      <c r="G466" s="27" t="str" cm="1">
        <f t="array" ref="G466">IF($O466="","",_xlfn.TEXTJOIN(", ",TRUE,IF(EXACT('Дані_зв''язок'!$J$4:$J$1012,$O466)*('Дані_зв''язок'!$C$4:$C$1012=G$4),'Дані_зв''язок'!$D$4:$D$1012,"")))</f>
        <v/>
      </c>
      <c r="H466" s="27" t="str" cm="1">
        <f t="array" ref="H466">IF($O466="","",_xlfn.TEXTJOIN(", ",TRUE,IF(EXACT('Дані_зв''язок'!$J$4:$J$1012,$O466)*('Дані_зв''язок'!$C$4:$C$1012=H$4),'Дані_зв''язок'!$D$4:$D$1012,"")))</f>
        <v/>
      </c>
      <c r="I466" s="27" t="str" cm="1">
        <f t="array" ref="I466">IF($O466="","",_xlfn.TEXTJOIN(", ",TRUE,IF(EXACT('Дані_зв''язок'!$J$4:$J$1012,$O466)*('Дані_зв''язок'!$C$4:$C$1012=I$4),'Дані_зв''язок'!$D$4:$D$1012,"")))</f>
        <v/>
      </c>
      <c r="J466" s="27" cm="1">
        <f t="array" ref="J466">IF($O466="","",COUNTIF(C466:I466,"?*")+SUMPRODUCT(LEN(C466:I466)-LEN(SUBSTITUTE(C466:I466,",",""))))</f>
        <v>1</v>
      </c>
      <c r="K466" s="28" t="str" cm="1">
        <f t="array" ref="K466">IF($O466="","",_xlfn.TEXTJOIN(", ",TRUE,IF(EXACT('Дані_зв''язок'!$J$4:$J$1012,$O466),'Дані_зв''язок'!$L$4:$L$1012,"")))</f>
        <v>№5</v>
      </c>
      <c r="L466" s="28" t="str" cm="1">
        <f t="array" ref="L466">IF($O466="","",_xlfn.TEXTJOIN(", ",TRUE,IF(EXACT('Дані_зв''язок'!$J$4:$J$1012,$O466),'Дані_зв''язок'!$M$4:$M$1012,"")))</f>
        <v>МАЗ 4381</v>
      </c>
      <c r="M466" s="27" t="str" cm="1">
        <f t="array" ref="M466">IF($O466="","",IF(SUMPRODUCT(MAX(EXACT('Дані_зв''язок'!$J$4:$J$1012,$O466)*IFERROR('Дані_зв''язок'!$H$4:$H$1012,0)))=0,"",SUMPRODUCT(MAX(EXACT('Дані_зв''язок'!$J$4:$J$1012,$O466)*IFERROR('Дані_зв''язок'!$H$4:$H$1012,0)))))</f>
        <v/>
      </c>
      <c r="O466" s="30" t="s">
        <v>1590</v>
      </c>
      <c r="P466" s="24" t="str" cm="1">
        <f t="array" ref="P466">IF($O466="","",IF($B466="","",IFERROR(IF(MIN(IFERROR(VALUE(TRIM(MID(SUBSTITUTE(SUBSTITUTE($B466,","," ")," ",REPT(" ",30)),{1;31;61;91;121;151;181},30))),""))=0,"",MIN(IFERROR(VALUE(TRIM(MID(SUBSTITUTE(SUBSTITUTE($B466,","," ")," ",REPT(" ",30)),{1;31;61;91;121;151;181},30))),""))),"")))</f>
        <v/>
      </c>
      <c r="Q466" s="23" t="str">
        <f t="shared" si="23"/>
        <v>Прилуки, Чернігівська обл., пров. Ю. Коваленка</v>
      </c>
      <c r="R466" s="67" t="s">
        <v>2026</v>
      </c>
      <c r="S466" s="67" t="s">
        <v>2027</v>
      </c>
      <c r="T466" s="44" t="str">
        <f>IF($O466="","",IFERROR(INDEX('Координати майданчиків'!$B$4:$B$64,MATCH($A466&amp;IF($P466="","",", "&amp;$P466),'Координати майданчиків'!$B$4:$B$64,0)),IFERROR(INDEX('Координати майданчиків'!$B$4:$B$64,MATCH($A466,'Координати майданчиків'!$B$4:$B$64,0)),"")))</f>
        <v/>
      </c>
    </row>
    <row r="467" spans="1:20" x14ac:dyDescent="0.35">
      <c r="A467" s="26" t="str">
        <f t="shared" si="21"/>
        <v>провв. Л. Забашти</v>
      </c>
      <c r="B467" s="26" t="str">
        <f t="shared" si="22"/>
        <v>22,15  9,2</v>
      </c>
      <c r="C467" s="27" t="str" cm="1">
        <f t="array" ref="C467">IF($O467="","",_xlfn.TEXTJOIN(", ",TRUE,IF(EXACT('Дані_зв''язок'!$J$4:$J$1012,$O467)*('Дані_зв''язок'!$C$4:$C$1012=C$4),'Дані_зв''язок'!$D$4:$D$1012,"")))</f>
        <v/>
      </c>
      <c r="D467" s="27" t="str" cm="1">
        <f t="array" ref="D467">IF($O467="","",_xlfn.TEXTJOIN(", ",TRUE,IF(EXACT('Дані_зв''язок'!$J$4:$J$1012,$O467)*('Дані_зв''язок'!$C$4:$C$1012=D$4),'Дані_зв''язок'!$D$4:$D$1012,"")))</f>
        <v/>
      </c>
      <c r="E467" s="27" t="str" cm="1">
        <f t="array" ref="E467">IF($O467="","",_xlfn.TEXTJOIN(", ",TRUE,IF(EXACT('Дані_зв''язок'!$J$4:$J$1012,$O467)*('Дані_зв''язок'!$C$4:$C$1012=E$4),'Дані_зв''язок'!$D$4:$D$1012,"")))</f>
        <v>13:40</v>
      </c>
      <c r="F467" s="27" t="str" cm="1">
        <f t="array" ref="F467">IF($O467="","",_xlfn.TEXTJOIN(", ",TRUE,IF(EXACT('Дані_зв''язок'!$J$4:$J$1012,$O467)*('Дані_зв''язок'!$C$4:$C$1012=F$4),'Дані_зв''язок'!$D$4:$D$1012,"")))</f>
        <v/>
      </c>
      <c r="G467" s="27" t="str" cm="1">
        <f t="array" ref="G467">IF($O467="","",_xlfn.TEXTJOIN(", ",TRUE,IF(EXACT('Дані_зв''язок'!$J$4:$J$1012,$O467)*('Дані_зв''язок'!$C$4:$C$1012=G$4),'Дані_зв''язок'!$D$4:$D$1012,"")))</f>
        <v/>
      </c>
      <c r="H467" s="27" t="str" cm="1">
        <f t="array" ref="H467">IF($O467="","",_xlfn.TEXTJOIN(", ",TRUE,IF(EXACT('Дані_зв''язок'!$J$4:$J$1012,$O467)*('Дані_зв''язок'!$C$4:$C$1012=H$4),'Дані_зв''язок'!$D$4:$D$1012,"")))</f>
        <v/>
      </c>
      <c r="I467" s="27" t="str" cm="1">
        <f t="array" ref="I467">IF($O467="","",_xlfn.TEXTJOIN(", ",TRUE,IF(EXACT('Дані_зв''язок'!$J$4:$J$1012,$O467)*('Дані_зв''язок'!$C$4:$C$1012=I$4),'Дані_зв''язок'!$D$4:$D$1012,"")))</f>
        <v/>
      </c>
      <c r="J467" s="27" cm="1">
        <f t="array" ref="J467">IF($O467="","",COUNTIF(C467:I467,"?*")+SUMPRODUCT(LEN(C467:I467)-LEN(SUBSTITUTE(C467:I467,",",""))))</f>
        <v>1</v>
      </c>
      <c r="K467" s="28" t="str" cm="1">
        <f t="array" ref="K467">IF($O467="","",_xlfn.TEXTJOIN(", ",TRUE,IF(EXACT('Дані_зв''язок'!$J$4:$J$1012,$O467),'Дані_зв''язок'!$L$4:$L$1012,"")))</f>
        <v>№6</v>
      </c>
      <c r="L467" s="28" t="str" cm="1">
        <f t="array" ref="L467">IF($O467="","",_xlfn.TEXTJOIN(", ",TRUE,IF(EXACT('Дані_зв''язок'!$J$4:$J$1012,$O467),'Дані_зв''язок'!$M$4:$M$1012,"")))</f>
        <v>АТ 4021</v>
      </c>
      <c r="M467" s="27" t="str" cm="1">
        <f t="array" ref="M467">IF($O467="","",IF(SUMPRODUCT(MAX(EXACT('Дані_зв''язок'!$J$4:$J$1012,$O467)*IFERROR('Дані_зв''язок'!$H$4:$H$1012,0)))=0,"",SUMPRODUCT(MAX(EXACT('Дані_зв''язок'!$J$4:$J$1012,$O467)*IFERROR('Дані_зв''язок'!$H$4:$H$1012,0)))))</f>
        <v/>
      </c>
      <c r="O467" s="30" t="s">
        <v>1591</v>
      </c>
      <c r="P467" s="24" cm="1">
        <f t="array" ref="P467">IF($O467="","",IF($B467="","",IFERROR(IF(MIN(IFERROR(VALUE(TRIM(MID(SUBSTITUTE(SUBSTITUTE($B467,","," ")," ",REPT(" ",30)),{1;31;61;91;121;151;181},30))),""))=0,"",MIN(IFERROR(VALUE(TRIM(MID(SUBSTITUTE(SUBSTITUTE($B467,","," ")," ",REPT(" ",30)),{1;31;61;91;121;151;181},30))),""))),"")))</f>
        <v>2</v>
      </c>
      <c r="Q467" s="23" t="str">
        <f t="shared" si="23"/>
        <v>Прилуки, Чернігівська обл., провв. Л. Забашти, 2</v>
      </c>
      <c r="R467" s="35">
        <f>IF($O467="","",IFERROR(INDEX('Координати майданчиків'!$H$4:$H$64,MATCH($T467,'Координати майданчиків'!$B$4:$B$64,0)),IFERROR(IF(ABS(INDEX(Геокодування!$C$2:$C$361,MATCH($Q467,Геокодування!$B$2:$B$361,0))-50.5884)+ABS(INDEX(Геокодування!$D$2:$D$361,MATCH($Q467,Геокодування!$B$2:$B$361,0))-32.3876)&gt;0.15,"",INDEX(Геокодування!$C$2:$C$361,MATCH($Q467,Геокодування!$B$2:$B$361,0))),IFERROR(IF(ABS(INDEX(Геокодування!$C$2:$C$361,MATCH("Прилуки, Чернігівська обл., "&amp;$A467,Геокодування!$B$2:$B$361,0))-50.5884)+ABS(INDEX(Геокодування!$D$2:$D$361,MATCH("Прилуки, Чернігівська обл., "&amp;$A467,Геокодування!$B$2:$B$361,0))-32.3876)&gt;0.15,"",INDEX(Геокодування!$C$2:$C$361,MATCH("Прилуки, Чернігівська обл., "&amp;$A467,Геокодування!$B$2:$B$361,0))),""))))</f>
        <v>50.579414999999997</v>
      </c>
      <c r="S467" s="43">
        <f>IF($O467="","",IFERROR(INDEX('Координати майданчиків'!$I$4:$I$64,MATCH($T467,'Координати майданчиків'!$B$4:$B$64,0)),IFERROR(IF(ABS(INDEX(Геокодування!$C$2:$C$361,MATCH($Q467,Геокодування!$B$2:$B$361,0))-50.5884)+ABS(INDEX(Геокодування!$D$2:$D$361,MATCH($Q467,Геокодування!$B$2:$B$361,0))-32.3876)&gt;0.15,"",INDEX(Геокодування!$D$2:$D$361,MATCH($Q467,Геокодування!$B$2:$B$361,0))),IFERROR(IF(ABS(INDEX(Геокодування!$C$2:$C$361,MATCH("Прилуки, Чернігівська обл., "&amp;$A467,Геокодування!$B$2:$B$361,0))-50.5884)+ABS(INDEX(Геокодування!$D$2:$D$361,MATCH("Прилуки, Чернігівська обл., "&amp;$A467,Геокодування!$B$2:$B$361,0))-32.3876)&gt;0.15,"",INDEX(Геокодування!$D$2:$D$361,MATCH("Прилуки, Чернігівська обл., "&amp;$A467,Геокодування!$B$2:$B$361,0))),""))))</f>
        <v>32.421691000000003</v>
      </c>
      <c r="T467" s="44" t="str">
        <f>IF($O467="","",IFERROR(INDEX('Координати майданчиків'!$B$4:$B$64,MATCH($A467&amp;IF($P467="","",", "&amp;$P467),'Координати майданчиків'!$B$4:$B$64,0)),IFERROR(INDEX('Координати майданчиків'!$B$4:$B$64,MATCH($A467,'Координати майданчиків'!$B$4:$B$64,0)),"")))</f>
        <v/>
      </c>
    </row>
    <row r="468" spans="1:20" x14ac:dyDescent="0.35">
      <c r="A468" s="26" t="str">
        <f t="shared" si="21"/>
        <v>провул. Г. Сагайдачного</v>
      </c>
      <c r="B468" s="26" t="str">
        <f t="shared" si="22"/>
        <v/>
      </c>
      <c r="C468" s="27" t="str" cm="1">
        <f t="array" ref="C468">IF($O468="","",_xlfn.TEXTJOIN(", ",TRUE,IF(EXACT('Дані_зв''язок'!$J$4:$J$1012,$O468)*('Дані_зв''язок'!$C$4:$C$1012=C$4),'Дані_зв''язок'!$D$4:$D$1012,"")))</f>
        <v>8:00</v>
      </c>
      <c r="D468" s="27" t="str" cm="1">
        <f t="array" ref="D468">IF($O468="","",_xlfn.TEXTJOIN(", ",TRUE,IF(EXACT('Дані_зв''язок'!$J$4:$J$1012,$O468)*('Дані_зв''язок'!$C$4:$C$1012=D$4),'Дані_зв''язок'!$D$4:$D$1012,"")))</f>
        <v/>
      </c>
      <c r="E468" s="27" t="str" cm="1">
        <f t="array" ref="E468">IF($O468="","",_xlfn.TEXTJOIN(", ",TRUE,IF(EXACT('Дані_зв''язок'!$J$4:$J$1012,$O468)*('Дані_зв''язок'!$C$4:$C$1012=E$4),'Дані_зв''язок'!$D$4:$D$1012,"")))</f>
        <v/>
      </c>
      <c r="F468" s="27" t="str" cm="1">
        <f t="array" ref="F468">IF($O468="","",_xlfn.TEXTJOIN(", ",TRUE,IF(EXACT('Дані_зв''язок'!$J$4:$J$1012,$O468)*('Дані_зв''язок'!$C$4:$C$1012=F$4),'Дані_зв''язок'!$D$4:$D$1012,"")))</f>
        <v/>
      </c>
      <c r="G468" s="27" t="str" cm="1">
        <f t="array" ref="G468">IF($O468="","",_xlfn.TEXTJOIN(", ",TRUE,IF(EXACT('Дані_зв''язок'!$J$4:$J$1012,$O468)*('Дані_зв''язок'!$C$4:$C$1012=G$4),'Дані_зв''язок'!$D$4:$D$1012,"")))</f>
        <v/>
      </c>
      <c r="H468" s="27" t="str" cm="1">
        <f t="array" ref="H468">IF($O468="","",_xlfn.TEXTJOIN(", ",TRUE,IF(EXACT('Дані_зв''язок'!$J$4:$J$1012,$O468)*('Дані_зв''язок'!$C$4:$C$1012=H$4),'Дані_зв''язок'!$D$4:$D$1012,"")))</f>
        <v/>
      </c>
      <c r="I468" s="27" t="str" cm="1">
        <f t="array" ref="I468">IF($O468="","",_xlfn.TEXTJOIN(", ",TRUE,IF(EXACT('Дані_зв''язок'!$J$4:$J$1012,$O468)*('Дані_зв''язок'!$C$4:$C$1012=I$4),'Дані_зв''язок'!$D$4:$D$1012,"")))</f>
        <v/>
      </c>
      <c r="J468" s="27" cm="1">
        <f t="array" ref="J468">IF($O468="","",COUNTIF(C468:I468,"?*")+SUMPRODUCT(LEN(C468:I468)-LEN(SUBSTITUTE(C468:I468,",",""))))</f>
        <v>1</v>
      </c>
      <c r="K468" s="28" t="str" cm="1">
        <f t="array" ref="K468">IF($O468="","",_xlfn.TEXTJOIN(", ",TRUE,IF(EXACT('Дані_зв''язок'!$J$4:$J$1012,$O468),'Дані_зв''язок'!$L$4:$L$1012,"")))</f>
        <v>№5</v>
      </c>
      <c r="L468" s="28" t="str" cm="1">
        <f t="array" ref="L468">IF($O468="","",_xlfn.TEXTJOIN(", ",TRUE,IF(EXACT('Дані_зв''язок'!$J$4:$J$1012,$O468),'Дані_зв''язок'!$M$4:$M$1012,"")))</f>
        <v>МАЗ 4381</v>
      </c>
      <c r="M468" s="27" t="str" cm="1">
        <f t="array" ref="M468">IF($O468="","",IF(SUMPRODUCT(MAX(EXACT('Дані_зв''язок'!$J$4:$J$1012,$O468)*IFERROR('Дані_зв''язок'!$H$4:$H$1012,0)))=0,"",SUMPRODUCT(MAX(EXACT('Дані_зв''язок'!$J$4:$J$1012,$O468)*IFERROR('Дані_зв''язок'!$H$4:$H$1012,0)))))</f>
        <v/>
      </c>
      <c r="O468" s="30" t="s">
        <v>1592</v>
      </c>
      <c r="P468" s="24" t="str" cm="1">
        <f t="array" ref="P468">IF($O468="","",IF($B468="","",IFERROR(IF(MIN(IFERROR(VALUE(TRIM(MID(SUBSTITUTE(SUBSTITUTE($B468,","," ")," ",REPT(" ",30)),{1;31;61;91;121;151;181},30))),""))=0,"",MIN(IFERROR(VALUE(TRIM(MID(SUBSTITUTE(SUBSTITUTE($B468,","," ")," ",REPT(" ",30)),{1;31;61;91;121;151;181},30))),""))),"")))</f>
        <v/>
      </c>
      <c r="Q468" s="23" t="str">
        <f t="shared" si="23"/>
        <v>Прилуки, Чернігівська обл., провул. Г. Сагайдачного</v>
      </c>
      <c r="R468" s="35">
        <f>IF($O468="","",IFERROR(INDEX('Координати майданчиків'!$H$4:$H$64,MATCH($T468,'Координати майданчиків'!$B$4:$B$64,0)),IFERROR(IF(ABS(INDEX(Геокодування!$C$2:$C$361,MATCH($Q468,Геокодування!$B$2:$B$361,0))-50.5884)+ABS(INDEX(Геокодування!$D$2:$D$361,MATCH($Q468,Геокодування!$B$2:$B$361,0))-32.3876)&gt;0.15,"",INDEX(Геокодування!$C$2:$C$361,MATCH($Q468,Геокодування!$B$2:$B$361,0))),IFERROR(IF(ABS(INDEX(Геокодування!$C$2:$C$361,MATCH("Прилуки, Чернігівська обл., "&amp;$A468,Геокодування!$B$2:$B$361,0))-50.5884)+ABS(INDEX(Геокодування!$D$2:$D$361,MATCH("Прилуки, Чернігівська обл., "&amp;$A468,Геокодування!$B$2:$B$361,0))-32.3876)&gt;0.15,"",INDEX(Геокодування!$C$2:$C$361,MATCH("Прилуки, Чернігівська обл., "&amp;$A468,Геокодування!$B$2:$B$361,0))),""))))</f>
        <v>50.578158000000002</v>
      </c>
      <c r="S468" s="43">
        <f>IF($O468="","",IFERROR(INDEX('Координати майданчиків'!$I$4:$I$64,MATCH($T468,'Координати майданчиків'!$B$4:$B$64,0)),IFERROR(IF(ABS(INDEX(Геокодування!$C$2:$C$361,MATCH($Q468,Геокодування!$B$2:$B$361,0))-50.5884)+ABS(INDEX(Геокодування!$D$2:$D$361,MATCH($Q468,Геокодування!$B$2:$B$361,0))-32.3876)&gt;0.15,"",INDEX(Геокодування!$D$2:$D$361,MATCH($Q468,Геокодування!$B$2:$B$361,0))),IFERROR(IF(ABS(INDEX(Геокодування!$C$2:$C$361,MATCH("Прилуки, Чернігівська обл., "&amp;$A468,Геокодування!$B$2:$B$361,0))-50.5884)+ABS(INDEX(Геокодування!$D$2:$D$361,MATCH("Прилуки, Чернігівська обл., "&amp;$A468,Геокодування!$B$2:$B$361,0))-32.3876)&gt;0.15,"",INDEX(Геокодування!$D$2:$D$361,MATCH("Прилуки, Чернігівська обл., "&amp;$A468,Геокодування!$B$2:$B$361,0))),""))))</f>
        <v>32.360615000000003</v>
      </c>
      <c r="T468" s="44" t="str">
        <f>IF($O468="","",IFERROR(INDEX('Координати майданчиків'!$B$4:$B$64,MATCH($A468&amp;IF($P468="","",", "&amp;$P468),'Координати майданчиків'!$B$4:$B$64,0)),IFERROR(INDEX('Координати майданчиків'!$B$4:$B$64,MATCH($A468,'Координати майданчиків'!$B$4:$B$64,0)),"")))</f>
        <v/>
      </c>
    </row>
    <row r="469" spans="1:20" x14ac:dyDescent="0.35">
      <c r="O469" s="30" t="str" cm="1">
        <f t="array" ref="O469">IFERROR(INDEX(_xlfn._xlws.SORT(_xlfn.UNIQUE(_xlfn._xlws.FILTER('Дані_зв''язок'!$J$4:$J$1012,'Дані_зв''язок'!$J$4:$J$1012&lt;&gt;""))),ROW()-4),"")</f>
        <v/>
      </c>
      <c r="P469" t="str" cm="1">
        <f t="array" ref="P469">IF($O469="","",IF($B469="","",IFERROR(IF(MIN(IFERROR(VALUE(TRIM(MID(SUBSTITUTE(SUBSTITUTE($B469,","," ")," ",REPT(" ",30)),{1;31;61;91;121;151;181},30))),""))=0,"",MIN(IFERROR(VALUE(TRIM(MID(SUBSTITUTE(SUBSTITUTE($B469,","," ")," ",REPT(" ",30)),{1;31;61;91;121;151;181},30))),""))),"")))</f>
        <v/>
      </c>
      <c r="R469" t="str">
        <f>IF($O469="","",IFERROR(INDEX('Координати майданчиків'!$H$4:$H$64,MATCH($T469,'Координати майданчиків'!$B$4:$B$64,0)),IFERROR(IF(ABS(INDEX(Геокодування!$C$2:$C$361,MATCH($Q469,Геокодування!$B$2:$B$361,0))-50.5884)+ABS(INDEX(Геокодування!$D$2:$D$361,MATCH($Q469,Геокодування!$B$2:$B$361,0))-32.3876)&gt;0.15,"",INDEX(Геокодування!$C$2:$C$361,MATCH($Q469,Геокодування!$B$2:$B$361,0))),IFERROR(IF(ABS(INDEX(Геокодування!$C$2:$C$361,MATCH("Прилуки, Чернігівська обл., "&amp;$A469,Геокодування!$B$2:$B$361,0))-50.5884)+ABS(INDEX(Геокодування!$D$2:$D$361,MATCH("Прилуки, Чернігівська обл., "&amp;$A469,Геокодування!$B$2:$B$361,0))-32.3876)&gt;0.15,"",INDEX(Геокодування!$C$2:$C$361,MATCH("Прилуки, Чернігівська обл., "&amp;$A469,Геокодування!$B$2:$B$361,0))),""))))</f>
        <v/>
      </c>
      <c r="S469" t="str">
        <f>IF($O469="","",IFERROR(INDEX('Координати майданчиків'!$I$4:$I$64,MATCH($T469,'Координати майданчиків'!$B$4:$B$64,0)),IFERROR(IF(ABS(INDEX(Геокодування!$C$2:$C$361,MATCH($Q469,Геокодування!$B$2:$B$361,0))-50.5884)+ABS(INDEX(Геокодування!$D$2:$D$361,MATCH($Q469,Геокодування!$B$2:$B$361,0))-32.3876)&gt;0.15,"",INDEX(Геокодування!$D$2:$D$361,MATCH($Q469,Геокодування!$B$2:$B$361,0))),IFERROR(IF(ABS(INDEX(Геокодування!$C$2:$C$361,MATCH("Прилуки, Чернігівська обл., "&amp;$A469,Геокодування!$B$2:$B$361,0))-50.5884)+ABS(INDEX(Геокодування!$D$2:$D$361,MATCH("Прилуки, Чернігівська обл., "&amp;$A469,Геокодування!$B$2:$B$361,0))-32.3876)&gt;0.15,"",INDEX(Геокодування!$D$2:$D$361,MATCH("Прилуки, Чернігівська обл., "&amp;$A469,Геокодування!$B$2:$B$361,0))),""))))</f>
        <v/>
      </c>
      <c r="T469" t="str">
        <f>IF($O469="","",IFERROR(INDEX('Координати майданчиків'!$B$4:$B$64,MATCH($A469&amp;IF($P469="","",", "&amp;$P469),'Координати майданчиків'!$B$4:$B$64,0)),IFERROR(INDEX('Координати майданчиків'!$B$4:$B$64,MATCH($A469,'Координати майданчиків'!$B$4:$B$64,0)),"")))</f>
        <v/>
      </c>
    </row>
    <row r="470" spans="1:20" x14ac:dyDescent="0.35">
      <c r="O470" s="30" t="str" cm="1">
        <f t="array" ref="O470">IFERROR(INDEX(_xlfn._xlws.SORT(_xlfn.UNIQUE(_xlfn._xlws.FILTER('Дані_зв''язок'!$J$4:$J$1012,'Дані_зв''язок'!$J$4:$J$1012&lt;&gt;""))),ROW()-4),"")</f>
        <v/>
      </c>
      <c r="P470" t="str" cm="1">
        <f t="array" ref="P470">IF($O470="","",IF($B470="","",IFERROR(IF(MIN(IFERROR(VALUE(TRIM(MID(SUBSTITUTE(SUBSTITUTE($B470,","," ")," ",REPT(" ",30)),{1;31;61;91;121;151;181},30))),""))=0,"",MIN(IFERROR(VALUE(TRIM(MID(SUBSTITUTE(SUBSTITUTE($B470,","," ")," ",REPT(" ",30)),{1;31;61;91;121;151;181},30))),""))),"")))</f>
        <v/>
      </c>
      <c r="R470" t="str">
        <f>IF($O470="","",IFERROR(INDEX('Координати майданчиків'!$H$4:$H$64,MATCH($T470,'Координати майданчиків'!$B$4:$B$64,0)),IFERROR(IF(ABS(INDEX(Геокодування!$C$2:$C$361,MATCH($Q470,Геокодування!$B$2:$B$361,0))-50.5884)+ABS(INDEX(Геокодування!$D$2:$D$361,MATCH($Q470,Геокодування!$B$2:$B$361,0))-32.3876)&gt;0.15,"",INDEX(Геокодування!$C$2:$C$361,MATCH($Q470,Геокодування!$B$2:$B$361,0))),IFERROR(IF(ABS(INDEX(Геокодування!$C$2:$C$361,MATCH("Прилуки, Чернігівська обл., "&amp;$A470,Геокодування!$B$2:$B$361,0))-50.5884)+ABS(INDEX(Геокодування!$D$2:$D$361,MATCH("Прилуки, Чернігівська обл., "&amp;$A470,Геокодування!$B$2:$B$361,0))-32.3876)&gt;0.15,"",INDEX(Геокодування!$C$2:$C$361,MATCH("Прилуки, Чернігівська обл., "&amp;$A470,Геокодування!$B$2:$B$361,0))),""))))</f>
        <v/>
      </c>
      <c r="S470" t="str">
        <f>IF($O470="","",IFERROR(INDEX('Координати майданчиків'!$I$4:$I$64,MATCH($T470,'Координати майданчиків'!$B$4:$B$64,0)),IFERROR(IF(ABS(INDEX(Геокодування!$C$2:$C$361,MATCH($Q470,Геокодування!$B$2:$B$361,0))-50.5884)+ABS(INDEX(Геокодування!$D$2:$D$361,MATCH($Q470,Геокодування!$B$2:$B$361,0))-32.3876)&gt;0.15,"",INDEX(Геокодування!$D$2:$D$361,MATCH($Q470,Геокодування!$B$2:$B$361,0))),IFERROR(IF(ABS(INDEX(Геокодування!$C$2:$C$361,MATCH("Прилуки, Чернігівська обл., "&amp;$A470,Геокодування!$B$2:$B$361,0))-50.5884)+ABS(INDEX(Геокодування!$D$2:$D$361,MATCH("Прилуки, Чернігівська обл., "&amp;$A470,Геокодування!$B$2:$B$361,0))-32.3876)&gt;0.15,"",INDEX(Геокодування!$D$2:$D$361,MATCH("Прилуки, Чернігівська обл., "&amp;$A470,Геокодування!$B$2:$B$361,0))),""))))</f>
        <v/>
      </c>
      <c r="T470" t="str">
        <f>IF($O470="","",IFERROR(INDEX('Координати майданчиків'!$B$4:$B$64,MATCH($A470&amp;IF($P470="","",", "&amp;$P470),'Координати майданчиків'!$B$4:$B$64,0)),IFERROR(INDEX('Координати майданчиків'!$B$4:$B$64,MATCH($A470,'Координати майданчиків'!$B$4:$B$64,0)),"")))</f>
        <v/>
      </c>
    </row>
    <row r="471" spans="1:20" x14ac:dyDescent="0.35">
      <c r="O471" s="30" t="str" cm="1">
        <f t="array" ref="O471">IFERROR(INDEX(_xlfn._xlws.SORT(_xlfn.UNIQUE(_xlfn._xlws.FILTER('Дані_зв''язок'!$J$4:$J$1012,'Дані_зв''язок'!$J$4:$J$1012&lt;&gt;""))),ROW()-4),"")</f>
        <v/>
      </c>
      <c r="P471" t="str" cm="1">
        <f t="array" ref="P471">IF($O471="","",IF($B471="","",IFERROR(IF(MIN(IFERROR(VALUE(TRIM(MID(SUBSTITUTE(SUBSTITUTE($B471,","," ")," ",REPT(" ",30)),{1;31;61;91;121;151;181},30))),""))=0,"",MIN(IFERROR(VALUE(TRIM(MID(SUBSTITUTE(SUBSTITUTE($B471,","," ")," ",REPT(" ",30)),{1;31;61;91;121;151;181},30))),""))),"")))</f>
        <v/>
      </c>
      <c r="R471" t="str">
        <f>IF($O471="","",IFERROR(INDEX('Координати майданчиків'!$H$4:$H$64,MATCH($T471,'Координати майданчиків'!$B$4:$B$64,0)),IFERROR(IF(ABS(INDEX(Геокодування!$C$2:$C$361,MATCH($Q471,Геокодування!$B$2:$B$361,0))-50.5884)+ABS(INDEX(Геокодування!$D$2:$D$361,MATCH($Q471,Геокодування!$B$2:$B$361,0))-32.3876)&gt;0.15,"",INDEX(Геокодування!$C$2:$C$361,MATCH($Q471,Геокодування!$B$2:$B$361,0))),IFERROR(IF(ABS(INDEX(Геокодування!$C$2:$C$361,MATCH("Прилуки, Чернігівська обл., "&amp;$A471,Геокодування!$B$2:$B$361,0))-50.5884)+ABS(INDEX(Геокодування!$D$2:$D$361,MATCH("Прилуки, Чернігівська обл., "&amp;$A471,Геокодування!$B$2:$B$361,0))-32.3876)&gt;0.15,"",INDEX(Геокодування!$C$2:$C$361,MATCH("Прилуки, Чернігівська обл., "&amp;$A471,Геокодування!$B$2:$B$361,0))),""))))</f>
        <v/>
      </c>
      <c r="S471" t="str">
        <f>IF($O471="","",IFERROR(INDEX('Координати майданчиків'!$I$4:$I$64,MATCH($T471,'Координати майданчиків'!$B$4:$B$64,0)),IFERROR(IF(ABS(INDEX(Геокодування!$C$2:$C$361,MATCH($Q471,Геокодування!$B$2:$B$361,0))-50.5884)+ABS(INDEX(Геокодування!$D$2:$D$361,MATCH($Q471,Геокодування!$B$2:$B$361,0))-32.3876)&gt;0.15,"",INDEX(Геокодування!$D$2:$D$361,MATCH($Q471,Геокодування!$B$2:$B$361,0))),IFERROR(IF(ABS(INDEX(Геокодування!$C$2:$C$361,MATCH("Прилуки, Чернігівська обл., "&amp;$A471,Геокодування!$B$2:$B$361,0))-50.5884)+ABS(INDEX(Геокодування!$D$2:$D$361,MATCH("Прилуки, Чернігівська обл., "&amp;$A471,Геокодування!$B$2:$B$361,0))-32.3876)&gt;0.15,"",INDEX(Геокодування!$D$2:$D$361,MATCH("Прилуки, Чернігівська обл., "&amp;$A471,Геокодування!$B$2:$B$361,0))),""))))</f>
        <v/>
      </c>
      <c r="T471" t="str">
        <f>IF($O471="","",IFERROR(INDEX('Координати майданчиків'!$B$4:$B$64,MATCH($A471&amp;IF($P471="","",", "&amp;$P471),'Координати майданчиків'!$B$4:$B$64,0)),IFERROR(INDEX('Координати майданчиків'!$B$4:$B$64,MATCH($A471,'Координати майданчиків'!$B$4:$B$64,0)),"")))</f>
        <v/>
      </c>
    </row>
    <row r="472" spans="1:20" x14ac:dyDescent="0.35">
      <c r="O472" s="30" t="str" cm="1">
        <f t="array" ref="O472">IFERROR(INDEX(_xlfn._xlws.SORT(_xlfn.UNIQUE(_xlfn._xlws.FILTER('Дані_зв''язок'!$J$4:$J$1012,'Дані_зв''язок'!$J$4:$J$1012&lt;&gt;""))),ROW()-4),"")</f>
        <v/>
      </c>
      <c r="P472" t="str" cm="1">
        <f t="array" ref="P472">IF($O472="","",IF($B472="","",IFERROR(IF(MIN(IFERROR(VALUE(TRIM(MID(SUBSTITUTE(SUBSTITUTE($B472,","," ")," ",REPT(" ",30)),{1;31;61;91;121;151;181},30))),""))=0,"",MIN(IFERROR(VALUE(TRIM(MID(SUBSTITUTE(SUBSTITUTE($B472,","," ")," ",REPT(" ",30)),{1;31;61;91;121;151;181},30))),""))),"")))</f>
        <v/>
      </c>
      <c r="R472" t="str">
        <f>IF($O472="","",IFERROR(INDEX('Координати майданчиків'!$H$4:$H$64,MATCH($T472,'Координати майданчиків'!$B$4:$B$64,0)),IFERROR(IF(ABS(INDEX(Геокодування!$C$2:$C$361,MATCH($Q472,Геокодування!$B$2:$B$361,0))-50.5884)+ABS(INDEX(Геокодування!$D$2:$D$361,MATCH($Q472,Геокодування!$B$2:$B$361,0))-32.3876)&gt;0.15,"",INDEX(Геокодування!$C$2:$C$361,MATCH($Q472,Геокодування!$B$2:$B$361,0))),IFERROR(IF(ABS(INDEX(Геокодування!$C$2:$C$361,MATCH("Прилуки, Чернігівська обл., "&amp;$A472,Геокодування!$B$2:$B$361,0))-50.5884)+ABS(INDEX(Геокодування!$D$2:$D$361,MATCH("Прилуки, Чернігівська обл., "&amp;$A472,Геокодування!$B$2:$B$361,0))-32.3876)&gt;0.15,"",INDEX(Геокодування!$C$2:$C$361,MATCH("Прилуки, Чернігівська обл., "&amp;$A472,Геокодування!$B$2:$B$361,0))),""))))</f>
        <v/>
      </c>
      <c r="S472" t="str">
        <f>IF($O472="","",IFERROR(INDEX('Координати майданчиків'!$I$4:$I$64,MATCH($T472,'Координати майданчиків'!$B$4:$B$64,0)),IFERROR(IF(ABS(INDEX(Геокодування!$C$2:$C$361,MATCH($Q472,Геокодування!$B$2:$B$361,0))-50.5884)+ABS(INDEX(Геокодування!$D$2:$D$361,MATCH($Q472,Геокодування!$B$2:$B$361,0))-32.3876)&gt;0.15,"",INDEX(Геокодування!$D$2:$D$361,MATCH($Q472,Геокодування!$B$2:$B$361,0))),IFERROR(IF(ABS(INDEX(Геокодування!$C$2:$C$361,MATCH("Прилуки, Чернігівська обл., "&amp;$A472,Геокодування!$B$2:$B$361,0))-50.5884)+ABS(INDEX(Геокодування!$D$2:$D$361,MATCH("Прилуки, Чернігівська обл., "&amp;$A472,Геокодування!$B$2:$B$361,0))-32.3876)&gt;0.15,"",INDEX(Геокодування!$D$2:$D$361,MATCH("Прилуки, Чернігівська обл., "&amp;$A472,Геокодування!$B$2:$B$361,0))),""))))</f>
        <v/>
      </c>
      <c r="T472" t="str">
        <f>IF($O472="","",IFERROR(INDEX('Координати майданчиків'!$B$4:$B$64,MATCH($A472&amp;IF($P472="","",", "&amp;$P472),'Координати майданчиків'!$B$4:$B$64,0)),IFERROR(INDEX('Координати майданчиків'!$B$4:$B$64,MATCH($A472,'Координати майданчиків'!$B$4:$B$64,0)),"")))</f>
        <v/>
      </c>
    </row>
    <row r="473" spans="1:20" x14ac:dyDescent="0.35">
      <c r="O473" s="30" t="str" cm="1">
        <f t="array" ref="O473">IFERROR(INDEX(_xlfn._xlws.SORT(_xlfn.UNIQUE(_xlfn._xlws.FILTER('Дані_зв''язок'!$J$4:$J$1012,'Дані_зв''язок'!$J$4:$J$1012&lt;&gt;""))),ROW()-4),"")</f>
        <v/>
      </c>
      <c r="P473" t="str" cm="1">
        <f t="array" ref="P473">IF($O473="","",IF($B473="","",IFERROR(IF(MIN(IFERROR(VALUE(TRIM(MID(SUBSTITUTE(SUBSTITUTE($B473,","," ")," ",REPT(" ",30)),{1;31;61;91;121;151;181},30))),""))=0,"",MIN(IFERROR(VALUE(TRIM(MID(SUBSTITUTE(SUBSTITUTE($B473,","," ")," ",REPT(" ",30)),{1;31;61;91;121;151;181},30))),""))),"")))</f>
        <v/>
      </c>
      <c r="R473" t="str">
        <f>IF($O473="","",IFERROR(INDEX('Координати майданчиків'!$H$4:$H$64,MATCH($T473,'Координати майданчиків'!$B$4:$B$64,0)),IFERROR(IF(ABS(INDEX(Геокодування!$C$2:$C$361,MATCH($Q473,Геокодування!$B$2:$B$361,0))-50.5884)+ABS(INDEX(Геокодування!$D$2:$D$361,MATCH($Q473,Геокодування!$B$2:$B$361,0))-32.3876)&gt;0.15,"",INDEX(Геокодування!$C$2:$C$361,MATCH($Q473,Геокодування!$B$2:$B$361,0))),IFERROR(IF(ABS(INDEX(Геокодування!$C$2:$C$361,MATCH("Прилуки, Чернігівська обл., "&amp;$A473,Геокодування!$B$2:$B$361,0))-50.5884)+ABS(INDEX(Геокодування!$D$2:$D$361,MATCH("Прилуки, Чернігівська обл., "&amp;$A473,Геокодування!$B$2:$B$361,0))-32.3876)&gt;0.15,"",INDEX(Геокодування!$C$2:$C$361,MATCH("Прилуки, Чернігівська обл., "&amp;$A473,Геокодування!$B$2:$B$361,0))),""))))</f>
        <v/>
      </c>
      <c r="S473" t="str">
        <f>IF($O473="","",IFERROR(INDEX('Координати майданчиків'!$I$4:$I$64,MATCH($T473,'Координати майданчиків'!$B$4:$B$64,0)),IFERROR(IF(ABS(INDEX(Геокодування!$C$2:$C$361,MATCH($Q473,Геокодування!$B$2:$B$361,0))-50.5884)+ABS(INDEX(Геокодування!$D$2:$D$361,MATCH($Q473,Геокодування!$B$2:$B$361,0))-32.3876)&gt;0.15,"",INDEX(Геокодування!$D$2:$D$361,MATCH($Q473,Геокодування!$B$2:$B$361,0))),IFERROR(IF(ABS(INDEX(Геокодування!$C$2:$C$361,MATCH("Прилуки, Чернігівська обл., "&amp;$A473,Геокодування!$B$2:$B$361,0))-50.5884)+ABS(INDEX(Геокодування!$D$2:$D$361,MATCH("Прилуки, Чернігівська обл., "&amp;$A473,Геокодування!$B$2:$B$361,0))-32.3876)&gt;0.15,"",INDEX(Геокодування!$D$2:$D$361,MATCH("Прилуки, Чернігівська обл., "&amp;$A473,Геокодування!$B$2:$B$361,0))),""))))</f>
        <v/>
      </c>
      <c r="T473" t="str">
        <f>IF($O473="","",IFERROR(INDEX('Координати майданчиків'!$B$4:$B$64,MATCH($A473&amp;IF($P473="","",", "&amp;$P473),'Координати майданчиків'!$B$4:$B$64,0)),IFERROR(INDEX('Координати майданчиків'!$B$4:$B$64,MATCH($A473,'Координати майданчиків'!$B$4:$B$64,0)),"")))</f>
        <v/>
      </c>
    </row>
    <row r="474" spans="1:20" x14ac:dyDescent="0.35">
      <c r="O474" s="30" t="str" cm="1">
        <f t="array" ref="O474">IFERROR(INDEX(_xlfn._xlws.SORT(_xlfn.UNIQUE(_xlfn._xlws.FILTER('Дані_зв''язок'!$J$4:$J$1012,'Дані_зв''язок'!$J$4:$J$1012&lt;&gt;""))),ROW()-4),"")</f>
        <v/>
      </c>
      <c r="P474" t="str" cm="1">
        <f t="array" ref="P474">IF($O474="","",IF($B474="","",IFERROR(IF(MIN(IFERROR(VALUE(TRIM(MID(SUBSTITUTE(SUBSTITUTE($B474,","," ")," ",REPT(" ",30)),{1;31;61;91;121;151;181},30))),""))=0,"",MIN(IFERROR(VALUE(TRIM(MID(SUBSTITUTE(SUBSTITUTE($B474,","," ")," ",REPT(" ",30)),{1;31;61;91;121;151;181},30))),""))),"")))</f>
        <v/>
      </c>
      <c r="R474" t="str">
        <f>IF($O474="","",IFERROR(INDEX('Координати майданчиків'!$H$4:$H$64,MATCH($T474,'Координати майданчиків'!$B$4:$B$64,0)),IFERROR(IF(ABS(INDEX(Геокодування!$C$2:$C$361,MATCH($Q474,Геокодування!$B$2:$B$361,0))-50.5884)+ABS(INDEX(Геокодування!$D$2:$D$361,MATCH($Q474,Геокодування!$B$2:$B$361,0))-32.3876)&gt;0.15,"",INDEX(Геокодування!$C$2:$C$361,MATCH($Q474,Геокодування!$B$2:$B$361,0))),IFERROR(IF(ABS(INDEX(Геокодування!$C$2:$C$361,MATCH("Прилуки, Чернігівська обл., "&amp;$A474,Геокодування!$B$2:$B$361,0))-50.5884)+ABS(INDEX(Геокодування!$D$2:$D$361,MATCH("Прилуки, Чернігівська обл., "&amp;$A474,Геокодування!$B$2:$B$361,0))-32.3876)&gt;0.15,"",INDEX(Геокодування!$C$2:$C$361,MATCH("Прилуки, Чернігівська обл., "&amp;$A474,Геокодування!$B$2:$B$361,0))),""))))</f>
        <v/>
      </c>
      <c r="S474" t="str">
        <f>IF($O474="","",IFERROR(INDEX('Координати майданчиків'!$I$4:$I$64,MATCH($T474,'Координати майданчиків'!$B$4:$B$64,0)),IFERROR(IF(ABS(INDEX(Геокодування!$C$2:$C$361,MATCH($Q474,Геокодування!$B$2:$B$361,0))-50.5884)+ABS(INDEX(Геокодування!$D$2:$D$361,MATCH($Q474,Геокодування!$B$2:$B$361,0))-32.3876)&gt;0.15,"",INDEX(Геокодування!$D$2:$D$361,MATCH($Q474,Геокодування!$B$2:$B$361,0))),IFERROR(IF(ABS(INDEX(Геокодування!$C$2:$C$361,MATCH("Прилуки, Чернігівська обл., "&amp;$A474,Геокодування!$B$2:$B$361,0))-50.5884)+ABS(INDEX(Геокодування!$D$2:$D$361,MATCH("Прилуки, Чернігівська обл., "&amp;$A474,Геокодування!$B$2:$B$361,0))-32.3876)&gt;0.15,"",INDEX(Геокодування!$D$2:$D$361,MATCH("Прилуки, Чернігівська обл., "&amp;$A474,Геокодування!$B$2:$B$361,0))),""))))</f>
        <v/>
      </c>
      <c r="T474" t="str">
        <f>IF($O474="","",IFERROR(INDEX('Координати майданчиків'!$B$4:$B$64,MATCH($A474&amp;IF($P474="","",", "&amp;$P474),'Координати майданчиків'!$B$4:$B$64,0)),IFERROR(INDEX('Координати майданчиків'!$B$4:$B$64,MATCH($A474,'Координати майданчиків'!$B$4:$B$64,0)),"")))</f>
        <v/>
      </c>
    </row>
    <row r="475" spans="1:20" x14ac:dyDescent="0.35">
      <c r="O475" s="30" t="str" cm="1">
        <f t="array" ref="O475">IFERROR(INDEX(_xlfn._xlws.SORT(_xlfn.UNIQUE(_xlfn._xlws.FILTER('Дані_зв''язок'!$J$4:$J$1012,'Дані_зв''язок'!$J$4:$J$1012&lt;&gt;""))),ROW()-4),"")</f>
        <v/>
      </c>
      <c r="P475" t="str" cm="1">
        <f t="array" ref="P475">IF($O475="","",IF($B475="","",IFERROR(IF(MIN(IFERROR(VALUE(TRIM(MID(SUBSTITUTE(SUBSTITUTE($B475,","," ")," ",REPT(" ",30)),{1;31;61;91;121;151;181},30))),""))=0,"",MIN(IFERROR(VALUE(TRIM(MID(SUBSTITUTE(SUBSTITUTE($B475,","," ")," ",REPT(" ",30)),{1;31;61;91;121;151;181},30))),""))),"")))</f>
        <v/>
      </c>
      <c r="R475" t="str">
        <f>IF($O475="","",IFERROR(INDEX('Координати майданчиків'!$H$4:$H$64,MATCH($T475,'Координати майданчиків'!$B$4:$B$64,0)),IFERROR(IF(ABS(INDEX(Геокодування!$C$2:$C$361,MATCH($Q475,Геокодування!$B$2:$B$361,0))-50.5884)+ABS(INDEX(Геокодування!$D$2:$D$361,MATCH($Q475,Геокодування!$B$2:$B$361,0))-32.3876)&gt;0.15,"",INDEX(Геокодування!$C$2:$C$361,MATCH($Q475,Геокодування!$B$2:$B$361,0))),IFERROR(IF(ABS(INDEX(Геокодування!$C$2:$C$361,MATCH("Прилуки, Чернігівська обл., "&amp;$A475,Геокодування!$B$2:$B$361,0))-50.5884)+ABS(INDEX(Геокодування!$D$2:$D$361,MATCH("Прилуки, Чернігівська обл., "&amp;$A475,Геокодування!$B$2:$B$361,0))-32.3876)&gt;0.15,"",INDEX(Геокодування!$C$2:$C$361,MATCH("Прилуки, Чернігівська обл., "&amp;$A475,Геокодування!$B$2:$B$361,0))),""))))</f>
        <v/>
      </c>
      <c r="S475" t="str">
        <f>IF($O475="","",IFERROR(INDEX('Координати майданчиків'!$I$4:$I$64,MATCH($T475,'Координати майданчиків'!$B$4:$B$64,0)),IFERROR(IF(ABS(INDEX(Геокодування!$C$2:$C$361,MATCH($Q475,Геокодування!$B$2:$B$361,0))-50.5884)+ABS(INDEX(Геокодування!$D$2:$D$361,MATCH($Q475,Геокодування!$B$2:$B$361,0))-32.3876)&gt;0.15,"",INDEX(Геокодування!$D$2:$D$361,MATCH($Q475,Геокодування!$B$2:$B$361,0))),IFERROR(IF(ABS(INDEX(Геокодування!$C$2:$C$361,MATCH("Прилуки, Чернігівська обл., "&amp;$A475,Геокодування!$B$2:$B$361,0))-50.5884)+ABS(INDEX(Геокодування!$D$2:$D$361,MATCH("Прилуки, Чернігівська обл., "&amp;$A475,Геокодування!$B$2:$B$361,0))-32.3876)&gt;0.15,"",INDEX(Геокодування!$D$2:$D$361,MATCH("Прилуки, Чернігівська обл., "&amp;$A475,Геокодування!$B$2:$B$361,0))),""))))</f>
        <v/>
      </c>
      <c r="T475" t="str">
        <f>IF($O475="","",IFERROR(INDEX('Координати майданчиків'!$B$4:$B$64,MATCH($A475&amp;IF($P475="","",", "&amp;$P475),'Координати майданчиків'!$B$4:$B$64,0)),IFERROR(INDEX('Координати майданчиків'!$B$4:$B$64,MATCH($A475,'Координати майданчиків'!$B$4:$B$64,0)),"")))</f>
        <v/>
      </c>
    </row>
    <row r="476" spans="1:20" x14ac:dyDescent="0.35">
      <c r="O476" s="30" t="str" cm="1">
        <f t="array" ref="O476">IFERROR(INDEX(_xlfn._xlws.SORT(_xlfn.UNIQUE(_xlfn._xlws.FILTER('Дані_зв''язок'!$J$4:$J$1012,'Дані_зв''язок'!$J$4:$J$1012&lt;&gt;""))),ROW()-4),"")</f>
        <v/>
      </c>
      <c r="P476" t="str" cm="1">
        <f t="array" ref="P476">IF($O476="","",IF($B476="","",IFERROR(IF(MIN(IFERROR(VALUE(TRIM(MID(SUBSTITUTE(SUBSTITUTE($B476,","," ")," ",REPT(" ",30)),{1;31;61;91;121;151;181},30))),""))=0,"",MIN(IFERROR(VALUE(TRIM(MID(SUBSTITUTE(SUBSTITUTE($B476,","," ")," ",REPT(" ",30)),{1;31;61;91;121;151;181},30))),""))),"")))</f>
        <v/>
      </c>
      <c r="R476" t="str">
        <f>IF($O476="","",IFERROR(INDEX('Координати майданчиків'!$H$4:$H$64,MATCH($T476,'Координати майданчиків'!$B$4:$B$64,0)),IFERROR(IF(ABS(INDEX(Геокодування!$C$2:$C$361,MATCH($Q476,Геокодування!$B$2:$B$361,0))-50.5884)+ABS(INDEX(Геокодування!$D$2:$D$361,MATCH($Q476,Геокодування!$B$2:$B$361,0))-32.3876)&gt;0.15,"",INDEX(Геокодування!$C$2:$C$361,MATCH($Q476,Геокодування!$B$2:$B$361,0))),IFERROR(IF(ABS(INDEX(Геокодування!$C$2:$C$361,MATCH("Прилуки, Чернігівська обл., "&amp;$A476,Геокодування!$B$2:$B$361,0))-50.5884)+ABS(INDEX(Геокодування!$D$2:$D$361,MATCH("Прилуки, Чернігівська обл., "&amp;$A476,Геокодування!$B$2:$B$361,0))-32.3876)&gt;0.15,"",INDEX(Геокодування!$C$2:$C$361,MATCH("Прилуки, Чернігівська обл., "&amp;$A476,Геокодування!$B$2:$B$361,0))),""))))</f>
        <v/>
      </c>
      <c r="S476" t="str">
        <f>IF($O476="","",IFERROR(INDEX('Координати майданчиків'!$I$4:$I$64,MATCH($T476,'Координати майданчиків'!$B$4:$B$64,0)),IFERROR(IF(ABS(INDEX(Геокодування!$C$2:$C$361,MATCH($Q476,Геокодування!$B$2:$B$361,0))-50.5884)+ABS(INDEX(Геокодування!$D$2:$D$361,MATCH($Q476,Геокодування!$B$2:$B$361,0))-32.3876)&gt;0.15,"",INDEX(Геокодування!$D$2:$D$361,MATCH($Q476,Геокодування!$B$2:$B$361,0))),IFERROR(IF(ABS(INDEX(Геокодування!$C$2:$C$361,MATCH("Прилуки, Чернігівська обл., "&amp;$A476,Геокодування!$B$2:$B$361,0))-50.5884)+ABS(INDEX(Геокодування!$D$2:$D$361,MATCH("Прилуки, Чернігівська обл., "&amp;$A476,Геокодування!$B$2:$B$361,0))-32.3876)&gt;0.15,"",INDEX(Геокодування!$D$2:$D$361,MATCH("Прилуки, Чернігівська обл., "&amp;$A476,Геокодування!$B$2:$B$361,0))),""))))</f>
        <v/>
      </c>
      <c r="T476" t="str">
        <f>IF($O476="","",IFERROR(INDEX('Координати майданчиків'!$B$4:$B$64,MATCH($A476&amp;IF($P476="","",", "&amp;$P476),'Координати майданчиків'!$B$4:$B$64,0)),IFERROR(INDEX('Координати майданчиків'!$B$4:$B$64,MATCH($A476,'Координати майданчиків'!$B$4:$B$64,0)),"")))</f>
        <v/>
      </c>
    </row>
    <row r="477" spans="1:20" x14ac:dyDescent="0.35">
      <c r="O477" s="30" t="str" cm="1">
        <f t="array" ref="O477">IFERROR(INDEX(_xlfn._xlws.SORT(_xlfn.UNIQUE(_xlfn._xlws.FILTER('Дані_зв''язок'!$J$4:$J$1012,'Дані_зв''язок'!$J$4:$J$1012&lt;&gt;""))),ROW()-4),"")</f>
        <v/>
      </c>
      <c r="P477" t="str" cm="1">
        <f t="array" ref="P477">IF($O477="","",IF($B477="","",IFERROR(IF(MIN(IFERROR(VALUE(TRIM(MID(SUBSTITUTE(SUBSTITUTE($B477,","," ")," ",REPT(" ",30)),{1;31;61;91;121;151;181},30))),""))=0,"",MIN(IFERROR(VALUE(TRIM(MID(SUBSTITUTE(SUBSTITUTE($B477,","," ")," ",REPT(" ",30)),{1;31;61;91;121;151;181},30))),""))),"")))</f>
        <v/>
      </c>
      <c r="R477" t="str">
        <f>IF($O477="","",IFERROR(INDEX('Координати майданчиків'!$H$4:$H$64,MATCH($T477,'Координати майданчиків'!$B$4:$B$64,0)),IFERROR(IF(ABS(INDEX(Геокодування!$C$2:$C$361,MATCH($Q477,Геокодування!$B$2:$B$361,0))-50.5884)+ABS(INDEX(Геокодування!$D$2:$D$361,MATCH($Q477,Геокодування!$B$2:$B$361,0))-32.3876)&gt;0.15,"",INDEX(Геокодування!$C$2:$C$361,MATCH($Q477,Геокодування!$B$2:$B$361,0))),IFERROR(IF(ABS(INDEX(Геокодування!$C$2:$C$361,MATCH("Прилуки, Чернігівська обл., "&amp;$A477,Геокодування!$B$2:$B$361,0))-50.5884)+ABS(INDEX(Геокодування!$D$2:$D$361,MATCH("Прилуки, Чернігівська обл., "&amp;$A477,Геокодування!$B$2:$B$361,0))-32.3876)&gt;0.15,"",INDEX(Геокодування!$C$2:$C$361,MATCH("Прилуки, Чернігівська обл., "&amp;$A477,Геокодування!$B$2:$B$361,0))),""))))</f>
        <v/>
      </c>
      <c r="S477" t="str">
        <f>IF($O477="","",IFERROR(INDEX('Координати майданчиків'!$I$4:$I$64,MATCH($T477,'Координати майданчиків'!$B$4:$B$64,0)),IFERROR(IF(ABS(INDEX(Геокодування!$C$2:$C$361,MATCH($Q477,Геокодування!$B$2:$B$361,0))-50.5884)+ABS(INDEX(Геокодування!$D$2:$D$361,MATCH($Q477,Геокодування!$B$2:$B$361,0))-32.3876)&gt;0.15,"",INDEX(Геокодування!$D$2:$D$361,MATCH($Q477,Геокодування!$B$2:$B$361,0))),IFERROR(IF(ABS(INDEX(Геокодування!$C$2:$C$361,MATCH("Прилуки, Чернігівська обл., "&amp;$A477,Геокодування!$B$2:$B$361,0))-50.5884)+ABS(INDEX(Геокодування!$D$2:$D$361,MATCH("Прилуки, Чернігівська обл., "&amp;$A477,Геокодування!$B$2:$B$361,0))-32.3876)&gt;0.15,"",INDEX(Геокодування!$D$2:$D$361,MATCH("Прилуки, Чернігівська обл., "&amp;$A477,Геокодування!$B$2:$B$361,0))),""))))</f>
        <v/>
      </c>
      <c r="T477" t="str">
        <f>IF($O477="","",IFERROR(INDEX('Координати майданчиків'!$B$4:$B$64,MATCH($A477&amp;IF($P477="","",", "&amp;$P477),'Координати майданчиків'!$B$4:$B$64,0)),IFERROR(INDEX('Координати майданчиків'!$B$4:$B$64,MATCH($A477,'Координати майданчиків'!$B$4:$B$64,0)),"")))</f>
        <v/>
      </c>
    </row>
    <row r="478" spans="1:20" x14ac:dyDescent="0.35">
      <c r="O478" s="30" t="str" cm="1">
        <f t="array" ref="O478">IFERROR(INDEX(_xlfn._xlws.SORT(_xlfn.UNIQUE(_xlfn._xlws.FILTER('Дані_зв''язок'!$J$4:$J$1012,'Дані_зв''язок'!$J$4:$J$1012&lt;&gt;""))),ROW()-4),"")</f>
        <v/>
      </c>
      <c r="P478" t="str" cm="1">
        <f t="array" ref="P478">IF($O478="","",IF($B478="","",IFERROR(IF(MIN(IFERROR(VALUE(TRIM(MID(SUBSTITUTE(SUBSTITUTE($B478,","," ")," ",REPT(" ",30)),{1;31;61;91;121;151;181},30))),""))=0,"",MIN(IFERROR(VALUE(TRIM(MID(SUBSTITUTE(SUBSTITUTE($B478,","," ")," ",REPT(" ",30)),{1;31;61;91;121;151;181},30))),""))),"")))</f>
        <v/>
      </c>
      <c r="R478" t="str">
        <f>IF($O478="","",IFERROR(INDEX('Координати майданчиків'!$H$4:$H$64,MATCH($T478,'Координати майданчиків'!$B$4:$B$64,0)),IFERROR(IF(ABS(INDEX(Геокодування!$C$2:$C$361,MATCH($Q478,Геокодування!$B$2:$B$361,0))-50.5884)+ABS(INDEX(Геокодування!$D$2:$D$361,MATCH($Q478,Геокодування!$B$2:$B$361,0))-32.3876)&gt;0.15,"",INDEX(Геокодування!$C$2:$C$361,MATCH($Q478,Геокодування!$B$2:$B$361,0))),IFERROR(IF(ABS(INDEX(Геокодування!$C$2:$C$361,MATCH("Прилуки, Чернігівська обл., "&amp;$A478,Геокодування!$B$2:$B$361,0))-50.5884)+ABS(INDEX(Геокодування!$D$2:$D$361,MATCH("Прилуки, Чернігівська обл., "&amp;$A478,Геокодування!$B$2:$B$361,0))-32.3876)&gt;0.15,"",INDEX(Геокодування!$C$2:$C$361,MATCH("Прилуки, Чернігівська обл., "&amp;$A478,Геокодування!$B$2:$B$361,0))),""))))</f>
        <v/>
      </c>
      <c r="S478" t="str">
        <f>IF($O478="","",IFERROR(INDEX('Координати майданчиків'!$I$4:$I$64,MATCH($T478,'Координати майданчиків'!$B$4:$B$64,0)),IFERROR(IF(ABS(INDEX(Геокодування!$C$2:$C$361,MATCH($Q478,Геокодування!$B$2:$B$361,0))-50.5884)+ABS(INDEX(Геокодування!$D$2:$D$361,MATCH($Q478,Геокодування!$B$2:$B$361,0))-32.3876)&gt;0.15,"",INDEX(Геокодування!$D$2:$D$361,MATCH($Q478,Геокодування!$B$2:$B$361,0))),IFERROR(IF(ABS(INDEX(Геокодування!$C$2:$C$361,MATCH("Прилуки, Чернігівська обл., "&amp;$A478,Геокодування!$B$2:$B$361,0))-50.5884)+ABS(INDEX(Геокодування!$D$2:$D$361,MATCH("Прилуки, Чернігівська обл., "&amp;$A478,Геокодування!$B$2:$B$361,0))-32.3876)&gt;0.15,"",INDEX(Геокодування!$D$2:$D$361,MATCH("Прилуки, Чернігівська обл., "&amp;$A478,Геокодування!$B$2:$B$361,0))),""))))</f>
        <v/>
      </c>
      <c r="T478" t="str">
        <f>IF($O478="","",IFERROR(INDEX('Координати майданчиків'!$B$4:$B$64,MATCH($A478&amp;IF($P478="","",", "&amp;$P478),'Координати майданчиків'!$B$4:$B$64,0)),IFERROR(INDEX('Координати майданчиків'!$B$4:$B$64,MATCH($A478,'Координати майданчиків'!$B$4:$B$64,0)),"")))</f>
        <v/>
      </c>
    </row>
    <row r="479" spans="1:20" x14ac:dyDescent="0.35">
      <c r="O479" s="30" t="str" cm="1">
        <f t="array" ref="O479">IFERROR(INDEX(_xlfn._xlws.SORT(_xlfn.UNIQUE(_xlfn._xlws.FILTER('Дані_зв''язок'!$J$4:$J$1012,'Дані_зв''язок'!$J$4:$J$1012&lt;&gt;""))),ROW()-4),"")</f>
        <v/>
      </c>
      <c r="P479" t="str" cm="1">
        <f t="array" ref="P479">IF($O479="","",IF($B479="","",IFERROR(IF(MIN(IFERROR(VALUE(TRIM(MID(SUBSTITUTE(SUBSTITUTE($B479,","," ")," ",REPT(" ",30)),{1;31;61;91;121;151;181},30))),""))=0,"",MIN(IFERROR(VALUE(TRIM(MID(SUBSTITUTE(SUBSTITUTE($B479,","," ")," ",REPT(" ",30)),{1;31;61;91;121;151;181},30))),""))),"")))</f>
        <v/>
      </c>
      <c r="R479" t="str">
        <f>IF($O479="","",IFERROR(INDEX('Координати майданчиків'!$H$4:$H$64,MATCH($T479,'Координати майданчиків'!$B$4:$B$64,0)),IFERROR(IF(ABS(INDEX(Геокодування!$C$2:$C$361,MATCH($Q479,Геокодування!$B$2:$B$361,0))-50.5884)+ABS(INDEX(Геокодування!$D$2:$D$361,MATCH($Q479,Геокодування!$B$2:$B$361,0))-32.3876)&gt;0.15,"",INDEX(Геокодування!$C$2:$C$361,MATCH($Q479,Геокодування!$B$2:$B$361,0))),IFERROR(IF(ABS(INDEX(Геокодування!$C$2:$C$361,MATCH("Прилуки, Чернігівська обл., "&amp;$A479,Геокодування!$B$2:$B$361,0))-50.5884)+ABS(INDEX(Геокодування!$D$2:$D$361,MATCH("Прилуки, Чернігівська обл., "&amp;$A479,Геокодування!$B$2:$B$361,0))-32.3876)&gt;0.15,"",INDEX(Геокодування!$C$2:$C$361,MATCH("Прилуки, Чернігівська обл., "&amp;$A479,Геокодування!$B$2:$B$361,0))),""))))</f>
        <v/>
      </c>
      <c r="S479" t="str">
        <f>IF($O479="","",IFERROR(INDEX('Координати майданчиків'!$I$4:$I$64,MATCH($T479,'Координати майданчиків'!$B$4:$B$64,0)),IFERROR(IF(ABS(INDEX(Геокодування!$C$2:$C$361,MATCH($Q479,Геокодування!$B$2:$B$361,0))-50.5884)+ABS(INDEX(Геокодування!$D$2:$D$361,MATCH($Q479,Геокодування!$B$2:$B$361,0))-32.3876)&gt;0.15,"",INDEX(Геокодування!$D$2:$D$361,MATCH($Q479,Геокодування!$B$2:$B$361,0))),IFERROR(IF(ABS(INDEX(Геокодування!$C$2:$C$361,MATCH("Прилуки, Чернігівська обл., "&amp;$A479,Геокодування!$B$2:$B$361,0))-50.5884)+ABS(INDEX(Геокодування!$D$2:$D$361,MATCH("Прилуки, Чернігівська обл., "&amp;$A479,Геокодування!$B$2:$B$361,0))-32.3876)&gt;0.15,"",INDEX(Геокодування!$D$2:$D$361,MATCH("Прилуки, Чернігівська обл., "&amp;$A479,Геокодування!$B$2:$B$361,0))),""))))</f>
        <v/>
      </c>
      <c r="T479" t="str">
        <f>IF($O479="","",IFERROR(INDEX('Координати майданчиків'!$B$4:$B$64,MATCH($A479&amp;IF($P479="","",", "&amp;$P479),'Координати майданчиків'!$B$4:$B$64,0)),IFERROR(INDEX('Координати майданчиків'!$B$4:$B$64,MATCH($A479,'Координати майданчиків'!$B$4:$B$64,0)),"")))</f>
        <v/>
      </c>
    </row>
    <row r="480" spans="1:20" x14ac:dyDescent="0.35">
      <c r="O480" s="30" t="str" cm="1">
        <f t="array" ref="O480">IFERROR(INDEX(_xlfn._xlws.SORT(_xlfn.UNIQUE(_xlfn._xlws.FILTER('Дані_зв''язок'!$J$4:$J$1012,'Дані_зв''язок'!$J$4:$J$1012&lt;&gt;""))),ROW()-4),"")</f>
        <v/>
      </c>
      <c r="P480" t="str" cm="1">
        <f t="array" ref="P480">IF($O480="","",IF($B480="","",IFERROR(IF(MIN(IFERROR(VALUE(TRIM(MID(SUBSTITUTE(SUBSTITUTE($B480,","," ")," ",REPT(" ",30)),{1;31;61;91;121;151;181},30))),""))=0,"",MIN(IFERROR(VALUE(TRIM(MID(SUBSTITUTE(SUBSTITUTE($B480,","," ")," ",REPT(" ",30)),{1;31;61;91;121;151;181},30))),""))),"")))</f>
        <v/>
      </c>
      <c r="R480" t="str">
        <f>IF($O480="","",IFERROR(INDEX('Координати майданчиків'!$H$4:$H$64,MATCH($T480,'Координати майданчиків'!$B$4:$B$64,0)),IFERROR(IF(ABS(INDEX(Геокодування!$C$2:$C$361,MATCH($Q480,Геокодування!$B$2:$B$361,0))-50.5884)+ABS(INDEX(Геокодування!$D$2:$D$361,MATCH($Q480,Геокодування!$B$2:$B$361,0))-32.3876)&gt;0.15,"",INDEX(Геокодування!$C$2:$C$361,MATCH($Q480,Геокодування!$B$2:$B$361,0))),IFERROR(IF(ABS(INDEX(Геокодування!$C$2:$C$361,MATCH("Прилуки, Чернігівська обл., "&amp;$A480,Геокодування!$B$2:$B$361,0))-50.5884)+ABS(INDEX(Геокодування!$D$2:$D$361,MATCH("Прилуки, Чернігівська обл., "&amp;$A480,Геокодування!$B$2:$B$361,0))-32.3876)&gt;0.15,"",INDEX(Геокодування!$C$2:$C$361,MATCH("Прилуки, Чернігівська обл., "&amp;$A480,Геокодування!$B$2:$B$361,0))),""))))</f>
        <v/>
      </c>
      <c r="S480" t="str">
        <f>IF($O480="","",IFERROR(INDEX('Координати майданчиків'!$I$4:$I$64,MATCH($T480,'Координати майданчиків'!$B$4:$B$64,0)),IFERROR(IF(ABS(INDEX(Геокодування!$C$2:$C$361,MATCH($Q480,Геокодування!$B$2:$B$361,0))-50.5884)+ABS(INDEX(Геокодування!$D$2:$D$361,MATCH($Q480,Геокодування!$B$2:$B$361,0))-32.3876)&gt;0.15,"",INDEX(Геокодування!$D$2:$D$361,MATCH($Q480,Геокодування!$B$2:$B$361,0))),IFERROR(IF(ABS(INDEX(Геокодування!$C$2:$C$361,MATCH("Прилуки, Чернігівська обл., "&amp;$A480,Геокодування!$B$2:$B$361,0))-50.5884)+ABS(INDEX(Геокодування!$D$2:$D$361,MATCH("Прилуки, Чернігівська обл., "&amp;$A480,Геокодування!$B$2:$B$361,0))-32.3876)&gt;0.15,"",INDEX(Геокодування!$D$2:$D$361,MATCH("Прилуки, Чернігівська обл., "&amp;$A480,Геокодування!$B$2:$B$361,0))),""))))</f>
        <v/>
      </c>
      <c r="T480" t="str">
        <f>IF($O480="","",IFERROR(INDEX('Координати майданчиків'!$B$4:$B$64,MATCH($A480&amp;IF($P480="","",", "&amp;$P480),'Координати майданчиків'!$B$4:$B$64,0)),IFERROR(INDEX('Координати майданчиків'!$B$4:$B$64,MATCH($A480,'Координати майданчиків'!$B$4:$B$64,0)),"")))</f>
        <v/>
      </c>
    </row>
  </sheetData>
  <autoFilter ref="A4:M468" xr:uid="{A55226D8-DFBE-420B-889F-0E611D073124}"/>
  <conditionalFormatting sqref="A5:B468">
    <cfRule type="expression" dxfId="3" priority="5" stopIfTrue="1">
      <formula>$T5&lt;&gt;""</formula>
    </cfRule>
    <cfRule type="expression" dxfId="2" priority="6">
      <formula>$J5=1</formula>
    </cfRule>
  </conditionalFormatting>
  <conditionalFormatting sqref="C5:I468">
    <cfRule type="expression" dxfId="1" priority="2" stopIfTrue="1">
      <formula>ISNUMBER(SEARCH("×",C5))</formula>
    </cfRule>
    <cfRule type="expression" dxfId="0" priority="3">
      <formula>LEN(C5)&gt;0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1492E-913E-4A94-BE7E-E1FBD33424B5}">
  <dimension ref="A1:F362"/>
  <sheetViews>
    <sheetView topLeftCell="A233" workbookViewId="0">
      <selection activeCell="D187" sqref="D187"/>
    </sheetView>
  </sheetViews>
  <sheetFormatPr defaultRowHeight="14.5" x14ac:dyDescent="0.35"/>
  <cols>
    <col min="2" max="2" width="50.36328125" customWidth="1"/>
    <col min="3" max="3" width="11.1796875" customWidth="1"/>
    <col min="4" max="4" width="12.54296875" customWidth="1"/>
    <col min="5" max="5" width="86.6328125" customWidth="1"/>
  </cols>
  <sheetData>
    <row r="1" spans="1:6" x14ac:dyDescent="0.35">
      <c r="B1" s="33" t="s">
        <v>773</v>
      </c>
      <c r="C1" s="34" t="s">
        <v>771</v>
      </c>
      <c r="D1" s="34" t="s">
        <v>772</v>
      </c>
      <c r="E1" s="33" t="s">
        <v>774</v>
      </c>
    </row>
    <row r="2" spans="1:6" ht="16.5" x14ac:dyDescent="0.35">
      <c r="A2" s="65" t="s">
        <v>1768</v>
      </c>
      <c r="B2" s="65" t="s">
        <v>1769</v>
      </c>
      <c r="C2" s="65" t="s">
        <v>771</v>
      </c>
      <c r="D2" s="65" t="s">
        <v>772</v>
      </c>
      <c r="E2" s="65" t="s">
        <v>1770</v>
      </c>
      <c r="F2" s="65"/>
    </row>
    <row r="3" spans="1:6" ht="16.5" x14ac:dyDescent="0.35">
      <c r="A3" s="66">
        <v>1</v>
      </c>
      <c r="B3" s="66" t="s">
        <v>775</v>
      </c>
      <c r="C3" s="69">
        <v>50.591386999999997</v>
      </c>
      <c r="D3" s="69">
        <v>32.370229000000002</v>
      </c>
      <c r="E3" s="68" t="s">
        <v>1771</v>
      </c>
      <c r="F3" s="66" t="s">
        <v>1772</v>
      </c>
    </row>
    <row r="4" spans="1:6" ht="16.5" x14ac:dyDescent="0.35">
      <c r="A4" s="66">
        <v>2</v>
      </c>
      <c r="B4" s="66" t="s">
        <v>776</v>
      </c>
      <c r="C4" s="69">
        <v>50.579768999999999</v>
      </c>
      <c r="D4" s="69">
        <v>32.420833000000002</v>
      </c>
      <c r="E4" s="68" t="s">
        <v>1773</v>
      </c>
      <c r="F4" s="66" t="s">
        <v>1772</v>
      </c>
    </row>
    <row r="5" spans="1:6" ht="33" x14ac:dyDescent="0.35">
      <c r="A5" s="66">
        <v>3</v>
      </c>
      <c r="B5" s="66" t="s">
        <v>777</v>
      </c>
      <c r="C5" s="69">
        <v>50.594935</v>
      </c>
      <c r="D5" s="69">
        <v>32.415866999999999</v>
      </c>
      <c r="E5" s="68" t="s">
        <v>1774</v>
      </c>
      <c r="F5" s="66" t="s">
        <v>1772</v>
      </c>
    </row>
    <row r="6" spans="1:6" ht="16.5" x14ac:dyDescent="0.35">
      <c r="A6" s="66">
        <v>4</v>
      </c>
      <c r="B6" s="66" t="s">
        <v>778</v>
      </c>
      <c r="C6" s="69">
        <v>50.593848000000001</v>
      </c>
      <c r="D6" s="69">
        <v>32.365535000000001</v>
      </c>
      <c r="E6" s="68" t="s">
        <v>1775</v>
      </c>
      <c r="F6" s="66" t="s">
        <v>1772</v>
      </c>
    </row>
    <row r="7" spans="1:6" ht="33" x14ac:dyDescent="0.35">
      <c r="A7" s="66">
        <v>5</v>
      </c>
      <c r="B7" s="66" t="s">
        <v>779</v>
      </c>
      <c r="C7" s="69">
        <v>50.611440000000002</v>
      </c>
      <c r="D7" s="69">
        <v>32.394472999999998</v>
      </c>
      <c r="E7" s="68" t="s">
        <v>1776</v>
      </c>
      <c r="F7" s="66" t="s">
        <v>1772</v>
      </c>
    </row>
    <row r="8" spans="1:6" ht="16.5" x14ac:dyDescent="0.35">
      <c r="A8" s="66">
        <v>6</v>
      </c>
      <c r="B8" s="66" t="s">
        <v>780</v>
      </c>
      <c r="C8" s="69">
        <v>50.609361999999997</v>
      </c>
      <c r="D8" s="69">
        <v>32.395558999999999</v>
      </c>
      <c r="E8" s="68" t="s">
        <v>1777</v>
      </c>
      <c r="F8" s="66" t="s">
        <v>1772</v>
      </c>
    </row>
    <row r="9" spans="1:6" ht="16.5" x14ac:dyDescent="0.35">
      <c r="A9" s="66">
        <v>7</v>
      </c>
      <c r="B9" s="66" t="s">
        <v>781</v>
      </c>
      <c r="C9" s="69">
        <v>50.589775000000003</v>
      </c>
      <c r="D9" s="69">
        <v>32.366114000000003</v>
      </c>
      <c r="E9" s="68" t="s">
        <v>1778</v>
      </c>
      <c r="F9" s="66" t="s">
        <v>1772</v>
      </c>
    </row>
    <row r="10" spans="1:6" ht="16.5" x14ac:dyDescent="0.35">
      <c r="A10" s="66">
        <v>8</v>
      </c>
      <c r="B10" s="66" t="s">
        <v>782</v>
      </c>
      <c r="C10" s="69">
        <v>50.603200000000001</v>
      </c>
      <c r="D10" s="69">
        <v>32.330292999999998</v>
      </c>
      <c r="E10" s="68" t="s">
        <v>1779</v>
      </c>
      <c r="F10" s="66" t="s">
        <v>1772</v>
      </c>
    </row>
    <row r="11" spans="1:6" ht="16.5" x14ac:dyDescent="0.35">
      <c r="A11" s="66">
        <v>9</v>
      </c>
      <c r="B11" s="66" t="s">
        <v>783</v>
      </c>
      <c r="C11" s="69">
        <v>50.894556999999999</v>
      </c>
      <c r="D11" s="69">
        <v>31.703098000000001</v>
      </c>
      <c r="E11" s="68" t="s">
        <v>1782</v>
      </c>
      <c r="F11" s="66" t="s">
        <v>1772</v>
      </c>
    </row>
    <row r="12" spans="1:6" ht="16.5" x14ac:dyDescent="0.35">
      <c r="A12" s="66">
        <v>10</v>
      </c>
      <c r="B12" s="66" t="s">
        <v>784</v>
      </c>
      <c r="C12" s="69">
        <v>50.606965000000002</v>
      </c>
      <c r="D12" s="69">
        <v>32.381031</v>
      </c>
      <c r="E12" s="68" t="s">
        <v>1783</v>
      </c>
      <c r="F12" s="66" t="s">
        <v>1772</v>
      </c>
    </row>
    <row r="13" spans="1:6" ht="16.5" x14ac:dyDescent="0.35">
      <c r="A13" s="66">
        <v>11</v>
      </c>
      <c r="B13" s="66" t="s">
        <v>785</v>
      </c>
      <c r="C13" s="69">
        <v>50.577807999999997</v>
      </c>
      <c r="D13" s="69">
        <v>32.385496000000003</v>
      </c>
      <c r="E13" s="68" t="s">
        <v>1784</v>
      </c>
      <c r="F13" s="66" t="s">
        <v>1772</v>
      </c>
    </row>
    <row r="14" spans="1:6" ht="16.5" x14ac:dyDescent="0.35">
      <c r="A14" s="66">
        <v>12</v>
      </c>
      <c r="B14" s="66" t="s">
        <v>786</v>
      </c>
      <c r="C14" s="69">
        <v>50.581904999999999</v>
      </c>
      <c r="D14" s="69">
        <v>32.383752999999999</v>
      </c>
      <c r="E14" s="68" t="s">
        <v>1785</v>
      </c>
      <c r="F14" s="66" t="s">
        <v>1772</v>
      </c>
    </row>
    <row r="15" spans="1:6" ht="16.5" x14ac:dyDescent="0.35">
      <c r="A15" s="66">
        <v>13</v>
      </c>
      <c r="B15" s="66" t="s">
        <v>787</v>
      </c>
      <c r="C15" s="69">
        <v>50.577863000000001</v>
      </c>
      <c r="D15" s="69">
        <v>32.422880999999997</v>
      </c>
      <c r="E15" s="68" t="s">
        <v>1786</v>
      </c>
      <c r="F15" s="66" t="s">
        <v>1772</v>
      </c>
    </row>
    <row r="16" spans="1:6" ht="16.5" x14ac:dyDescent="0.35">
      <c r="A16" s="66">
        <v>14</v>
      </c>
      <c r="B16" s="66" t="s">
        <v>788</v>
      </c>
      <c r="C16" s="69">
        <v>50.603200000000001</v>
      </c>
      <c r="D16" s="69">
        <v>32.330292999999998</v>
      </c>
      <c r="E16" s="68" t="s">
        <v>1779</v>
      </c>
      <c r="F16" s="66" t="s">
        <v>1772</v>
      </c>
    </row>
    <row r="17" spans="1:6" ht="16.5" x14ac:dyDescent="0.35">
      <c r="A17" s="66">
        <v>15</v>
      </c>
      <c r="B17" s="66" t="s">
        <v>789</v>
      </c>
      <c r="C17" s="69">
        <v>50.576318000000001</v>
      </c>
      <c r="D17" s="69">
        <v>32.381464000000001</v>
      </c>
      <c r="E17" s="68" t="s">
        <v>1787</v>
      </c>
      <c r="F17" s="66" t="s">
        <v>1772</v>
      </c>
    </row>
    <row r="18" spans="1:6" ht="16.5" x14ac:dyDescent="0.35">
      <c r="A18" s="66">
        <v>16</v>
      </c>
      <c r="B18" s="66" t="s">
        <v>790</v>
      </c>
      <c r="C18" s="69">
        <v>50.598255000000002</v>
      </c>
      <c r="D18" s="69">
        <v>32.374329000000003</v>
      </c>
      <c r="E18" s="68" t="s">
        <v>1790</v>
      </c>
      <c r="F18" s="66" t="s">
        <v>1772</v>
      </c>
    </row>
    <row r="19" spans="1:6" ht="16.5" x14ac:dyDescent="0.35">
      <c r="A19" s="66">
        <v>17</v>
      </c>
      <c r="B19" s="66" t="s">
        <v>791</v>
      </c>
      <c r="C19" s="69">
        <v>50.581086999999997</v>
      </c>
      <c r="D19" s="69">
        <v>32.405298000000002</v>
      </c>
      <c r="E19" s="68" t="s">
        <v>1791</v>
      </c>
      <c r="F19" s="66" t="s">
        <v>1772</v>
      </c>
    </row>
    <row r="20" spans="1:6" ht="16.5" x14ac:dyDescent="0.35">
      <c r="A20" s="66">
        <v>18</v>
      </c>
      <c r="B20" s="66" t="s">
        <v>792</v>
      </c>
      <c r="C20" s="69">
        <v>50.598793000000001</v>
      </c>
      <c r="D20" s="69">
        <v>32.424424999999999</v>
      </c>
      <c r="E20" s="68" t="s">
        <v>1792</v>
      </c>
      <c r="F20" s="66" t="s">
        <v>1772</v>
      </c>
    </row>
    <row r="21" spans="1:6" ht="33" x14ac:dyDescent="0.35">
      <c r="A21" s="66">
        <v>19</v>
      </c>
      <c r="B21" s="66" t="s">
        <v>793</v>
      </c>
      <c r="C21" s="69">
        <v>50.604495999999997</v>
      </c>
      <c r="D21" s="69">
        <v>32.412937999999997</v>
      </c>
      <c r="E21" s="68" t="s">
        <v>1795</v>
      </c>
      <c r="F21" s="66" t="s">
        <v>1772</v>
      </c>
    </row>
    <row r="22" spans="1:6" ht="16.5" x14ac:dyDescent="0.35">
      <c r="A22" s="66">
        <v>20</v>
      </c>
      <c r="B22" s="66" t="s">
        <v>794</v>
      </c>
      <c r="C22" s="69">
        <v>50.594043999999997</v>
      </c>
      <c r="D22" s="69">
        <v>32.374926000000002</v>
      </c>
      <c r="E22" s="68" t="s">
        <v>1796</v>
      </c>
      <c r="F22" s="66" t="s">
        <v>1772</v>
      </c>
    </row>
    <row r="23" spans="1:6" ht="16.5" x14ac:dyDescent="0.35">
      <c r="A23" s="66">
        <v>21</v>
      </c>
      <c r="B23" s="66" t="s">
        <v>795</v>
      </c>
      <c r="C23" s="69">
        <v>50.582349000000001</v>
      </c>
      <c r="D23" s="69">
        <v>32.408320000000003</v>
      </c>
      <c r="E23" s="68" t="s">
        <v>1797</v>
      </c>
      <c r="F23" s="66" t="s">
        <v>1772</v>
      </c>
    </row>
    <row r="24" spans="1:6" ht="16.5" x14ac:dyDescent="0.35">
      <c r="A24" s="66">
        <v>22</v>
      </c>
      <c r="B24" s="66" t="s">
        <v>796</v>
      </c>
      <c r="C24" s="69">
        <v>50.581305</v>
      </c>
      <c r="D24" s="69">
        <v>32.425981999999998</v>
      </c>
      <c r="E24" s="68" t="s">
        <v>1798</v>
      </c>
      <c r="F24" s="66" t="s">
        <v>1772</v>
      </c>
    </row>
    <row r="25" spans="1:6" ht="16.5" x14ac:dyDescent="0.35">
      <c r="A25" s="66">
        <v>23</v>
      </c>
      <c r="B25" s="66" t="s">
        <v>797</v>
      </c>
      <c r="C25" s="69">
        <v>50.607615000000003</v>
      </c>
      <c r="D25" s="69">
        <v>32.379038999999999</v>
      </c>
      <c r="E25" s="68" t="s">
        <v>1799</v>
      </c>
      <c r="F25" s="66" t="s">
        <v>1772</v>
      </c>
    </row>
    <row r="26" spans="1:6" ht="16.5" x14ac:dyDescent="0.35">
      <c r="A26" s="66">
        <v>24</v>
      </c>
      <c r="B26" s="66" t="s">
        <v>798</v>
      </c>
      <c r="C26" s="69">
        <v>50.591386999999997</v>
      </c>
      <c r="D26" s="69">
        <v>32.370229000000002</v>
      </c>
      <c r="E26" s="68" t="s">
        <v>1771</v>
      </c>
      <c r="F26" s="66" t="s">
        <v>1772</v>
      </c>
    </row>
    <row r="27" spans="1:6" ht="16.5" x14ac:dyDescent="0.35">
      <c r="A27" s="66">
        <v>25</v>
      </c>
      <c r="B27" s="66" t="s">
        <v>799</v>
      </c>
      <c r="C27" s="69">
        <v>50.579768999999999</v>
      </c>
      <c r="D27" s="69">
        <v>32.420833000000002</v>
      </c>
      <c r="E27" s="68" t="s">
        <v>1773</v>
      </c>
      <c r="F27" s="66" t="s">
        <v>1772</v>
      </c>
    </row>
    <row r="28" spans="1:6" ht="16.5" x14ac:dyDescent="0.35">
      <c r="A28" s="66">
        <v>26</v>
      </c>
      <c r="B28" s="66" t="s">
        <v>800</v>
      </c>
      <c r="C28" s="69">
        <v>50.589176999999999</v>
      </c>
      <c r="D28" s="69">
        <v>32.369007000000003</v>
      </c>
      <c r="E28" s="68" t="s">
        <v>1800</v>
      </c>
      <c r="F28" s="66" t="s">
        <v>1772</v>
      </c>
    </row>
    <row r="29" spans="1:6" ht="33" x14ac:dyDescent="0.35">
      <c r="A29" s="66">
        <v>27</v>
      </c>
      <c r="B29" s="66" t="s">
        <v>801</v>
      </c>
      <c r="C29" s="69">
        <v>50.609361999999997</v>
      </c>
      <c r="D29" s="69">
        <v>32.395558999999999</v>
      </c>
      <c r="E29" s="68" t="s">
        <v>1777</v>
      </c>
      <c r="F29" s="66" t="s">
        <v>1772</v>
      </c>
    </row>
    <row r="30" spans="1:6" ht="33" x14ac:dyDescent="0.35">
      <c r="A30" s="66">
        <v>28</v>
      </c>
      <c r="B30" s="66" t="s">
        <v>802</v>
      </c>
      <c r="C30" s="69">
        <v>50.594935</v>
      </c>
      <c r="D30" s="69">
        <v>32.415866999999999</v>
      </c>
      <c r="E30" s="68" t="s">
        <v>1801</v>
      </c>
      <c r="F30" s="66" t="s">
        <v>1772</v>
      </c>
    </row>
    <row r="31" spans="1:6" ht="16.5" x14ac:dyDescent="0.35">
      <c r="A31" s="66">
        <v>29</v>
      </c>
      <c r="B31" s="66" t="s">
        <v>803</v>
      </c>
      <c r="C31" s="69">
        <v>50.577770000000001</v>
      </c>
      <c r="D31" s="69">
        <v>32.368592999999997</v>
      </c>
      <c r="E31" s="68" t="s">
        <v>1802</v>
      </c>
      <c r="F31" s="66" t="s">
        <v>1772</v>
      </c>
    </row>
    <row r="32" spans="1:6" ht="16.5" x14ac:dyDescent="0.35">
      <c r="A32" s="66">
        <v>30</v>
      </c>
      <c r="B32" s="66" t="s">
        <v>804</v>
      </c>
      <c r="C32" s="69">
        <v>50.593848000000001</v>
      </c>
      <c r="D32" s="69">
        <v>32.365535000000001</v>
      </c>
      <c r="E32" s="68" t="s">
        <v>1775</v>
      </c>
      <c r="F32" s="66" t="s">
        <v>1772</v>
      </c>
    </row>
    <row r="33" spans="1:6" ht="16.5" x14ac:dyDescent="0.35">
      <c r="A33" s="66">
        <v>31</v>
      </c>
      <c r="B33" s="66" t="s">
        <v>805</v>
      </c>
      <c r="C33" s="69">
        <v>51.457259999999998</v>
      </c>
      <c r="D33" s="69">
        <v>31.068449000000001</v>
      </c>
      <c r="E33" s="68" t="s">
        <v>1803</v>
      </c>
      <c r="F33" s="66" t="s">
        <v>1772</v>
      </c>
    </row>
    <row r="34" spans="1:6" ht="16.5" x14ac:dyDescent="0.35">
      <c r="A34" s="66">
        <v>32</v>
      </c>
      <c r="B34" s="66" t="s">
        <v>806</v>
      </c>
      <c r="C34" s="69">
        <v>50.589775000000003</v>
      </c>
      <c r="D34" s="69">
        <v>32.366114000000003</v>
      </c>
      <c r="E34" s="68" t="s">
        <v>1778</v>
      </c>
      <c r="F34" s="66" t="s">
        <v>1772</v>
      </c>
    </row>
    <row r="35" spans="1:6" ht="16.5" x14ac:dyDescent="0.35">
      <c r="A35" s="66">
        <v>33</v>
      </c>
      <c r="B35" s="66" t="s">
        <v>807</v>
      </c>
      <c r="C35" s="69">
        <v>50.602615999999998</v>
      </c>
      <c r="D35" s="69">
        <v>32.330157999999997</v>
      </c>
      <c r="E35" s="68" t="s">
        <v>1779</v>
      </c>
      <c r="F35" s="66" t="s">
        <v>1772</v>
      </c>
    </row>
    <row r="36" spans="1:6" ht="16.5" x14ac:dyDescent="0.35">
      <c r="A36" s="66">
        <v>34</v>
      </c>
      <c r="B36" s="66" t="s">
        <v>808</v>
      </c>
      <c r="C36" s="69">
        <v>50.607241000000002</v>
      </c>
      <c r="D36" s="69">
        <v>32.379970999999998</v>
      </c>
      <c r="E36" s="68" t="s">
        <v>1804</v>
      </c>
      <c r="F36" s="66" t="s">
        <v>1772</v>
      </c>
    </row>
    <row r="37" spans="1:6" ht="16.5" x14ac:dyDescent="0.35">
      <c r="A37" s="66">
        <v>35</v>
      </c>
      <c r="B37" s="66" t="s">
        <v>809</v>
      </c>
      <c r="C37" s="69">
        <v>50.583222999999997</v>
      </c>
      <c r="D37" s="69">
        <v>32.393262999999997</v>
      </c>
      <c r="E37" s="68" t="s">
        <v>1805</v>
      </c>
      <c r="F37" s="66" t="s">
        <v>1772</v>
      </c>
    </row>
    <row r="38" spans="1:6" ht="16.5" x14ac:dyDescent="0.35">
      <c r="A38" s="66">
        <v>36</v>
      </c>
      <c r="B38" s="66" t="s">
        <v>810</v>
      </c>
      <c r="C38" s="69">
        <v>50.577751999999997</v>
      </c>
      <c r="D38" s="69">
        <v>32.425159000000001</v>
      </c>
      <c r="E38" s="68" t="s">
        <v>1806</v>
      </c>
      <c r="F38" s="66" t="s">
        <v>1772</v>
      </c>
    </row>
    <row r="39" spans="1:6" ht="16.5" x14ac:dyDescent="0.35">
      <c r="A39" s="66">
        <v>37</v>
      </c>
      <c r="B39" s="66" t="s">
        <v>811</v>
      </c>
      <c r="C39" s="69">
        <v>50.602676000000002</v>
      </c>
      <c r="D39" s="69">
        <v>32.328699</v>
      </c>
      <c r="E39" s="68" t="s">
        <v>1807</v>
      </c>
      <c r="F39" s="66" t="s">
        <v>1772</v>
      </c>
    </row>
    <row r="40" spans="1:6" ht="16.5" x14ac:dyDescent="0.35">
      <c r="A40" s="66">
        <v>38</v>
      </c>
      <c r="B40" s="66" t="s">
        <v>812</v>
      </c>
      <c r="C40" s="69">
        <v>50.582515000000001</v>
      </c>
      <c r="D40" s="69">
        <v>32.374082000000001</v>
      </c>
      <c r="E40" s="68" t="s">
        <v>1808</v>
      </c>
      <c r="F40" s="66" t="s">
        <v>1772</v>
      </c>
    </row>
    <row r="41" spans="1:6" ht="16.5" x14ac:dyDescent="0.35">
      <c r="A41" s="66">
        <v>39</v>
      </c>
      <c r="B41" s="66" t="s">
        <v>813</v>
      </c>
      <c r="C41" s="69">
        <v>50.581285999999999</v>
      </c>
      <c r="D41" s="69">
        <v>32.404271999999999</v>
      </c>
      <c r="E41" s="68" t="s">
        <v>1809</v>
      </c>
      <c r="F41" s="66" t="s">
        <v>1772</v>
      </c>
    </row>
    <row r="42" spans="1:6" ht="16.5" x14ac:dyDescent="0.35">
      <c r="A42" s="66">
        <v>40</v>
      </c>
      <c r="B42" s="66" t="s">
        <v>814</v>
      </c>
      <c r="C42" s="69">
        <v>50.591842999999997</v>
      </c>
      <c r="D42" s="69">
        <v>32.422511</v>
      </c>
      <c r="E42" s="68" t="s">
        <v>1810</v>
      </c>
      <c r="F42" s="66" t="s">
        <v>1772</v>
      </c>
    </row>
    <row r="43" spans="1:6" ht="16.5" x14ac:dyDescent="0.35">
      <c r="A43" s="66">
        <v>41</v>
      </c>
      <c r="B43" s="66" t="s">
        <v>815</v>
      </c>
      <c r="C43" s="69">
        <v>50.593749000000003</v>
      </c>
      <c r="D43" s="69">
        <v>32.415768</v>
      </c>
      <c r="E43" s="68" t="s">
        <v>1811</v>
      </c>
      <c r="F43" s="66" t="s">
        <v>1772</v>
      </c>
    </row>
    <row r="44" spans="1:6" ht="16.5" x14ac:dyDescent="0.35">
      <c r="A44" s="66">
        <v>42</v>
      </c>
      <c r="B44" s="66" t="s">
        <v>816</v>
      </c>
      <c r="C44" s="69">
        <v>50.599603999999999</v>
      </c>
      <c r="D44" s="69">
        <v>32.396923000000001</v>
      </c>
      <c r="E44" s="68" t="s">
        <v>1812</v>
      </c>
      <c r="F44" s="66" t="s">
        <v>1772</v>
      </c>
    </row>
    <row r="45" spans="1:6" ht="16.5" x14ac:dyDescent="0.35">
      <c r="A45" s="66">
        <v>43</v>
      </c>
      <c r="B45" s="66" t="s">
        <v>817</v>
      </c>
      <c r="C45" s="69">
        <v>50.577098999999997</v>
      </c>
      <c r="D45" s="69">
        <v>32.369692000000001</v>
      </c>
      <c r="E45" s="68" t="s">
        <v>1813</v>
      </c>
      <c r="F45" s="66" t="s">
        <v>1772</v>
      </c>
    </row>
    <row r="46" spans="1:6" ht="16.5" x14ac:dyDescent="0.35">
      <c r="A46" s="66">
        <v>44</v>
      </c>
      <c r="B46" s="66" t="s">
        <v>818</v>
      </c>
      <c r="C46" s="69">
        <v>50.593848000000001</v>
      </c>
      <c r="D46" s="69">
        <v>32.365535000000001</v>
      </c>
      <c r="E46" s="68" t="s">
        <v>1775</v>
      </c>
      <c r="F46" s="66" t="s">
        <v>1772</v>
      </c>
    </row>
    <row r="47" spans="1:6" ht="33" x14ac:dyDescent="0.35">
      <c r="A47" s="66">
        <v>45</v>
      </c>
      <c r="B47" s="66" t="s">
        <v>819</v>
      </c>
      <c r="C47" s="69">
        <v>50.613002999999999</v>
      </c>
      <c r="D47" s="69">
        <v>32.398581999999998</v>
      </c>
      <c r="E47" s="68" t="s">
        <v>1814</v>
      </c>
      <c r="F47" s="66" t="s">
        <v>1772</v>
      </c>
    </row>
    <row r="48" spans="1:6" ht="16.5" x14ac:dyDescent="0.35">
      <c r="A48" s="66">
        <v>46</v>
      </c>
      <c r="B48" s="66" t="s">
        <v>820</v>
      </c>
      <c r="C48" s="69">
        <v>50.60378</v>
      </c>
      <c r="D48" s="69">
        <v>32.330449999999999</v>
      </c>
      <c r="E48" s="68" t="s">
        <v>1815</v>
      </c>
      <c r="F48" s="66" t="s">
        <v>1772</v>
      </c>
    </row>
    <row r="49" spans="1:6" ht="16.5" x14ac:dyDescent="0.35">
      <c r="A49" s="66">
        <v>47</v>
      </c>
      <c r="B49" s="66" t="s">
        <v>821</v>
      </c>
      <c r="C49" s="69">
        <v>50.613002999999999</v>
      </c>
      <c r="D49" s="69">
        <v>32.398581999999998</v>
      </c>
      <c r="E49" s="68" t="s">
        <v>1816</v>
      </c>
      <c r="F49" s="66" t="s">
        <v>1772</v>
      </c>
    </row>
    <row r="50" spans="1:6" ht="16.5" x14ac:dyDescent="0.35">
      <c r="A50" s="66">
        <v>48</v>
      </c>
      <c r="B50" s="66" t="s">
        <v>822</v>
      </c>
      <c r="C50" s="69">
        <v>50.596961</v>
      </c>
      <c r="D50" s="69">
        <v>32.425527000000002</v>
      </c>
      <c r="E50" s="68" t="s">
        <v>1817</v>
      </c>
      <c r="F50" s="66" t="s">
        <v>1772</v>
      </c>
    </row>
    <row r="51" spans="1:6" ht="16.5" x14ac:dyDescent="0.35">
      <c r="A51" s="66">
        <v>49</v>
      </c>
      <c r="B51" s="66" t="s">
        <v>823</v>
      </c>
      <c r="C51" s="69">
        <v>50.577098999999997</v>
      </c>
      <c r="D51" s="69">
        <v>32.369692000000001</v>
      </c>
      <c r="E51" s="68" t="s">
        <v>1813</v>
      </c>
      <c r="F51" s="66" t="s">
        <v>1772</v>
      </c>
    </row>
    <row r="52" spans="1:6" ht="33" x14ac:dyDescent="0.35">
      <c r="A52" s="66">
        <v>50</v>
      </c>
      <c r="B52" s="66" t="s">
        <v>824</v>
      </c>
      <c r="C52" s="69">
        <v>50.612690999999998</v>
      </c>
      <c r="D52" s="69">
        <v>32.399563000000001</v>
      </c>
      <c r="E52" s="68" t="s">
        <v>1818</v>
      </c>
      <c r="F52" s="66" t="s">
        <v>1772</v>
      </c>
    </row>
    <row r="53" spans="1:6" ht="33" x14ac:dyDescent="0.35">
      <c r="A53" s="66">
        <v>51</v>
      </c>
      <c r="B53" s="66" t="s">
        <v>825</v>
      </c>
      <c r="C53" s="69">
        <v>50.577866999999998</v>
      </c>
      <c r="D53" s="69">
        <v>32.422547999999999</v>
      </c>
      <c r="E53" s="68" t="s">
        <v>1819</v>
      </c>
      <c r="F53" s="66" t="s">
        <v>1772</v>
      </c>
    </row>
    <row r="54" spans="1:6" ht="16.5" x14ac:dyDescent="0.35">
      <c r="A54" s="66">
        <v>52</v>
      </c>
      <c r="B54" s="66" t="s">
        <v>826</v>
      </c>
      <c r="C54" s="69">
        <v>50.597794</v>
      </c>
      <c r="D54" s="69">
        <v>32.383831000000001</v>
      </c>
      <c r="E54" s="68" t="s">
        <v>1820</v>
      </c>
      <c r="F54" s="66" t="s">
        <v>1772</v>
      </c>
    </row>
    <row r="55" spans="1:6" ht="16.5" x14ac:dyDescent="0.35">
      <c r="A55" s="66">
        <v>53</v>
      </c>
      <c r="B55" s="66" t="s">
        <v>827</v>
      </c>
      <c r="C55" s="69">
        <v>50.598985999999996</v>
      </c>
      <c r="D55" s="69">
        <v>32.327739000000001</v>
      </c>
      <c r="E55" s="68" t="s">
        <v>1821</v>
      </c>
      <c r="F55" s="66" t="s">
        <v>1772</v>
      </c>
    </row>
    <row r="56" spans="1:6" ht="16.5" x14ac:dyDescent="0.35">
      <c r="A56" s="66">
        <v>54</v>
      </c>
      <c r="B56" s="66" t="s">
        <v>828</v>
      </c>
      <c r="C56" s="69">
        <v>50.587344000000002</v>
      </c>
      <c r="D56" s="69">
        <v>32.356355999999998</v>
      </c>
      <c r="E56" s="68" t="s">
        <v>1822</v>
      </c>
      <c r="F56" s="66" t="s">
        <v>1772</v>
      </c>
    </row>
    <row r="57" spans="1:6" ht="16.5" x14ac:dyDescent="0.35">
      <c r="A57" s="66">
        <v>55</v>
      </c>
      <c r="B57" s="66" t="s">
        <v>829</v>
      </c>
      <c r="C57" s="69">
        <v>50.577941000000003</v>
      </c>
      <c r="D57" s="69">
        <v>32.356090000000002</v>
      </c>
      <c r="E57" s="68" t="s">
        <v>1823</v>
      </c>
      <c r="F57" s="66" t="s">
        <v>1772</v>
      </c>
    </row>
    <row r="58" spans="1:6" ht="16.5" x14ac:dyDescent="0.35">
      <c r="A58" s="66">
        <v>56</v>
      </c>
      <c r="B58" s="66" t="s">
        <v>830</v>
      </c>
      <c r="C58" s="69">
        <v>50.578887999999999</v>
      </c>
      <c r="D58" s="69">
        <v>32.355936999999997</v>
      </c>
      <c r="E58" s="68" t="s">
        <v>1824</v>
      </c>
      <c r="F58" s="66" t="s">
        <v>1772</v>
      </c>
    </row>
    <row r="59" spans="1:6" ht="16.5" x14ac:dyDescent="0.35">
      <c r="A59" s="66">
        <v>57</v>
      </c>
      <c r="B59" s="66" t="s">
        <v>831</v>
      </c>
      <c r="C59" s="69">
        <v>50.578887999999999</v>
      </c>
      <c r="D59" s="69">
        <v>32.355936999999997</v>
      </c>
      <c r="E59" s="68" t="s">
        <v>1824</v>
      </c>
      <c r="F59" s="66" t="s">
        <v>1772</v>
      </c>
    </row>
    <row r="60" spans="1:6" ht="16.5" x14ac:dyDescent="0.35">
      <c r="A60" s="66">
        <v>58</v>
      </c>
      <c r="B60" s="66" t="s">
        <v>832</v>
      </c>
      <c r="C60" s="69">
        <v>50.587344000000002</v>
      </c>
      <c r="D60" s="69">
        <v>32.356355999999998</v>
      </c>
      <c r="E60" s="68" t="s">
        <v>1822</v>
      </c>
      <c r="F60" s="66" t="s">
        <v>1772</v>
      </c>
    </row>
    <row r="61" spans="1:6" ht="16.5" x14ac:dyDescent="0.35">
      <c r="A61" s="66">
        <v>59</v>
      </c>
      <c r="B61" s="66" t="s">
        <v>833</v>
      </c>
      <c r="C61" s="69">
        <v>50.571258999999998</v>
      </c>
      <c r="D61" s="69">
        <v>32.401103999999997</v>
      </c>
      <c r="E61" s="68" t="s">
        <v>1825</v>
      </c>
      <c r="F61" s="66" t="s">
        <v>1772</v>
      </c>
    </row>
    <row r="62" spans="1:6" ht="16.5" x14ac:dyDescent="0.35">
      <c r="A62" s="66">
        <v>60</v>
      </c>
      <c r="B62" s="66" t="s">
        <v>834</v>
      </c>
      <c r="C62" s="69">
        <v>50.612611000000001</v>
      </c>
      <c r="D62" s="69">
        <v>32.392440000000001</v>
      </c>
      <c r="E62" s="68" t="s">
        <v>1826</v>
      </c>
      <c r="F62" s="66" t="s">
        <v>1772</v>
      </c>
    </row>
    <row r="63" spans="1:6" ht="16.5" x14ac:dyDescent="0.35">
      <c r="A63" s="66">
        <v>61</v>
      </c>
      <c r="B63" s="66" t="s">
        <v>835</v>
      </c>
      <c r="C63" s="69">
        <v>50.584609999999998</v>
      </c>
      <c r="D63" s="69">
        <v>32.368777000000001</v>
      </c>
      <c r="E63" s="68" t="s">
        <v>1827</v>
      </c>
      <c r="F63" s="66" t="s">
        <v>1772</v>
      </c>
    </row>
    <row r="64" spans="1:6" ht="16.5" x14ac:dyDescent="0.35">
      <c r="A64" s="66">
        <v>62</v>
      </c>
      <c r="B64" s="66" t="s">
        <v>836</v>
      </c>
      <c r="C64" s="69">
        <v>50.584609999999998</v>
      </c>
      <c r="D64" s="69">
        <v>32.368777000000001</v>
      </c>
      <c r="E64" s="68" t="s">
        <v>1828</v>
      </c>
      <c r="F64" s="66" t="s">
        <v>1772</v>
      </c>
    </row>
    <row r="65" spans="1:6" ht="16.5" x14ac:dyDescent="0.35">
      <c r="A65" s="66">
        <v>63</v>
      </c>
      <c r="B65" s="66" t="s">
        <v>837</v>
      </c>
      <c r="C65" s="69">
        <v>50.573889999999999</v>
      </c>
      <c r="D65" s="69">
        <v>32.379990999999997</v>
      </c>
      <c r="E65" s="68" t="s">
        <v>1829</v>
      </c>
      <c r="F65" s="66" t="s">
        <v>1772</v>
      </c>
    </row>
    <row r="66" spans="1:6" ht="16.5" x14ac:dyDescent="0.35">
      <c r="A66" s="66">
        <v>64</v>
      </c>
      <c r="B66" s="66" t="s">
        <v>838</v>
      </c>
      <c r="C66" s="69">
        <v>50.583413</v>
      </c>
      <c r="D66" s="69">
        <v>32.415923999999997</v>
      </c>
      <c r="E66" s="68" t="s">
        <v>1830</v>
      </c>
      <c r="F66" s="66" t="s">
        <v>1772</v>
      </c>
    </row>
    <row r="67" spans="1:6" ht="16.5" x14ac:dyDescent="0.35">
      <c r="A67" s="66">
        <v>65</v>
      </c>
      <c r="B67" s="66" t="s">
        <v>839</v>
      </c>
      <c r="C67" s="69">
        <v>51.412551000000001</v>
      </c>
      <c r="D67" s="69">
        <v>31.298525000000001</v>
      </c>
      <c r="E67" s="68" t="s">
        <v>1831</v>
      </c>
      <c r="F67" s="66" t="s">
        <v>1772</v>
      </c>
    </row>
    <row r="68" spans="1:6" ht="16.5" x14ac:dyDescent="0.35">
      <c r="A68" s="66">
        <v>66</v>
      </c>
      <c r="B68" s="66" t="s">
        <v>840</v>
      </c>
      <c r="C68" s="69">
        <v>50.589343999999997</v>
      </c>
      <c r="D68" s="69">
        <v>32.366922000000002</v>
      </c>
      <c r="E68" s="68" t="s">
        <v>1832</v>
      </c>
      <c r="F68" s="66" t="s">
        <v>1772</v>
      </c>
    </row>
    <row r="69" spans="1:6" ht="16.5" x14ac:dyDescent="0.35">
      <c r="A69" s="66">
        <v>67</v>
      </c>
      <c r="B69" s="66" t="s">
        <v>841</v>
      </c>
      <c r="C69" s="69">
        <v>50.614190000000001</v>
      </c>
      <c r="D69" s="69">
        <v>32.385624</v>
      </c>
      <c r="E69" s="68" t="s">
        <v>1833</v>
      </c>
      <c r="F69" s="66" t="s">
        <v>1772</v>
      </c>
    </row>
    <row r="70" spans="1:6" ht="16.5" x14ac:dyDescent="0.35">
      <c r="A70" s="66">
        <v>68</v>
      </c>
      <c r="B70" s="66" t="s">
        <v>842</v>
      </c>
      <c r="C70" s="69">
        <v>50.614190000000001</v>
      </c>
      <c r="D70" s="69">
        <v>32.385624</v>
      </c>
      <c r="E70" s="68" t="s">
        <v>1833</v>
      </c>
      <c r="F70" s="66" t="s">
        <v>1772</v>
      </c>
    </row>
    <row r="71" spans="1:6" ht="16.5" x14ac:dyDescent="0.35">
      <c r="A71" s="66">
        <v>69</v>
      </c>
      <c r="B71" s="66" t="s">
        <v>843</v>
      </c>
      <c r="C71" s="69">
        <v>50.614190000000001</v>
      </c>
      <c r="D71" s="69">
        <v>32.385624</v>
      </c>
      <c r="E71" s="68" t="s">
        <v>1833</v>
      </c>
      <c r="F71" s="66" t="s">
        <v>1772</v>
      </c>
    </row>
    <row r="72" spans="1:6" ht="16.5" x14ac:dyDescent="0.35">
      <c r="A72" s="66">
        <v>70</v>
      </c>
      <c r="B72" s="66" t="s">
        <v>844</v>
      </c>
      <c r="C72" s="69">
        <v>50.614190000000001</v>
      </c>
      <c r="D72" s="69">
        <v>32.385624</v>
      </c>
      <c r="E72" s="68" t="s">
        <v>1833</v>
      </c>
      <c r="F72" s="66" t="s">
        <v>1772</v>
      </c>
    </row>
    <row r="73" spans="1:6" ht="16.5" x14ac:dyDescent="0.35">
      <c r="A73" s="66">
        <v>71</v>
      </c>
      <c r="B73" s="66" t="s">
        <v>845</v>
      </c>
      <c r="C73" s="69">
        <v>50.579313999999997</v>
      </c>
      <c r="D73" s="69">
        <v>32.426285999999998</v>
      </c>
      <c r="E73" s="68" t="s">
        <v>1834</v>
      </c>
      <c r="F73" s="66" t="s">
        <v>1772</v>
      </c>
    </row>
    <row r="74" spans="1:6" ht="16.5" x14ac:dyDescent="0.35">
      <c r="A74" s="66">
        <v>72</v>
      </c>
      <c r="B74" s="66" t="s">
        <v>846</v>
      </c>
      <c r="C74" s="69">
        <v>50.579313999999997</v>
      </c>
      <c r="D74" s="69">
        <v>32.426285999999998</v>
      </c>
      <c r="E74" s="68" t="s">
        <v>1834</v>
      </c>
      <c r="F74" s="66" t="s">
        <v>1772</v>
      </c>
    </row>
    <row r="75" spans="1:6" ht="16.5" x14ac:dyDescent="0.35">
      <c r="A75" s="66">
        <v>73</v>
      </c>
      <c r="B75" s="66" t="s">
        <v>847</v>
      </c>
      <c r="C75" s="69">
        <v>50.579313999999997</v>
      </c>
      <c r="D75" s="69">
        <v>32.426285999999998</v>
      </c>
      <c r="E75" s="68" t="s">
        <v>1834</v>
      </c>
      <c r="F75" s="66" t="s">
        <v>1772</v>
      </c>
    </row>
    <row r="76" spans="1:6" ht="33" x14ac:dyDescent="0.35">
      <c r="A76" s="66">
        <v>74</v>
      </c>
      <c r="B76" s="66" t="s">
        <v>848</v>
      </c>
      <c r="C76" s="69">
        <v>50.583376000000001</v>
      </c>
      <c r="D76" s="69">
        <v>32.418672999999998</v>
      </c>
      <c r="E76" s="68" t="s">
        <v>1835</v>
      </c>
      <c r="F76" s="66" t="s">
        <v>1772</v>
      </c>
    </row>
    <row r="77" spans="1:6" ht="16.5" x14ac:dyDescent="0.35">
      <c r="A77" s="66">
        <v>75</v>
      </c>
      <c r="B77" s="66" t="s">
        <v>849</v>
      </c>
      <c r="C77" s="69">
        <v>50.599260999999998</v>
      </c>
      <c r="D77" s="69">
        <v>32.407741000000001</v>
      </c>
      <c r="E77" s="68" t="s">
        <v>1836</v>
      </c>
      <c r="F77" s="66" t="s">
        <v>1772</v>
      </c>
    </row>
    <row r="78" spans="1:6" ht="16.5" x14ac:dyDescent="0.35">
      <c r="A78" s="66">
        <v>76</v>
      </c>
      <c r="B78" s="66" t="s">
        <v>850</v>
      </c>
      <c r="C78" s="69">
        <v>50.599260999999998</v>
      </c>
      <c r="D78" s="69">
        <v>32.407741000000001</v>
      </c>
      <c r="E78" s="68" t="s">
        <v>1837</v>
      </c>
      <c r="F78" s="66" t="s">
        <v>1772</v>
      </c>
    </row>
    <row r="79" spans="1:6" ht="16.5" x14ac:dyDescent="0.35">
      <c r="A79" s="66">
        <v>77</v>
      </c>
      <c r="B79" s="66" t="s">
        <v>851</v>
      </c>
      <c r="C79" s="69">
        <v>50.599260999999998</v>
      </c>
      <c r="D79" s="69">
        <v>32.407741000000001</v>
      </c>
      <c r="E79" s="68" t="s">
        <v>1837</v>
      </c>
      <c r="F79" s="66" t="s">
        <v>1772</v>
      </c>
    </row>
    <row r="80" spans="1:6" ht="16.5" x14ac:dyDescent="0.35">
      <c r="A80" s="66">
        <v>78</v>
      </c>
      <c r="B80" s="66" t="s">
        <v>852</v>
      </c>
      <c r="C80" s="69">
        <v>50.581904999999999</v>
      </c>
      <c r="D80" s="69">
        <v>32.383752999999999</v>
      </c>
      <c r="E80" s="68" t="s">
        <v>1785</v>
      </c>
      <c r="F80" s="66" t="s">
        <v>1772</v>
      </c>
    </row>
    <row r="81" spans="1:6" ht="16.5" x14ac:dyDescent="0.35">
      <c r="A81" s="66">
        <v>79</v>
      </c>
      <c r="B81" s="66" t="s">
        <v>853</v>
      </c>
      <c r="C81" s="69">
        <v>50.583742000000001</v>
      </c>
      <c r="D81" s="69">
        <v>32.379131999999998</v>
      </c>
      <c r="E81" s="68" t="s">
        <v>1838</v>
      </c>
      <c r="F81" s="66" t="s">
        <v>1772</v>
      </c>
    </row>
    <row r="82" spans="1:6" ht="16.5" x14ac:dyDescent="0.35">
      <c r="A82" s="66">
        <v>80</v>
      </c>
      <c r="B82" s="66" t="s">
        <v>854</v>
      </c>
      <c r="C82" s="69">
        <v>50.573867</v>
      </c>
      <c r="D82" s="69">
        <v>32.422333999999999</v>
      </c>
      <c r="E82" s="68" t="s">
        <v>1839</v>
      </c>
      <c r="F82" s="66" t="s">
        <v>1772</v>
      </c>
    </row>
    <row r="83" spans="1:6" ht="16.5" x14ac:dyDescent="0.35">
      <c r="A83" s="66">
        <v>81</v>
      </c>
      <c r="B83" s="66" t="s">
        <v>855</v>
      </c>
      <c r="C83" s="69">
        <v>50.595689999999998</v>
      </c>
      <c r="D83" s="69">
        <v>32.381813000000001</v>
      </c>
      <c r="E83" s="68" t="s">
        <v>1840</v>
      </c>
      <c r="F83" s="66" t="s">
        <v>1772</v>
      </c>
    </row>
    <row r="84" spans="1:6" ht="16.5" x14ac:dyDescent="0.35">
      <c r="A84" s="66">
        <v>82</v>
      </c>
      <c r="B84" s="66" t="s">
        <v>856</v>
      </c>
      <c r="C84" s="69">
        <v>50.595689999999998</v>
      </c>
      <c r="D84" s="69">
        <v>32.381813000000001</v>
      </c>
      <c r="E84" s="68" t="s">
        <v>1840</v>
      </c>
      <c r="F84" s="66" t="s">
        <v>1772</v>
      </c>
    </row>
    <row r="85" spans="1:6" ht="16.5" x14ac:dyDescent="0.35">
      <c r="A85" s="66">
        <v>83</v>
      </c>
      <c r="B85" s="66" t="s">
        <v>857</v>
      </c>
      <c r="C85" s="69">
        <v>50.582349000000001</v>
      </c>
      <c r="D85" s="69">
        <v>32.408320000000003</v>
      </c>
      <c r="E85" s="68" t="s">
        <v>1797</v>
      </c>
      <c r="F85" s="66" t="s">
        <v>1772</v>
      </c>
    </row>
    <row r="86" spans="1:6" ht="16.5" x14ac:dyDescent="0.35">
      <c r="A86" s="66">
        <v>84</v>
      </c>
      <c r="B86" s="66" t="s">
        <v>858</v>
      </c>
      <c r="C86" s="69">
        <v>50.595689999999998</v>
      </c>
      <c r="D86" s="69">
        <v>32.381813000000001</v>
      </c>
      <c r="E86" s="68" t="s">
        <v>1840</v>
      </c>
      <c r="F86" s="66" t="s">
        <v>1772</v>
      </c>
    </row>
    <row r="87" spans="1:6" ht="16.5" x14ac:dyDescent="0.35">
      <c r="A87" s="66">
        <v>85</v>
      </c>
      <c r="B87" s="66" t="s">
        <v>859</v>
      </c>
      <c r="C87" s="69">
        <v>50.595689999999998</v>
      </c>
      <c r="D87" s="69">
        <v>32.381813000000001</v>
      </c>
      <c r="E87" s="68" t="s">
        <v>1840</v>
      </c>
      <c r="F87" s="66" t="s">
        <v>1772</v>
      </c>
    </row>
    <row r="88" spans="1:6" ht="16.5" x14ac:dyDescent="0.35">
      <c r="A88" s="66">
        <v>86</v>
      </c>
      <c r="B88" s="66" t="s">
        <v>860</v>
      </c>
      <c r="C88" s="69">
        <v>50.588054999999997</v>
      </c>
      <c r="D88" s="69">
        <v>32.381808999999997</v>
      </c>
      <c r="E88" s="68" t="s">
        <v>1841</v>
      </c>
      <c r="F88" s="66" t="s">
        <v>1772</v>
      </c>
    </row>
    <row r="89" spans="1:6" ht="16.5" x14ac:dyDescent="0.35">
      <c r="A89" s="66">
        <v>87</v>
      </c>
      <c r="B89" s="66" t="s">
        <v>861</v>
      </c>
      <c r="C89" s="69">
        <v>50.587175999999999</v>
      </c>
      <c r="D89" s="69">
        <v>32.385767000000001</v>
      </c>
      <c r="E89" s="68" t="s">
        <v>1842</v>
      </c>
      <c r="F89" s="66" t="s">
        <v>1772</v>
      </c>
    </row>
    <row r="90" spans="1:6" ht="16.5" x14ac:dyDescent="0.35">
      <c r="A90" s="66">
        <v>88</v>
      </c>
      <c r="B90" s="66" t="s">
        <v>862</v>
      </c>
      <c r="C90" s="69">
        <v>50.586236</v>
      </c>
      <c r="D90" s="69">
        <v>32.387503000000002</v>
      </c>
      <c r="E90" s="68" t="s">
        <v>1843</v>
      </c>
      <c r="F90" s="66" t="s">
        <v>1772</v>
      </c>
    </row>
    <row r="91" spans="1:6" ht="16.5" x14ac:dyDescent="0.35">
      <c r="A91" s="66">
        <v>89</v>
      </c>
      <c r="B91" s="66" t="s">
        <v>863</v>
      </c>
      <c r="C91" s="69">
        <v>50.570281999999999</v>
      </c>
      <c r="D91" s="69">
        <v>32.426704000000001</v>
      </c>
      <c r="E91" s="68" t="s">
        <v>1844</v>
      </c>
      <c r="F91" s="66" t="s">
        <v>1772</v>
      </c>
    </row>
    <row r="92" spans="1:6" ht="16.5" x14ac:dyDescent="0.35">
      <c r="A92" s="66">
        <v>90</v>
      </c>
      <c r="B92" s="66" t="s">
        <v>864</v>
      </c>
      <c r="C92" s="69">
        <v>50.590781999999997</v>
      </c>
      <c r="D92" s="69">
        <v>32.429465</v>
      </c>
      <c r="E92" s="68" t="s">
        <v>1845</v>
      </c>
      <c r="F92" s="66" t="s">
        <v>1772</v>
      </c>
    </row>
    <row r="93" spans="1:6" ht="16.5" x14ac:dyDescent="0.35">
      <c r="A93" s="66">
        <v>91</v>
      </c>
      <c r="B93" s="66" t="s">
        <v>865</v>
      </c>
      <c r="C93" s="69">
        <v>50.590432</v>
      </c>
      <c r="D93" s="69">
        <v>32.371955999999997</v>
      </c>
      <c r="E93" s="68" t="s">
        <v>1846</v>
      </c>
      <c r="F93" s="66" t="s">
        <v>1772</v>
      </c>
    </row>
    <row r="94" spans="1:6" ht="16.5" x14ac:dyDescent="0.35">
      <c r="A94" s="66">
        <v>92</v>
      </c>
      <c r="B94" s="66" t="s">
        <v>866</v>
      </c>
      <c r="C94" s="69">
        <v>50.597923000000002</v>
      </c>
      <c r="D94" s="69">
        <v>32.374448000000001</v>
      </c>
      <c r="E94" s="68" t="s">
        <v>1847</v>
      </c>
      <c r="F94" s="66" t="s">
        <v>1772</v>
      </c>
    </row>
    <row r="95" spans="1:6" ht="16.5" x14ac:dyDescent="0.35">
      <c r="A95" s="66">
        <v>93</v>
      </c>
      <c r="B95" s="66" t="s">
        <v>867</v>
      </c>
      <c r="C95" s="69">
        <v>50.596998999999997</v>
      </c>
      <c r="D95" s="69">
        <v>32.364187999999999</v>
      </c>
      <c r="E95" s="68" t="s">
        <v>1848</v>
      </c>
      <c r="F95" s="66" t="s">
        <v>1772</v>
      </c>
    </row>
    <row r="96" spans="1:6" ht="16.5" x14ac:dyDescent="0.35">
      <c r="A96" s="66">
        <v>94</v>
      </c>
      <c r="B96" s="66" t="s">
        <v>868</v>
      </c>
      <c r="C96" s="69">
        <v>50.581904999999999</v>
      </c>
      <c r="D96" s="69">
        <v>32.383752999999999</v>
      </c>
      <c r="E96" s="68" t="s">
        <v>1785</v>
      </c>
      <c r="F96" s="66" t="s">
        <v>1772</v>
      </c>
    </row>
    <row r="97" spans="1:6" ht="16.5" x14ac:dyDescent="0.35">
      <c r="A97" s="66">
        <v>95</v>
      </c>
      <c r="B97" s="66" t="s">
        <v>869</v>
      </c>
      <c r="C97" s="69">
        <v>50.5886</v>
      </c>
      <c r="D97" s="69">
        <v>32.384219999999999</v>
      </c>
      <c r="E97" s="68" t="s">
        <v>1849</v>
      </c>
      <c r="F97" s="66" t="s">
        <v>1772</v>
      </c>
    </row>
    <row r="98" spans="1:6" ht="16.5" x14ac:dyDescent="0.35">
      <c r="A98" s="66">
        <v>96</v>
      </c>
      <c r="B98" s="66" t="s">
        <v>870</v>
      </c>
      <c r="C98" s="69">
        <v>50.5886</v>
      </c>
      <c r="D98" s="69">
        <v>32.384219999999999</v>
      </c>
      <c r="E98" s="68" t="s">
        <v>1849</v>
      </c>
      <c r="F98" s="66" t="s">
        <v>1772</v>
      </c>
    </row>
    <row r="99" spans="1:6" ht="16.5" x14ac:dyDescent="0.35">
      <c r="A99" s="66">
        <v>97</v>
      </c>
      <c r="B99" s="66" t="s">
        <v>871</v>
      </c>
      <c r="C99" s="69">
        <v>50.593572000000002</v>
      </c>
      <c r="D99" s="69">
        <v>32.386591000000003</v>
      </c>
      <c r="E99" s="68" t="s">
        <v>1850</v>
      </c>
      <c r="F99" s="66" t="s">
        <v>1772</v>
      </c>
    </row>
    <row r="100" spans="1:6" ht="16.5" x14ac:dyDescent="0.35">
      <c r="A100" s="66">
        <v>98</v>
      </c>
      <c r="B100" s="66" t="s">
        <v>872</v>
      </c>
      <c r="C100" s="69">
        <v>50.589114000000002</v>
      </c>
      <c r="D100" s="69">
        <v>32.384971999999998</v>
      </c>
      <c r="E100" s="68" t="s">
        <v>1851</v>
      </c>
      <c r="F100" s="66" t="s">
        <v>1772</v>
      </c>
    </row>
    <row r="101" spans="1:6" ht="16.5" x14ac:dyDescent="0.35">
      <c r="A101" s="66">
        <v>99</v>
      </c>
      <c r="B101" s="66" t="s">
        <v>873</v>
      </c>
      <c r="C101" s="69">
        <v>50.592942000000001</v>
      </c>
      <c r="D101" s="69">
        <v>32.386243</v>
      </c>
      <c r="E101" s="68" t="s">
        <v>1852</v>
      </c>
      <c r="F101" s="66" t="s">
        <v>1772</v>
      </c>
    </row>
    <row r="102" spans="1:6" ht="16.5" x14ac:dyDescent="0.35">
      <c r="A102" s="66">
        <v>100</v>
      </c>
      <c r="B102" s="66" t="s">
        <v>874</v>
      </c>
      <c r="C102" s="69">
        <v>50.602826999999998</v>
      </c>
      <c r="D102" s="69">
        <v>32.411150999999997</v>
      </c>
      <c r="E102" s="68" t="s">
        <v>1853</v>
      </c>
      <c r="F102" s="66" t="s">
        <v>1772</v>
      </c>
    </row>
    <row r="103" spans="1:6" ht="16.5" x14ac:dyDescent="0.35">
      <c r="A103" s="66">
        <v>101</v>
      </c>
      <c r="B103" s="66" t="s">
        <v>875</v>
      </c>
      <c r="C103" s="69">
        <v>50.583993</v>
      </c>
      <c r="D103" s="69">
        <v>32.377982000000003</v>
      </c>
      <c r="E103" s="68" t="s">
        <v>1854</v>
      </c>
      <c r="F103" s="66" t="s">
        <v>1772</v>
      </c>
    </row>
    <row r="104" spans="1:6" ht="16.5" x14ac:dyDescent="0.35">
      <c r="A104" s="66">
        <v>102</v>
      </c>
      <c r="B104" s="66" t="s">
        <v>876</v>
      </c>
      <c r="C104" s="69">
        <v>50.598868000000003</v>
      </c>
      <c r="D104" s="69">
        <v>32.388275999999998</v>
      </c>
      <c r="E104" s="68" t="s">
        <v>1855</v>
      </c>
      <c r="F104" s="66" t="s">
        <v>1772</v>
      </c>
    </row>
    <row r="105" spans="1:6" ht="16.5" x14ac:dyDescent="0.35">
      <c r="A105" s="66">
        <v>103</v>
      </c>
      <c r="B105" s="66" t="s">
        <v>877</v>
      </c>
      <c r="C105" s="69">
        <v>50.576813000000001</v>
      </c>
      <c r="D105" s="69">
        <v>32.410488000000001</v>
      </c>
      <c r="E105" s="68" t="s">
        <v>1856</v>
      </c>
      <c r="F105" s="66" t="s">
        <v>1772</v>
      </c>
    </row>
    <row r="106" spans="1:6" ht="16.5" x14ac:dyDescent="0.35">
      <c r="A106" s="66">
        <v>104</v>
      </c>
      <c r="B106" s="66" t="s">
        <v>878</v>
      </c>
      <c r="C106" s="69">
        <v>50.574916000000002</v>
      </c>
      <c r="D106" s="69">
        <v>32.412554</v>
      </c>
      <c r="E106" s="68" t="s">
        <v>1857</v>
      </c>
      <c r="F106" s="66" t="s">
        <v>1772</v>
      </c>
    </row>
    <row r="107" spans="1:6" ht="16.5" x14ac:dyDescent="0.35">
      <c r="A107" s="66">
        <v>105</v>
      </c>
      <c r="B107" s="66" t="s">
        <v>879</v>
      </c>
      <c r="C107" s="69">
        <v>50.579155</v>
      </c>
      <c r="D107" s="69">
        <v>32.370852999999997</v>
      </c>
      <c r="E107" s="68" t="s">
        <v>1858</v>
      </c>
      <c r="F107" s="66" t="s">
        <v>1772</v>
      </c>
    </row>
    <row r="108" spans="1:6" ht="16.5" x14ac:dyDescent="0.35">
      <c r="A108" s="66">
        <v>106</v>
      </c>
      <c r="B108" s="66" t="s">
        <v>880</v>
      </c>
      <c r="C108" s="69">
        <v>50.612116999999998</v>
      </c>
      <c r="D108" s="69">
        <v>32.387304999999998</v>
      </c>
      <c r="E108" s="68" t="s">
        <v>1859</v>
      </c>
      <c r="F108" s="66" t="s">
        <v>1772</v>
      </c>
    </row>
    <row r="109" spans="1:6" ht="16.5" x14ac:dyDescent="0.35">
      <c r="A109" s="66">
        <v>107</v>
      </c>
      <c r="B109" s="66" t="s">
        <v>881</v>
      </c>
      <c r="C109" s="69">
        <v>50.612116999999998</v>
      </c>
      <c r="D109" s="69">
        <v>32.387304999999998</v>
      </c>
      <c r="E109" s="68" t="s">
        <v>1859</v>
      </c>
      <c r="F109" s="66" t="s">
        <v>1772</v>
      </c>
    </row>
    <row r="110" spans="1:6" ht="16.5" x14ac:dyDescent="0.35">
      <c r="A110" s="66">
        <v>108</v>
      </c>
      <c r="B110" s="66" t="s">
        <v>882</v>
      </c>
      <c r="C110" s="69">
        <v>50.612116999999998</v>
      </c>
      <c r="D110" s="69">
        <v>32.387304999999998</v>
      </c>
      <c r="E110" s="68" t="s">
        <v>1859</v>
      </c>
      <c r="F110" s="66" t="s">
        <v>1772</v>
      </c>
    </row>
    <row r="111" spans="1:6" ht="16.5" x14ac:dyDescent="0.35">
      <c r="A111" s="66">
        <v>109</v>
      </c>
      <c r="B111" s="66" t="s">
        <v>883</v>
      </c>
      <c r="C111" s="69">
        <v>50.612596000000003</v>
      </c>
      <c r="D111" s="69">
        <v>32.379328999999998</v>
      </c>
      <c r="E111" s="68" t="s">
        <v>1860</v>
      </c>
      <c r="F111" s="66" t="s">
        <v>1772</v>
      </c>
    </row>
    <row r="112" spans="1:6" ht="33" x14ac:dyDescent="0.35">
      <c r="A112" s="66">
        <v>110</v>
      </c>
      <c r="B112" s="66" t="s">
        <v>884</v>
      </c>
      <c r="C112" s="69">
        <v>50.593290000000003</v>
      </c>
      <c r="D112" s="69">
        <v>32.412570000000002</v>
      </c>
      <c r="E112" s="68" t="s">
        <v>1861</v>
      </c>
      <c r="F112" s="66" t="s">
        <v>1772</v>
      </c>
    </row>
    <row r="113" spans="1:6" ht="33" x14ac:dyDescent="0.35">
      <c r="A113" s="66">
        <v>111</v>
      </c>
      <c r="B113" s="66" t="s">
        <v>885</v>
      </c>
      <c r="C113" s="69">
        <v>50.593290000000003</v>
      </c>
      <c r="D113" s="69">
        <v>32.412570000000002</v>
      </c>
      <c r="E113" s="68" t="s">
        <v>1861</v>
      </c>
      <c r="F113" s="66" t="s">
        <v>1772</v>
      </c>
    </row>
    <row r="114" spans="1:6" ht="33" x14ac:dyDescent="0.35">
      <c r="A114" s="66">
        <v>112</v>
      </c>
      <c r="B114" s="66" t="s">
        <v>886</v>
      </c>
      <c r="C114" s="69">
        <v>50.593290000000003</v>
      </c>
      <c r="D114" s="69">
        <v>32.412570000000002</v>
      </c>
      <c r="E114" s="68" t="s">
        <v>1861</v>
      </c>
      <c r="F114" s="66" t="s">
        <v>1772</v>
      </c>
    </row>
    <row r="115" spans="1:6" ht="16.5" x14ac:dyDescent="0.35">
      <c r="A115" s="66">
        <v>113</v>
      </c>
      <c r="B115" s="66" t="s">
        <v>887</v>
      </c>
      <c r="C115" s="69">
        <v>50.581904999999999</v>
      </c>
      <c r="D115" s="69">
        <v>32.383752999999999</v>
      </c>
      <c r="E115" s="68" t="s">
        <v>1785</v>
      </c>
      <c r="F115" s="66" t="s">
        <v>1772</v>
      </c>
    </row>
    <row r="116" spans="1:6" ht="16.5" x14ac:dyDescent="0.35">
      <c r="A116" s="66">
        <v>114</v>
      </c>
      <c r="B116" s="66" t="s">
        <v>888</v>
      </c>
      <c r="C116" s="69">
        <v>50.593271999999999</v>
      </c>
      <c r="D116" s="69">
        <v>32.393039999999999</v>
      </c>
      <c r="E116" s="68" t="s">
        <v>1862</v>
      </c>
      <c r="F116" s="66" t="s">
        <v>1772</v>
      </c>
    </row>
    <row r="117" spans="1:6" ht="16.5" x14ac:dyDescent="0.35">
      <c r="A117" s="66">
        <v>115</v>
      </c>
      <c r="B117" s="66" t="s">
        <v>889</v>
      </c>
      <c r="C117" s="69">
        <v>50.593271999999999</v>
      </c>
      <c r="D117" s="69">
        <v>32.393039999999999</v>
      </c>
      <c r="E117" s="68" t="s">
        <v>1863</v>
      </c>
      <c r="F117" s="66" t="s">
        <v>1772</v>
      </c>
    </row>
    <row r="118" spans="1:6" ht="16.5" x14ac:dyDescent="0.35">
      <c r="A118" s="66">
        <v>116</v>
      </c>
      <c r="B118" s="66" t="s">
        <v>890</v>
      </c>
      <c r="C118" s="69">
        <v>50.595326</v>
      </c>
      <c r="D118" s="69">
        <v>32.420414999999998</v>
      </c>
      <c r="E118" s="68" t="s">
        <v>1864</v>
      </c>
      <c r="F118" s="66" t="s">
        <v>1772</v>
      </c>
    </row>
    <row r="119" spans="1:6" ht="16.5" x14ac:dyDescent="0.35">
      <c r="A119" s="66">
        <v>117</v>
      </c>
      <c r="B119" s="66" t="s">
        <v>891</v>
      </c>
      <c r="C119" s="69">
        <v>50.595326</v>
      </c>
      <c r="D119" s="69">
        <v>32.420414999999998</v>
      </c>
      <c r="E119" s="68" t="s">
        <v>1864</v>
      </c>
      <c r="F119" s="66" t="s">
        <v>1772</v>
      </c>
    </row>
    <row r="120" spans="1:6" ht="16.5" x14ac:dyDescent="0.35">
      <c r="A120" s="66">
        <v>118</v>
      </c>
      <c r="B120" s="66" t="s">
        <v>892</v>
      </c>
      <c r="C120" s="69">
        <v>50.595326</v>
      </c>
      <c r="D120" s="69">
        <v>32.420414999999998</v>
      </c>
      <c r="E120" s="68" t="s">
        <v>1864</v>
      </c>
      <c r="F120" s="66" t="s">
        <v>1772</v>
      </c>
    </row>
    <row r="121" spans="1:6" ht="16.5" x14ac:dyDescent="0.35">
      <c r="A121" s="66">
        <v>119</v>
      </c>
      <c r="B121" s="66" t="s">
        <v>893</v>
      </c>
      <c r="C121" s="69">
        <v>50.572482000000001</v>
      </c>
      <c r="D121" s="69">
        <v>32.422477999999998</v>
      </c>
      <c r="E121" s="68" t="s">
        <v>1865</v>
      </c>
      <c r="F121" s="66" t="s">
        <v>1772</v>
      </c>
    </row>
    <row r="122" spans="1:6" ht="16.5" x14ac:dyDescent="0.35">
      <c r="A122" s="66">
        <v>120</v>
      </c>
      <c r="B122" s="66" t="s">
        <v>894</v>
      </c>
      <c r="C122" s="69">
        <v>50.574877999999998</v>
      </c>
      <c r="D122" s="69">
        <v>32.418967000000002</v>
      </c>
      <c r="E122" s="68" t="s">
        <v>1866</v>
      </c>
      <c r="F122" s="66" t="s">
        <v>1772</v>
      </c>
    </row>
    <row r="123" spans="1:6" ht="16.5" x14ac:dyDescent="0.35">
      <c r="A123" s="66">
        <v>121</v>
      </c>
      <c r="B123" s="66" t="s">
        <v>895</v>
      </c>
      <c r="C123" s="69">
        <v>50.571151</v>
      </c>
      <c r="D123" s="69">
        <v>32.413218999999998</v>
      </c>
      <c r="E123" s="68" t="s">
        <v>1867</v>
      </c>
      <c r="F123" s="66" t="s">
        <v>1772</v>
      </c>
    </row>
    <row r="124" spans="1:6" ht="16.5" x14ac:dyDescent="0.35">
      <c r="A124" s="66">
        <v>122</v>
      </c>
      <c r="B124" s="66" t="s">
        <v>896</v>
      </c>
      <c r="C124" s="69">
        <v>50.606718999999998</v>
      </c>
      <c r="D124" s="69">
        <v>32.389301000000003</v>
      </c>
      <c r="E124" s="68" t="s">
        <v>1868</v>
      </c>
      <c r="F124" s="66" t="s">
        <v>1772</v>
      </c>
    </row>
    <row r="125" spans="1:6" ht="16.5" x14ac:dyDescent="0.35">
      <c r="A125" s="66">
        <v>123</v>
      </c>
      <c r="B125" s="66" t="s">
        <v>897</v>
      </c>
      <c r="C125" s="69">
        <v>50.606718999999998</v>
      </c>
      <c r="D125" s="69">
        <v>32.389301000000003</v>
      </c>
      <c r="E125" s="68" t="s">
        <v>1868</v>
      </c>
      <c r="F125" s="66" t="s">
        <v>1772</v>
      </c>
    </row>
    <row r="126" spans="1:6" ht="16.5" x14ac:dyDescent="0.35">
      <c r="A126" s="66">
        <v>124</v>
      </c>
      <c r="B126" s="66" t="s">
        <v>898</v>
      </c>
      <c r="C126" s="69">
        <v>50.606718999999998</v>
      </c>
      <c r="D126" s="69">
        <v>32.389301000000003</v>
      </c>
      <c r="E126" s="68" t="s">
        <v>1868</v>
      </c>
      <c r="F126" s="66" t="s">
        <v>1772</v>
      </c>
    </row>
    <row r="127" spans="1:6" ht="16.5" x14ac:dyDescent="0.35">
      <c r="A127" s="66">
        <v>125</v>
      </c>
      <c r="B127" s="66" t="s">
        <v>899</v>
      </c>
      <c r="C127" s="69">
        <v>50.612817</v>
      </c>
      <c r="D127" s="69">
        <v>32.393659999999997</v>
      </c>
      <c r="E127" s="68" t="s">
        <v>1869</v>
      </c>
      <c r="F127" s="66" t="s">
        <v>1772</v>
      </c>
    </row>
    <row r="128" spans="1:6" ht="16.5" x14ac:dyDescent="0.35">
      <c r="A128" s="66">
        <v>126</v>
      </c>
      <c r="B128" s="66" t="s">
        <v>900</v>
      </c>
      <c r="C128" s="69">
        <v>50.586787999999999</v>
      </c>
      <c r="D128" s="69">
        <v>32.372073999999998</v>
      </c>
      <c r="E128" s="68" t="s">
        <v>1870</v>
      </c>
      <c r="F128" s="66" t="s">
        <v>1772</v>
      </c>
    </row>
    <row r="129" spans="1:6" ht="16.5" x14ac:dyDescent="0.35">
      <c r="A129" s="66">
        <v>127</v>
      </c>
      <c r="B129" s="66" t="s">
        <v>901</v>
      </c>
      <c r="C129" s="69">
        <v>50.586300999999999</v>
      </c>
      <c r="D129" s="69">
        <v>32.427973000000001</v>
      </c>
      <c r="E129" s="68" t="s">
        <v>1871</v>
      </c>
      <c r="F129" s="66" t="s">
        <v>1772</v>
      </c>
    </row>
    <row r="130" spans="1:6" ht="16.5" x14ac:dyDescent="0.35">
      <c r="A130" s="66">
        <v>128</v>
      </c>
      <c r="B130" s="66" t="s">
        <v>902</v>
      </c>
      <c r="C130" s="69">
        <v>50.586300999999999</v>
      </c>
      <c r="D130" s="69">
        <v>32.427973000000001</v>
      </c>
      <c r="E130" s="68" t="s">
        <v>1872</v>
      </c>
      <c r="F130" s="66" t="s">
        <v>1772</v>
      </c>
    </row>
    <row r="131" spans="1:6" ht="16.5" x14ac:dyDescent="0.35">
      <c r="A131" s="66">
        <v>129</v>
      </c>
      <c r="B131" s="66" t="s">
        <v>903</v>
      </c>
      <c r="C131" s="69">
        <v>50.574120000000001</v>
      </c>
      <c r="D131" s="69">
        <v>32.420014000000002</v>
      </c>
      <c r="E131" s="68" t="s">
        <v>1873</v>
      </c>
      <c r="F131" s="66" t="s">
        <v>1772</v>
      </c>
    </row>
    <row r="132" spans="1:6" ht="16.5" x14ac:dyDescent="0.35">
      <c r="A132" s="66">
        <v>130</v>
      </c>
      <c r="B132" s="66" t="s">
        <v>904</v>
      </c>
      <c r="C132" s="69">
        <v>50.574120000000001</v>
      </c>
      <c r="D132" s="69">
        <v>32.420014000000002</v>
      </c>
      <c r="E132" s="68" t="s">
        <v>1873</v>
      </c>
      <c r="F132" s="66" t="s">
        <v>1772</v>
      </c>
    </row>
    <row r="133" spans="1:6" ht="16.5" x14ac:dyDescent="0.35">
      <c r="A133" s="66">
        <v>131</v>
      </c>
      <c r="B133" s="66" t="s">
        <v>905</v>
      </c>
      <c r="C133" s="69">
        <v>50.581904999999999</v>
      </c>
      <c r="D133" s="69">
        <v>32.383752999999999</v>
      </c>
      <c r="E133" s="68" t="s">
        <v>1785</v>
      </c>
      <c r="F133" s="66" t="s">
        <v>1772</v>
      </c>
    </row>
    <row r="134" spans="1:6" ht="16.5" x14ac:dyDescent="0.35">
      <c r="A134" s="66">
        <v>132</v>
      </c>
      <c r="B134" s="66" t="s">
        <v>906</v>
      </c>
      <c r="C134" s="69">
        <v>50.588745000000003</v>
      </c>
      <c r="D134" s="69">
        <v>32.395423999999998</v>
      </c>
      <c r="E134" s="68" t="s">
        <v>1874</v>
      </c>
      <c r="F134" s="66" t="s">
        <v>1772</v>
      </c>
    </row>
    <row r="135" spans="1:6" ht="16.5" x14ac:dyDescent="0.35">
      <c r="A135" s="66">
        <v>133</v>
      </c>
      <c r="B135" s="66" t="s">
        <v>907</v>
      </c>
      <c r="C135" s="69">
        <v>50.588745000000003</v>
      </c>
      <c r="D135" s="69">
        <v>32.395423999999998</v>
      </c>
      <c r="E135" s="68" t="s">
        <v>1875</v>
      </c>
      <c r="F135" s="66" t="s">
        <v>1772</v>
      </c>
    </row>
    <row r="136" spans="1:6" ht="16.5" x14ac:dyDescent="0.35">
      <c r="A136" s="66">
        <v>134</v>
      </c>
      <c r="B136" s="66" t="s">
        <v>908</v>
      </c>
      <c r="C136" s="69">
        <v>50.596513999999999</v>
      </c>
      <c r="D136" s="69">
        <v>32.345258000000001</v>
      </c>
      <c r="E136" s="68" t="s">
        <v>1876</v>
      </c>
      <c r="F136" s="66" t="s">
        <v>1772</v>
      </c>
    </row>
    <row r="137" spans="1:6" ht="16.5" x14ac:dyDescent="0.35">
      <c r="A137" s="66">
        <v>135</v>
      </c>
      <c r="B137" s="66" t="s">
        <v>909</v>
      </c>
      <c r="C137" s="69">
        <v>50.597099</v>
      </c>
      <c r="D137" s="69">
        <v>32.419462000000003</v>
      </c>
      <c r="E137" s="68" t="s">
        <v>1877</v>
      </c>
      <c r="F137" s="66" t="s">
        <v>1772</v>
      </c>
    </row>
    <row r="138" spans="1:6" ht="16.5" x14ac:dyDescent="0.35">
      <c r="A138" s="66">
        <v>136</v>
      </c>
      <c r="B138" s="66" t="s">
        <v>910</v>
      </c>
      <c r="C138" s="69">
        <v>50.597099</v>
      </c>
      <c r="D138" s="69">
        <v>32.419462000000003</v>
      </c>
      <c r="E138" s="68" t="s">
        <v>1878</v>
      </c>
      <c r="F138" s="66" t="s">
        <v>1772</v>
      </c>
    </row>
    <row r="139" spans="1:6" ht="16.5" x14ac:dyDescent="0.35">
      <c r="A139" s="66">
        <v>137</v>
      </c>
      <c r="B139" s="66" t="s">
        <v>911</v>
      </c>
      <c r="C139" s="69">
        <v>50.597099</v>
      </c>
      <c r="D139" s="69">
        <v>32.419462000000003</v>
      </c>
      <c r="E139" s="68" t="s">
        <v>1878</v>
      </c>
      <c r="F139" s="66" t="s">
        <v>1772</v>
      </c>
    </row>
    <row r="140" spans="1:6" ht="16.5" x14ac:dyDescent="0.35">
      <c r="A140" s="66">
        <v>138</v>
      </c>
      <c r="B140" s="66" t="s">
        <v>912</v>
      </c>
      <c r="C140" s="69">
        <v>50.597099</v>
      </c>
      <c r="D140" s="69">
        <v>32.419462000000003</v>
      </c>
      <c r="E140" s="68" t="s">
        <v>1878</v>
      </c>
      <c r="F140" s="66" t="s">
        <v>1772</v>
      </c>
    </row>
    <row r="141" spans="1:6" ht="16.5" x14ac:dyDescent="0.35">
      <c r="A141" s="66">
        <v>139</v>
      </c>
      <c r="B141" s="66" t="s">
        <v>913</v>
      </c>
      <c r="C141" s="69">
        <v>50.575682999999998</v>
      </c>
      <c r="D141" s="69">
        <v>32.402453999999999</v>
      </c>
      <c r="E141" s="68" t="s">
        <v>1879</v>
      </c>
      <c r="F141" s="66" t="s">
        <v>1772</v>
      </c>
    </row>
    <row r="142" spans="1:6" ht="16.5" x14ac:dyDescent="0.35">
      <c r="A142" s="66">
        <v>140</v>
      </c>
      <c r="B142" s="66" t="s">
        <v>914</v>
      </c>
      <c r="C142" s="69">
        <v>50.604374999999997</v>
      </c>
      <c r="D142" s="69">
        <v>32.330573000000001</v>
      </c>
      <c r="E142" s="68" t="s">
        <v>1880</v>
      </c>
      <c r="F142" s="66" t="s">
        <v>1772</v>
      </c>
    </row>
    <row r="143" spans="1:6" ht="16.5" x14ac:dyDescent="0.35">
      <c r="A143" s="66">
        <v>141</v>
      </c>
      <c r="B143" s="66" t="s">
        <v>915</v>
      </c>
      <c r="C143" s="69">
        <v>50.581904999999999</v>
      </c>
      <c r="D143" s="69">
        <v>32.383752999999999</v>
      </c>
      <c r="E143" s="68" t="s">
        <v>1785</v>
      </c>
      <c r="F143" s="66" t="s">
        <v>1772</v>
      </c>
    </row>
    <row r="144" spans="1:6" ht="16.5" x14ac:dyDescent="0.35">
      <c r="A144" s="66">
        <v>142</v>
      </c>
      <c r="B144" s="66" t="s">
        <v>916</v>
      </c>
      <c r="C144" s="69">
        <v>50.591270000000002</v>
      </c>
      <c r="D144" s="69">
        <v>32.379255999999998</v>
      </c>
      <c r="E144" s="68" t="s">
        <v>1881</v>
      </c>
      <c r="F144" s="66" t="s">
        <v>1772</v>
      </c>
    </row>
    <row r="145" spans="1:6" ht="16.5" x14ac:dyDescent="0.35">
      <c r="A145" s="66">
        <v>143</v>
      </c>
      <c r="B145" s="66" t="s">
        <v>917</v>
      </c>
      <c r="C145" s="69">
        <v>50.594937999999999</v>
      </c>
      <c r="D145" s="69">
        <v>32.381436000000001</v>
      </c>
      <c r="E145" s="68" t="s">
        <v>1882</v>
      </c>
      <c r="F145" s="66" t="s">
        <v>1772</v>
      </c>
    </row>
    <row r="146" spans="1:6" ht="33" x14ac:dyDescent="0.35">
      <c r="A146" s="66">
        <v>144</v>
      </c>
      <c r="B146" s="66" t="s">
        <v>918</v>
      </c>
      <c r="C146" s="69">
        <v>50.597251</v>
      </c>
      <c r="D146" s="69">
        <v>32.387461999999999</v>
      </c>
      <c r="E146" s="68" t="s">
        <v>1883</v>
      </c>
      <c r="F146" s="66" t="s">
        <v>1772</v>
      </c>
    </row>
    <row r="147" spans="1:6" ht="33" x14ac:dyDescent="0.35">
      <c r="A147" s="66">
        <v>145</v>
      </c>
      <c r="B147" s="66" t="s">
        <v>919</v>
      </c>
      <c r="C147" s="69">
        <v>50.597251</v>
      </c>
      <c r="D147" s="69">
        <v>32.387461999999999</v>
      </c>
      <c r="E147" s="68" t="s">
        <v>1883</v>
      </c>
      <c r="F147" s="66" t="s">
        <v>1772</v>
      </c>
    </row>
    <row r="148" spans="1:6" ht="33" x14ac:dyDescent="0.35">
      <c r="A148" s="66">
        <v>146</v>
      </c>
      <c r="B148" s="66" t="s">
        <v>920</v>
      </c>
      <c r="C148" s="69">
        <v>50.597251</v>
      </c>
      <c r="D148" s="69">
        <v>32.387461999999999</v>
      </c>
      <c r="E148" s="68" t="s">
        <v>1883</v>
      </c>
      <c r="F148" s="66" t="s">
        <v>1772</v>
      </c>
    </row>
    <row r="149" spans="1:6" ht="33" x14ac:dyDescent="0.35">
      <c r="A149" s="66">
        <v>147</v>
      </c>
      <c r="B149" s="66" t="s">
        <v>921</v>
      </c>
      <c r="C149" s="69">
        <v>50.597251</v>
      </c>
      <c r="D149" s="69">
        <v>32.387461999999999</v>
      </c>
      <c r="E149" s="68" t="s">
        <v>1883</v>
      </c>
      <c r="F149" s="66" t="s">
        <v>1772</v>
      </c>
    </row>
    <row r="150" spans="1:6" ht="16.5" x14ac:dyDescent="0.35">
      <c r="A150" s="66">
        <v>148</v>
      </c>
      <c r="B150" s="66" t="s">
        <v>922</v>
      </c>
      <c r="C150" s="69">
        <v>50.582774000000001</v>
      </c>
      <c r="D150" s="69">
        <v>32.373091000000002</v>
      </c>
      <c r="E150" s="68" t="s">
        <v>1884</v>
      </c>
      <c r="F150" s="66" t="s">
        <v>1772</v>
      </c>
    </row>
    <row r="151" spans="1:6" ht="16.5" x14ac:dyDescent="0.35">
      <c r="A151" s="66">
        <v>149</v>
      </c>
      <c r="B151" s="66" t="s">
        <v>923</v>
      </c>
      <c r="C151" s="69">
        <v>50.577319000000003</v>
      </c>
      <c r="D151" s="69">
        <v>32.406140000000001</v>
      </c>
      <c r="E151" s="68" t="s">
        <v>1885</v>
      </c>
      <c r="F151" s="66" t="s">
        <v>1772</v>
      </c>
    </row>
    <row r="152" spans="1:6" ht="16.5" x14ac:dyDescent="0.35">
      <c r="A152" s="66">
        <v>150</v>
      </c>
      <c r="B152" s="66" t="s">
        <v>924</v>
      </c>
      <c r="C152" s="69">
        <v>50.595689999999998</v>
      </c>
      <c r="D152" s="69">
        <v>32.381813000000001</v>
      </c>
      <c r="E152" s="68" t="s">
        <v>1840</v>
      </c>
      <c r="F152" s="66" t="s">
        <v>1772</v>
      </c>
    </row>
    <row r="153" spans="1:6" ht="16.5" x14ac:dyDescent="0.35">
      <c r="A153" s="66">
        <v>151</v>
      </c>
      <c r="B153" s="66" t="s">
        <v>925</v>
      </c>
      <c r="C153" s="69">
        <v>50.606712000000002</v>
      </c>
      <c r="D153" s="69">
        <v>32.331626</v>
      </c>
      <c r="E153" s="68" t="s">
        <v>1886</v>
      </c>
      <c r="F153" s="66" t="s">
        <v>1772</v>
      </c>
    </row>
    <row r="154" spans="1:6" ht="16.5" x14ac:dyDescent="0.35">
      <c r="A154" s="66">
        <v>152</v>
      </c>
      <c r="B154" s="66" t="s">
        <v>926</v>
      </c>
      <c r="C154" s="69">
        <v>50.580458999999998</v>
      </c>
      <c r="D154" s="69">
        <v>32.413970999999997</v>
      </c>
      <c r="E154" s="68" t="s">
        <v>1887</v>
      </c>
      <c r="F154" s="66" t="s">
        <v>1772</v>
      </c>
    </row>
    <row r="155" spans="1:6" ht="16.5" x14ac:dyDescent="0.35">
      <c r="A155" s="66">
        <v>153</v>
      </c>
      <c r="B155" s="66" t="s">
        <v>927</v>
      </c>
      <c r="C155" s="69">
        <v>50.595609000000003</v>
      </c>
      <c r="D155" s="69">
        <v>32.377924</v>
      </c>
      <c r="E155" s="68" t="s">
        <v>1888</v>
      </c>
      <c r="F155" s="66" t="s">
        <v>1772</v>
      </c>
    </row>
    <row r="156" spans="1:6" ht="16.5" x14ac:dyDescent="0.35">
      <c r="A156" s="66">
        <v>154</v>
      </c>
      <c r="B156" s="66" t="s">
        <v>928</v>
      </c>
      <c r="C156" s="69">
        <v>50.591952999999997</v>
      </c>
      <c r="D156" s="69">
        <v>32.376035000000002</v>
      </c>
      <c r="E156" s="68" t="s">
        <v>1889</v>
      </c>
      <c r="F156" s="66" t="s">
        <v>1772</v>
      </c>
    </row>
    <row r="157" spans="1:6" ht="16.5" x14ac:dyDescent="0.35">
      <c r="A157" s="66">
        <v>155</v>
      </c>
      <c r="B157" s="66" t="s">
        <v>929</v>
      </c>
      <c r="C157" s="69">
        <v>50.587850000000003</v>
      </c>
      <c r="D157" s="69">
        <v>32.373328000000001</v>
      </c>
      <c r="E157" s="68" t="s">
        <v>1890</v>
      </c>
      <c r="F157" s="66" t="s">
        <v>1772</v>
      </c>
    </row>
    <row r="158" spans="1:6" ht="16.5" x14ac:dyDescent="0.35">
      <c r="A158" s="66">
        <v>156</v>
      </c>
      <c r="B158" s="66" t="s">
        <v>930</v>
      </c>
      <c r="C158" s="69">
        <v>50.572085999999999</v>
      </c>
      <c r="D158" s="69">
        <v>32.406438000000001</v>
      </c>
      <c r="E158" s="68" t="s">
        <v>1891</v>
      </c>
      <c r="F158" s="66" t="s">
        <v>1772</v>
      </c>
    </row>
    <row r="159" spans="1:6" ht="16.5" x14ac:dyDescent="0.35">
      <c r="A159" s="66">
        <v>157</v>
      </c>
      <c r="B159" s="66" t="s">
        <v>931</v>
      </c>
      <c r="C159" s="69">
        <v>50.568472</v>
      </c>
      <c r="D159" s="69">
        <v>32.410401999999998</v>
      </c>
      <c r="E159" s="68" t="s">
        <v>1892</v>
      </c>
      <c r="F159" s="66" t="s">
        <v>1772</v>
      </c>
    </row>
    <row r="160" spans="1:6" ht="16.5" x14ac:dyDescent="0.35">
      <c r="A160" s="66">
        <v>158</v>
      </c>
      <c r="B160" s="66" t="s">
        <v>932</v>
      </c>
      <c r="C160" s="69">
        <v>50.609659000000001</v>
      </c>
      <c r="D160" s="69">
        <v>32.379094000000002</v>
      </c>
      <c r="E160" s="68" t="s">
        <v>1893</v>
      </c>
      <c r="F160" s="66" t="s">
        <v>1772</v>
      </c>
    </row>
    <row r="161" spans="1:6" ht="16.5" x14ac:dyDescent="0.35">
      <c r="A161" s="66">
        <v>159</v>
      </c>
      <c r="B161" s="66" t="s">
        <v>933</v>
      </c>
      <c r="C161" s="69">
        <v>50.600487000000001</v>
      </c>
      <c r="D161" s="69">
        <v>32.362537000000003</v>
      </c>
      <c r="E161" s="68" t="s">
        <v>1894</v>
      </c>
      <c r="F161" s="66" t="s">
        <v>1772</v>
      </c>
    </row>
    <row r="162" spans="1:6" ht="16.5" x14ac:dyDescent="0.35">
      <c r="A162" s="66">
        <v>160</v>
      </c>
      <c r="B162" s="66" t="s">
        <v>934</v>
      </c>
      <c r="C162" s="69">
        <v>50.595413999999998</v>
      </c>
      <c r="D162" s="69">
        <v>32.381410000000002</v>
      </c>
      <c r="E162" s="68" t="s">
        <v>1895</v>
      </c>
      <c r="F162" s="66" t="s">
        <v>1772</v>
      </c>
    </row>
    <row r="163" spans="1:6" ht="16.5" x14ac:dyDescent="0.35">
      <c r="A163" s="66">
        <v>161</v>
      </c>
      <c r="B163" s="66" t="s">
        <v>935</v>
      </c>
      <c r="C163" s="69">
        <v>50.587232</v>
      </c>
      <c r="D163" s="69">
        <v>32.438777000000002</v>
      </c>
      <c r="E163" s="68" t="s">
        <v>1896</v>
      </c>
      <c r="F163" s="66" t="s">
        <v>1772</v>
      </c>
    </row>
    <row r="164" spans="1:6" ht="16.5" x14ac:dyDescent="0.35">
      <c r="A164" s="66">
        <v>162</v>
      </c>
      <c r="B164" s="66" t="s">
        <v>936</v>
      </c>
      <c r="C164" s="69">
        <v>50.587232</v>
      </c>
      <c r="D164" s="69">
        <v>32.438777000000002</v>
      </c>
      <c r="E164" s="68" t="s">
        <v>1896</v>
      </c>
      <c r="F164" s="66" t="s">
        <v>1772</v>
      </c>
    </row>
    <row r="165" spans="1:6" ht="16.5" x14ac:dyDescent="0.35">
      <c r="A165" s="66">
        <v>163</v>
      </c>
      <c r="B165" s="66" t="s">
        <v>937</v>
      </c>
      <c r="C165" s="69">
        <v>50.587232</v>
      </c>
      <c r="D165" s="69">
        <v>32.438777000000002</v>
      </c>
      <c r="E165" s="68" t="s">
        <v>1896</v>
      </c>
      <c r="F165" s="66" t="s">
        <v>1772</v>
      </c>
    </row>
    <row r="166" spans="1:6" ht="16.5" x14ac:dyDescent="0.35">
      <c r="A166" s="66">
        <v>164</v>
      </c>
      <c r="B166" s="66" t="s">
        <v>938</v>
      </c>
      <c r="C166" s="69">
        <v>50.587232</v>
      </c>
      <c r="D166" s="69">
        <v>32.438777000000002</v>
      </c>
      <c r="E166" s="68" t="s">
        <v>1896</v>
      </c>
      <c r="F166" s="66" t="s">
        <v>1772</v>
      </c>
    </row>
    <row r="167" spans="1:6" ht="16.5" x14ac:dyDescent="0.35">
      <c r="A167" s="66">
        <v>165</v>
      </c>
      <c r="B167" s="66" t="s">
        <v>939</v>
      </c>
      <c r="C167" s="69">
        <v>50.587232</v>
      </c>
      <c r="D167" s="69">
        <v>32.438777000000002</v>
      </c>
      <c r="E167" s="68" t="s">
        <v>1896</v>
      </c>
      <c r="F167" s="66" t="s">
        <v>1772</v>
      </c>
    </row>
    <row r="168" spans="1:6" ht="16.5" x14ac:dyDescent="0.35">
      <c r="A168" s="66">
        <v>166</v>
      </c>
      <c r="B168" s="66" t="s">
        <v>940</v>
      </c>
      <c r="C168" s="69">
        <v>50.587232</v>
      </c>
      <c r="D168" s="69">
        <v>32.438777000000002</v>
      </c>
      <c r="E168" s="68" t="s">
        <v>1896</v>
      </c>
      <c r="F168" s="66" t="s">
        <v>1772</v>
      </c>
    </row>
    <row r="169" spans="1:6" ht="16.5" x14ac:dyDescent="0.35">
      <c r="A169" s="66">
        <v>167</v>
      </c>
      <c r="B169" s="66" t="s">
        <v>941</v>
      </c>
      <c r="C169" s="69">
        <v>50.587232</v>
      </c>
      <c r="D169" s="69">
        <v>32.438777000000002</v>
      </c>
      <c r="E169" s="68" t="s">
        <v>1896</v>
      </c>
      <c r="F169" s="66" t="s">
        <v>1772</v>
      </c>
    </row>
    <row r="170" spans="1:6" ht="16.5" x14ac:dyDescent="0.35">
      <c r="A170" s="66">
        <v>168</v>
      </c>
      <c r="B170" s="66" t="s">
        <v>942</v>
      </c>
      <c r="C170" s="69">
        <v>50.587232</v>
      </c>
      <c r="D170" s="69">
        <v>32.438777000000002</v>
      </c>
      <c r="E170" s="68" t="s">
        <v>1896</v>
      </c>
      <c r="F170" s="66" t="s">
        <v>1772</v>
      </c>
    </row>
    <row r="171" spans="1:6" ht="16.5" x14ac:dyDescent="0.35">
      <c r="A171" s="66">
        <v>169</v>
      </c>
      <c r="B171" s="66" t="s">
        <v>943</v>
      </c>
      <c r="C171" s="69">
        <v>50.587232</v>
      </c>
      <c r="D171" s="69">
        <v>32.438777000000002</v>
      </c>
      <c r="E171" s="68" t="s">
        <v>1896</v>
      </c>
      <c r="F171" s="66" t="s">
        <v>1772</v>
      </c>
    </row>
    <row r="172" spans="1:6" ht="16.5" x14ac:dyDescent="0.35">
      <c r="A172" s="66">
        <v>170</v>
      </c>
      <c r="B172" s="66" t="s">
        <v>944</v>
      </c>
      <c r="C172" s="69">
        <v>50.595689999999998</v>
      </c>
      <c r="D172" s="69">
        <v>32.381813000000001</v>
      </c>
      <c r="E172" s="68" t="s">
        <v>1840</v>
      </c>
      <c r="F172" s="66" t="s">
        <v>1772</v>
      </c>
    </row>
    <row r="173" spans="1:6" ht="16.5" x14ac:dyDescent="0.35">
      <c r="A173" s="66">
        <v>171</v>
      </c>
      <c r="B173" s="66" t="s">
        <v>945</v>
      </c>
      <c r="C173" s="69">
        <v>50.597375</v>
      </c>
      <c r="D173" s="69">
        <v>32.369256999999998</v>
      </c>
      <c r="E173" s="68" t="s">
        <v>1897</v>
      </c>
      <c r="F173" s="66" t="s">
        <v>1772</v>
      </c>
    </row>
    <row r="174" spans="1:6" ht="16.5" x14ac:dyDescent="0.35">
      <c r="A174" s="66">
        <v>172</v>
      </c>
      <c r="B174" s="66" t="s">
        <v>946</v>
      </c>
      <c r="C174" s="69">
        <v>50.555501999999997</v>
      </c>
      <c r="D174" s="69">
        <v>32.390351000000003</v>
      </c>
      <c r="E174" s="68" t="s">
        <v>1898</v>
      </c>
      <c r="F174" s="66" t="s">
        <v>1772</v>
      </c>
    </row>
    <row r="175" spans="1:6" ht="16.5" x14ac:dyDescent="0.35">
      <c r="A175" s="66">
        <v>173</v>
      </c>
      <c r="B175" s="66" t="s">
        <v>947</v>
      </c>
      <c r="C175" s="69">
        <v>50.573315000000001</v>
      </c>
      <c r="D175" s="69">
        <v>32.377521999999999</v>
      </c>
      <c r="E175" s="68" t="s">
        <v>1899</v>
      </c>
      <c r="F175" s="66" t="s">
        <v>1772</v>
      </c>
    </row>
    <row r="176" spans="1:6" ht="16.5" x14ac:dyDescent="0.35">
      <c r="A176" s="66">
        <v>174</v>
      </c>
      <c r="B176" s="66" t="s">
        <v>948</v>
      </c>
      <c r="C176" s="69">
        <v>50.581904999999999</v>
      </c>
      <c r="D176" s="69">
        <v>32.383752999999999</v>
      </c>
      <c r="E176" s="68" t="s">
        <v>1785</v>
      </c>
      <c r="F176" s="66" t="s">
        <v>1772</v>
      </c>
    </row>
    <row r="177" spans="1:6" ht="16.5" x14ac:dyDescent="0.35">
      <c r="A177" s="66">
        <v>175</v>
      </c>
      <c r="B177" s="66" t="s">
        <v>949</v>
      </c>
      <c r="C177" s="69">
        <v>50.597375</v>
      </c>
      <c r="D177" s="69">
        <v>32.369256999999998</v>
      </c>
      <c r="E177" s="68" t="s">
        <v>1897</v>
      </c>
      <c r="F177" s="66" t="s">
        <v>1772</v>
      </c>
    </row>
    <row r="178" spans="1:6" ht="16.5" x14ac:dyDescent="0.35">
      <c r="A178" s="66">
        <v>176</v>
      </c>
      <c r="B178" s="66" t="s">
        <v>950</v>
      </c>
      <c r="C178" s="69">
        <v>50.576813000000001</v>
      </c>
      <c r="D178" s="69">
        <v>32.410488000000001</v>
      </c>
      <c r="E178" s="68" t="s">
        <v>1856</v>
      </c>
      <c r="F178" s="66" t="s">
        <v>1772</v>
      </c>
    </row>
    <row r="179" spans="1:6" ht="16.5" x14ac:dyDescent="0.35">
      <c r="A179" s="66">
        <v>177</v>
      </c>
      <c r="B179" s="66" t="s">
        <v>951</v>
      </c>
      <c r="C179" s="69">
        <v>50.578600999999999</v>
      </c>
      <c r="D179" s="69">
        <v>32.408459000000001</v>
      </c>
      <c r="E179" s="68" t="s">
        <v>1900</v>
      </c>
      <c r="F179" s="66" t="s">
        <v>1772</v>
      </c>
    </row>
    <row r="180" spans="1:6" ht="16.5" x14ac:dyDescent="0.35">
      <c r="A180" s="66">
        <v>178</v>
      </c>
      <c r="B180" s="66" t="s">
        <v>952</v>
      </c>
      <c r="C180" s="69">
        <v>50.576813000000001</v>
      </c>
      <c r="D180" s="69">
        <v>32.410488000000001</v>
      </c>
      <c r="E180" s="68" t="s">
        <v>1901</v>
      </c>
      <c r="F180" s="66" t="s">
        <v>1772</v>
      </c>
    </row>
    <row r="181" spans="1:6" ht="16.5" x14ac:dyDescent="0.35">
      <c r="A181" s="66">
        <v>179</v>
      </c>
      <c r="B181" s="66" t="s">
        <v>953</v>
      </c>
      <c r="C181" s="69">
        <v>50.581454000000001</v>
      </c>
      <c r="D181" s="69">
        <v>32.392141000000002</v>
      </c>
      <c r="E181" s="68" t="s">
        <v>1902</v>
      </c>
      <c r="F181" s="66" t="s">
        <v>1772</v>
      </c>
    </row>
    <row r="182" spans="1:6" ht="16.5" x14ac:dyDescent="0.35">
      <c r="A182" s="66">
        <v>180</v>
      </c>
      <c r="B182" s="66" t="s">
        <v>954</v>
      </c>
      <c r="C182" s="69">
        <v>50.608271999999999</v>
      </c>
      <c r="D182" s="69">
        <v>32.395910000000001</v>
      </c>
      <c r="E182" s="68" t="s">
        <v>1903</v>
      </c>
      <c r="F182" s="66" t="s">
        <v>1772</v>
      </c>
    </row>
    <row r="183" spans="1:6" ht="16.5" x14ac:dyDescent="0.35">
      <c r="A183" s="66">
        <v>181</v>
      </c>
      <c r="B183" s="66" t="s">
        <v>955</v>
      </c>
      <c r="C183" s="69">
        <v>50.608271999999999</v>
      </c>
      <c r="D183" s="69">
        <v>32.395910000000001</v>
      </c>
      <c r="E183" s="68" t="s">
        <v>1903</v>
      </c>
      <c r="F183" s="66" t="s">
        <v>1772</v>
      </c>
    </row>
    <row r="184" spans="1:6" ht="16.5" x14ac:dyDescent="0.35">
      <c r="A184" s="66">
        <v>182</v>
      </c>
      <c r="B184" s="66" t="s">
        <v>956</v>
      </c>
      <c r="C184" s="69">
        <v>50.596922999999997</v>
      </c>
      <c r="D184" s="69">
        <v>32.397727000000003</v>
      </c>
      <c r="E184" s="68" t="s">
        <v>1904</v>
      </c>
      <c r="F184" s="66" t="s">
        <v>1772</v>
      </c>
    </row>
    <row r="185" spans="1:6" ht="16.5" x14ac:dyDescent="0.35">
      <c r="A185" s="66">
        <v>183</v>
      </c>
      <c r="B185" s="66" t="s">
        <v>957</v>
      </c>
      <c r="C185" s="69">
        <v>50.581904999999999</v>
      </c>
      <c r="D185" s="69">
        <v>32.383752999999999</v>
      </c>
      <c r="E185" s="68" t="s">
        <v>1785</v>
      </c>
      <c r="F185" s="66" t="s">
        <v>1772</v>
      </c>
    </row>
    <row r="186" spans="1:6" ht="16.5" x14ac:dyDescent="0.35">
      <c r="A186" s="66">
        <v>184</v>
      </c>
      <c r="B186" s="66" t="s">
        <v>958</v>
      </c>
      <c r="C186" s="69">
        <v>50.581904999999999</v>
      </c>
      <c r="D186" s="69">
        <v>32.383752999999999</v>
      </c>
      <c r="E186" s="68" t="s">
        <v>1785</v>
      </c>
      <c r="F186" s="66" t="s">
        <v>1772</v>
      </c>
    </row>
    <row r="187" spans="1:6" ht="16.5" x14ac:dyDescent="0.35">
      <c r="A187" s="66">
        <v>185</v>
      </c>
      <c r="B187" s="66" t="s">
        <v>959</v>
      </c>
      <c r="C187" s="69">
        <v>50.599716999999998</v>
      </c>
      <c r="D187" s="69">
        <v>32.359506000000003</v>
      </c>
      <c r="E187" s="68" t="s">
        <v>1905</v>
      </c>
      <c r="F187" s="66" t="s">
        <v>1772</v>
      </c>
    </row>
    <row r="188" spans="1:6" ht="16.5" x14ac:dyDescent="0.35">
      <c r="A188" s="66">
        <v>186</v>
      </c>
      <c r="B188" s="66" t="s">
        <v>960</v>
      </c>
      <c r="C188" s="69">
        <v>50.595502000000003</v>
      </c>
      <c r="D188" s="69">
        <v>32.407558000000002</v>
      </c>
      <c r="E188" s="68" t="s">
        <v>1906</v>
      </c>
      <c r="F188" s="66" t="s">
        <v>1772</v>
      </c>
    </row>
    <row r="189" spans="1:6" ht="16.5" x14ac:dyDescent="0.35">
      <c r="A189" s="66">
        <v>187</v>
      </c>
      <c r="B189" s="66" t="s">
        <v>961</v>
      </c>
      <c r="C189" s="69">
        <v>50.579580999999997</v>
      </c>
      <c r="D189" s="69">
        <v>32.418981000000002</v>
      </c>
      <c r="E189" s="68" t="s">
        <v>1907</v>
      </c>
      <c r="F189" s="66" t="s">
        <v>1772</v>
      </c>
    </row>
    <row r="190" spans="1:6" ht="16.5" x14ac:dyDescent="0.35">
      <c r="A190" s="66">
        <v>188</v>
      </c>
      <c r="B190" s="66" t="s">
        <v>962</v>
      </c>
      <c r="C190" s="69">
        <v>50.596057000000002</v>
      </c>
      <c r="D190" s="69">
        <v>32.346097</v>
      </c>
      <c r="E190" s="68" t="s">
        <v>1908</v>
      </c>
      <c r="F190" s="66" t="s">
        <v>1772</v>
      </c>
    </row>
    <row r="191" spans="1:6" ht="16.5" x14ac:dyDescent="0.35">
      <c r="A191" s="66">
        <v>189</v>
      </c>
      <c r="B191" s="66" t="s">
        <v>963</v>
      </c>
      <c r="C191" s="69">
        <v>50.596077999999999</v>
      </c>
      <c r="D191" s="69">
        <v>32.347054999999997</v>
      </c>
      <c r="E191" s="68" t="s">
        <v>1909</v>
      </c>
      <c r="F191" s="66" t="s">
        <v>1772</v>
      </c>
    </row>
    <row r="192" spans="1:6" ht="16.5" x14ac:dyDescent="0.35">
      <c r="A192" s="66">
        <v>190</v>
      </c>
      <c r="B192" s="66" t="s">
        <v>964</v>
      </c>
      <c r="C192" s="69">
        <v>50.579371000000002</v>
      </c>
      <c r="D192" s="69">
        <v>32.404027999999997</v>
      </c>
      <c r="E192" s="68" t="s">
        <v>1910</v>
      </c>
      <c r="F192" s="66" t="s">
        <v>1772</v>
      </c>
    </row>
    <row r="193" spans="1:6" ht="16.5" x14ac:dyDescent="0.35">
      <c r="A193" s="66">
        <v>191</v>
      </c>
      <c r="B193" s="66" t="s">
        <v>965</v>
      </c>
      <c r="C193" s="69">
        <v>50.567965999999998</v>
      </c>
      <c r="D193" s="69">
        <v>32.417555999999998</v>
      </c>
      <c r="E193" s="68" t="s">
        <v>1911</v>
      </c>
      <c r="F193" s="66" t="s">
        <v>1772</v>
      </c>
    </row>
    <row r="194" spans="1:6" ht="16.5" x14ac:dyDescent="0.35">
      <c r="A194" s="66">
        <v>192</v>
      </c>
      <c r="B194" s="66" t="s">
        <v>966</v>
      </c>
      <c r="C194" s="69">
        <v>50.592874000000002</v>
      </c>
      <c r="D194" s="69">
        <v>32.399804000000003</v>
      </c>
      <c r="E194" s="68" t="s">
        <v>1912</v>
      </c>
      <c r="F194" s="66" t="s">
        <v>1772</v>
      </c>
    </row>
    <row r="195" spans="1:6" ht="16.5" x14ac:dyDescent="0.35">
      <c r="A195" s="66">
        <v>193</v>
      </c>
      <c r="B195" s="66" t="s">
        <v>967</v>
      </c>
      <c r="C195" s="69">
        <v>50.592874000000002</v>
      </c>
      <c r="D195" s="69">
        <v>32.399804000000003</v>
      </c>
      <c r="E195" s="68" t="s">
        <v>1913</v>
      </c>
      <c r="F195" s="66" t="s">
        <v>1772</v>
      </c>
    </row>
    <row r="196" spans="1:6" ht="16.5" x14ac:dyDescent="0.35">
      <c r="A196" s="66">
        <v>194</v>
      </c>
      <c r="B196" s="66" t="s">
        <v>968</v>
      </c>
      <c r="C196" s="69">
        <v>50.568568999999997</v>
      </c>
      <c r="D196" s="69">
        <v>32.416643000000001</v>
      </c>
      <c r="E196" s="68" t="s">
        <v>1914</v>
      </c>
      <c r="F196" s="66" t="s">
        <v>1772</v>
      </c>
    </row>
    <row r="197" spans="1:6" ht="16.5" x14ac:dyDescent="0.35">
      <c r="A197" s="66">
        <v>195</v>
      </c>
      <c r="B197" s="66" t="s">
        <v>969</v>
      </c>
      <c r="C197" s="69">
        <v>50.570729</v>
      </c>
      <c r="D197" s="69">
        <v>32.425105000000002</v>
      </c>
      <c r="E197" s="68" t="s">
        <v>1915</v>
      </c>
      <c r="F197" s="66" t="s">
        <v>1772</v>
      </c>
    </row>
    <row r="198" spans="1:6" ht="16.5" x14ac:dyDescent="0.35">
      <c r="A198" s="66">
        <v>196</v>
      </c>
      <c r="B198" s="66" t="s">
        <v>970</v>
      </c>
      <c r="C198" s="69">
        <v>50.570729</v>
      </c>
      <c r="D198" s="69">
        <v>32.425105000000002</v>
      </c>
      <c r="E198" s="68" t="s">
        <v>1915</v>
      </c>
      <c r="F198" s="66" t="s">
        <v>1772</v>
      </c>
    </row>
    <row r="199" spans="1:6" ht="16.5" x14ac:dyDescent="0.35">
      <c r="A199" s="66">
        <v>197</v>
      </c>
      <c r="B199" s="66" t="s">
        <v>971</v>
      </c>
      <c r="C199" s="69">
        <v>50.591613000000002</v>
      </c>
      <c r="D199" s="69">
        <v>32.355347000000002</v>
      </c>
      <c r="E199" s="68" t="s">
        <v>1916</v>
      </c>
      <c r="F199" s="66" t="s">
        <v>1772</v>
      </c>
    </row>
    <row r="200" spans="1:6" ht="16.5" x14ac:dyDescent="0.35">
      <c r="A200" s="66">
        <v>198</v>
      </c>
      <c r="B200" s="66" t="s">
        <v>972</v>
      </c>
      <c r="C200" s="69">
        <v>50.592874000000002</v>
      </c>
      <c r="D200" s="69">
        <v>32.399804000000003</v>
      </c>
      <c r="E200" s="68" t="s">
        <v>1912</v>
      </c>
      <c r="F200" s="66" t="s">
        <v>1772</v>
      </c>
    </row>
    <row r="201" spans="1:6" ht="16.5" x14ac:dyDescent="0.35">
      <c r="A201" s="66">
        <v>199</v>
      </c>
      <c r="B201" s="66" t="s">
        <v>973</v>
      </c>
      <c r="C201" s="69">
        <v>50.592874000000002</v>
      </c>
      <c r="D201" s="69">
        <v>32.399804000000003</v>
      </c>
      <c r="E201" s="68" t="s">
        <v>1912</v>
      </c>
      <c r="F201" s="66" t="s">
        <v>1772</v>
      </c>
    </row>
    <row r="202" spans="1:6" ht="16.5" x14ac:dyDescent="0.35">
      <c r="A202" s="66">
        <v>200</v>
      </c>
      <c r="B202" s="66" t="s">
        <v>974</v>
      </c>
      <c r="C202" s="69">
        <v>50.592874000000002</v>
      </c>
      <c r="D202" s="69">
        <v>32.399804000000003</v>
      </c>
      <c r="E202" s="68" t="s">
        <v>1912</v>
      </c>
      <c r="F202" s="66" t="s">
        <v>1772</v>
      </c>
    </row>
    <row r="203" spans="1:6" ht="16.5" x14ac:dyDescent="0.35">
      <c r="A203" s="66">
        <v>201</v>
      </c>
      <c r="B203" s="66" t="s">
        <v>975</v>
      </c>
      <c r="C203" s="69">
        <v>50.614274000000002</v>
      </c>
      <c r="D203" s="69">
        <v>32.371076000000002</v>
      </c>
      <c r="E203" s="68" t="s">
        <v>1917</v>
      </c>
      <c r="F203" s="66" t="s">
        <v>1772</v>
      </c>
    </row>
    <row r="204" spans="1:6" ht="16.5" x14ac:dyDescent="0.35">
      <c r="A204" s="66">
        <v>202</v>
      </c>
      <c r="B204" s="66" t="s">
        <v>976</v>
      </c>
      <c r="C204" s="69">
        <v>50.581904999999999</v>
      </c>
      <c r="D204" s="69">
        <v>32.383752999999999</v>
      </c>
      <c r="E204" s="68" t="s">
        <v>1785</v>
      </c>
      <c r="F204" s="66" t="s">
        <v>1772</v>
      </c>
    </row>
    <row r="205" spans="1:6" ht="16.5" x14ac:dyDescent="0.35">
      <c r="A205" s="66">
        <v>203</v>
      </c>
      <c r="B205" s="66" t="s">
        <v>977</v>
      </c>
      <c r="C205" s="69">
        <v>50.580376999999999</v>
      </c>
      <c r="D205" s="69">
        <v>32.381062999999997</v>
      </c>
      <c r="E205" s="68" t="s">
        <v>1918</v>
      </c>
      <c r="F205" s="66" t="s">
        <v>1772</v>
      </c>
    </row>
    <row r="206" spans="1:6" ht="16.5" x14ac:dyDescent="0.35">
      <c r="A206" s="66">
        <v>204</v>
      </c>
      <c r="B206" s="66" t="s">
        <v>978</v>
      </c>
      <c r="C206" s="69">
        <v>50.581904999999999</v>
      </c>
      <c r="D206" s="69">
        <v>32.383752999999999</v>
      </c>
      <c r="E206" s="68" t="s">
        <v>1785</v>
      </c>
      <c r="F206" s="66" t="s">
        <v>1772</v>
      </c>
    </row>
    <row r="207" spans="1:6" ht="16.5" x14ac:dyDescent="0.35">
      <c r="A207" s="66">
        <v>205</v>
      </c>
      <c r="B207" s="66" t="s">
        <v>979</v>
      </c>
      <c r="C207" s="69">
        <v>50.598030999999999</v>
      </c>
      <c r="D207" s="69">
        <v>32.342886999999997</v>
      </c>
      <c r="E207" s="68" t="s">
        <v>1919</v>
      </c>
      <c r="F207" s="66" t="s">
        <v>1772</v>
      </c>
    </row>
    <row r="208" spans="1:6" ht="16.5" x14ac:dyDescent="0.35">
      <c r="A208" s="66">
        <v>206</v>
      </c>
      <c r="B208" s="66" t="s">
        <v>980</v>
      </c>
      <c r="C208" s="69">
        <v>50.598030999999999</v>
      </c>
      <c r="D208" s="69">
        <v>32.342886999999997</v>
      </c>
      <c r="E208" s="68" t="s">
        <v>1919</v>
      </c>
      <c r="F208" s="66" t="s">
        <v>1772</v>
      </c>
    </row>
    <row r="209" spans="1:6" ht="16.5" x14ac:dyDescent="0.35">
      <c r="A209" s="66">
        <v>207</v>
      </c>
      <c r="B209" s="66" t="s">
        <v>981</v>
      </c>
      <c r="C209" s="69">
        <v>50.584637000000001</v>
      </c>
      <c r="D209" s="69">
        <v>32.385432000000002</v>
      </c>
      <c r="E209" s="68" t="s">
        <v>1920</v>
      </c>
      <c r="F209" s="66" t="s">
        <v>1772</v>
      </c>
    </row>
    <row r="210" spans="1:6" ht="16.5" x14ac:dyDescent="0.35">
      <c r="A210" s="66">
        <v>208</v>
      </c>
      <c r="B210" s="66" t="s">
        <v>982</v>
      </c>
      <c r="C210" s="69">
        <v>50.569429</v>
      </c>
      <c r="D210" s="69">
        <v>32.415266000000003</v>
      </c>
      <c r="E210" s="68" t="s">
        <v>1921</v>
      </c>
      <c r="F210" s="66" t="s">
        <v>1772</v>
      </c>
    </row>
    <row r="211" spans="1:6" ht="16.5" x14ac:dyDescent="0.35">
      <c r="A211" s="66">
        <v>209</v>
      </c>
      <c r="B211" s="66" t="s">
        <v>983</v>
      </c>
      <c r="C211" s="69">
        <v>50.574281999999997</v>
      </c>
      <c r="D211" s="69">
        <v>32.383232999999997</v>
      </c>
      <c r="E211" s="68" t="s">
        <v>1922</v>
      </c>
      <c r="F211" s="66" t="s">
        <v>1772</v>
      </c>
    </row>
    <row r="212" spans="1:6" ht="16.5" x14ac:dyDescent="0.35">
      <c r="A212" s="66">
        <v>210</v>
      </c>
      <c r="B212" s="66" t="s">
        <v>984</v>
      </c>
      <c r="C212" s="69">
        <v>50.604695</v>
      </c>
      <c r="D212" s="69">
        <v>32.336871000000002</v>
      </c>
      <c r="E212" s="68" t="s">
        <v>1923</v>
      </c>
      <c r="F212" s="66" t="s">
        <v>1772</v>
      </c>
    </row>
    <row r="213" spans="1:6" ht="16.5" x14ac:dyDescent="0.35">
      <c r="A213" s="66">
        <v>211</v>
      </c>
      <c r="B213" s="66" t="s">
        <v>985</v>
      </c>
      <c r="C213" s="69">
        <v>50.607903</v>
      </c>
      <c r="D213" s="69">
        <v>32.381672999999999</v>
      </c>
      <c r="E213" s="68" t="s">
        <v>1924</v>
      </c>
      <c r="F213" s="66" t="s">
        <v>1772</v>
      </c>
    </row>
    <row r="214" spans="1:6" ht="16.5" x14ac:dyDescent="0.35">
      <c r="A214" s="66">
        <v>212</v>
      </c>
      <c r="B214" s="66" t="s">
        <v>986</v>
      </c>
      <c r="C214" s="69">
        <v>50.597935999999997</v>
      </c>
      <c r="D214" s="69">
        <v>32.387816999999998</v>
      </c>
      <c r="E214" s="68" t="s">
        <v>1925</v>
      </c>
      <c r="F214" s="66" t="s">
        <v>1772</v>
      </c>
    </row>
    <row r="215" spans="1:6" ht="16.5" x14ac:dyDescent="0.35">
      <c r="A215" s="66">
        <v>213</v>
      </c>
      <c r="B215" s="66" t="s">
        <v>987</v>
      </c>
      <c r="C215" s="69">
        <v>50.613970999999999</v>
      </c>
      <c r="D215" s="69">
        <v>32.376275999999997</v>
      </c>
      <c r="E215" s="68" t="s">
        <v>1926</v>
      </c>
      <c r="F215" s="66" t="s">
        <v>1772</v>
      </c>
    </row>
    <row r="216" spans="1:6" ht="16.5" x14ac:dyDescent="0.35">
      <c r="A216" s="66">
        <v>214</v>
      </c>
      <c r="B216" s="66" t="s">
        <v>988</v>
      </c>
      <c r="C216" s="69">
        <v>50.61365</v>
      </c>
      <c r="D216" s="69">
        <v>32.37603</v>
      </c>
      <c r="E216" s="68" t="s">
        <v>1927</v>
      </c>
      <c r="F216" s="66" t="s">
        <v>1772</v>
      </c>
    </row>
    <row r="217" spans="1:6" ht="16.5" x14ac:dyDescent="0.35">
      <c r="A217" s="66">
        <v>215</v>
      </c>
      <c r="B217" s="66" t="s">
        <v>989</v>
      </c>
      <c r="C217" s="69">
        <v>50.613354000000001</v>
      </c>
      <c r="D217" s="69">
        <v>32.377198</v>
      </c>
      <c r="E217" s="68" t="s">
        <v>1928</v>
      </c>
      <c r="F217" s="66" t="s">
        <v>1772</v>
      </c>
    </row>
    <row r="218" spans="1:6" ht="16.5" x14ac:dyDescent="0.35">
      <c r="A218" s="66">
        <v>216</v>
      </c>
      <c r="B218" s="66" t="s">
        <v>990</v>
      </c>
      <c r="C218" s="69">
        <v>50.61365</v>
      </c>
      <c r="D218" s="69">
        <v>32.37603</v>
      </c>
      <c r="E218" s="68" t="s">
        <v>1927</v>
      </c>
      <c r="F218" s="66" t="s">
        <v>1772</v>
      </c>
    </row>
    <row r="219" spans="1:6" ht="16.5" x14ac:dyDescent="0.35">
      <c r="A219" s="66">
        <v>217</v>
      </c>
      <c r="B219" s="66" t="s">
        <v>991</v>
      </c>
      <c r="C219" s="69">
        <v>50.581904999999999</v>
      </c>
      <c r="D219" s="69">
        <v>32.383752999999999</v>
      </c>
      <c r="E219" s="68" t="s">
        <v>1785</v>
      </c>
      <c r="F219" s="66" t="s">
        <v>1772</v>
      </c>
    </row>
    <row r="220" spans="1:6" ht="16.5" x14ac:dyDescent="0.35">
      <c r="A220" s="66">
        <v>218</v>
      </c>
      <c r="B220" s="66" t="s">
        <v>992</v>
      </c>
      <c r="C220" s="69">
        <v>50.615200000000002</v>
      </c>
      <c r="D220" s="69">
        <v>32.370775999999999</v>
      </c>
      <c r="E220" s="68" t="s">
        <v>1929</v>
      </c>
      <c r="F220" s="66" t="s">
        <v>1772</v>
      </c>
    </row>
    <row r="221" spans="1:6" ht="16.5" x14ac:dyDescent="0.35">
      <c r="A221" s="66">
        <v>219</v>
      </c>
      <c r="B221" s="66" t="s">
        <v>993</v>
      </c>
      <c r="C221" s="69">
        <v>50.615200000000002</v>
      </c>
      <c r="D221" s="69">
        <v>32.370775999999999</v>
      </c>
      <c r="E221" s="68" t="s">
        <v>1929</v>
      </c>
      <c r="F221" s="66" t="s">
        <v>1772</v>
      </c>
    </row>
    <row r="222" spans="1:6" ht="16.5" x14ac:dyDescent="0.35">
      <c r="A222" s="66">
        <v>220</v>
      </c>
      <c r="B222" s="66" t="s">
        <v>994</v>
      </c>
      <c r="C222" s="69">
        <v>50.615200000000002</v>
      </c>
      <c r="D222" s="69">
        <v>32.370775999999999</v>
      </c>
      <c r="E222" s="68" t="s">
        <v>1929</v>
      </c>
      <c r="F222" s="66" t="s">
        <v>1772</v>
      </c>
    </row>
    <row r="223" spans="1:6" ht="16.5" x14ac:dyDescent="0.35">
      <c r="A223" s="66">
        <v>221</v>
      </c>
      <c r="B223" s="66" t="s">
        <v>995</v>
      </c>
      <c r="C223" s="69">
        <v>50.596460999999998</v>
      </c>
      <c r="D223" s="69">
        <v>32.406213000000001</v>
      </c>
      <c r="E223" s="68" t="s">
        <v>1930</v>
      </c>
      <c r="F223" s="66" t="s">
        <v>1772</v>
      </c>
    </row>
    <row r="224" spans="1:6" ht="16.5" x14ac:dyDescent="0.35">
      <c r="A224" s="66">
        <v>222</v>
      </c>
      <c r="B224" s="66" t="s">
        <v>996</v>
      </c>
      <c r="C224" s="69">
        <v>50.584783999999999</v>
      </c>
      <c r="D224" s="69">
        <v>32.366155999999997</v>
      </c>
      <c r="E224" s="68" t="s">
        <v>1931</v>
      </c>
      <c r="F224" s="66" t="s">
        <v>1772</v>
      </c>
    </row>
    <row r="225" spans="1:6" ht="16.5" x14ac:dyDescent="0.35">
      <c r="A225" s="66">
        <v>223</v>
      </c>
      <c r="B225" s="66" t="s">
        <v>997</v>
      </c>
      <c r="C225" s="69">
        <v>50.595452000000002</v>
      </c>
      <c r="D225" s="69">
        <v>32.383623999999998</v>
      </c>
      <c r="E225" s="68" t="s">
        <v>1932</v>
      </c>
      <c r="F225" s="66" t="s">
        <v>1772</v>
      </c>
    </row>
    <row r="226" spans="1:6" ht="16.5" x14ac:dyDescent="0.35">
      <c r="A226" s="66">
        <v>224</v>
      </c>
      <c r="B226" s="66" t="s">
        <v>998</v>
      </c>
      <c r="C226" s="69">
        <v>50.594043999999997</v>
      </c>
      <c r="D226" s="69">
        <v>32.374926000000002</v>
      </c>
      <c r="E226" s="68" t="s">
        <v>1796</v>
      </c>
      <c r="F226" s="66" t="s">
        <v>1772</v>
      </c>
    </row>
    <row r="227" spans="1:6" ht="16.5" x14ac:dyDescent="0.35">
      <c r="A227" s="66">
        <v>225</v>
      </c>
      <c r="B227" s="66" t="s">
        <v>999</v>
      </c>
      <c r="C227" s="69">
        <v>50.608592999999999</v>
      </c>
      <c r="D227" s="69">
        <v>32.386003000000002</v>
      </c>
      <c r="E227" s="68" t="s">
        <v>1933</v>
      </c>
      <c r="F227" s="66" t="s">
        <v>1772</v>
      </c>
    </row>
    <row r="228" spans="1:6" ht="16.5" x14ac:dyDescent="0.35">
      <c r="A228" s="66">
        <v>226</v>
      </c>
      <c r="B228" s="66" t="s">
        <v>1000</v>
      </c>
      <c r="C228" s="69">
        <v>50.604697999999999</v>
      </c>
      <c r="D228" s="69">
        <v>32.385109999999997</v>
      </c>
      <c r="E228" s="68" t="s">
        <v>1934</v>
      </c>
      <c r="F228" s="66" t="s">
        <v>1772</v>
      </c>
    </row>
    <row r="229" spans="1:6" ht="16.5" x14ac:dyDescent="0.35">
      <c r="A229" s="66">
        <v>227</v>
      </c>
      <c r="B229" s="66" t="s">
        <v>1001</v>
      </c>
      <c r="C229" s="69">
        <v>50.601323999999998</v>
      </c>
      <c r="D229" s="69">
        <v>32.344323000000003</v>
      </c>
      <c r="E229" s="68" t="s">
        <v>1935</v>
      </c>
      <c r="F229" s="66" t="s">
        <v>1772</v>
      </c>
    </row>
    <row r="230" spans="1:6" ht="16.5" x14ac:dyDescent="0.35">
      <c r="A230" s="66">
        <v>228</v>
      </c>
      <c r="B230" s="66" t="s">
        <v>1002</v>
      </c>
      <c r="C230" s="69">
        <v>51.071432999999999</v>
      </c>
      <c r="D230" s="69">
        <v>31.900995000000002</v>
      </c>
      <c r="E230" s="68" t="s">
        <v>1936</v>
      </c>
      <c r="F230" s="66" t="s">
        <v>1772</v>
      </c>
    </row>
    <row r="231" spans="1:6" ht="16.5" x14ac:dyDescent="0.35">
      <c r="A231" s="66">
        <v>229</v>
      </c>
      <c r="B231" s="66" t="s">
        <v>1003</v>
      </c>
      <c r="C231" s="69">
        <v>50.598633</v>
      </c>
      <c r="D231" s="69">
        <v>32.345224999999999</v>
      </c>
      <c r="E231" s="68" t="s">
        <v>1937</v>
      </c>
      <c r="F231" s="66" t="s">
        <v>1772</v>
      </c>
    </row>
    <row r="232" spans="1:6" ht="16.5" x14ac:dyDescent="0.35">
      <c r="A232" s="66">
        <v>230</v>
      </c>
      <c r="B232" s="66" t="s">
        <v>1004</v>
      </c>
      <c r="C232" s="69">
        <v>50.581904999999999</v>
      </c>
      <c r="D232" s="69">
        <v>32.383752999999999</v>
      </c>
      <c r="E232" s="68" t="s">
        <v>1785</v>
      </c>
      <c r="F232" s="66" t="s">
        <v>1772</v>
      </c>
    </row>
    <row r="233" spans="1:6" ht="16.5" x14ac:dyDescent="0.35">
      <c r="A233" s="66">
        <v>231</v>
      </c>
      <c r="B233" s="66" t="s">
        <v>1005</v>
      </c>
      <c r="C233" s="69">
        <v>50.575668999999998</v>
      </c>
      <c r="D233" s="69">
        <v>32.390863000000003</v>
      </c>
      <c r="E233" s="68" t="s">
        <v>1938</v>
      </c>
      <c r="F233" s="66" t="s">
        <v>1772</v>
      </c>
    </row>
    <row r="234" spans="1:6" ht="16.5" x14ac:dyDescent="0.35">
      <c r="A234" s="66">
        <v>232</v>
      </c>
      <c r="B234" s="66" t="s">
        <v>1006</v>
      </c>
      <c r="C234" s="69">
        <v>50.581904999999999</v>
      </c>
      <c r="D234" s="69">
        <v>32.383752999999999</v>
      </c>
      <c r="E234" s="68" t="s">
        <v>1785</v>
      </c>
      <c r="F234" s="66" t="s">
        <v>1772</v>
      </c>
    </row>
    <row r="235" spans="1:6" ht="16.5" x14ac:dyDescent="0.35">
      <c r="A235" s="66">
        <v>233</v>
      </c>
      <c r="B235" s="66" t="s">
        <v>1007</v>
      </c>
      <c r="C235" s="69">
        <v>50.610722000000003</v>
      </c>
      <c r="D235" s="69">
        <v>32.388103999999998</v>
      </c>
      <c r="E235" s="68" t="s">
        <v>1939</v>
      </c>
      <c r="F235" s="66" t="s">
        <v>1772</v>
      </c>
    </row>
    <row r="236" spans="1:6" ht="16.5" x14ac:dyDescent="0.35">
      <c r="A236" s="66">
        <v>234</v>
      </c>
      <c r="B236" s="66" t="s">
        <v>1008</v>
      </c>
      <c r="C236" s="69">
        <v>50.579248</v>
      </c>
      <c r="D236" s="69">
        <v>32.380265000000001</v>
      </c>
      <c r="E236" s="68" t="s">
        <v>1940</v>
      </c>
      <c r="F236" s="66" t="s">
        <v>1772</v>
      </c>
    </row>
    <row r="237" spans="1:6" ht="16.5" x14ac:dyDescent="0.35">
      <c r="A237" s="66">
        <v>235</v>
      </c>
      <c r="B237" s="66" t="s">
        <v>1009</v>
      </c>
      <c r="C237" s="69">
        <v>50.583993</v>
      </c>
      <c r="D237" s="69">
        <v>32.377982000000003</v>
      </c>
      <c r="E237" s="68" t="s">
        <v>1854</v>
      </c>
      <c r="F237" s="66" t="s">
        <v>1772</v>
      </c>
    </row>
    <row r="238" spans="1:6" ht="16.5" x14ac:dyDescent="0.35">
      <c r="A238" s="66">
        <v>236</v>
      </c>
      <c r="B238" s="66" t="s">
        <v>1010</v>
      </c>
      <c r="C238" s="69">
        <v>50.574233999999997</v>
      </c>
      <c r="D238" s="69">
        <v>32.401491</v>
      </c>
      <c r="E238" s="68" t="s">
        <v>1941</v>
      </c>
      <c r="F238" s="66" t="s">
        <v>1772</v>
      </c>
    </row>
    <row r="239" spans="1:6" ht="16.5" x14ac:dyDescent="0.35">
      <c r="A239" s="66">
        <v>237</v>
      </c>
      <c r="B239" s="66" t="s">
        <v>1011</v>
      </c>
      <c r="C239" s="69">
        <v>50.595080000000003</v>
      </c>
      <c r="D239" s="69">
        <v>32.354626000000003</v>
      </c>
      <c r="E239" s="68" t="s">
        <v>1942</v>
      </c>
      <c r="F239" s="66" t="s">
        <v>1772</v>
      </c>
    </row>
    <row r="240" spans="1:6" ht="16.5" x14ac:dyDescent="0.35">
      <c r="A240" s="66">
        <v>238</v>
      </c>
      <c r="B240" s="66" t="s">
        <v>1012</v>
      </c>
      <c r="C240" s="69">
        <v>50.578218</v>
      </c>
      <c r="D240" s="69">
        <v>32.419609000000001</v>
      </c>
      <c r="E240" s="68" t="s">
        <v>1943</v>
      </c>
      <c r="F240" s="66" t="s">
        <v>1772</v>
      </c>
    </row>
    <row r="241" spans="1:6" ht="16.5" x14ac:dyDescent="0.35">
      <c r="A241" s="66">
        <v>239</v>
      </c>
      <c r="B241" s="66" t="s">
        <v>1013</v>
      </c>
      <c r="C241" s="69">
        <v>50.571258999999998</v>
      </c>
      <c r="D241" s="69">
        <v>32.401103999999997</v>
      </c>
      <c r="E241" s="68" t="s">
        <v>1825</v>
      </c>
      <c r="F241" s="66" t="s">
        <v>1772</v>
      </c>
    </row>
    <row r="242" spans="1:6" ht="16.5" x14ac:dyDescent="0.35">
      <c r="A242" s="66">
        <v>240</v>
      </c>
      <c r="B242" s="66" t="s">
        <v>1014</v>
      </c>
      <c r="C242" s="69">
        <v>50.576523999999999</v>
      </c>
      <c r="D242" s="69">
        <v>32.409647999999997</v>
      </c>
      <c r="E242" s="68" t="s">
        <v>1944</v>
      </c>
      <c r="F242" s="66" t="s">
        <v>1772</v>
      </c>
    </row>
    <row r="243" spans="1:6" ht="16.5" x14ac:dyDescent="0.35">
      <c r="A243" s="66">
        <v>241</v>
      </c>
      <c r="B243" s="66" t="s">
        <v>1015</v>
      </c>
      <c r="C243" s="69">
        <v>50.576523999999999</v>
      </c>
      <c r="D243" s="69">
        <v>32.409647999999997</v>
      </c>
      <c r="E243" s="68" t="s">
        <v>1944</v>
      </c>
      <c r="F243" s="66" t="s">
        <v>1772</v>
      </c>
    </row>
    <row r="244" spans="1:6" ht="16.5" x14ac:dyDescent="0.35">
      <c r="A244" s="66">
        <v>242</v>
      </c>
      <c r="B244" s="66" t="s">
        <v>1016</v>
      </c>
      <c r="C244" s="69">
        <v>50.576523999999999</v>
      </c>
      <c r="D244" s="69">
        <v>32.409647999999997</v>
      </c>
      <c r="E244" s="68" t="s">
        <v>1944</v>
      </c>
      <c r="F244" s="66" t="s">
        <v>1772</v>
      </c>
    </row>
    <row r="245" spans="1:6" ht="16.5" x14ac:dyDescent="0.35">
      <c r="A245" s="66">
        <v>243</v>
      </c>
      <c r="B245" s="66" t="s">
        <v>1017</v>
      </c>
      <c r="C245" s="69">
        <v>50.594369999999998</v>
      </c>
      <c r="D245" s="69">
        <v>32.383864000000003</v>
      </c>
      <c r="E245" s="68" t="s">
        <v>1945</v>
      </c>
      <c r="F245" s="66" t="s">
        <v>1772</v>
      </c>
    </row>
    <row r="246" spans="1:6" ht="16.5" x14ac:dyDescent="0.35">
      <c r="A246" s="66">
        <v>244</v>
      </c>
      <c r="B246" s="66" t="s">
        <v>1018</v>
      </c>
      <c r="C246" s="69">
        <v>50.587718000000002</v>
      </c>
      <c r="D246" s="69">
        <v>32.379863</v>
      </c>
      <c r="E246" s="68" t="s">
        <v>1946</v>
      </c>
      <c r="F246" s="66" t="s">
        <v>1772</v>
      </c>
    </row>
    <row r="247" spans="1:6" ht="16.5" x14ac:dyDescent="0.35">
      <c r="A247" s="66">
        <v>245</v>
      </c>
      <c r="B247" s="66" t="s">
        <v>1019</v>
      </c>
      <c r="C247" s="69">
        <v>50.593466999999997</v>
      </c>
      <c r="D247" s="69">
        <v>32.382705000000001</v>
      </c>
      <c r="E247" s="68" t="s">
        <v>1947</v>
      </c>
      <c r="F247" s="66" t="s">
        <v>1772</v>
      </c>
    </row>
    <row r="248" spans="1:6" ht="16.5" x14ac:dyDescent="0.35">
      <c r="A248" s="66">
        <v>246</v>
      </c>
      <c r="B248" s="66" t="s">
        <v>1020</v>
      </c>
      <c r="C248" s="69">
        <v>50.587499000000001</v>
      </c>
      <c r="D248" s="69">
        <v>32.381003</v>
      </c>
      <c r="E248" s="68" t="s">
        <v>1948</v>
      </c>
      <c r="F248" s="66" t="s">
        <v>1772</v>
      </c>
    </row>
    <row r="249" spans="1:6" ht="16.5" x14ac:dyDescent="0.35">
      <c r="A249" s="66">
        <v>247</v>
      </c>
      <c r="B249" s="66" t="s">
        <v>1021</v>
      </c>
      <c r="C249" s="69">
        <v>50.617673000000003</v>
      </c>
      <c r="D249" s="69">
        <v>32.370238000000001</v>
      </c>
      <c r="E249" s="68" t="s">
        <v>1949</v>
      </c>
      <c r="F249" s="66" t="s">
        <v>1772</v>
      </c>
    </row>
    <row r="250" spans="1:6" ht="16.5" x14ac:dyDescent="0.35">
      <c r="A250" s="66">
        <v>248</v>
      </c>
      <c r="B250" s="66" t="s">
        <v>1022</v>
      </c>
      <c r="C250" s="69">
        <v>50.569195999999998</v>
      </c>
      <c r="D250" s="69">
        <v>32.396763999999997</v>
      </c>
      <c r="E250" s="68" t="s">
        <v>1950</v>
      </c>
      <c r="F250" s="66" t="s">
        <v>1772</v>
      </c>
    </row>
    <row r="251" spans="1:6" ht="16.5" x14ac:dyDescent="0.35">
      <c r="A251" s="66">
        <v>249</v>
      </c>
      <c r="B251" s="66" t="s">
        <v>1023</v>
      </c>
      <c r="C251" s="69">
        <v>50.569195999999998</v>
      </c>
      <c r="D251" s="69">
        <v>32.396763999999997</v>
      </c>
      <c r="E251" s="68" t="s">
        <v>1951</v>
      </c>
      <c r="F251" s="66" t="s">
        <v>1772</v>
      </c>
    </row>
    <row r="252" spans="1:6" ht="16.5" x14ac:dyDescent="0.35">
      <c r="A252" s="66">
        <v>250</v>
      </c>
      <c r="B252" s="66" t="s">
        <v>1024</v>
      </c>
      <c r="C252" s="69">
        <v>50.569195999999998</v>
      </c>
      <c r="D252" s="69">
        <v>32.396763999999997</v>
      </c>
      <c r="E252" s="68" t="s">
        <v>1951</v>
      </c>
      <c r="F252" s="66" t="s">
        <v>1772</v>
      </c>
    </row>
    <row r="253" spans="1:6" ht="16.5" x14ac:dyDescent="0.35">
      <c r="A253" s="66">
        <v>251</v>
      </c>
      <c r="B253" s="66" t="s">
        <v>1025</v>
      </c>
      <c r="C253" s="69">
        <v>50.583222999999997</v>
      </c>
      <c r="D253" s="69">
        <v>32.393262999999997</v>
      </c>
      <c r="E253" s="68" t="s">
        <v>1952</v>
      </c>
      <c r="F253" s="66" t="s">
        <v>1772</v>
      </c>
    </row>
    <row r="254" spans="1:6" ht="16.5" x14ac:dyDescent="0.35">
      <c r="A254" s="66">
        <v>252</v>
      </c>
      <c r="B254" s="66" t="s">
        <v>1026</v>
      </c>
      <c r="C254" s="69">
        <v>50.561884999999997</v>
      </c>
      <c r="D254" s="69">
        <v>32.398859000000002</v>
      </c>
      <c r="E254" s="68" t="s">
        <v>1953</v>
      </c>
      <c r="F254" s="66" t="s">
        <v>1772</v>
      </c>
    </row>
    <row r="255" spans="1:6" ht="16.5" x14ac:dyDescent="0.35">
      <c r="A255" s="66">
        <v>253</v>
      </c>
      <c r="B255" s="66" t="s">
        <v>1027</v>
      </c>
      <c r="C255" s="69">
        <v>50.573889999999999</v>
      </c>
      <c r="D255" s="69">
        <v>32.379990999999997</v>
      </c>
      <c r="E255" s="68" t="s">
        <v>1829</v>
      </c>
      <c r="F255" s="66" t="s">
        <v>1772</v>
      </c>
    </row>
    <row r="256" spans="1:6" ht="16.5" x14ac:dyDescent="0.35">
      <c r="A256" s="66">
        <v>254</v>
      </c>
      <c r="B256" s="66" t="s">
        <v>1028</v>
      </c>
      <c r="C256" s="69">
        <v>51.524709000000001</v>
      </c>
      <c r="D256" s="69">
        <v>31.370092</v>
      </c>
      <c r="E256" s="68" t="s">
        <v>1956</v>
      </c>
      <c r="F256" s="66" t="s">
        <v>1772</v>
      </c>
    </row>
    <row r="257" spans="1:6" ht="16.5" x14ac:dyDescent="0.35">
      <c r="A257" s="66">
        <v>255</v>
      </c>
      <c r="B257" s="66" t="s">
        <v>1029</v>
      </c>
      <c r="C257" s="69">
        <v>50.588864000000001</v>
      </c>
      <c r="D257" s="69">
        <v>32.440384000000002</v>
      </c>
      <c r="E257" s="68" t="s">
        <v>1957</v>
      </c>
      <c r="F257" s="66" t="s">
        <v>1772</v>
      </c>
    </row>
    <row r="258" spans="1:6" ht="16.5" x14ac:dyDescent="0.35">
      <c r="A258" s="66">
        <v>256</v>
      </c>
      <c r="B258" s="66" t="s">
        <v>1030</v>
      </c>
      <c r="C258" s="69">
        <v>50.577506</v>
      </c>
      <c r="D258" s="69">
        <v>32.417931000000003</v>
      </c>
      <c r="E258" s="68" t="s">
        <v>1958</v>
      </c>
      <c r="F258" s="66" t="s">
        <v>1772</v>
      </c>
    </row>
    <row r="259" spans="1:6" ht="16.5" x14ac:dyDescent="0.35">
      <c r="A259" s="66">
        <v>257</v>
      </c>
      <c r="B259" s="66" t="s">
        <v>1031</v>
      </c>
      <c r="C259" s="69">
        <v>50.589295</v>
      </c>
      <c r="D259" s="69">
        <v>32.423338999999999</v>
      </c>
      <c r="E259" s="68" t="s">
        <v>1959</v>
      </c>
      <c r="F259" s="66" t="s">
        <v>1772</v>
      </c>
    </row>
    <row r="260" spans="1:6" ht="16.5" x14ac:dyDescent="0.35">
      <c r="A260" s="66">
        <v>258</v>
      </c>
      <c r="B260" s="66" t="s">
        <v>1032</v>
      </c>
      <c r="C260" s="69">
        <v>50.571100999999999</v>
      </c>
      <c r="D260" s="69">
        <v>32.410730000000001</v>
      </c>
      <c r="E260" s="68" t="s">
        <v>1960</v>
      </c>
      <c r="F260" s="66" t="s">
        <v>1772</v>
      </c>
    </row>
    <row r="261" spans="1:6" ht="33" x14ac:dyDescent="0.35">
      <c r="A261" s="66">
        <v>259</v>
      </c>
      <c r="B261" s="66" t="s">
        <v>1033</v>
      </c>
      <c r="C261" s="69">
        <v>50.58135</v>
      </c>
      <c r="D261" s="69">
        <v>32.369866000000002</v>
      </c>
      <c r="E261" s="68" t="s">
        <v>1961</v>
      </c>
      <c r="F261" s="66" t="s">
        <v>1772</v>
      </c>
    </row>
    <row r="262" spans="1:6" ht="16.5" x14ac:dyDescent="0.35">
      <c r="A262" s="66">
        <v>260</v>
      </c>
      <c r="B262" s="66" t="s">
        <v>1034</v>
      </c>
      <c r="C262" s="69">
        <v>50.581904999999999</v>
      </c>
      <c r="D262" s="69">
        <v>32.383752999999999</v>
      </c>
      <c r="E262" s="68" t="s">
        <v>1785</v>
      </c>
      <c r="F262" s="66" t="s">
        <v>1772</v>
      </c>
    </row>
    <row r="263" spans="1:6" ht="33" x14ac:dyDescent="0.35">
      <c r="A263" s="66">
        <v>261</v>
      </c>
      <c r="B263" s="66" t="s">
        <v>1035</v>
      </c>
      <c r="C263" s="69">
        <v>50.615569999999998</v>
      </c>
      <c r="D263" s="69">
        <v>32.374375000000001</v>
      </c>
      <c r="E263" s="68" t="s">
        <v>1962</v>
      </c>
      <c r="F263" s="66" t="s">
        <v>1772</v>
      </c>
    </row>
    <row r="264" spans="1:6" ht="16.5" x14ac:dyDescent="0.35">
      <c r="A264" s="66">
        <v>262</v>
      </c>
      <c r="B264" s="66" t="s">
        <v>1036</v>
      </c>
      <c r="C264" s="69">
        <v>50.581904999999999</v>
      </c>
      <c r="D264" s="69">
        <v>32.383752999999999</v>
      </c>
      <c r="E264" s="68" t="s">
        <v>1785</v>
      </c>
      <c r="F264" s="66" t="s">
        <v>1772</v>
      </c>
    </row>
    <row r="265" spans="1:6" ht="16.5" x14ac:dyDescent="0.35">
      <c r="A265" s="66">
        <v>263</v>
      </c>
      <c r="B265" s="66" t="s">
        <v>1037</v>
      </c>
      <c r="C265" s="69">
        <v>50.577967000000001</v>
      </c>
      <c r="D265" s="69">
        <v>32.424163</v>
      </c>
      <c r="E265" s="68" t="s">
        <v>1963</v>
      </c>
      <c r="F265" s="66" t="s">
        <v>1772</v>
      </c>
    </row>
    <row r="266" spans="1:6" ht="16.5" x14ac:dyDescent="0.35">
      <c r="A266" s="66">
        <v>264</v>
      </c>
      <c r="B266" s="66" t="s">
        <v>1038</v>
      </c>
      <c r="C266" s="69">
        <v>50.583993</v>
      </c>
      <c r="D266" s="69">
        <v>32.377982000000003</v>
      </c>
      <c r="E266" s="68" t="s">
        <v>1854</v>
      </c>
      <c r="F266" s="66" t="s">
        <v>1772</v>
      </c>
    </row>
    <row r="267" spans="1:6" ht="16.5" x14ac:dyDescent="0.35">
      <c r="A267" s="66">
        <v>265</v>
      </c>
      <c r="B267" s="66" t="s">
        <v>1039</v>
      </c>
      <c r="C267" s="69">
        <v>50.592098</v>
      </c>
      <c r="D267" s="69">
        <v>32.389178999999999</v>
      </c>
      <c r="E267" s="68" t="s">
        <v>1964</v>
      </c>
      <c r="F267" s="66" t="s">
        <v>1772</v>
      </c>
    </row>
    <row r="268" spans="1:6" ht="16.5" x14ac:dyDescent="0.35">
      <c r="A268" s="66">
        <v>266</v>
      </c>
      <c r="B268" s="66" t="s">
        <v>1040</v>
      </c>
      <c r="C268" s="69">
        <v>50.591281000000002</v>
      </c>
      <c r="D268" s="69">
        <v>32.388531999999998</v>
      </c>
      <c r="E268" s="68" t="s">
        <v>1965</v>
      </c>
      <c r="F268" s="66" t="s">
        <v>1772</v>
      </c>
    </row>
    <row r="269" spans="1:6" ht="16.5" x14ac:dyDescent="0.35">
      <c r="A269" s="66">
        <v>267</v>
      </c>
      <c r="B269" s="66" t="s">
        <v>1041</v>
      </c>
      <c r="C269" s="69">
        <v>50.592098</v>
      </c>
      <c r="D269" s="69">
        <v>32.389178999999999</v>
      </c>
      <c r="E269" s="68" t="s">
        <v>1966</v>
      </c>
      <c r="F269" s="66" t="s">
        <v>1772</v>
      </c>
    </row>
    <row r="270" spans="1:6" ht="16.5" x14ac:dyDescent="0.35">
      <c r="A270" s="66">
        <v>268</v>
      </c>
      <c r="B270" s="66" t="s">
        <v>1042</v>
      </c>
      <c r="C270" s="69">
        <v>50.585149000000001</v>
      </c>
      <c r="D270" s="69">
        <v>32.372700999999999</v>
      </c>
      <c r="E270" s="68" t="s">
        <v>1967</v>
      </c>
      <c r="F270" s="66" t="s">
        <v>1772</v>
      </c>
    </row>
    <row r="271" spans="1:6" ht="16.5" x14ac:dyDescent="0.35">
      <c r="A271" s="66">
        <v>269</v>
      </c>
      <c r="B271" s="66" t="s">
        <v>1043</v>
      </c>
      <c r="C271" s="69">
        <v>50.583038000000002</v>
      </c>
      <c r="D271" s="69">
        <v>32.369377</v>
      </c>
      <c r="E271" s="68" t="s">
        <v>1968</v>
      </c>
      <c r="F271" s="66" t="s">
        <v>1772</v>
      </c>
    </row>
    <row r="272" spans="1:6" ht="16.5" x14ac:dyDescent="0.35">
      <c r="A272" s="66">
        <v>270</v>
      </c>
      <c r="B272" s="66" t="s">
        <v>1044</v>
      </c>
      <c r="C272" s="69">
        <v>50.583038000000002</v>
      </c>
      <c r="D272" s="69">
        <v>32.369377</v>
      </c>
      <c r="E272" s="68" t="s">
        <v>1968</v>
      </c>
      <c r="F272" s="66" t="s">
        <v>1772</v>
      </c>
    </row>
    <row r="273" spans="1:6" ht="16.5" x14ac:dyDescent="0.35">
      <c r="A273" s="66">
        <v>271</v>
      </c>
      <c r="B273" s="66" t="s">
        <v>1045</v>
      </c>
      <c r="C273" s="69">
        <v>50.576298999999999</v>
      </c>
      <c r="D273" s="69">
        <v>32.401814999999999</v>
      </c>
      <c r="E273" s="68" t="s">
        <v>1969</v>
      </c>
      <c r="F273" s="66" t="s">
        <v>1772</v>
      </c>
    </row>
    <row r="274" spans="1:6" ht="16.5" x14ac:dyDescent="0.35">
      <c r="A274" s="66">
        <v>272</v>
      </c>
      <c r="B274" s="66" t="s">
        <v>1046</v>
      </c>
      <c r="C274" s="69">
        <v>50.577714</v>
      </c>
      <c r="D274" s="69">
        <v>32.401702</v>
      </c>
      <c r="E274" s="68" t="s">
        <v>1970</v>
      </c>
      <c r="F274" s="66" t="s">
        <v>1772</v>
      </c>
    </row>
    <row r="275" spans="1:6" ht="16.5" x14ac:dyDescent="0.35">
      <c r="A275" s="66">
        <v>273</v>
      </c>
      <c r="B275" s="66" t="s">
        <v>1047</v>
      </c>
      <c r="C275" s="69">
        <v>50.581904999999999</v>
      </c>
      <c r="D275" s="69">
        <v>32.383752999999999</v>
      </c>
      <c r="E275" s="68" t="s">
        <v>1785</v>
      </c>
      <c r="F275" s="66" t="s">
        <v>1772</v>
      </c>
    </row>
    <row r="276" spans="1:6" ht="16.5" x14ac:dyDescent="0.35">
      <c r="A276" s="66">
        <v>274</v>
      </c>
      <c r="B276" s="66" t="s">
        <v>1048</v>
      </c>
      <c r="C276" s="69">
        <v>50.598255000000002</v>
      </c>
      <c r="D276" s="69">
        <v>32.374329000000003</v>
      </c>
      <c r="E276" s="68" t="s">
        <v>1790</v>
      </c>
      <c r="F276" s="66" t="s">
        <v>1772</v>
      </c>
    </row>
    <row r="277" spans="1:6" ht="33" x14ac:dyDescent="0.35">
      <c r="A277" s="66">
        <v>275</v>
      </c>
      <c r="B277" s="66" t="s">
        <v>1049</v>
      </c>
      <c r="C277" s="69">
        <v>50.598255000000002</v>
      </c>
      <c r="D277" s="69">
        <v>32.374329000000003</v>
      </c>
      <c r="E277" s="68" t="s">
        <v>1971</v>
      </c>
      <c r="F277" s="66" t="s">
        <v>1772</v>
      </c>
    </row>
    <row r="278" spans="1:6" ht="16.5" x14ac:dyDescent="0.35">
      <c r="A278" s="66">
        <v>276</v>
      </c>
      <c r="B278" s="66" t="s">
        <v>1050</v>
      </c>
      <c r="C278" s="69">
        <v>50.590646</v>
      </c>
      <c r="D278" s="69">
        <v>32.424137999999999</v>
      </c>
      <c r="E278" s="68" t="s">
        <v>1972</v>
      </c>
      <c r="F278" s="66" t="s">
        <v>1772</v>
      </c>
    </row>
    <row r="279" spans="1:6" ht="16.5" x14ac:dyDescent="0.35">
      <c r="A279" s="66">
        <v>277</v>
      </c>
      <c r="B279" s="66" t="s">
        <v>1051</v>
      </c>
      <c r="C279" s="69">
        <v>50.592874000000002</v>
      </c>
      <c r="D279" s="69">
        <v>32.413867000000003</v>
      </c>
      <c r="E279" s="68" t="s">
        <v>1973</v>
      </c>
      <c r="F279" s="66" t="s">
        <v>1772</v>
      </c>
    </row>
    <row r="280" spans="1:6" ht="16.5" x14ac:dyDescent="0.35">
      <c r="A280" s="66">
        <v>278</v>
      </c>
      <c r="B280" s="66" t="s">
        <v>1052</v>
      </c>
      <c r="C280" s="69">
        <v>50.590646</v>
      </c>
      <c r="D280" s="69">
        <v>32.424137999999999</v>
      </c>
      <c r="E280" s="68" t="s">
        <v>1974</v>
      </c>
      <c r="F280" s="66" t="s">
        <v>1772</v>
      </c>
    </row>
    <row r="281" spans="1:6" ht="16.5" x14ac:dyDescent="0.35">
      <c r="A281" s="66">
        <v>279</v>
      </c>
      <c r="B281" s="66" t="s">
        <v>1053</v>
      </c>
      <c r="C281" s="69">
        <v>50.590646</v>
      </c>
      <c r="D281" s="69">
        <v>32.424137999999999</v>
      </c>
      <c r="E281" s="68" t="s">
        <v>1974</v>
      </c>
      <c r="F281" s="66" t="s">
        <v>1772</v>
      </c>
    </row>
    <row r="282" spans="1:6" ht="16.5" x14ac:dyDescent="0.35">
      <c r="A282" s="66">
        <v>280</v>
      </c>
      <c r="B282" s="66" t="s">
        <v>1054</v>
      </c>
      <c r="C282" s="69">
        <v>50.590646</v>
      </c>
      <c r="D282" s="69">
        <v>32.424137999999999</v>
      </c>
      <c r="E282" s="68" t="s">
        <v>1974</v>
      </c>
      <c r="F282" s="66" t="s">
        <v>1772</v>
      </c>
    </row>
    <row r="283" spans="1:6" ht="16.5" x14ac:dyDescent="0.35">
      <c r="A283" s="66">
        <v>281</v>
      </c>
      <c r="B283" s="66" t="s">
        <v>1055</v>
      </c>
      <c r="C283" s="69">
        <v>50.590646</v>
      </c>
      <c r="D283" s="69">
        <v>32.424137999999999</v>
      </c>
      <c r="E283" s="68" t="s">
        <v>1974</v>
      </c>
      <c r="F283" s="66" t="s">
        <v>1772</v>
      </c>
    </row>
    <row r="284" spans="1:6" ht="16.5" x14ac:dyDescent="0.35">
      <c r="A284" s="66">
        <v>282</v>
      </c>
      <c r="B284" s="66" t="s">
        <v>1056</v>
      </c>
      <c r="C284" s="69">
        <v>50.611628000000003</v>
      </c>
      <c r="D284" s="69">
        <v>32.382745</v>
      </c>
      <c r="E284" s="68" t="s">
        <v>1975</v>
      </c>
      <c r="F284" s="66" t="s">
        <v>1772</v>
      </c>
    </row>
    <row r="285" spans="1:6" ht="16.5" x14ac:dyDescent="0.35">
      <c r="A285" s="66">
        <v>283</v>
      </c>
      <c r="B285" s="66" t="s">
        <v>1057</v>
      </c>
      <c r="C285" s="69">
        <v>50.611628000000003</v>
      </c>
      <c r="D285" s="69">
        <v>32.382745</v>
      </c>
      <c r="E285" s="68" t="s">
        <v>1975</v>
      </c>
      <c r="F285" s="66" t="s">
        <v>1772</v>
      </c>
    </row>
    <row r="286" spans="1:6" ht="16.5" x14ac:dyDescent="0.35">
      <c r="A286" s="66">
        <v>284</v>
      </c>
      <c r="B286" s="66" t="s">
        <v>1058</v>
      </c>
      <c r="C286" s="69">
        <v>50.611628000000003</v>
      </c>
      <c r="D286" s="69">
        <v>32.382745</v>
      </c>
      <c r="E286" s="68" t="s">
        <v>1975</v>
      </c>
      <c r="F286" s="66" t="s">
        <v>1772</v>
      </c>
    </row>
    <row r="287" spans="1:6" ht="16.5" x14ac:dyDescent="0.35">
      <c r="A287" s="66">
        <v>285</v>
      </c>
      <c r="B287" s="66" t="s">
        <v>1059</v>
      </c>
      <c r="C287" s="69">
        <v>50.611628000000003</v>
      </c>
      <c r="D287" s="69">
        <v>32.382745</v>
      </c>
      <c r="E287" s="68" t="s">
        <v>1975</v>
      </c>
      <c r="F287" s="66" t="s">
        <v>1772</v>
      </c>
    </row>
    <row r="288" spans="1:6" ht="16.5" x14ac:dyDescent="0.35">
      <c r="A288" s="66">
        <v>286</v>
      </c>
      <c r="B288" s="66" t="s">
        <v>1060</v>
      </c>
      <c r="C288" s="69">
        <v>50.611628000000003</v>
      </c>
      <c r="D288" s="69">
        <v>32.382745</v>
      </c>
      <c r="E288" s="68" t="s">
        <v>1976</v>
      </c>
      <c r="F288" s="66" t="s">
        <v>1772</v>
      </c>
    </row>
    <row r="289" spans="1:6" ht="16.5" x14ac:dyDescent="0.35">
      <c r="A289" s="66">
        <v>287</v>
      </c>
      <c r="B289" s="66" t="s">
        <v>1061</v>
      </c>
      <c r="C289" s="69">
        <v>50.611628000000003</v>
      </c>
      <c r="D289" s="69">
        <v>32.382745</v>
      </c>
      <c r="E289" s="68" t="s">
        <v>1975</v>
      </c>
      <c r="F289" s="66" t="s">
        <v>1772</v>
      </c>
    </row>
    <row r="290" spans="1:6" ht="16.5" x14ac:dyDescent="0.35">
      <c r="A290" s="66">
        <v>288</v>
      </c>
      <c r="B290" s="66" t="s">
        <v>1062</v>
      </c>
      <c r="C290" s="69">
        <v>50.571435000000001</v>
      </c>
      <c r="D290" s="69">
        <v>32.423915000000001</v>
      </c>
      <c r="E290" s="68" t="s">
        <v>1977</v>
      </c>
      <c r="F290" s="66" t="s">
        <v>1772</v>
      </c>
    </row>
    <row r="291" spans="1:6" ht="16.5" x14ac:dyDescent="0.35">
      <c r="A291" s="66">
        <v>289</v>
      </c>
      <c r="B291" s="66" t="s">
        <v>1063</v>
      </c>
      <c r="C291" s="69">
        <v>50.600527</v>
      </c>
      <c r="D291" s="69">
        <v>32.341042000000002</v>
      </c>
      <c r="E291" s="68" t="s">
        <v>1978</v>
      </c>
      <c r="F291" s="66" t="s">
        <v>1772</v>
      </c>
    </row>
    <row r="292" spans="1:6" ht="16.5" x14ac:dyDescent="0.35">
      <c r="A292" s="66">
        <v>290</v>
      </c>
      <c r="B292" s="66" t="s">
        <v>1064</v>
      </c>
      <c r="C292" s="69">
        <v>50.619517000000002</v>
      </c>
      <c r="D292" s="69">
        <v>32.371887999999998</v>
      </c>
      <c r="E292" s="68" t="s">
        <v>1979</v>
      </c>
      <c r="F292" s="66" t="s">
        <v>1772</v>
      </c>
    </row>
    <row r="293" spans="1:6" ht="16.5" x14ac:dyDescent="0.35">
      <c r="A293" s="66">
        <v>291</v>
      </c>
      <c r="B293" s="66" t="s">
        <v>1065</v>
      </c>
      <c r="C293" s="69">
        <v>50.619517000000002</v>
      </c>
      <c r="D293" s="69">
        <v>32.371887999999998</v>
      </c>
      <c r="E293" s="68" t="s">
        <v>1979</v>
      </c>
      <c r="F293" s="66" t="s">
        <v>1772</v>
      </c>
    </row>
    <row r="294" spans="1:6" ht="16.5" x14ac:dyDescent="0.35">
      <c r="A294" s="66">
        <v>292</v>
      </c>
      <c r="B294" s="66" t="s">
        <v>1066</v>
      </c>
      <c r="C294" s="69">
        <v>50.619517000000002</v>
      </c>
      <c r="D294" s="69">
        <v>32.371887999999998</v>
      </c>
      <c r="E294" s="68" t="s">
        <v>1979</v>
      </c>
      <c r="F294" s="66" t="s">
        <v>1772</v>
      </c>
    </row>
    <row r="295" spans="1:6" ht="16.5" x14ac:dyDescent="0.35">
      <c r="A295" s="66">
        <v>293</v>
      </c>
      <c r="B295" s="66" t="s">
        <v>1067</v>
      </c>
      <c r="C295" s="69">
        <v>50.607281</v>
      </c>
      <c r="D295" s="69">
        <v>32.382615000000001</v>
      </c>
      <c r="E295" s="68" t="s">
        <v>1980</v>
      </c>
      <c r="F295" s="66" t="s">
        <v>1772</v>
      </c>
    </row>
    <row r="296" spans="1:6" ht="16.5" x14ac:dyDescent="0.35">
      <c r="A296" s="66">
        <v>294</v>
      </c>
      <c r="B296" s="66" t="s">
        <v>1068</v>
      </c>
      <c r="C296" s="69">
        <v>50.596425000000004</v>
      </c>
      <c r="D296" s="69">
        <v>32.413217000000003</v>
      </c>
      <c r="E296" s="68" t="s">
        <v>1981</v>
      </c>
      <c r="F296" s="66" t="s">
        <v>1772</v>
      </c>
    </row>
    <row r="297" spans="1:6" ht="16.5" x14ac:dyDescent="0.35">
      <c r="A297" s="66">
        <v>295</v>
      </c>
      <c r="B297" s="66" t="s">
        <v>1069</v>
      </c>
      <c r="C297" s="69">
        <v>50.581904999999999</v>
      </c>
      <c r="D297" s="69">
        <v>32.383752999999999</v>
      </c>
      <c r="E297" s="68" t="s">
        <v>1785</v>
      </c>
      <c r="F297" s="66" t="s">
        <v>1772</v>
      </c>
    </row>
    <row r="298" spans="1:6" ht="16.5" x14ac:dyDescent="0.35">
      <c r="A298" s="66">
        <v>296</v>
      </c>
      <c r="B298" s="66" t="s">
        <v>1070</v>
      </c>
      <c r="C298" s="69">
        <v>50.589379000000001</v>
      </c>
      <c r="D298" s="69">
        <v>32.374909000000002</v>
      </c>
      <c r="E298" s="68" t="s">
        <v>1982</v>
      </c>
      <c r="F298" s="66" t="s">
        <v>1772</v>
      </c>
    </row>
    <row r="299" spans="1:6" ht="16.5" x14ac:dyDescent="0.35">
      <c r="A299" s="66">
        <v>297</v>
      </c>
      <c r="B299" s="66" t="s">
        <v>1071</v>
      </c>
      <c r="C299" s="69">
        <v>50.588054999999997</v>
      </c>
      <c r="D299" s="69">
        <v>32.381808999999997</v>
      </c>
      <c r="E299" s="68" t="s">
        <v>1841</v>
      </c>
      <c r="F299" s="66" t="s">
        <v>1772</v>
      </c>
    </row>
    <row r="300" spans="1:6" ht="16.5" x14ac:dyDescent="0.35">
      <c r="A300" s="66">
        <v>298</v>
      </c>
      <c r="B300" s="66" t="s">
        <v>1072</v>
      </c>
      <c r="C300" s="69">
        <v>50.602074999999999</v>
      </c>
      <c r="D300" s="69">
        <v>32.412680999999999</v>
      </c>
      <c r="E300" s="68" t="s">
        <v>1983</v>
      </c>
      <c r="F300" s="66" t="s">
        <v>1772</v>
      </c>
    </row>
    <row r="301" spans="1:6" ht="16.5" x14ac:dyDescent="0.35">
      <c r="A301" s="66">
        <v>299</v>
      </c>
      <c r="B301" s="66" t="s">
        <v>1073</v>
      </c>
      <c r="C301" s="69">
        <v>50.617652999999997</v>
      </c>
      <c r="D301" s="69">
        <v>32.402183999999998</v>
      </c>
      <c r="E301" s="68" t="s">
        <v>1984</v>
      </c>
      <c r="F301" s="66" t="s">
        <v>1772</v>
      </c>
    </row>
    <row r="302" spans="1:6" ht="16.5" x14ac:dyDescent="0.35">
      <c r="A302" s="66">
        <v>300</v>
      </c>
      <c r="B302" s="66" t="s">
        <v>1074</v>
      </c>
      <c r="C302" s="69">
        <v>50.617652999999997</v>
      </c>
      <c r="D302" s="69">
        <v>32.402183999999998</v>
      </c>
      <c r="E302" s="68" t="s">
        <v>1984</v>
      </c>
      <c r="F302" s="66" t="s">
        <v>1772</v>
      </c>
    </row>
    <row r="303" spans="1:6" ht="16.5" x14ac:dyDescent="0.35">
      <c r="A303" s="66">
        <v>301</v>
      </c>
      <c r="B303" s="66" t="s">
        <v>1075</v>
      </c>
      <c r="C303" s="69">
        <v>50.617652999999997</v>
      </c>
      <c r="D303" s="69">
        <v>32.402183999999998</v>
      </c>
      <c r="E303" s="68" t="s">
        <v>1984</v>
      </c>
      <c r="F303" s="66" t="s">
        <v>1772</v>
      </c>
    </row>
    <row r="304" spans="1:6" ht="16.5" x14ac:dyDescent="0.35">
      <c r="A304" s="66">
        <v>302</v>
      </c>
      <c r="B304" s="66" t="s">
        <v>1076</v>
      </c>
      <c r="C304" s="69">
        <v>50.617652999999997</v>
      </c>
      <c r="D304" s="69">
        <v>32.402183999999998</v>
      </c>
      <c r="E304" s="68" t="s">
        <v>1985</v>
      </c>
      <c r="F304" s="66" t="s">
        <v>1772</v>
      </c>
    </row>
    <row r="305" spans="1:6" ht="16.5" x14ac:dyDescent="0.35">
      <c r="A305" s="66">
        <v>303</v>
      </c>
      <c r="B305" s="66" t="s">
        <v>1077</v>
      </c>
      <c r="C305" s="69">
        <v>50.619903000000001</v>
      </c>
      <c r="D305" s="69">
        <v>32.375301</v>
      </c>
      <c r="E305" s="68" t="s">
        <v>1986</v>
      </c>
      <c r="F305" s="66" t="s">
        <v>1772</v>
      </c>
    </row>
    <row r="306" spans="1:6" ht="16.5" x14ac:dyDescent="0.35">
      <c r="A306" s="66">
        <v>304</v>
      </c>
      <c r="B306" s="66" t="s">
        <v>1078</v>
      </c>
      <c r="C306" s="69">
        <v>50.619903000000001</v>
      </c>
      <c r="D306" s="69">
        <v>32.375301</v>
      </c>
      <c r="E306" s="68" t="s">
        <v>1986</v>
      </c>
      <c r="F306" s="66" t="s">
        <v>1772</v>
      </c>
    </row>
    <row r="307" spans="1:6" ht="16.5" x14ac:dyDescent="0.35">
      <c r="A307" s="66">
        <v>305</v>
      </c>
      <c r="B307" s="66" t="s">
        <v>1079</v>
      </c>
      <c r="C307" s="69">
        <v>50.586787999999999</v>
      </c>
      <c r="D307" s="69">
        <v>32.372073999999998</v>
      </c>
      <c r="E307" s="68" t="s">
        <v>1870</v>
      </c>
      <c r="F307" s="66" t="s">
        <v>1772</v>
      </c>
    </row>
    <row r="308" spans="1:6" ht="16.5" x14ac:dyDescent="0.35">
      <c r="A308" s="66">
        <v>306</v>
      </c>
      <c r="B308" s="66" t="s">
        <v>1080</v>
      </c>
      <c r="C308" s="69">
        <v>50.602038999999998</v>
      </c>
      <c r="D308" s="69">
        <v>32.327446999999999</v>
      </c>
      <c r="E308" s="68" t="s">
        <v>1987</v>
      </c>
      <c r="F308" s="66" t="s">
        <v>1772</v>
      </c>
    </row>
    <row r="309" spans="1:6" ht="16.5" x14ac:dyDescent="0.35">
      <c r="A309" s="66">
        <v>307</v>
      </c>
      <c r="B309" s="66" t="s">
        <v>1081</v>
      </c>
      <c r="C309" s="69">
        <v>50.603310999999998</v>
      </c>
      <c r="D309" s="69">
        <v>32.328349000000003</v>
      </c>
      <c r="E309" s="68" t="s">
        <v>1988</v>
      </c>
      <c r="F309" s="66" t="s">
        <v>1772</v>
      </c>
    </row>
    <row r="310" spans="1:6" ht="16.5" x14ac:dyDescent="0.35">
      <c r="A310" s="66">
        <v>308</v>
      </c>
      <c r="B310" s="66" t="s">
        <v>1082</v>
      </c>
      <c r="C310" s="69">
        <v>50.603310999999998</v>
      </c>
      <c r="D310" s="69">
        <v>32.328349000000003</v>
      </c>
      <c r="E310" s="68" t="s">
        <v>1988</v>
      </c>
      <c r="F310" s="66" t="s">
        <v>1772</v>
      </c>
    </row>
    <row r="311" spans="1:6" ht="16.5" x14ac:dyDescent="0.35">
      <c r="A311" s="66">
        <v>309</v>
      </c>
      <c r="B311" s="66" t="s">
        <v>1083</v>
      </c>
      <c r="C311" s="69">
        <v>50.574807999999997</v>
      </c>
      <c r="D311" s="69">
        <v>32.361516000000002</v>
      </c>
      <c r="E311" s="68" t="s">
        <v>1989</v>
      </c>
      <c r="F311" s="66" t="s">
        <v>1772</v>
      </c>
    </row>
    <row r="312" spans="1:6" ht="16.5" x14ac:dyDescent="0.35">
      <c r="A312" s="66">
        <v>310</v>
      </c>
      <c r="B312" s="66" t="s">
        <v>1084</v>
      </c>
      <c r="C312" s="69">
        <v>50.592551</v>
      </c>
      <c r="D312" s="69">
        <v>32.403139000000003</v>
      </c>
      <c r="E312" s="68" t="s">
        <v>1990</v>
      </c>
      <c r="F312" s="66" t="s">
        <v>1772</v>
      </c>
    </row>
    <row r="313" spans="1:6" ht="16.5" x14ac:dyDescent="0.35">
      <c r="A313" s="66">
        <v>311</v>
      </c>
      <c r="B313" s="66" t="s">
        <v>1085</v>
      </c>
      <c r="C313" s="69">
        <v>50.584316000000001</v>
      </c>
      <c r="D313" s="69">
        <v>32.400191</v>
      </c>
      <c r="E313" s="68" t="s">
        <v>1991</v>
      </c>
      <c r="F313" s="66" t="s">
        <v>1772</v>
      </c>
    </row>
    <row r="314" spans="1:6" ht="16.5" x14ac:dyDescent="0.35">
      <c r="A314" s="66">
        <v>312</v>
      </c>
      <c r="B314" s="66" t="s">
        <v>1086</v>
      </c>
      <c r="C314" s="69">
        <v>50.592551</v>
      </c>
      <c r="D314" s="69">
        <v>32.403139000000003</v>
      </c>
      <c r="E314" s="68" t="s">
        <v>1991</v>
      </c>
      <c r="F314" s="66" t="s">
        <v>1772</v>
      </c>
    </row>
    <row r="315" spans="1:6" ht="16.5" x14ac:dyDescent="0.35">
      <c r="A315" s="66">
        <v>313</v>
      </c>
      <c r="B315" s="66" t="s">
        <v>1087</v>
      </c>
      <c r="C315" s="69">
        <v>50.592551</v>
      </c>
      <c r="D315" s="69">
        <v>32.403139000000003</v>
      </c>
      <c r="E315" s="68" t="s">
        <v>1991</v>
      </c>
      <c r="F315" s="66" t="s">
        <v>1772</v>
      </c>
    </row>
    <row r="316" spans="1:6" ht="16.5" x14ac:dyDescent="0.35">
      <c r="A316" s="66">
        <v>314</v>
      </c>
      <c r="B316" s="66" t="s">
        <v>1088</v>
      </c>
      <c r="C316" s="69">
        <v>50.592551</v>
      </c>
      <c r="D316" s="69">
        <v>32.403139000000003</v>
      </c>
      <c r="E316" s="68" t="s">
        <v>1991</v>
      </c>
      <c r="F316" s="66" t="s">
        <v>1772</v>
      </c>
    </row>
    <row r="317" spans="1:6" ht="16.5" x14ac:dyDescent="0.35">
      <c r="A317" s="66">
        <v>315</v>
      </c>
      <c r="B317" s="66" t="s">
        <v>1089</v>
      </c>
      <c r="C317" s="69">
        <v>50.592551</v>
      </c>
      <c r="D317" s="69">
        <v>32.403139000000003</v>
      </c>
      <c r="E317" s="68" t="s">
        <v>1991</v>
      </c>
      <c r="F317" s="66" t="s">
        <v>1772</v>
      </c>
    </row>
    <row r="318" spans="1:6" ht="16.5" x14ac:dyDescent="0.35">
      <c r="A318" s="66">
        <v>316</v>
      </c>
      <c r="B318" s="66" t="s">
        <v>1090</v>
      </c>
      <c r="C318" s="69">
        <v>50.595086000000002</v>
      </c>
      <c r="D318" s="69">
        <v>32.386665999999998</v>
      </c>
      <c r="E318" s="68" t="s">
        <v>1992</v>
      </c>
      <c r="F318" s="66" t="s">
        <v>1772</v>
      </c>
    </row>
    <row r="319" spans="1:6" ht="16.5" x14ac:dyDescent="0.35">
      <c r="A319" s="66">
        <v>317</v>
      </c>
      <c r="B319" s="66" t="s">
        <v>1091</v>
      </c>
      <c r="C319" s="69">
        <v>50.595716000000003</v>
      </c>
      <c r="D319" s="69">
        <v>32.398581</v>
      </c>
      <c r="E319" s="68" t="s">
        <v>1993</v>
      </c>
      <c r="F319" s="66" t="s">
        <v>1772</v>
      </c>
    </row>
    <row r="320" spans="1:6" ht="16.5" x14ac:dyDescent="0.35">
      <c r="A320" s="66">
        <v>318</v>
      </c>
      <c r="B320" s="66" t="s">
        <v>1092</v>
      </c>
      <c r="C320" s="69">
        <v>50.595452000000002</v>
      </c>
      <c r="D320" s="69">
        <v>32.383623999999998</v>
      </c>
      <c r="E320" s="68" t="s">
        <v>1932</v>
      </c>
      <c r="F320" s="66" t="s">
        <v>1772</v>
      </c>
    </row>
    <row r="321" spans="1:6" ht="16.5" x14ac:dyDescent="0.35">
      <c r="A321" s="66">
        <v>319</v>
      </c>
      <c r="B321" s="66" t="s">
        <v>1093</v>
      </c>
      <c r="C321" s="69">
        <v>51.498463999999998</v>
      </c>
      <c r="D321" s="69">
        <v>31.265346000000001</v>
      </c>
      <c r="E321" s="68" t="s">
        <v>1994</v>
      </c>
      <c r="F321" s="66" t="s">
        <v>1772</v>
      </c>
    </row>
    <row r="322" spans="1:6" ht="33" x14ac:dyDescent="0.35">
      <c r="A322" s="66">
        <v>320</v>
      </c>
      <c r="B322" s="66" t="s">
        <v>1995</v>
      </c>
      <c r="C322" s="69" t="s">
        <v>1685</v>
      </c>
      <c r="D322" s="69" t="s">
        <v>1685</v>
      </c>
      <c r="E322" s="68" t="s">
        <v>1996</v>
      </c>
      <c r="F322" s="66" t="s">
        <v>1997</v>
      </c>
    </row>
    <row r="323" spans="1:6" ht="33" x14ac:dyDescent="0.35">
      <c r="A323" s="66">
        <v>321</v>
      </c>
      <c r="B323" s="66" t="s">
        <v>1998</v>
      </c>
      <c r="C323" s="69" t="s">
        <v>1685</v>
      </c>
      <c r="D323" s="69" t="s">
        <v>1685</v>
      </c>
      <c r="E323" s="68" t="s">
        <v>1996</v>
      </c>
      <c r="F323" s="66" t="s">
        <v>1997</v>
      </c>
    </row>
    <row r="324" spans="1:6" ht="16.5" x14ac:dyDescent="0.35">
      <c r="A324" s="66">
        <v>322</v>
      </c>
      <c r="B324" s="66" t="s">
        <v>1094</v>
      </c>
      <c r="C324" s="69">
        <v>50.58267</v>
      </c>
      <c r="D324" s="69">
        <v>32.384785000000001</v>
      </c>
      <c r="E324" s="68" t="s">
        <v>1999</v>
      </c>
      <c r="F324" s="66" t="s">
        <v>1772</v>
      </c>
    </row>
    <row r="325" spans="1:6" ht="16.5" x14ac:dyDescent="0.35">
      <c r="A325" s="66">
        <v>323</v>
      </c>
      <c r="B325" s="66" t="s">
        <v>1095</v>
      </c>
      <c r="C325" s="69">
        <v>50.58267</v>
      </c>
      <c r="D325" s="69">
        <v>32.384785000000001</v>
      </c>
      <c r="E325" s="68" t="s">
        <v>1999</v>
      </c>
      <c r="F325" s="66" t="s">
        <v>1772</v>
      </c>
    </row>
    <row r="326" spans="1:6" ht="16.5" x14ac:dyDescent="0.35">
      <c r="A326" s="66">
        <v>324</v>
      </c>
      <c r="B326" s="66" t="s">
        <v>1096</v>
      </c>
      <c r="C326" s="69">
        <v>50.590432</v>
      </c>
      <c r="D326" s="69">
        <v>32.371955999999997</v>
      </c>
      <c r="E326" s="68" t="s">
        <v>1846</v>
      </c>
      <c r="F326" s="66" t="s">
        <v>1772</v>
      </c>
    </row>
    <row r="327" spans="1:6" ht="16.5" x14ac:dyDescent="0.35">
      <c r="A327" s="66">
        <v>325</v>
      </c>
      <c r="B327" s="66" t="s">
        <v>1097</v>
      </c>
      <c r="C327" s="69">
        <v>50.609361999999997</v>
      </c>
      <c r="D327" s="69">
        <v>32.395558999999999</v>
      </c>
      <c r="E327" s="68" t="s">
        <v>2000</v>
      </c>
      <c r="F327" s="66" t="s">
        <v>1772</v>
      </c>
    </row>
    <row r="328" spans="1:6" ht="16.5" x14ac:dyDescent="0.35">
      <c r="A328" s="66">
        <v>326</v>
      </c>
      <c r="B328" s="66" t="s">
        <v>1098</v>
      </c>
      <c r="C328" s="69">
        <v>50.612611000000001</v>
      </c>
      <c r="D328" s="69">
        <v>32.392440000000001</v>
      </c>
      <c r="E328" s="68" t="s">
        <v>1826</v>
      </c>
      <c r="F328" s="66" t="s">
        <v>1772</v>
      </c>
    </row>
    <row r="329" spans="1:6" ht="16.5" x14ac:dyDescent="0.35">
      <c r="A329" s="66">
        <v>327</v>
      </c>
      <c r="B329" s="66" t="s">
        <v>1099</v>
      </c>
      <c r="C329" s="69">
        <v>50.596513999999999</v>
      </c>
      <c r="D329" s="69">
        <v>32.345258000000001</v>
      </c>
      <c r="E329" s="68" t="s">
        <v>1876</v>
      </c>
      <c r="F329" s="66" t="s">
        <v>1772</v>
      </c>
    </row>
    <row r="330" spans="1:6" ht="16.5" x14ac:dyDescent="0.35">
      <c r="A330" s="66">
        <v>328</v>
      </c>
      <c r="B330" s="66" t="s">
        <v>1100</v>
      </c>
      <c r="C330" s="69">
        <v>50.580317000000001</v>
      </c>
      <c r="D330" s="69">
        <v>32.374046999999997</v>
      </c>
      <c r="E330" s="68" t="s">
        <v>2001</v>
      </c>
      <c r="F330" s="66" t="s">
        <v>1772</v>
      </c>
    </row>
    <row r="331" spans="1:6" ht="16.5" x14ac:dyDescent="0.35">
      <c r="A331" s="66">
        <v>329</v>
      </c>
      <c r="B331" s="66" t="s">
        <v>1101</v>
      </c>
      <c r="C331" s="69">
        <v>50.582067000000002</v>
      </c>
      <c r="D331" s="69">
        <v>32.386690999999999</v>
      </c>
      <c r="E331" s="68" t="s">
        <v>2002</v>
      </c>
      <c r="F331" s="66" t="s">
        <v>1772</v>
      </c>
    </row>
    <row r="332" spans="1:6" ht="16.5" x14ac:dyDescent="0.35">
      <c r="A332" s="66">
        <v>330</v>
      </c>
      <c r="B332" s="66" t="s">
        <v>1102</v>
      </c>
      <c r="C332" s="69">
        <v>50.604374999999997</v>
      </c>
      <c r="D332" s="69">
        <v>32.330573000000001</v>
      </c>
      <c r="E332" s="68" t="s">
        <v>1880</v>
      </c>
      <c r="F332" s="66" t="s">
        <v>1772</v>
      </c>
    </row>
    <row r="333" spans="1:6" ht="16.5" x14ac:dyDescent="0.35">
      <c r="A333" s="66">
        <v>331</v>
      </c>
      <c r="B333" s="66" t="s">
        <v>1103</v>
      </c>
      <c r="C333" s="69">
        <v>50.577232000000002</v>
      </c>
      <c r="D333" s="69">
        <v>32.407688</v>
      </c>
      <c r="E333" s="68" t="s">
        <v>2003</v>
      </c>
      <c r="F333" s="66" t="s">
        <v>1772</v>
      </c>
    </row>
    <row r="334" spans="1:6" ht="16.5" x14ac:dyDescent="0.35">
      <c r="A334" s="66">
        <v>332</v>
      </c>
      <c r="B334" s="66" t="s">
        <v>1104</v>
      </c>
      <c r="C334" s="69">
        <v>50.578350999999998</v>
      </c>
      <c r="D334" s="69">
        <v>32.380541000000001</v>
      </c>
      <c r="E334" s="68" t="s">
        <v>2004</v>
      </c>
      <c r="F334" s="66" t="s">
        <v>1772</v>
      </c>
    </row>
    <row r="335" spans="1:6" ht="16.5" x14ac:dyDescent="0.35">
      <c r="A335" s="66">
        <v>333</v>
      </c>
      <c r="B335" s="66" t="s">
        <v>1105</v>
      </c>
      <c r="C335" s="69">
        <v>50.609361999999997</v>
      </c>
      <c r="D335" s="69">
        <v>32.395558999999999</v>
      </c>
      <c r="E335" s="68" t="s">
        <v>1777</v>
      </c>
      <c r="F335" s="66" t="s">
        <v>1772</v>
      </c>
    </row>
    <row r="336" spans="1:6" ht="16.5" x14ac:dyDescent="0.35">
      <c r="A336" s="66">
        <v>334</v>
      </c>
      <c r="B336" s="66" t="s">
        <v>1106</v>
      </c>
      <c r="C336" s="69">
        <v>50.592658</v>
      </c>
      <c r="D336" s="69">
        <v>32.407020000000003</v>
      </c>
      <c r="E336" s="68" t="s">
        <v>2005</v>
      </c>
      <c r="F336" s="66" t="s">
        <v>1772</v>
      </c>
    </row>
    <row r="337" spans="1:6" ht="16.5" x14ac:dyDescent="0.35">
      <c r="A337" s="66">
        <v>335</v>
      </c>
      <c r="B337" s="66" t="s">
        <v>1107</v>
      </c>
      <c r="C337" s="69">
        <v>50.576805999999998</v>
      </c>
      <c r="D337" s="69">
        <v>32.403942999999998</v>
      </c>
      <c r="E337" s="68" t="s">
        <v>2006</v>
      </c>
      <c r="F337" s="66" t="s">
        <v>1772</v>
      </c>
    </row>
    <row r="338" spans="1:6" ht="33" x14ac:dyDescent="0.35">
      <c r="A338" s="66">
        <v>336</v>
      </c>
      <c r="B338" s="66" t="s">
        <v>1108</v>
      </c>
      <c r="C338" s="69">
        <v>50.596961</v>
      </c>
      <c r="D338" s="69">
        <v>32.402532000000001</v>
      </c>
      <c r="E338" s="68" t="s">
        <v>2007</v>
      </c>
      <c r="F338" s="66" t="s">
        <v>1772</v>
      </c>
    </row>
    <row r="339" spans="1:6" ht="16.5" x14ac:dyDescent="0.35">
      <c r="A339" s="66">
        <v>337</v>
      </c>
      <c r="B339" s="66" t="s">
        <v>1109</v>
      </c>
      <c r="C339" s="69">
        <v>50.613729999999997</v>
      </c>
      <c r="D339" s="69">
        <v>32.372826000000003</v>
      </c>
      <c r="E339" s="68" t="s">
        <v>2008</v>
      </c>
      <c r="F339" s="66" t="s">
        <v>1772</v>
      </c>
    </row>
    <row r="340" spans="1:6" ht="16.5" x14ac:dyDescent="0.35">
      <c r="A340" s="66">
        <v>338</v>
      </c>
      <c r="B340" s="66" t="s">
        <v>1110</v>
      </c>
      <c r="C340" s="69">
        <v>50.575603999999998</v>
      </c>
      <c r="D340" s="69">
        <v>32.363954</v>
      </c>
      <c r="E340" s="68" t="s">
        <v>2009</v>
      </c>
      <c r="F340" s="66" t="s">
        <v>1772</v>
      </c>
    </row>
    <row r="341" spans="1:6" ht="16.5" x14ac:dyDescent="0.35">
      <c r="A341" s="66">
        <v>339</v>
      </c>
      <c r="B341" s="66" t="s">
        <v>1111</v>
      </c>
      <c r="C341" s="69">
        <v>50.598030999999999</v>
      </c>
      <c r="D341" s="69">
        <v>32.342886999999997</v>
      </c>
      <c r="E341" s="68" t="s">
        <v>1919</v>
      </c>
      <c r="F341" s="66" t="s">
        <v>1772</v>
      </c>
    </row>
    <row r="342" spans="1:6" ht="16.5" x14ac:dyDescent="0.35">
      <c r="A342" s="66">
        <v>340</v>
      </c>
      <c r="B342" s="66" t="s">
        <v>1112</v>
      </c>
      <c r="C342" s="69">
        <v>50.596981999999997</v>
      </c>
      <c r="D342" s="69">
        <v>32.344532999999998</v>
      </c>
      <c r="E342" s="68" t="s">
        <v>2010</v>
      </c>
      <c r="F342" s="66" t="s">
        <v>1772</v>
      </c>
    </row>
    <row r="343" spans="1:6" ht="16.5" x14ac:dyDescent="0.35">
      <c r="A343" s="66">
        <v>341</v>
      </c>
      <c r="B343" s="66" t="s">
        <v>1113</v>
      </c>
      <c r="C343" s="69">
        <v>50.579095000000002</v>
      </c>
      <c r="D343" s="69">
        <v>32.375973999999999</v>
      </c>
      <c r="E343" s="68" t="s">
        <v>2011</v>
      </c>
      <c r="F343" s="66" t="s">
        <v>1772</v>
      </c>
    </row>
    <row r="344" spans="1:6" ht="16.5" x14ac:dyDescent="0.35">
      <c r="A344" s="66">
        <v>342</v>
      </c>
      <c r="B344" s="66" t="s">
        <v>1114</v>
      </c>
      <c r="C344" s="69">
        <v>50.578158000000002</v>
      </c>
      <c r="D344" s="69">
        <v>32.360615000000003</v>
      </c>
      <c r="E344" s="68" t="s">
        <v>2012</v>
      </c>
      <c r="F344" s="66" t="s">
        <v>1772</v>
      </c>
    </row>
    <row r="345" spans="1:6" ht="16.5" x14ac:dyDescent="0.35">
      <c r="A345" s="66">
        <v>343</v>
      </c>
      <c r="B345" s="66" t="s">
        <v>1115</v>
      </c>
      <c r="C345" s="69">
        <v>50.595820000000003</v>
      </c>
      <c r="D345" s="69">
        <v>32.356659999999998</v>
      </c>
      <c r="E345" s="68" t="s">
        <v>2013</v>
      </c>
      <c r="F345" s="66" t="s">
        <v>1772</v>
      </c>
    </row>
    <row r="346" spans="1:6" ht="16.5" x14ac:dyDescent="0.35">
      <c r="A346" s="66">
        <v>344</v>
      </c>
      <c r="B346" s="66" t="s">
        <v>1116</v>
      </c>
      <c r="C346" s="69">
        <v>50.580392000000003</v>
      </c>
      <c r="D346" s="69">
        <v>32.397933999999999</v>
      </c>
      <c r="E346" s="68" t="s">
        <v>2014</v>
      </c>
      <c r="F346" s="66" t="s">
        <v>1772</v>
      </c>
    </row>
    <row r="347" spans="1:6" ht="16.5" x14ac:dyDescent="0.35">
      <c r="A347" s="66">
        <v>345</v>
      </c>
      <c r="B347" s="66" t="s">
        <v>1117</v>
      </c>
      <c r="C347" s="69">
        <v>50.598429000000003</v>
      </c>
      <c r="D347" s="69">
        <v>32.404040999999999</v>
      </c>
      <c r="E347" s="68" t="s">
        <v>2015</v>
      </c>
      <c r="F347" s="66" t="s">
        <v>1772</v>
      </c>
    </row>
    <row r="348" spans="1:6" ht="16.5" x14ac:dyDescent="0.35">
      <c r="A348" s="66">
        <v>346</v>
      </c>
      <c r="B348" s="66" t="s">
        <v>1118</v>
      </c>
      <c r="C348" s="69">
        <v>50.598429000000003</v>
      </c>
      <c r="D348" s="69">
        <v>32.404040999999999</v>
      </c>
      <c r="E348" s="68" t="s">
        <v>2015</v>
      </c>
      <c r="F348" s="66" t="s">
        <v>1772</v>
      </c>
    </row>
    <row r="349" spans="1:6" ht="16.5" x14ac:dyDescent="0.35">
      <c r="A349" s="66">
        <v>347</v>
      </c>
      <c r="B349" s="66" t="s">
        <v>1119</v>
      </c>
      <c r="C349" s="69">
        <v>50.587707999999999</v>
      </c>
      <c r="D349" s="69">
        <v>32.425939</v>
      </c>
      <c r="E349" s="68" t="s">
        <v>2016</v>
      </c>
      <c r="F349" s="66" t="s">
        <v>1772</v>
      </c>
    </row>
    <row r="350" spans="1:6" ht="16.5" x14ac:dyDescent="0.35">
      <c r="A350" s="66">
        <v>348</v>
      </c>
      <c r="B350" s="66" t="s">
        <v>1120</v>
      </c>
      <c r="C350" s="69">
        <v>51.050955999999999</v>
      </c>
      <c r="D350" s="69">
        <v>31.886557</v>
      </c>
      <c r="E350" s="68" t="s">
        <v>2019</v>
      </c>
      <c r="F350" s="66" t="s">
        <v>1772</v>
      </c>
    </row>
    <row r="351" spans="1:6" ht="16.5" x14ac:dyDescent="0.35">
      <c r="A351" s="66">
        <v>349</v>
      </c>
      <c r="B351" s="66" t="s">
        <v>1121</v>
      </c>
      <c r="C351" s="69">
        <v>50.581086999999997</v>
      </c>
      <c r="D351" s="69">
        <v>32.405298000000002</v>
      </c>
      <c r="E351" s="68" t="s">
        <v>1791</v>
      </c>
      <c r="F351" s="66" t="s">
        <v>1772</v>
      </c>
    </row>
    <row r="352" spans="1:6" ht="16.5" x14ac:dyDescent="0.35">
      <c r="A352" s="66">
        <v>350</v>
      </c>
      <c r="B352" s="66" t="s">
        <v>1122</v>
      </c>
      <c r="C352" s="69">
        <v>50.580542999999999</v>
      </c>
      <c r="D352" s="69">
        <v>32.408766999999997</v>
      </c>
      <c r="E352" s="68" t="s">
        <v>2020</v>
      </c>
      <c r="F352" s="66" t="s">
        <v>1772</v>
      </c>
    </row>
    <row r="353" spans="1:6" ht="16.5" x14ac:dyDescent="0.35">
      <c r="A353" s="66">
        <v>351</v>
      </c>
      <c r="B353" s="66" t="s">
        <v>1123</v>
      </c>
      <c r="C353" s="69">
        <v>50.588303000000003</v>
      </c>
      <c r="D353" s="69">
        <v>32.365586999999998</v>
      </c>
      <c r="E353" s="68" t="s">
        <v>2021</v>
      </c>
      <c r="F353" s="66" t="s">
        <v>1772</v>
      </c>
    </row>
    <row r="354" spans="1:6" ht="16.5" x14ac:dyDescent="0.35">
      <c r="A354" s="66">
        <v>352</v>
      </c>
      <c r="B354" s="66" t="s">
        <v>1124</v>
      </c>
      <c r="C354" s="69">
        <v>50.589855</v>
      </c>
      <c r="D354" s="69">
        <v>32.423023000000001</v>
      </c>
      <c r="E354" s="68" t="s">
        <v>2022</v>
      </c>
      <c r="F354" s="66" t="s">
        <v>1772</v>
      </c>
    </row>
    <row r="355" spans="1:6" ht="16.5" x14ac:dyDescent="0.35">
      <c r="A355" s="66">
        <v>353</v>
      </c>
      <c r="B355" s="66" t="s">
        <v>1125</v>
      </c>
      <c r="C355" s="69">
        <v>50.618051000000001</v>
      </c>
      <c r="D355" s="69">
        <v>32.372185999999999</v>
      </c>
      <c r="E355" s="68" t="s">
        <v>2023</v>
      </c>
      <c r="F355" s="66" t="s">
        <v>1772</v>
      </c>
    </row>
    <row r="356" spans="1:6" ht="16.5" x14ac:dyDescent="0.35">
      <c r="A356" s="66">
        <v>354</v>
      </c>
      <c r="B356" s="66" t="s">
        <v>1126</v>
      </c>
      <c r="C356" s="69">
        <v>50.581744999999998</v>
      </c>
      <c r="D356" s="69">
        <v>32.397621000000001</v>
      </c>
      <c r="E356" s="68" t="s">
        <v>2024</v>
      </c>
      <c r="F356" s="66" t="s">
        <v>1772</v>
      </c>
    </row>
    <row r="357" spans="1:6" ht="16.5" x14ac:dyDescent="0.35">
      <c r="A357" s="66">
        <v>355</v>
      </c>
      <c r="B357" s="66" t="s">
        <v>1127</v>
      </c>
      <c r="C357" s="69">
        <v>50.581744999999998</v>
      </c>
      <c r="D357" s="69">
        <v>32.397621000000001</v>
      </c>
      <c r="E357" s="68" t="s">
        <v>2024</v>
      </c>
      <c r="F357" s="66" t="s">
        <v>1772</v>
      </c>
    </row>
    <row r="358" spans="1:6" ht="16.5" x14ac:dyDescent="0.35">
      <c r="A358" s="66">
        <v>356</v>
      </c>
      <c r="B358" s="66" t="s">
        <v>1128</v>
      </c>
      <c r="C358" s="69">
        <v>50.616728000000002</v>
      </c>
      <c r="D358" s="69">
        <v>32.416862999999999</v>
      </c>
      <c r="E358" s="68" t="s">
        <v>2025</v>
      </c>
      <c r="F358" s="66" t="s">
        <v>1772</v>
      </c>
    </row>
    <row r="359" spans="1:6" ht="16.5" x14ac:dyDescent="0.35">
      <c r="A359" s="66">
        <v>357</v>
      </c>
      <c r="B359" s="66" t="s">
        <v>1129</v>
      </c>
      <c r="C359" s="69">
        <v>50.870648000000003</v>
      </c>
      <c r="D359" s="69">
        <v>32.639916999999997</v>
      </c>
      <c r="E359" s="68" t="s">
        <v>2028</v>
      </c>
      <c r="F359" s="66" t="s">
        <v>1772</v>
      </c>
    </row>
    <row r="360" spans="1:6" ht="16.5" x14ac:dyDescent="0.35">
      <c r="A360" s="66">
        <v>358</v>
      </c>
      <c r="B360" s="66" t="s">
        <v>1130</v>
      </c>
      <c r="C360" s="69">
        <v>50.579414999999997</v>
      </c>
      <c r="D360" s="69">
        <v>32.421691000000003</v>
      </c>
      <c r="E360" s="68" t="s">
        <v>2029</v>
      </c>
      <c r="F360" s="66" t="s">
        <v>1772</v>
      </c>
    </row>
    <row r="361" spans="1:6" ht="16.5" x14ac:dyDescent="0.35">
      <c r="A361" s="66">
        <v>359</v>
      </c>
      <c r="B361" s="66" t="s">
        <v>1131</v>
      </c>
      <c r="C361" s="69">
        <v>50.578158000000002</v>
      </c>
      <c r="D361" s="69">
        <v>32.360615000000003</v>
      </c>
      <c r="E361" s="68" t="s">
        <v>2012</v>
      </c>
      <c r="F361" s="66" t="s">
        <v>1772</v>
      </c>
    </row>
    <row r="362" spans="1:6" ht="16.5" x14ac:dyDescent="0.35">
      <c r="A362" s="66">
        <v>360</v>
      </c>
      <c r="B362" s="66" t="s">
        <v>1132</v>
      </c>
      <c r="C362" s="67" t="s">
        <v>1788</v>
      </c>
      <c r="D362" s="67" t="s">
        <v>1789</v>
      </c>
      <c r="E362" s="68" t="s">
        <v>1790</v>
      </c>
      <c r="F362" s="64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A62E6-3D0F-4960-9BD5-ADE5E1206887}">
  <dimension ref="A1:I71"/>
  <sheetViews>
    <sheetView workbookViewId="0">
      <pane ySplit="3" topLeftCell="A4" activePane="bottomLeft" state="frozen"/>
      <selection activeCell="H25" sqref="H25:H26"/>
      <selection pane="bottomLeft" activeCell="H25" sqref="H25:H26"/>
    </sheetView>
  </sheetViews>
  <sheetFormatPr defaultRowHeight="14.5" x14ac:dyDescent="0.35"/>
  <cols>
    <col min="1" max="1" width="8.1796875" customWidth="1"/>
    <col min="2" max="2" width="41.81640625" customWidth="1"/>
    <col min="3" max="3" width="31.81640625" customWidth="1"/>
    <col min="4" max="5" width="11.81640625" customWidth="1"/>
    <col min="6" max="6" width="12.7265625" customWidth="1"/>
    <col min="7" max="7" width="13.6328125" customWidth="1"/>
    <col min="8" max="9" width="15.453125" customWidth="1"/>
  </cols>
  <sheetData>
    <row r="1" spans="1:9" ht="18" x14ac:dyDescent="0.4">
      <c r="A1" s="37" t="s">
        <v>1668</v>
      </c>
    </row>
    <row r="3" spans="1:9" x14ac:dyDescent="0.35">
      <c r="A3" s="36" t="s">
        <v>2</v>
      </c>
      <c r="B3" s="36" t="s">
        <v>773</v>
      </c>
      <c r="C3" s="36" t="s">
        <v>1669</v>
      </c>
      <c r="D3" s="36" t="s">
        <v>1670</v>
      </c>
      <c r="E3" s="36" t="s">
        <v>1671</v>
      </c>
      <c r="F3" s="36" t="s">
        <v>1672</v>
      </c>
      <c r="G3" s="36" t="s">
        <v>1599</v>
      </c>
      <c r="H3" s="36" t="s">
        <v>771</v>
      </c>
      <c r="I3" s="36" t="s">
        <v>772</v>
      </c>
    </row>
    <row r="4" spans="1:9" x14ac:dyDescent="0.35">
      <c r="A4" s="38">
        <v>1</v>
      </c>
      <c r="B4" s="39" t="s">
        <v>330</v>
      </c>
      <c r="C4" s="39" t="s">
        <v>1673</v>
      </c>
      <c r="D4" s="38"/>
      <c r="E4" s="38">
        <v>1</v>
      </c>
      <c r="F4" s="38">
        <v>1</v>
      </c>
      <c r="G4" s="38">
        <v>3</v>
      </c>
      <c r="H4" s="40">
        <v>50.596290000000003</v>
      </c>
      <c r="I4" s="40">
        <v>32.388179999999998</v>
      </c>
    </row>
    <row r="5" spans="1:9" x14ac:dyDescent="0.35">
      <c r="A5" s="38">
        <v>2</v>
      </c>
      <c r="B5" s="39" t="s">
        <v>1600</v>
      </c>
      <c r="C5" s="39" t="s">
        <v>1673</v>
      </c>
      <c r="D5" s="38">
        <v>1</v>
      </c>
      <c r="E5" s="38">
        <v>1</v>
      </c>
      <c r="F5" s="38">
        <v>1</v>
      </c>
      <c r="G5" s="38">
        <v>3</v>
      </c>
      <c r="H5" s="40">
        <v>50.594549999999998</v>
      </c>
      <c r="I5" s="40">
        <v>32.384729999999998</v>
      </c>
    </row>
    <row r="6" spans="1:9" x14ac:dyDescent="0.35">
      <c r="A6" s="38">
        <v>3</v>
      </c>
      <c r="B6" s="39" t="s">
        <v>1601</v>
      </c>
      <c r="C6" s="39" t="s">
        <v>1673</v>
      </c>
      <c r="D6" s="38">
        <v>1</v>
      </c>
      <c r="E6" s="38">
        <v>1</v>
      </c>
      <c r="F6" s="38">
        <v>1</v>
      </c>
      <c r="G6" s="38" t="s">
        <v>1602</v>
      </c>
      <c r="H6" s="40">
        <v>50.59346</v>
      </c>
      <c r="I6" s="40">
        <v>32.383290000000002</v>
      </c>
    </row>
    <row r="7" spans="1:9" x14ac:dyDescent="0.35">
      <c r="A7" s="38">
        <v>4</v>
      </c>
      <c r="B7" s="39" t="s">
        <v>1603</v>
      </c>
      <c r="C7" s="39" t="s">
        <v>1673</v>
      </c>
      <c r="D7" s="38">
        <v>1</v>
      </c>
      <c r="E7" s="38">
        <v>1</v>
      </c>
      <c r="F7" s="38">
        <v>1</v>
      </c>
      <c r="G7" s="38">
        <v>4</v>
      </c>
      <c r="H7" s="40">
        <v>50.591790000000003</v>
      </c>
      <c r="I7" s="40">
        <v>32.381599999999999</v>
      </c>
    </row>
    <row r="8" spans="1:9" x14ac:dyDescent="0.35">
      <c r="A8" s="38">
        <v>5</v>
      </c>
      <c r="B8" s="39" t="s">
        <v>1604</v>
      </c>
      <c r="C8" s="39" t="s">
        <v>1673</v>
      </c>
      <c r="D8" s="38"/>
      <c r="E8" s="38">
        <v>1</v>
      </c>
      <c r="F8" s="38">
        <v>1</v>
      </c>
      <c r="G8" s="38" t="s">
        <v>1605</v>
      </c>
      <c r="H8" s="40">
        <v>50.587569999999999</v>
      </c>
      <c r="I8" s="40">
        <v>32.379370000000002</v>
      </c>
    </row>
    <row r="9" spans="1:9" x14ac:dyDescent="0.35">
      <c r="A9" s="38">
        <v>6</v>
      </c>
      <c r="B9" s="39" t="s">
        <v>1606</v>
      </c>
      <c r="C9" s="39" t="s">
        <v>1673</v>
      </c>
      <c r="D9" s="38"/>
      <c r="E9" s="38">
        <v>1</v>
      </c>
      <c r="F9" s="38">
        <v>1</v>
      </c>
      <c r="G9" s="38">
        <v>3</v>
      </c>
      <c r="H9" s="40">
        <v>50.597259999999999</v>
      </c>
      <c r="I9" s="40">
        <v>32.381489999999999</v>
      </c>
    </row>
    <row r="10" spans="1:9" x14ac:dyDescent="0.35">
      <c r="A10" s="38">
        <v>7</v>
      </c>
      <c r="B10" s="39" t="s">
        <v>1607</v>
      </c>
      <c r="C10" s="39" t="s">
        <v>1673</v>
      </c>
      <c r="D10" s="38"/>
      <c r="E10" s="38">
        <v>1</v>
      </c>
      <c r="F10" s="38">
        <v>1</v>
      </c>
      <c r="G10" s="38" t="s">
        <v>1608</v>
      </c>
      <c r="H10" s="40">
        <v>50.59487</v>
      </c>
      <c r="I10" s="40">
        <v>32.380740000000003</v>
      </c>
    </row>
    <row r="11" spans="1:9" x14ac:dyDescent="0.35">
      <c r="A11" s="38">
        <v>8</v>
      </c>
      <c r="B11" s="39" t="s">
        <v>1609</v>
      </c>
      <c r="C11" s="39" t="s">
        <v>1673</v>
      </c>
      <c r="D11" s="38"/>
      <c r="E11" s="38">
        <v>1</v>
      </c>
      <c r="F11" s="38">
        <v>1</v>
      </c>
      <c r="G11" s="38">
        <v>3</v>
      </c>
      <c r="H11" s="40">
        <v>50.590850000000003</v>
      </c>
      <c r="I11" s="40">
        <v>32.379280000000001</v>
      </c>
    </row>
    <row r="12" spans="1:9" x14ac:dyDescent="0.35">
      <c r="A12" s="38">
        <v>9</v>
      </c>
      <c r="B12" s="39" t="s">
        <v>1610</v>
      </c>
      <c r="C12" s="39" t="s">
        <v>1673</v>
      </c>
      <c r="D12" s="38"/>
      <c r="E12" s="38">
        <v>1</v>
      </c>
      <c r="F12" s="38">
        <v>1</v>
      </c>
      <c r="G12" s="38">
        <v>4</v>
      </c>
      <c r="H12" s="40">
        <v>50.599789999999999</v>
      </c>
      <c r="I12" s="40">
        <v>32.331249999999997</v>
      </c>
    </row>
    <row r="13" spans="1:9" x14ac:dyDescent="0.35">
      <c r="A13" s="38">
        <v>10</v>
      </c>
      <c r="B13" s="39" t="s">
        <v>1611</v>
      </c>
      <c r="C13" s="39" t="s">
        <v>1673</v>
      </c>
      <c r="D13" s="38"/>
      <c r="E13" s="38">
        <v>1</v>
      </c>
      <c r="F13" s="38">
        <v>1</v>
      </c>
      <c r="G13" s="38" t="s">
        <v>1612</v>
      </c>
      <c r="H13" s="40">
        <v>50.602020000000003</v>
      </c>
      <c r="I13" s="40">
        <v>32.328769999999999</v>
      </c>
    </row>
    <row r="14" spans="1:9" x14ac:dyDescent="0.35">
      <c r="A14" s="38">
        <v>11</v>
      </c>
      <c r="B14" s="39" t="s">
        <v>1613</v>
      </c>
      <c r="C14" s="39" t="s">
        <v>1673</v>
      </c>
      <c r="D14" s="38"/>
      <c r="E14" s="38">
        <v>1</v>
      </c>
      <c r="F14" s="38">
        <v>1</v>
      </c>
      <c r="G14" s="38">
        <v>4</v>
      </c>
      <c r="H14" s="40">
        <v>50.589280000000002</v>
      </c>
      <c r="I14" s="40">
        <v>32.403120000000001</v>
      </c>
    </row>
    <row r="15" spans="1:9" x14ac:dyDescent="0.35">
      <c r="A15" s="38">
        <v>12</v>
      </c>
      <c r="B15" s="39" t="s">
        <v>1614</v>
      </c>
      <c r="C15" s="39" t="s">
        <v>1673</v>
      </c>
      <c r="D15" s="38">
        <v>1</v>
      </c>
      <c r="E15" s="38">
        <v>1</v>
      </c>
      <c r="F15" s="38">
        <v>1</v>
      </c>
      <c r="G15" s="38" t="s">
        <v>1615</v>
      </c>
      <c r="H15" s="40">
        <v>50.591430000000003</v>
      </c>
      <c r="I15" s="40">
        <v>32.404029999999999</v>
      </c>
    </row>
    <row r="16" spans="1:9" x14ac:dyDescent="0.35">
      <c r="A16" s="38">
        <v>13</v>
      </c>
      <c r="B16" s="39" t="s">
        <v>1616</v>
      </c>
      <c r="C16" s="39" t="s">
        <v>1673</v>
      </c>
      <c r="D16" s="38"/>
      <c r="E16" s="38">
        <v>1</v>
      </c>
      <c r="F16" s="38">
        <v>1</v>
      </c>
      <c r="G16" s="38" t="s">
        <v>1615</v>
      </c>
      <c r="H16" s="40">
        <v>50.591430000000003</v>
      </c>
      <c r="I16" s="40">
        <v>32.404029999999999</v>
      </c>
    </row>
    <row r="17" spans="1:9" x14ac:dyDescent="0.35">
      <c r="A17" s="38">
        <v>14</v>
      </c>
      <c r="B17" s="39" t="s">
        <v>1617</v>
      </c>
      <c r="C17" s="39" t="s">
        <v>1673</v>
      </c>
      <c r="D17" s="38">
        <v>1</v>
      </c>
      <c r="E17" s="38">
        <v>1</v>
      </c>
      <c r="F17" s="38">
        <v>1</v>
      </c>
      <c r="G17" s="38">
        <v>3</v>
      </c>
      <c r="H17" s="40">
        <v>50.586289999999998</v>
      </c>
      <c r="I17" s="40">
        <v>32.401179999999997</v>
      </c>
    </row>
    <row r="18" spans="1:9" x14ac:dyDescent="0.35">
      <c r="A18" s="38">
        <v>15</v>
      </c>
      <c r="B18" s="39" t="s">
        <v>1618</v>
      </c>
      <c r="C18" s="39" t="s">
        <v>1673</v>
      </c>
      <c r="D18" s="38">
        <v>1</v>
      </c>
      <c r="E18" s="38">
        <v>1</v>
      </c>
      <c r="F18" s="38">
        <v>1</v>
      </c>
      <c r="G18" s="38">
        <v>4</v>
      </c>
      <c r="H18" s="40">
        <v>50.588410000000003</v>
      </c>
      <c r="I18" s="40">
        <v>32.409680000000002</v>
      </c>
    </row>
    <row r="19" spans="1:9" x14ac:dyDescent="0.35">
      <c r="A19" s="38">
        <v>16</v>
      </c>
      <c r="B19" s="39" t="s">
        <v>1619</v>
      </c>
      <c r="C19" s="39" t="s">
        <v>1673</v>
      </c>
      <c r="D19" s="38"/>
      <c r="E19" s="38">
        <v>1</v>
      </c>
      <c r="F19" s="38">
        <v>1</v>
      </c>
      <c r="G19" s="38">
        <v>2</v>
      </c>
      <c r="H19" s="40">
        <v>50.588059999999999</v>
      </c>
      <c r="I19" s="40">
        <v>32.376060000000003</v>
      </c>
    </row>
    <row r="20" spans="1:9" x14ac:dyDescent="0.35">
      <c r="A20" s="38">
        <v>17</v>
      </c>
      <c r="B20" s="39" t="s">
        <v>1620</v>
      </c>
      <c r="C20" s="39" t="s">
        <v>1673</v>
      </c>
      <c r="D20" s="38">
        <v>1</v>
      </c>
      <c r="E20" s="38">
        <v>1</v>
      </c>
      <c r="F20" s="38">
        <v>1</v>
      </c>
      <c r="G20" s="38">
        <v>3</v>
      </c>
      <c r="H20" s="40">
        <v>50.585990000000002</v>
      </c>
      <c r="I20" s="40">
        <v>32.388530000000003</v>
      </c>
    </row>
    <row r="21" spans="1:9" x14ac:dyDescent="0.35">
      <c r="A21" s="38">
        <v>18</v>
      </c>
      <c r="B21" s="39" t="s">
        <v>1621</v>
      </c>
      <c r="C21" s="39" t="s">
        <v>1673</v>
      </c>
      <c r="D21" s="38"/>
      <c r="E21" s="38">
        <v>1</v>
      </c>
      <c r="F21" s="38">
        <v>1</v>
      </c>
      <c r="G21" s="38">
        <v>5</v>
      </c>
      <c r="H21" s="40">
        <v>50.589849999999998</v>
      </c>
      <c r="I21" s="40">
        <v>32.383110000000002</v>
      </c>
    </row>
    <row r="22" spans="1:9" x14ac:dyDescent="0.35">
      <c r="A22" s="38">
        <v>19</v>
      </c>
      <c r="B22" s="39" t="s">
        <v>1622</v>
      </c>
      <c r="C22" s="39" t="s">
        <v>1673</v>
      </c>
      <c r="D22" s="38">
        <v>1</v>
      </c>
      <c r="E22" s="38">
        <v>1</v>
      </c>
      <c r="F22" s="38">
        <v>1</v>
      </c>
      <c r="G22" s="38">
        <v>4</v>
      </c>
      <c r="H22" s="40">
        <v>50.591679999999997</v>
      </c>
      <c r="I22" s="40">
        <v>32.386830000000003</v>
      </c>
    </row>
    <row r="23" spans="1:9" x14ac:dyDescent="0.35">
      <c r="A23" s="38">
        <v>20</v>
      </c>
      <c r="B23" s="39" t="s">
        <v>1623</v>
      </c>
      <c r="C23" s="39" t="s">
        <v>1673</v>
      </c>
      <c r="D23" s="38">
        <v>1</v>
      </c>
      <c r="E23" s="38">
        <v>1</v>
      </c>
      <c r="F23" s="38">
        <v>1</v>
      </c>
      <c r="G23" s="38">
        <v>2</v>
      </c>
      <c r="H23" s="40">
        <v>50.593400000000003</v>
      </c>
      <c r="I23" s="40">
        <v>32.386189999999999</v>
      </c>
    </row>
    <row r="24" spans="1:9" x14ac:dyDescent="0.35">
      <c r="A24" s="38">
        <v>21</v>
      </c>
      <c r="B24" s="39" t="s">
        <v>1624</v>
      </c>
      <c r="C24" s="39" t="s">
        <v>1673</v>
      </c>
      <c r="D24" s="38"/>
      <c r="E24" s="38">
        <v>1</v>
      </c>
      <c r="F24" s="38">
        <v>1</v>
      </c>
      <c r="G24" s="38" t="s">
        <v>1612</v>
      </c>
      <c r="H24" s="40">
        <v>50.593049999999998</v>
      </c>
      <c r="I24" s="40">
        <v>32.385820000000002</v>
      </c>
    </row>
    <row r="25" spans="1:9" x14ac:dyDescent="0.35">
      <c r="A25" s="38">
        <v>22</v>
      </c>
      <c r="B25" s="39" t="s">
        <v>1625</v>
      </c>
      <c r="C25" s="39" t="s">
        <v>1673</v>
      </c>
      <c r="D25" s="38"/>
      <c r="E25" s="38">
        <v>1</v>
      </c>
      <c r="F25" s="38">
        <v>1</v>
      </c>
      <c r="G25" s="38">
        <v>3</v>
      </c>
      <c r="H25" s="40">
        <v>50.591250000000002</v>
      </c>
      <c r="I25" s="40">
        <v>32.385390000000001</v>
      </c>
    </row>
    <row r="26" spans="1:9" x14ac:dyDescent="0.35">
      <c r="A26" s="38">
        <v>23</v>
      </c>
      <c r="B26" s="39" t="s">
        <v>1626</v>
      </c>
      <c r="C26" s="39" t="s">
        <v>1673</v>
      </c>
      <c r="D26" s="38">
        <v>1</v>
      </c>
      <c r="E26" s="38">
        <v>1</v>
      </c>
      <c r="F26" s="38">
        <v>1</v>
      </c>
      <c r="G26" s="38" t="s">
        <v>1602</v>
      </c>
      <c r="H26" s="40">
        <v>50.587499999999999</v>
      </c>
      <c r="I26" s="40">
        <v>32.383780000000002</v>
      </c>
    </row>
    <row r="27" spans="1:9" x14ac:dyDescent="0.35">
      <c r="A27" s="38">
        <v>24</v>
      </c>
      <c r="B27" s="39" t="s">
        <v>1627</v>
      </c>
      <c r="C27" s="39" t="s">
        <v>1673</v>
      </c>
      <c r="D27" s="38"/>
      <c r="E27" s="38">
        <v>1</v>
      </c>
      <c r="F27" s="38">
        <v>1</v>
      </c>
      <c r="G27" s="38" t="s">
        <v>1602</v>
      </c>
      <c r="H27" s="40">
        <v>50.591180000000001</v>
      </c>
      <c r="I27" s="40">
        <v>32.387889999999999</v>
      </c>
    </row>
    <row r="28" spans="1:9" x14ac:dyDescent="0.35">
      <c r="A28" s="38">
        <v>25</v>
      </c>
      <c r="B28" s="39" t="s">
        <v>1628</v>
      </c>
      <c r="C28" s="39" t="s">
        <v>1673</v>
      </c>
      <c r="D28" s="38">
        <v>1</v>
      </c>
      <c r="E28" s="38">
        <v>1</v>
      </c>
      <c r="F28" s="38">
        <v>1</v>
      </c>
      <c r="G28" s="38" t="s">
        <v>1629</v>
      </c>
      <c r="H28" s="40">
        <v>50.592829999999999</v>
      </c>
      <c r="I28" s="40">
        <v>32.389620000000001</v>
      </c>
    </row>
    <row r="29" spans="1:9" x14ac:dyDescent="0.35">
      <c r="A29" s="38">
        <v>26</v>
      </c>
      <c r="B29" s="39" t="s">
        <v>1630</v>
      </c>
      <c r="C29" s="39" t="s">
        <v>1673</v>
      </c>
      <c r="D29" s="38"/>
      <c r="E29" s="38">
        <v>1</v>
      </c>
      <c r="F29" s="38">
        <v>1</v>
      </c>
      <c r="G29" s="38">
        <v>3</v>
      </c>
      <c r="H29" s="40">
        <v>50.588250000000002</v>
      </c>
      <c r="I29" s="40">
        <v>32.373820000000002</v>
      </c>
    </row>
    <row r="30" spans="1:9" x14ac:dyDescent="0.35">
      <c r="A30" s="38">
        <v>27</v>
      </c>
      <c r="B30" s="39" t="s">
        <v>1631</v>
      </c>
      <c r="C30" s="39" t="s">
        <v>1673</v>
      </c>
      <c r="D30" s="38"/>
      <c r="E30" s="38">
        <v>1</v>
      </c>
      <c r="F30" s="38">
        <v>1</v>
      </c>
      <c r="G30" s="38">
        <v>1</v>
      </c>
      <c r="H30" s="40">
        <v>50.587400000000002</v>
      </c>
      <c r="I30" s="40">
        <v>32.374189999999999</v>
      </c>
    </row>
    <row r="31" spans="1:9" x14ac:dyDescent="0.35">
      <c r="A31" s="38">
        <v>28</v>
      </c>
      <c r="B31" s="39" t="s">
        <v>1632</v>
      </c>
      <c r="C31" s="39" t="s">
        <v>1673</v>
      </c>
      <c r="D31" s="38"/>
      <c r="E31" s="38">
        <v>1</v>
      </c>
      <c r="F31" s="38">
        <v>1</v>
      </c>
      <c r="G31" s="38">
        <v>3</v>
      </c>
      <c r="H31" s="40">
        <v>50.580739999999999</v>
      </c>
      <c r="I31" s="40">
        <v>32.414870000000001</v>
      </c>
    </row>
    <row r="32" spans="1:9" x14ac:dyDescent="0.35">
      <c r="A32" s="38">
        <v>29</v>
      </c>
      <c r="B32" s="39" t="s">
        <v>1633</v>
      </c>
      <c r="C32" s="39" t="s">
        <v>1673</v>
      </c>
      <c r="D32" s="38"/>
      <c r="E32" s="38">
        <v>1</v>
      </c>
      <c r="F32" s="38">
        <v>1</v>
      </c>
      <c r="G32" s="38" t="s">
        <v>1615</v>
      </c>
      <c r="H32" s="40">
        <v>50.589460000000003</v>
      </c>
      <c r="I32" s="40">
        <v>32.420960000000001</v>
      </c>
    </row>
    <row r="33" spans="1:9" x14ac:dyDescent="0.35">
      <c r="A33" s="38">
        <v>30</v>
      </c>
      <c r="B33" s="39" t="s">
        <v>1634</v>
      </c>
      <c r="C33" s="39" t="s">
        <v>1673</v>
      </c>
      <c r="D33" s="38"/>
      <c r="E33" s="38">
        <v>1</v>
      </c>
      <c r="F33" s="38">
        <v>1</v>
      </c>
      <c r="G33" s="38">
        <v>4</v>
      </c>
      <c r="H33" s="40">
        <v>50.592419999999997</v>
      </c>
      <c r="I33" s="40">
        <v>32.412939999999999</v>
      </c>
    </row>
    <row r="34" spans="1:9" x14ac:dyDescent="0.35">
      <c r="A34" s="38">
        <v>31</v>
      </c>
      <c r="B34" s="39" t="s">
        <v>1635</v>
      </c>
      <c r="C34" s="39" t="s">
        <v>1673</v>
      </c>
      <c r="D34" s="38">
        <v>1</v>
      </c>
      <c r="E34" s="38">
        <v>1</v>
      </c>
      <c r="F34" s="38">
        <v>1</v>
      </c>
      <c r="G34" s="38" t="s">
        <v>1615</v>
      </c>
      <c r="H34" s="40">
        <v>50.59328</v>
      </c>
      <c r="I34" s="40">
        <v>32.399920000000002</v>
      </c>
    </row>
    <row r="35" spans="1:9" x14ac:dyDescent="0.35">
      <c r="A35" s="38">
        <v>32</v>
      </c>
      <c r="B35" s="39" t="s">
        <v>1636</v>
      </c>
      <c r="C35" s="39" t="s">
        <v>1673</v>
      </c>
      <c r="D35" s="38"/>
      <c r="E35" s="38">
        <v>1</v>
      </c>
      <c r="F35" s="38">
        <v>1</v>
      </c>
      <c r="G35" s="38" t="s">
        <v>1629</v>
      </c>
      <c r="H35" s="40">
        <v>50.589790000000001</v>
      </c>
      <c r="I35" s="40">
        <v>32.392009999999999</v>
      </c>
    </row>
    <row r="36" spans="1:9" x14ac:dyDescent="0.35">
      <c r="A36" s="38">
        <v>33</v>
      </c>
      <c r="B36" s="39" t="s">
        <v>1637</v>
      </c>
      <c r="C36" s="39" t="s">
        <v>1673</v>
      </c>
      <c r="D36" s="38"/>
      <c r="E36" s="38">
        <v>1</v>
      </c>
      <c r="F36" s="38">
        <v>1</v>
      </c>
      <c r="G36" s="38" t="s">
        <v>1638</v>
      </c>
      <c r="H36" s="40">
        <v>50.588290000000001</v>
      </c>
      <c r="I36" s="40">
        <v>32.391570000000002</v>
      </c>
    </row>
    <row r="37" spans="1:9" x14ac:dyDescent="0.35">
      <c r="A37" s="38">
        <v>34</v>
      </c>
      <c r="B37" s="39" t="s">
        <v>1639</v>
      </c>
      <c r="C37" s="39" t="s">
        <v>1673</v>
      </c>
      <c r="D37" s="38"/>
      <c r="E37" s="38">
        <v>1</v>
      </c>
      <c r="F37" s="38">
        <v>1</v>
      </c>
      <c r="G37" s="38">
        <v>4</v>
      </c>
      <c r="H37" s="40">
        <v>50.585509999999999</v>
      </c>
      <c r="I37" s="40">
        <v>32.372720000000001</v>
      </c>
    </row>
    <row r="38" spans="1:9" x14ac:dyDescent="0.35">
      <c r="A38" s="38">
        <v>35</v>
      </c>
      <c r="B38" s="39" t="s">
        <v>1640</v>
      </c>
      <c r="C38" s="39" t="s">
        <v>1673</v>
      </c>
      <c r="D38" s="38"/>
      <c r="E38" s="38">
        <v>1</v>
      </c>
      <c r="F38" s="38">
        <v>1</v>
      </c>
      <c r="G38" s="38" t="s">
        <v>1638</v>
      </c>
      <c r="H38" s="40">
        <v>50.58164</v>
      </c>
      <c r="I38" s="40">
        <v>32.36786</v>
      </c>
    </row>
    <row r="39" spans="1:9" x14ac:dyDescent="0.35">
      <c r="A39" s="38">
        <v>36</v>
      </c>
      <c r="B39" s="39" t="s">
        <v>1641</v>
      </c>
      <c r="C39" s="39" t="s">
        <v>1673</v>
      </c>
      <c r="D39" s="38"/>
      <c r="E39" s="38">
        <v>1</v>
      </c>
      <c r="F39" s="38">
        <v>1</v>
      </c>
      <c r="G39" s="38" t="s">
        <v>1615</v>
      </c>
      <c r="H39" s="40">
        <v>50.592170000000003</v>
      </c>
      <c r="I39" s="40">
        <v>32.372169999999997</v>
      </c>
    </row>
    <row r="40" spans="1:9" x14ac:dyDescent="0.35">
      <c r="A40" s="38">
        <v>37</v>
      </c>
      <c r="B40" s="39" t="s">
        <v>1642</v>
      </c>
      <c r="C40" s="39" t="s">
        <v>1673</v>
      </c>
      <c r="D40" s="38">
        <v>1</v>
      </c>
      <c r="E40" s="38">
        <v>1</v>
      </c>
      <c r="F40" s="38">
        <v>1</v>
      </c>
      <c r="G40" s="38" t="s">
        <v>1602</v>
      </c>
      <c r="H40" s="40">
        <v>50.593609999999998</v>
      </c>
      <c r="I40" s="40">
        <v>32.39423</v>
      </c>
    </row>
    <row r="41" spans="1:9" x14ac:dyDescent="0.35">
      <c r="A41" s="38">
        <v>38</v>
      </c>
      <c r="B41" s="39" t="s">
        <v>1643</v>
      </c>
      <c r="C41" s="39" t="s">
        <v>1673</v>
      </c>
      <c r="D41" s="38">
        <v>1</v>
      </c>
      <c r="E41" s="38">
        <v>1</v>
      </c>
      <c r="F41" s="38">
        <v>1</v>
      </c>
      <c r="G41" s="38" t="s">
        <v>1612</v>
      </c>
      <c r="H41" s="40">
        <v>50.59487</v>
      </c>
      <c r="I41" s="40">
        <v>32.385869999999997</v>
      </c>
    </row>
    <row r="42" spans="1:9" x14ac:dyDescent="0.35">
      <c r="A42" s="38">
        <v>39</v>
      </c>
      <c r="B42" s="39" t="s">
        <v>1644</v>
      </c>
      <c r="C42" s="39" t="s">
        <v>1673</v>
      </c>
      <c r="D42" s="38"/>
      <c r="E42" s="38">
        <v>1</v>
      </c>
      <c r="F42" s="38">
        <v>1</v>
      </c>
      <c r="G42" s="38" t="s">
        <v>1612</v>
      </c>
      <c r="H42" s="40">
        <v>50.59496</v>
      </c>
      <c r="I42" s="40">
        <v>32.38984</v>
      </c>
    </row>
    <row r="43" spans="1:9" x14ac:dyDescent="0.35">
      <c r="A43" s="38">
        <v>40</v>
      </c>
      <c r="B43" s="39" t="s">
        <v>1645</v>
      </c>
      <c r="C43" s="39" t="s">
        <v>1673</v>
      </c>
      <c r="D43" s="38">
        <v>1</v>
      </c>
      <c r="E43" s="38">
        <v>1</v>
      </c>
      <c r="F43" s="38">
        <v>1</v>
      </c>
      <c r="G43" s="38" t="s">
        <v>1602</v>
      </c>
      <c r="H43" s="40">
        <v>50.596829999999997</v>
      </c>
      <c r="I43" s="40">
        <v>32.37435</v>
      </c>
    </row>
    <row r="44" spans="1:9" x14ac:dyDescent="0.35">
      <c r="A44" s="38">
        <v>41</v>
      </c>
      <c r="B44" s="39" t="s">
        <v>1646</v>
      </c>
      <c r="C44" s="39" t="s">
        <v>1673</v>
      </c>
      <c r="D44" s="38"/>
      <c r="E44" s="38">
        <v>1</v>
      </c>
      <c r="F44" s="38">
        <v>1</v>
      </c>
      <c r="G44" s="38" t="s">
        <v>1602</v>
      </c>
      <c r="H44" s="40">
        <v>50.597610000000003</v>
      </c>
      <c r="I44" s="40">
        <v>32.366549999999997</v>
      </c>
    </row>
    <row r="45" spans="1:9" x14ac:dyDescent="0.35">
      <c r="A45" s="38">
        <v>42</v>
      </c>
      <c r="B45" s="39" t="s">
        <v>1647</v>
      </c>
      <c r="C45" s="39" t="s">
        <v>1673</v>
      </c>
      <c r="D45" s="38"/>
      <c r="E45" s="38">
        <v>1</v>
      </c>
      <c r="F45" s="38">
        <v>1</v>
      </c>
      <c r="G45" s="38" t="s">
        <v>1602</v>
      </c>
      <c r="H45" s="40">
        <v>50.598149999999997</v>
      </c>
      <c r="I45" s="40">
        <v>32.362580000000001</v>
      </c>
    </row>
    <row r="46" spans="1:9" x14ac:dyDescent="0.35">
      <c r="A46" s="38">
        <v>43</v>
      </c>
      <c r="B46" s="39" t="s">
        <v>1648</v>
      </c>
      <c r="C46" s="39" t="s">
        <v>1673</v>
      </c>
      <c r="D46" s="38"/>
      <c r="E46" s="38">
        <v>1</v>
      </c>
      <c r="F46" s="38">
        <v>1</v>
      </c>
      <c r="G46" s="38" t="s">
        <v>1602</v>
      </c>
      <c r="H46" s="40">
        <v>50.598660000000002</v>
      </c>
      <c r="I46" s="40">
        <v>32.350729999999999</v>
      </c>
    </row>
    <row r="47" spans="1:9" x14ac:dyDescent="0.35">
      <c r="A47" s="38">
        <v>44</v>
      </c>
      <c r="B47" s="39" t="s">
        <v>1649</v>
      </c>
      <c r="C47" s="39" t="s">
        <v>1673</v>
      </c>
      <c r="D47" s="38"/>
      <c r="E47" s="38">
        <v>1</v>
      </c>
      <c r="F47" s="38">
        <v>1</v>
      </c>
      <c r="G47" s="38"/>
      <c r="H47" s="40"/>
      <c r="I47" s="40"/>
    </row>
    <row r="48" spans="1:9" x14ac:dyDescent="0.35">
      <c r="A48" s="38">
        <v>45</v>
      </c>
      <c r="B48" s="39" t="s">
        <v>1650</v>
      </c>
      <c r="C48" s="39" t="s">
        <v>1673</v>
      </c>
      <c r="D48" s="38"/>
      <c r="E48" s="38">
        <v>1</v>
      </c>
      <c r="F48" s="38">
        <v>1</v>
      </c>
      <c r="G48" s="38" t="s">
        <v>1602</v>
      </c>
      <c r="H48" s="40">
        <v>50.582560000000001</v>
      </c>
      <c r="I48" s="40">
        <v>32.39378</v>
      </c>
    </row>
    <row r="49" spans="1:9" x14ac:dyDescent="0.35">
      <c r="A49" s="38">
        <v>46</v>
      </c>
      <c r="B49" s="39" t="s">
        <v>1651</v>
      </c>
      <c r="C49" s="39" t="s">
        <v>1673</v>
      </c>
      <c r="D49" s="38"/>
      <c r="E49" s="38">
        <v>1</v>
      </c>
      <c r="F49" s="38">
        <v>1</v>
      </c>
      <c r="G49" s="38" t="s">
        <v>1608</v>
      </c>
      <c r="H49" s="40">
        <v>50.58831</v>
      </c>
      <c r="I49" s="40">
        <v>32.39508</v>
      </c>
    </row>
    <row r="50" spans="1:9" x14ac:dyDescent="0.35">
      <c r="A50" s="38">
        <v>47</v>
      </c>
      <c r="B50" s="39" t="s">
        <v>1652</v>
      </c>
      <c r="C50" s="39" t="s">
        <v>1673</v>
      </c>
      <c r="D50" s="38"/>
      <c r="E50" s="38">
        <v>1</v>
      </c>
      <c r="F50" s="38">
        <v>1</v>
      </c>
      <c r="G50" s="38">
        <v>3</v>
      </c>
      <c r="H50" s="40">
        <v>50.595529999999997</v>
      </c>
      <c r="I50" s="40">
        <v>32.364550000000001</v>
      </c>
    </row>
    <row r="51" spans="1:9" x14ac:dyDescent="0.35">
      <c r="A51" s="38">
        <v>48</v>
      </c>
      <c r="B51" s="39" t="s">
        <v>1653</v>
      </c>
      <c r="C51" s="39" t="s">
        <v>1673</v>
      </c>
      <c r="D51" s="38"/>
      <c r="E51" s="38">
        <v>1</v>
      </c>
      <c r="F51" s="38">
        <v>1</v>
      </c>
      <c r="G51" s="38" t="s">
        <v>1608</v>
      </c>
      <c r="H51" s="40">
        <v>50.578710000000001</v>
      </c>
      <c r="I51" s="40">
        <v>32.408369999999998</v>
      </c>
    </row>
    <row r="52" spans="1:9" x14ac:dyDescent="0.35">
      <c r="A52" s="38">
        <v>49</v>
      </c>
      <c r="B52" s="39" t="s">
        <v>1654</v>
      </c>
      <c r="C52" s="39" t="s">
        <v>1673</v>
      </c>
      <c r="D52" s="38"/>
      <c r="E52" s="38">
        <v>1</v>
      </c>
      <c r="F52" s="38">
        <v>1</v>
      </c>
      <c r="G52" s="38" t="s">
        <v>1638</v>
      </c>
      <c r="H52" s="40">
        <v>50.615169999999999</v>
      </c>
      <c r="I52" s="40">
        <v>32.383029999999998</v>
      </c>
    </row>
    <row r="53" spans="1:9" x14ac:dyDescent="0.35">
      <c r="A53" s="38">
        <v>50</v>
      </c>
      <c r="B53" s="39" t="s">
        <v>1655</v>
      </c>
      <c r="C53" s="39" t="s">
        <v>1673</v>
      </c>
      <c r="D53" s="38"/>
      <c r="E53" s="38">
        <v>1</v>
      </c>
      <c r="F53" s="38">
        <v>1</v>
      </c>
      <c r="G53" s="38" t="s">
        <v>1602</v>
      </c>
      <c r="H53" s="40">
        <v>50.602400000000003</v>
      </c>
      <c r="I53" s="40">
        <v>32.385300000000001</v>
      </c>
    </row>
    <row r="54" spans="1:9" x14ac:dyDescent="0.35">
      <c r="A54" s="38">
        <v>51</v>
      </c>
      <c r="B54" s="39" t="s">
        <v>1657</v>
      </c>
      <c r="C54" s="39" t="s">
        <v>1673</v>
      </c>
      <c r="D54" s="38">
        <v>1</v>
      </c>
      <c r="E54" s="38">
        <v>1</v>
      </c>
      <c r="F54" s="38">
        <v>1</v>
      </c>
      <c r="G54" s="38" t="s">
        <v>1615</v>
      </c>
      <c r="H54" s="40">
        <v>50.572749999999999</v>
      </c>
      <c r="I54" s="40">
        <v>32.413150000000002</v>
      </c>
    </row>
    <row r="55" spans="1:9" x14ac:dyDescent="0.35">
      <c r="A55" s="38">
        <v>52</v>
      </c>
      <c r="B55" s="39" t="s">
        <v>1658</v>
      </c>
      <c r="C55" s="39" t="s">
        <v>1673</v>
      </c>
      <c r="D55" s="38">
        <v>1</v>
      </c>
      <c r="E55" s="38">
        <v>1</v>
      </c>
      <c r="F55" s="38">
        <v>1</v>
      </c>
      <c r="G55" s="38">
        <v>4</v>
      </c>
      <c r="H55" s="40">
        <v>50.57105</v>
      </c>
      <c r="I55" s="40">
        <v>32.409750000000003</v>
      </c>
    </row>
    <row r="56" spans="1:9" x14ac:dyDescent="0.35">
      <c r="A56" s="38">
        <v>53</v>
      </c>
      <c r="B56" s="39" t="s">
        <v>1659</v>
      </c>
      <c r="C56" s="39" t="s">
        <v>1673</v>
      </c>
      <c r="D56" s="38">
        <v>1</v>
      </c>
      <c r="E56" s="38">
        <v>1</v>
      </c>
      <c r="F56" s="38">
        <v>1</v>
      </c>
      <c r="G56" s="38">
        <v>2</v>
      </c>
      <c r="H56" s="40">
        <v>50.572279999999999</v>
      </c>
      <c r="I56" s="40">
        <v>32.406239999999997</v>
      </c>
    </row>
    <row r="57" spans="1:9" x14ac:dyDescent="0.35">
      <c r="A57" s="38">
        <v>54</v>
      </c>
      <c r="B57" s="39" t="s">
        <v>1660</v>
      </c>
      <c r="C57" s="39" t="s">
        <v>1673</v>
      </c>
      <c r="D57" s="38">
        <v>1</v>
      </c>
      <c r="E57" s="38">
        <v>1</v>
      </c>
      <c r="F57" s="38">
        <v>1</v>
      </c>
      <c r="G57" s="38">
        <v>4</v>
      </c>
      <c r="H57" s="40">
        <v>50.574590000000001</v>
      </c>
      <c r="I57" s="40">
        <v>32.410670000000003</v>
      </c>
    </row>
    <row r="58" spans="1:9" x14ac:dyDescent="0.35">
      <c r="A58" s="38">
        <v>55</v>
      </c>
      <c r="B58" s="39" t="s">
        <v>1661</v>
      </c>
      <c r="C58" s="39" t="s">
        <v>1673</v>
      </c>
      <c r="D58" s="38">
        <v>1</v>
      </c>
      <c r="E58" s="38">
        <v>1</v>
      </c>
      <c r="F58" s="38">
        <v>1</v>
      </c>
      <c r="G58" s="38" t="s">
        <v>1615</v>
      </c>
      <c r="H58" s="40">
        <v>50.588880000000003</v>
      </c>
      <c r="I58" s="40">
        <v>32.358110000000003</v>
      </c>
    </row>
    <row r="59" spans="1:9" x14ac:dyDescent="0.35">
      <c r="A59" s="38">
        <v>56</v>
      </c>
      <c r="B59" s="39" t="s">
        <v>1662</v>
      </c>
      <c r="C59" s="39" t="s">
        <v>1673</v>
      </c>
      <c r="D59" s="38">
        <v>1</v>
      </c>
      <c r="E59" s="38">
        <v>1</v>
      </c>
      <c r="F59" s="38">
        <v>1</v>
      </c>
      <c r="G59" s="38" t="s">
        <v>1629</v>
      </c>
      <c r="H59" s="40">
        <v>50.586269999999999</v>
      </c>
      <c r="I59" s="40">
        <v>32.356589999999997</v>
      </c>
    </row>
    <row r="60" spans="1:9" x14ac:dyDescent="0.35">
      <c r="A60" s="38">
        <v>57</v>
      </c>
      <c r="B60" s="39" t="s">
        <v>1663</v>
      </c>
      <c r="C60" s="39" t="s">
        <v>1673</v>
      </c>
      <c r="D60" s="38">
        <v>1</v>
      </c>
      <c r="E60" s="38">
        <v>1</v>
      </c>
      <c r="F60" s="38">
        <v>1</v>
      </c>
      <c r="G60" s="38">
        <v>3</v>
      </c>
      <c r="H60" s="40">
        <v>50.587479999999999</v>
      </c>
      <c r="I60" s="40">
        <v>32.358289999999997</v>
      </c>
    </row>
    <row r="61" spans="1:9" x14ac:dyDescent="0.35">
      <c r="A61" s="38">
        <v>58</v>
      </c>
      <c r="B61" s="39" t="s">
        <v>1664</v>
      </c>
      <c r="C61" s="39" t="s">
        <v>1673</v>
      </c>
      <c r="D61" s="38">
        <v>1</v>
      </c>
      <c r="E61" s="38">
        <v>1</v>
      </c>
      <c r="F61" s="38">
        <v>1</v>
      </c>
      <c r="G61" s="38">
        <v>5</v>
      </c>
      <c r="H61" s="40">
        <v>50.586970000000001</v>
      </c>
      <c r="I61" s="40">
        <v>32.385779999999997</v>
      </c>
    </row>
    <row r="62" spans="1:9" x14ac:dyDescent="0.35">
      <c r="A62" s="38">
        <v>59</v>
      </c>
      <c r="B62" s="39" t="s">
        <v>1665</v>
      </c>
      <c r="C62" s="39" t="s">
        <v>1673</v>
      </c>
      <c r="D62" s="38">
        <v>1</v>
      </c>
      <c r="E62" s="38">
        <v>1</v>
      </c>
      <c r="F62" s="38">
        <v>1</v>
      </c>
      <c r="G62" s="38" t="s">
        <v>1629</v>
      </c>
      <c r="H62" s="40">
        <v>50.59178</v>
      </c>
      <c r="I62" s="40">
        <v>32.399290000000001</v>
      </c>
    </row>
    <row r="63" spans="1:9" x14ac:dyDescent="0.35">
      <c r="A63" s="38">
        <v>60</v>
      </c>
      <c r="B63" s="39" t="s">
        <v>1666</v>
      </c>
      <c r="C63" s="39" t="s">
        <v>1674</v>
      </c>
      <c r="D63" s="38">
        <v>1</v>
      </c>
      <c r="E63" s="38">
        <v>1</v>
      </c>
      <c r="F63" s="38">
        <v>1</v>
      </c>
      <c r="G63" s="38">
        <v>5</v>
      </c>
      <c r="H63" s="40">
        <v>50.589300000000001</v>
      </c>
      <c r="I63" s="40">
        <v>32.380180000000003</v>
      </c>
    </row>
    <row r="64" spans="1:9" x14ac:dyDescent="0.35">
      <c r="A64" s="38">
        <v>61</v>
      </c>
      <c r="B64" s="39" t="s">
        <v>1667</v>
      </c>
      <c r="C64" s="39" t="s">
        <v>1674</v>
      </c>
      <c r="D64" s="38">
        <v>1</v>
      </c>
      <c r="E64" s="38">
        <v>1</v>
      </c>
      <c r="F64" s="38">
        <v>1</v>
      </c>
      <c r="G64" s="38" t="s">
        <v>1615</v>
      </c>
      <c r="H64" s="40">
        <v>50.589120000000001</v>
      </c>
      <c r="I64" s="40">
        <v>32.405830000000002</v>
      </c>
    </row>
    <row r="65" spans="1:9" x14ac:dyDescent="0.35">
      <c r="A65" s="41">
        <f>COUNT(A4:A64)</f>
        <v>61</v>
      </c>
      <c r="B65" s="42" t="s">
        <v>1656</v>
      </c>
      <c r="C65" s="41"/>
      <c r="D65" s="41">
        <f>SUM(D4:D64)</f>
        <v>26</v>
      </c>
      <c r="E65" s="41">
        <f>SUM(E4:E64)</f>
        <v>61</v>
      </c>
      <c r="F65" s="41">
        <f>SUM(F4:F64)</f>
        <v>61</v>
      </c>
      <c r="G65" s="41"/>
      <c r="H65" s="41"/>
      <c r="I65" s="41"/>
    </row>
    <row r="71" spans="1:9" ht="20" customHeight="1" x14ac:dyDescent="0.35"/>
  </sheetData>
  <autoFilter ref="A3:I64" xr:uid="{9DCA62E6-3D0F-4960-9BD5-ADE5E1206887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6B05B-92FE-4191-8478-826CE272DC82}">
  <dimension ref="A1:I1012"/>
  <sheetViews>
    <sheetView workbookViewId="0">
      <pane ySplit="3" topLeftCell="A100" activePane="bottomLeft" state="frozen"/>
      <selection activeCell="H25" sqref="H25:H26"/>
      <selection pane="bottomLeft" activeCell="H25" sqref="H25:H26"/>
    </sheetView>
  </sheetViews>
  <sheetFormatPr defaultRowHeight="14.5" x14ac:dyDescent="0.35"/>
  <cols>
    <col min="1" max="1" width="31.81640625" customWidth="1"/>
    <col min="2" max="2" width="27.26953125" customWidth="1"/>
    <col min="3" max="3" width="14.54296875" customWidth="1"/>
    <col min="4" max="4" width="10" customWidth="1"/>
    <col min="5" max="5" width="12.7265625" customWidth="1"/>
    <col min="6" max="6" width="21.81640625" customWidth="1"/>
    <col min="7" max="7" width="18.1796875" customWidth="1"/>
    <col min="8" max="8" width="13.6328125" customWidth="1"/>
    <col min="9" max="9" width="27.26953125" customWidth="1"/>
  </cols>
  <sheetData>
    <row r="1" spans="1:9" ht="18" x14ac:dyDescent="0.4">
      <c r="A1" s="1" t="s">
        <v>720</v>
      </c>
    </row>
    <row r="3" spans="1:9" x14ac:dyDescent="0.35">
      <c r="A3" s="16" t="s">
        <v>24</v>
      </c>
      <c r="B3" s="16" t="s">
        <v>721</v>
      </c>
      <c r="C3" s="16" t="s">
        <v>390</v>
      </c>
      <c r="D3" s="16" t="s">
        <v>26</v>
      </c>
      <c r="E3" s="16" t="s">
        <v>722</v>
      </c>
      <c r="F3" s="16" t="s">
        <v>723</v>
      </c>
      <c r="G3" s="16" t="s">
        <v>724</v>
      </c>
      <c r="H3" s="16" t="s">
        <v>260</v>
      </c>
      <c r="I3" s="16" t="s">
        <v>725</v>
      </c>
    </row>
    <row r="4" spans="1:9" x14ac:dyDescent="0.35">
      <c r="A4" s="17" t="s">
        <v>249</v>
      </c>
      <c r="B4" s="17"/>
      <c r="C4" s="19" t="s">
        <v>227</v>
      </c>
      <c r="D4" s="18" t="s">
        <v>172</v>
      </c>
      <c r="E4" s="19" t="s">
        <v>726</v>
      </c>
      <c r="F4" s="17" t="s">
        <v>727</v>
      </c>
      <c r="G4" s="21" t="s">
        <v>728</v>
      </c>
      <c r="H4" s="19"/>
      <c r="I4" s="21" t="s">
        <v>5</v>
      </c>
    </row>
    <row r="5" spans="1:9" x14ac:dyDescent="0.35">
      <c r="A5" s="17" t="s">
        <v>200</v>
      </c>
      <c r="B5" s="17"/>
      <c r="C5" s="19" t="s">
        <v>190</v>
      </c>
      <c r="D5" s="18" t="s">
        <v>158</v>
      </c>
      <c r="E5" s="19" t="s">
        <v>726</v>
      </c>
      <c r="F5" s="17" t="s">
        <v>727</v>
      </c>
      <c r="G5" s="21" t="s">
        <v>728</v>
      </c>
      <c r="H5" s="19"/>
      <c r="I5" s="21" t="s">
        <v>5</v>
      </c>
    </row>
    <row r="6" spans="1:9" x14ac:dyDescent="0.35">
      <c r="A6" s="17" t="s">
        <v>124</v>
      </c>
      <c r="B6" s="17"/>
      <c r="C6" s="19" t="s">
        <v>96</v>
      </c>
      <c r="D6" s="18" t="s">
        <v>125</v>
      </c>
      <c r="E6" s="19" t="s">
        <v>726</v>
      </c>
      <c r="F6" s="17" t="s">
        <v>727</v>
      </c>
      <c r="G6" s="21" t="s">
        <v>728</v>
      </c>
      <c r="H6" s="19"/>
      <c r="I6" s="21" t="s">
        <v>5</v>
      </c>
    </row>
    <row r="7" spans="1:9" x14ac:dyDescent="0.35">
      <c r="A7" s="17" t="s">
        <v>163</v>
      </c>
      <c r="B7" s="17"/>
      <c r="C7" s="19" t="s">
        <v>145</v>
      </c>
      <c r="D7" s="18" t="s">
        <v>164</v>
      </c>
      <c r="E7" s="19" t="s">
        <v>726</v>
      </c>
      <c r="F7" s="17" t="s">
        <v>727</v>
      </c>
      <c r="G7" s="21" t="s">
        <v>728</v>
      </c>
      <c r="H7" s="19"/>
      <c r="I7" s="21" t="s">
        <v>5</v>
      </c>
    </row>
    <row r="8" spans="1:9" x14ac:dyDescent="0.35">
      <c r="A8" s="17" t="s">
        <v>216</v>
      </c>
      <c r="B8" s="17"/>
      <c r="C8" s="19" t="s">
        <v>190</v>
      </c>
      <c r="D8" s="18" t="s">
        <v>170</v>
      </c>
      <c r="E8" s="19" t="s">
        <v>726</v>
      </c>
      <c r="F8" s="17" t="s">
        <v>727</v>
      </c>
      <c r="G8" s="21" t="s">
        <v>728</v>
      </c>
      <c r="H8" s="19"/>
      <c r="I8" s="21" t="s">
        <v>5</v>
      </c>
    </row>
    <row r="9" spans="1:9" x14ac:dyDescent="0.35">
      <c r="A9" s="17" t="s">
        <v>642</v>
      </c>
      <c r="B9" s="17" t="s">
        <v>643</v>
      </c>
      <c r="C9" s="19" t="s">
        <v>227</v>
      </c>
      <c r="D9" s="18" t="s">
        <v>118</v>
      </c>
      <c r="E9" s="19" t="s">
        <v>729</v>
      </c>
      <c r="F9" s="17" t="s">
        <v>730</v>
      </c>
      <c r="G9" s="21" t="s">
        <v>731</v>
      </c>
      <c r="H9" s="19"/>
      <c r="I9" s="21" t="s">
        <v>17</v>
      </c>
    </row>
    <row r="10" spans="1:9" x14ac:dyDescent="0.35">
      <c r="A10" s="17" t="s">
        <v>603</v>
      </c>
      <c r="B10" s="17" t="s">
        <v>604</v>
      </c>
      <c r="C10" s="19" t="s">
        <v>190</v>
      </c>
      <c r="D10" s="18" t="s">
        <v>202</v>
      </c>
      <c r="E10" s="19" t="s">
        <v>729</v>
      </c>
      <c r="F10" s="17" t="s">
        <v>730</v>
      </c>
      <c r="G10" s="21" t="s">
        <v>731</v>
      </c>
      <c r="H10" s="19"/>
      <c r="I10" s="21" t="s">
        <v>17</v>
      </c>
    </row>
    <row r="11" spans="1:9" x14ac:dyDescent="0.35">
      <c r="A11" s="17" t="s">
        <v>72</v>
      </c>
      <c r="B11" s="17"/>
      <c r="C11" s="19" t="s">
        <v>23</v>
      </c>
      <c r="D11" s="18" t="s">
        <v>73</v>
      </c>
      <c r="E11" s="19" t="s">
        <v>726</v>
      </c>
      <c r="F11" s="17" t="s">
        <v>727</v>
      </c>
      <c r="G11" s="21" t="s">
        <v>728</v>
      </c>
      <c r="H11" s="19"/>
      <c r="I11" s="21" t="s">
        <v>5</v>
      </c>
    </row>
    <row r="12" spans="1:9" x14ac:dyDescent="0.35">
      <c r="A12" s="17" t="s">
        <v>229</v>
      </c>
      <c r="B12" s="17"/>
      <c r="C12" s="19" t="s">
        <v>227</v>
      </c>
      <c r="D12" s="18" t="s">
        <v>150</v>
      </c>
      <c r="E12" s="19" t="s">
        <v>726</v>
      </c>
      <c r="F12" s="17" t="s">
        <v>727</v>
      </c>
      <c r="G12" s="21" t="s">
        <v>728</v>
      </c>
      <c r="H12" s="19"/>
      <c r="I12" s="21" t="s">
        <v>5</v>
      </c>
    </row>
    <row r="13" spans="1:9" x14ac:dyDescent="0.35">
      <c r="A13" s="17" t="s">
        <v>243</v>
      </c>
      <c r="B13" s="17"/>
      <c r="C13" s="19" t="s">
        <v>227</v>
      </c>
      <c r="D13" s="18" t="s">
        <v>244</v>
      </c>
      <c r="E13" s="19" t="s">
        <v>726</v>
      </c>
      <c r="F13" s="17" t="s">
        <v>727</v>
      </c>
      <c r="G13" s="21" t="s">
        <v>728</v>
      </c>
      <c r="H13" s="19"/>
      <c r="I13" s="21" t="s">
        <v>5</v>
      </c>
    </row>
    <row r="14" spans="1:9" x14ac:dyDescent="0.35">
      <c r="A14" s="17" t="s">
        <v>488</v>
      </c>
      <c r="B14" s="17" t="s">
        <v>489</v>
      </c>
      <c r="C14" s="19" t="s">
        <v>23</v>
      </c>
      <c r="D14" s="18" t="s">
        <v>215</v>
      </c>
      <c r="E14" s="19" t="s">
        <v>729</v>
      </c>
      <c r="F14" s="17" t="s">
        <v>730</v>
      </c>
      <c r="G14" s="21" t="s">
        <v>731</v>
      </c>
      <c r="H14" s="19"/>
      <c r="I14" s="21" t="s">
        <v>17</v>
      </c>
    </row>
    <row r="15" spans="1:9" x14ac:dyDescent="0.35">
      <c r="A15" s="17" t="s">
        <v>240</v>
      </c>
      <c r="B15" s="17"/>
      <c r="C15" s="19" t="s">
        <v>227</v>
      </c>
      <c r="D15" s="18" t="s">
        <v>116</v>
      </c>
      <c r="E15" s="19" t="s">
        <v>726</v>
      </c>
      <c r="F15" s="17" t="s">
        <v>727</v>
      </c>
      <c r="G15" s="21" t="s">
        <v>728</v>
      </c>
      <c r="H15" s="19"/>
      <c r="I15" s="21" t="s">
        <v>5</v>
      </c>
    </row>
    <row r="16" spans="1:9" x14ac:dyDescent="0.35">
      <c r="A16" s="17" t="s">
        <v>50</v>
      </c>
      <c r="B16" s="17"/>
      <c r="C16" s="19" t="s">
        <v>23</v>
      </c>
      <c r="D16" s="18" t="s">
        <v>51</v>
      </c>
      <c r="E16" s="19" t="s">
        <v>726</v>
      </c>
      <c r="F16" s="17" t="s">
        <v>727</v>
      </c>
      <c r="G16" s="21" t="s">
        <v>728</v>
      </c>
      <c r="H16" s="19"/>
      <c r="I16" s="21" t="s">
        <v>5</v>
      </c>
    </row>
    <row r="17" spans="1:9" x14ac:dyDescent="0.35">
      <c r="A17" s="17" t="s">
        <v>582</v>
      </c>
      <c r="B17" s="17" t="s">
        <v>583</v>
      </c>
      <c r="C17" s="19" t="s">
        <v>145</v>
      </c>
      <c r="D17" s="18" t="s">
        <v>226</v>
      </c>
      <c r="E17" s="19" t="s">
        <v>729</v>
      </c>
      <c r="F17" s="17" t="s">
        <v>730</v>
      </c>
      <c r="G17" s="21" t="s">
        <v>731</v>
      </c>
      <c r="H17" s="19"/>
      <c r="I17" s="21" t="s">
        <v>17</v>
      </c>
    </row>
    <row r="18" spans="1:9" x14ac:dyDescent="0.35">
      <c r="A18" s="17" t="s">
        <v>465</v>
      </c>
      <c r="B18" s="17" t="s">
        <v>466</v>
      </c>
      <c r="C18" s="19" t="s">
        <v>23</v>
      </c>
      <c r="D18" s="18" t="s">
        <v>158</v>
      </c>
      <c r="E18" s="19" t="s">
        <v>729</v>
      </c>
      <c r="F18" s="17" t="s">
        <v>730</v>
      </c>
      <c r="G18" s="21" t="s">
        <v>731</v>
      </c>
      <c r="H18" s="19"/>
      <c r="I18" s="21" t="s">
        <v>17</v>
      </c>
    </row>
    <row r="19" spans="1:9" x14ac:dyDescent="0.35">
      <c r="A19" s="17" t="s">
        <v>60</v>
      </c>
      <c r="B19" s="17"/>
      <c r="C19" s="19" t="s">
        <v>23</v>
      </c>
      <c r="D19" s="18" t="s">
        <v>61</v>
      </c>
      <c r="E19" s="19" t="s">
        <v>726</v>
      </c>
      <c r="F19" s="17" t="s">
        <v>727</v>
      </c>
      <c r="G19" s="21" t="s">
        <v>728</v>
      </c>
      <c r="H19" s="19"/>
      <c r="I19" s="21" t="s">
        <v>5</v>
      </c>
    </row>
    <row r="20" spans="1:9" x14ac:dyDescent="0.35">
      <c r="A20" s="17" t="s">
        <v>90</v>
      </c>
      <c r="B20" s="17"/>
      <c r="C20" s="19" t="s">
        <v>23</v>
      </c>
      <c r="D20" s="18" t="s">
        <v>91</v>
      </c>
      <c r="E20" s="19" t="s">
        <v>726</v>
      </c>
      <c r="F20" s="17" t="s">
        <v>727</v>
      </c>
      <c r="G20" s="21" t="s">
        <v>728</v>
      </c>
      <c r="H20" s="19"/>
      <c r="I20" s="21" t="s">
        <v>5</v>
      </c>
    </row>
    <row r="21" spans="1:9" x14ac:dyDescent="0.35">
      <c r="A21" s="17" t="s">
        <v>255</v>
      </c>
      <c r="B21" s="17"/>
      <c r="C21" s="19" t="s">
        <v>227</v>
      </c>
      <c r="D21" s="18" t="s">
        <v>181</v>
      </c>
      <c r="E21" s="19" t="s">
        <v>726</v>
      </c>
      <c r="F21" s="17" t="s">
        <v>727</v>
      </c>
      <c r="G21" s="21" t="s">
        <v>728</v>
      </c>
      <c r="H21" s="19"/>
      <c r="I21" s="21" t="s">
        <v>5</v>
      </c>
    </row>
    <row r="22" spans="1:9" x14ac:dyDescent="0.35">
      <c r="A22" s="17" t="s">
        <v>495</v>
      </c>
      <c r="B22" s="17" t="s">
        <v>496</v>
      </c>
      <c r="C22" s="19" t="s">
        <v>23</v>
      </c>
      <c r="D22" s="18" t="s">
        <v>141</v>
      </c>
      <c r="E22" s="19" t="s">
        <v>729</v>
      </c>
      <c r="F22" s="17" t="s">
        <v>730</v>
      </c>
      <c r="G22" s="21" t="s">
        <v>731</v>
      </c>
      <c r="H22" s="19"/>
      <c r="I22" s="21" t="s">
        <v>17</v>
      </c>
    </row>
    <row r="23" spans="1:9" x14ac:dyDescent="0.35">
      <c r="A23" s="17" t="s">
        <v>529</v>
      </c>
      <c r="B23" s="17" t="s">
        <v>530</v>
      </c>
      <c r="C23" s="19" t="s">
        <v>96</v>
      </c>
      <c r="D23" s="18" t="s">
        <v>181</v>
      </c>
      <c r="E23" s="19" t="s">
        <v>729</v>
      </c>
      <c r="F23" s="17" t="s">
        <v>730</v>
      </c>
      <c r="G23" s="21" t="s">
        <v>731</v>
      </c>
      <c r="H23" s="19"/>
      <c r="I23" s="21" t="s">
        <v>17</v>
      </c>
    </row>
    <row r="24" spans="1:9" x14ac:dyDescent="0.35">
      <c r="A24" s="17" t="s">
        <v>448</v>
      </c>
      <c r="B24" s="17"/>
      <c r="C24" s="19" t="s">
        <v>227</v>
      </c>
      <c r="D24" s="18" t="s">
        <v>354</v>
      </c>
      <c r="E24" s="19" t="s">
        <v>732</v>
      </c>
      <c r="F24" s="17" t="s">
        <v>733</v>
      </c>
      <c r="G24" s="21" t="s">
        <v>734</v>
      </c>
      <c r="H24" s="19">
        <v>3</v>
      </c>
      <c r="I24" s="21" t="s">
        <v>15</v>
      </c>
    </row>
    <row r="25" spans="1:9" x14ac:dyDescent="0.35">
      <c r="A25" s="17" t="s">
        <v>248</v>
      </c>
      <c r="B25" s="17"/>
      <c r="C25" s="19" t="s">
        <v>227</v>
      </c>
      <c r="D25" s="18" t="s">
        <v>215</v>
      </c>
      <c r="E25" s="19" t="s">
        <v>726</v>
      </c>
      <c r="F25" s="17" t="s">
        <v>727</v>
      </c>
      <c r="G25" s="21" t="s">
        <v>728</v>
      </c>
      <c r="H25" s="19"/>
      <c r="I25" s="21" t="s">
        <v>5</v>
      </c>
    </row>
    <row r="26" spans="1:9" x14ac:dyDescent="0.35">
      <c r="A26" s="17" t="s">
        <v>611</v>
      </c>
      <c r="B26" s="17" t="s">
        <v>612</v>
      </c>
      <c r="C26" s="19" t="s">
        <v>190</v>
      </c>
      <c r="D26" s="18" t="s">
        <v>174</v>
      </c>
      <c r="E26" s="19" t="s">
        <v>729</v>
      </c>
      <c r="F26" s="17" t="s">
        <v>730</v>
      </c>
      <c r="G26" s="21" t="s">
        <v>731</v>
      </c>
      <c r="H26" s="19"/>
      <c r="I26" s="21" t="s">
        <v>17</v>
      </c>
    </row>
    <row r="27" spans="1:9" x14ac:dyDescent="0.35">
      <c r="A27" s="17" t="s">
        <v>366</v>
      </c>
      <c r="B27" s="17" t="s">
        <v>367</v>
      </c>
      <c r="C27" s="19" t="s">
        <v>23</v>
      </c>
      <c r="D27" s="18" t="s">
        <v>368</v>
      </c>
      <c r="E27" s="19" t="s">
        <v>732</v>
      </c>
      <c r="F27" s="17" t="s">
        <v>735</v>
      </c>
      <c r="G27" s="21" t="s">
        <v>736</v>
      </c>
      <c r="H27" s="19">
        <v>2</v>
      </c>
      <c r="I27" s="21" t="s">
        <v>9</v>
      </c>
    </row>
    <row r="28" spans="1:9" x14ac:dyDescent="0.35">
      <c r="A28" s="17" t="s">
        <v>195</v>
      </c>
      <c r="B28" s="17"/>
      <c r="C28" s="19" t="s">
        <v>190</v>
      </c>
      <c r="D28" s="18" t="s">
        <v>196</v>
      </c>
      <c r="E28" s="19" t="s">
        <v>726</v>
      </c>
      <c r="F28" s="17" t="s">
        <v>727</v>
      </c>
      <c r="G28" s="21" t="s">
        <v>728</v>
      </c>
      <c r="H28" s="19"/>
      <c r="I28" s="21" t="s">
        <v>5</v>
      </c>
    </row>
    <row r="29" spans="1:9" x14ac:dyDescent="0.35">
      <c r="A29" s="17" t="s">
        <v>126</v>
      </c>
      <c r="B29" s="17"/>
      <c r="C29" s="19" t="s">
        <v>96</v>
      </c>
      <c r="D29" s="18" t="s">
        <v>127</v>
      </c>
      <c r="E29" s="19" t="s">
        <v>726</v>
      </c>
      <c r="F29" s="17" t="s">
        <v>727</v>
      </c>
      <c r="G29" s="21" t="s">
        <v>728</v>
      </c>
      <c r="H29" s="19"/>
      <c r="I29" s="21" t="s">
        <v>5</v>
      </c>
    </row>
    <row r="30" spans="1:9" x14ac:dyDescent="0.35">
      <c r="A30" s="17" t="s">
        <v>709</v>
      </c>
      <c r="B30" s="17" t="s">
        <v>710</v>
      </c>
      <c r="C30" s="19" t="s">
        <v>96</v>
      </c>
      <c r="D30" s="18" t="s">
        <v>91</v>
      </c>
      <c r="E30" s="19" t="s">
        <v>737</v>
      </c>
      <c r="F30" s="17" t="s">
        <v>738</v>
      </c>
      <c r="G30" s="21" t="s">
        <v>739</v>
      </c>
      <c r="H30" s="19">
        <v>2</v>
      </c>
      <c r="I30" s="21" t="s">
        <v>21</v>
      </c>
    </row>
    <row r="31" spans="1:9" x14ac:dyDescent="0.35">
      <c r="A31" s="17" t="s">
        <v>709</v>
      </c>
      <c r="B31" s="17" t="s">
        <v>710</v>
      </c>
      <c r="C31" s="19" t="s">
        <v>190</v>
      </c>
      <c r="D31" s="18" t="s">
        <v>139</v>
      </c>
      <c r="E31" s="19" t="s">
        <v>737</v>
      </c>
      <c r="F31" s="17" t="s">
        <v>738</v>
      </c>
      <c r="G31" s="21" t="s">
        <v>739</v>
      </c>
      <c r="H31" s="19">
        <v>1</v>
      </c>
      <c r="I31" s="21" t="s">
        <v>21</v>
      </c>
    </row>
    <row r="32" spans="1:9" x14ac:dyDescent="0.35">
      <c r="A32" s="17" t="s">
        <v>217</v>
      </c>
      <c r="B32" s="17"/>
      <c r="C32" s="19" t="s">
        <v>190</v>
      </c>
      <c r="D32" s="18" t="s">
        <v>79</v>
      </c>
      <c r="E32" s="19" t="s">
        <v>726</v>
      </c>
      <c r="F32" s="17" t="s">
        <v>727</v>
      </c>
      <c r="G32" s="21" t="s">
        <v>728</v>
      </c>
      <c r="H32" s="19"/>
      <c r="I32" s="21" t="s">
        <v>5</v>
      </c>
    </row>
    <row r="33" spans="1:9" x14ac:dyDescent="0.35">
      <c r="A33" s="17" t="s">
        <v>228</v>
      </c>
      <c r="B33" s="17"/>
      <c r="C33" s="19" t="s">
        <v>227</v>
      </c>
      <c r="D33" s="18" t="s">
        <v>32</v>
      </c>
      <c r="E33" s="19" t="s">
        <v>726</v>
      </c>
      <c r="F33" s="17" t="s">
        <v>727</v>
      </c>
      <c r="G33" s="21" t="s">
        <v>728</v>
      </c>
      <c r="H33" s="19"/>
      <c r="I33" s="21" t="s">
        <v>5</v>
      </c>
    </row>
    <row r="34" spans="1:9" x14ac:dyDescent="0.35">
      <c r="A34" s="17" t="s">
        <v>634</v>
      </c>
      <c r="B34" s="17" t="s">
        <v>635</v>
      </c>
      <c r="C34" s="19" t="s">
        <v>227</v>
      </c>
      <c r="D34" s="18" t="s">
        <v>57</v>
      </c>
      <c r="E34" s="19" t="s">
        <v>729</v>
      </c>
      <c r="F34" s="17" t="s">
        <v>730</v>
      </c>
      <c r="G34" s="21" t="s">
        <v>731</v>
      </c>
      <c r="H34" s="19"/>
      <c r="I34" s="21" t="s">
        <v>17</v>
      </c>
    </row>
    <row r="35" spans="1:9" x14ac:dyDescent="0.35">
      <c r="A35" s="17" t="s">
        <v>525</v>
      </c>
      <c r="B35" s="17" t="s">
        <v>526</v>
      </c>
      <c r="C35" s="19" t="s">
        <v>96</v>
      </c>
      <c r="D35" s="18" t="s">
        <v>85</v>
      </c>
      <c r="E35" s="19" t="s">
        <v>729</v>
      </c>
      <c r="F35" s="17" t="s">
        <v>730</v>
      </c>
      <c r="G35" s="21" t="s">
        <v>731</v>
      </c>
      <c r="H35" s="19"/>
      <c r="I35" s="21" t="s">
        <v>17</v>
      </c>
    </row>
    <row r="36" spans="1:9" x14ac:dyDescent="0.35">
      <c r="A36" s="17" t="s">
        <v>44</v>
      </c>
      <c r="B36" s="17"/>
      <c r="C36" s="19" t="s">
        <v>23</v>
      </c>
      <c r="D36" s="18" t="s">
        <v>45</v>
      </c>
      <c r="E36" s="19" t="s">
        <v>726</v>
      </c>
      <c r="F36" s="17" t="s">
        <v>727</v>
      </c>
      <c r="G36" s="21" t="s">
        <v>728</v>
      </c>
      <c r="H36" s="19"/>
      <c r="I36" s="21" t="s">
        <v>5</v>
      </c>
    </row>
    <row r="37" spans="1:9" x14ac:dyDescent="0.35">
      <c r="A37" s="17" t="s">
        <v>76</v>
      </c>
      <c r="B37" s="17"/>
      <c r="C37" s="19" t="s">
        <v>23</v>
      </c>
      <c r="D37" s="18" t="s">
        <v>77</v>
      </c>
      <c r="E37" s="19" t="s">
        <v>726</v>
      </c>
      <c r="F37" s="17" t="s">
        <v>727</v>
      </c>
      <c r="G37" s="21" t="s">
        <v>728</v>
      </c>
      <c r="H37" s="19"/>
      <c r="I37" s="21" t="s">
        <v>5</v>
      </c>
    </row>
    <row r="38" spans="1:9" x14ac:dyDescent="0.35">
      <c r="A38" s="17" t="s">
        <v>82</v>
      </c>
      <c r="B38" s="17"/>
      <c r="C38" s="19" t="s">
        <v>23</v>
      </c>
      <c r="D38" s="18" t="s">
        <v>83</v>
      </c>
      <c r="E38" s="19" t="s">
        <v>726</v>
      </c>
      <c r="F38" s="17" t="s">
        <v>727</v>
      </c>
      <c r="G38" s="21" t="s">
        <v>728</v>
      </c>
      <c r="H38" s="19"/>
      <c r="I38" s="21" t="s">
        <v>5</v>
      </c>
    </row>
    <row r="39" spans="1:9" x14ac:dyDescent="0.35">
      <c r="A39" s="17" t="s">
        <v>486</v>
      </c>
      <c r="B39" s="17" t="s">
        <v>487</v>
      </c>
      <c r="C39" s="19" t="s">
        <v>23</v>
      </c>
      <c r="D39" s="18" t="s">
        <v>212</v>
      </c>
      <c r="E39" s="19" t="s">
        <v>729</v>
      </c>
      <c r="F39" s="17" t="s">
        <v>730</v>
      </c>
      <c r="G39" s="21" t="s">
        <v>731</v>
      </c>
      <c r="H39" s="19"/>
      <c r="I39" s="21" t="s">
        <v>17</v>
      </c>
    </row>
    <row r="40" spans="1:9" x14ac:dyDescent="0.35">
      <c r="A40" s="17" t="s">
        <v>54</v>
      </c>
      <c r="B40" s="17"/>
      <c r="C40" s="19" t="s">
        <v>23</v>
      </c>
      <c r="D40" s="18" t="s">
        <v>55</v>
      </c>
      <c r="E40" s="19" t="s">
        <v>726</v>
      </c>
      <c r="F40" s="17" t="s">
        <v>727</v>
      </c>
      <c r="G40" s="21" t="s">
        <v>728</v>
      </c>
      <c r="H40" s="19"/>
      <c r="I40" s="21" t="s">
        <v>5</v>
      </c>
    </row>
    <row r="41" spans="1:9" x14ac:dyDescent="0.35">
      <c r="A41" s="17" t="s">
        <v>578</v>
      </c>
      <c r="B41" s="17" t="s">
        <v>579</v>
      </c>
      <c r="C41" s="19" t="s">
        <v>145</v>
      </c>
      <c r="D41" s="18" t="s">
        <v>141</v>
      </c>
      <c r="E41" s="19" t="s">
        <v>729</v>
      </c>
      <c r="F41" s="17" t="s">
        <v>730</v>
      </c>
      <c r="G41" s="21" t="s">
        <v>731</v>
      </c>
      <c r="H41" s="19"/>
      <c r="I41" s="21" t="s">
        <v>17</v>
      </c>
    </row>
    <row r="42" spans="1:9" x14ac:dyDescent="0.35">
      <c r="A42" s="17" t="s">
        <v>467</v>
      </c>
      <c r="B42" s="17" t="s">
        <v>468</v>
      </c>
      <c r="C42" s="19" t="s">
        <v>23</v>
      </c>
      <c r="D42" s="18" t="s">
        <v>109</v>
      </c>
      <c r="E42" s="19" t="s">
        <v>729</v>
      </c>
      <c r="F42" s="17" t="s">
        <v>730</v>
      </c>
      <c r="G42" s="21" t="s">
        <v>731</v>
      </c>
      <c r="H42" s="19"/>
      <c r="I42" s="21" t="s">
        <v>17</v>
      </c>
    </row>
    <row r="43" spans="1:9" x14ac:dyDescent="0.35">
      <c r="A43" s="17" t="s">
        <v>203</v>
      </c>
      <c r="B43" s="17"/>
      <c r="C43" s="19" t="s">
        <v>190</v>
      </c>
      <c r="D43" s="18" t="s">
        <v>61</v>
      </c>
      <c r="E43" s="19" t="s">
        <v>726</v>
      </c>
      <c r="F43" s="17" t="s">
        <v>727</v>
      </c>
      <c r="G43" s="21" t="s">
        <v>728</v>
      </c>
      <c r="H43" s="19"/>
      <c r="I43" s="21" t="s">
        <v>5</v>
      </c>
    </row>
    <row r="44" spans="1:9" x14ac:dyDescent="0.35">
      <c r="A44" s="17" t="s">
        <v>254</v>
      </c>
      <c r="B44" s="17"/>
      <c r="C44" s="19" t="s">
        <v>227</v>
      </c>
      <c r="D44" s="18" t="s">
        <v>179</v>
      </c>
      <c r="E44" s="19" t="s">
        <v>726</v>
      </c>
      <c r="F44" s="17" t="s">
        <v>727</v>
      </c>
      <c r="G44" s="21" t="s">
        <v>728</v>
      </c>
      <c r="H44" s="19"/>
      <c r="I44" s="21" t="s">
        <v>5</v>
      </c>
    </row>
    <row r="45" spans="1:9" x14ac:dyDescent="0.35">
      <c r="A45" s="17" t="s">
        <v>497</v>
      </c>
      <c r="B45" s="17" t="s">
        <v>498</v>
      </c>
      <c r="C45" s="19" t="s">
        <v>23</v>
      </c>
      <c r="D45" s="18" t="s">
        <v>143</v>
      </c>
      <c r="E45" s="19" t="s">
        <v>729</v>
      </c>
      <c r="F45" s="17" t="s">
        <v>730</v>
      </c>
      <c r="G45" s="21" t="s">
        <v>731</v>
      </c>
      <c r="H45" s="19"/>
      <c r="I45" s="21" t="s">
        <v>17</v>
      </c>
    </row>
    <row r="46" spans="1:9" x14ac:dyDescent="0.35">
      <c r="A46" s="17" t="s">
        <v>515</v>
      </c>
      <c r="B46" s="17" t="s">
        <v>516</v>
      </c>
      <c r="C46" s="19" t="s">
        <v>96</v>
      </c>
      <c r="D46" s="18" t="s">
        <v>65</v>
      </c>
      <c r="E46" s="19" t="s">
        <v>729</v>
      </c>
      <c r="F46" s="17" t="s">
        <v>730</v>
      </c>
      <c r="G46" s="21" t="s">
        <v>731</v>
      </c>
      <c r="H46" s="19"/>
      <c r="I46" s="21" t="s">
        <v>17</v>
      </c>
    </row>
    <row r="47" spans="1:9" x14ac:dyDescent="0.35">
      <c r="A47" s="17" t="s">
        <v>182</v>
      </c>
      <c r="B47" s="17"/>
      <c r="C47" s="19" t="s">
        <v>145</v>
      </c>
      <c r="D47" s="18" t="s">
        <v>183</v>
      </c>
      <c r="E47" s="19" t="s">
        <v>726</v>
      </c>
      <c r="F47" s="17" t="s">
        <v>727</v>
      </c>
      <c r="G47" s="21" t="s">
        <v>728</v>
      </c>
      <c r="H47" s="19"/>
      <c r="I47" s="21" t="s">
        <v>5</v>
      </c>
    </row>
    <row r="48" spans="1:9" x14ac:dyDescent="0.35">
      <c r="A48" s="17" t="s">
        <v>122</v>
      </c>
      <c r="B48" s="17"/>
      <c r="C48" s="19" t="s">
        <v>96</v>
      </c>
      <c r="D48" s="18" t="s">
        <v>123</v>
      </c>
      <c r="E48" s="19" t="s">
        <v>726</v>
      </c>
      <c r="F48" s="17" t="s">
        <v>727</v>
      </c>
      <c r="G48" s="21" t="s">
        <v>728</v>
      </c>
      <c r="H48" s="19"/>
      <c r="I48" s="21" t="s">
        <v>5</v>
      </c>
    </row>
    <row r="49" spans="1:9" x14ac:dyDescent="0.35">
      <c r="A49" s="17" t="s">
        <v>613</v>
      </c>
      <c r="B49" s="17" t="s">
        <v>614</v>
      </c>
      <c r="C49" s="19" t="s">
        <v>190</v>
      </c>
      <c r="D49" s="18" t="s">
        <v>87</v>
      </c>
      <c r="E49" s="19" t="s">
        <v>729</v>
      </c>
      <c r="F49" s="17" t="s">
        <v>730</v>
      </c>
      <c r="G49" s="21" t="s">
        <v>731</v>
      </c>
      <c r="H49" s="19"/>
      <c r="I49" s="21" t="s">
        <v>17</v>
      </c>
    </row>
    <row r="50" spans="1:9" x14ac:dyDescent="0.35">
      <c r="A50" s="17" t="s">
        <v>46</v>
      </c>
      <c r="B50" s="17"/>
      <c r="C50" s="19" t="s">
        <v>23</v>
      </c>
      <c r="D50" s="18" t="s">
        <v>47</v>
      </c>
      <c r="E50" s="19" t="s">
        <v>726</v>
      </c>
      <c r="F50" s="17" t="s">
        <v>727</v>
      </c>
      <c r="G50" s="21" t="s">
        <v>728</v>
      </c>
      <c r="H50" s="19"/>
      <c r="I50" s="21" t="s">
        <v>5</v>
      </c>
    </row>
    <row r="51" spans="1:9" x14ac:dyDescent="0.35">
      <c r="A51" s="17" t="s">
        <v>599</v>
      </c>
      <c r="B51" s="17" t="s">
        <v>600</v>
      </c>
      <c r="C51" s="19" t="s">
        <v>190</v>
      </c>
      <c r="D51" s="18" t="s">
        <v>111</v>
      </c>
      <c r="E51" s="19" t="s">
        <v>729</v>
      </c>
      <c r="F51" s="17" t="s">
        <v>730</v>
      </c>
      <c r="G51" s="21" t="s">
        <v>731</v>
      </c>
      <c r="H51" s="19"/>
      <c r="I51" s="21" t="s">
        <v>17</v>
      </c>
    </row>
    <row r="52" spans="1:9" x14ac:dyDescent="0.35">
      <c r="A52" s="17" t="s">
        <v>56</v>
      </c>
      <c r="B52" s="17"/>
      <c r="C52" s="19" t="s">
        <v>23</v>
      </c>
      <c r="D52" s="18" t="s">
        <v>57</v>
      </c>
      <c r="E52" s="19" t="s">
        <v>726</v>
      </c>
      <c r="F52" s="17" t="s">
        <v>727</v>
      </c>
      <c r="G52" s="21" t="s">
        <v>728</v>
      </c>
      <c r="H52" s="19"/>
      <c r="I52" s="21" t="s">
        <v>5</v>
      </c>
    </row>
    <row r="53" spans="1:9" x14ac:dyDescent="0.35">
      <c r="A53" s="17" t="s">
        <v>499</v>
      </c>
      <c r="B53" s="17" t="s">
        <v>500</v>
      </c>
      <c r="C53" s="19" t="s">
        <v>23</v>
      </c>
      <c r="D53" s="18" t="s">
        <v>259</v>
      </c>
      <c r="E53" s="19" t="s">
        <v>729</v>
      </c>
      <c r="F53" s="17" t="s">
        <v>730</v>
      </c>
      <c r="G53" s="21" t="s">
        <v>731</v>
      </c>
      <c r="H53" s="19"/>
      <c r="I53" s="21" t="s">
        <v>17</v>
      </c>
    </row>
    <row r="54" spans="1:9" x14ac:dyDescent="0.35">
      <c r="A54" s="17" t="s">
        <v>48</v>
      </c>
      <c r="B54" s="17"/>
      <c r="C54" s="19" t="s">
        <v>23</v>
      </c>
      <c r="D54" s="18" t="s">
        <v>49</v>
      </c>
      <c r="E54" s="19" t="s">
        <v>726</v>
      </c>
      <c r="F54" s="17" t="s">
        <v>727</v>
      </c>
      <c r="G54" s="21" t="s">
        <v>728</v>
      </c>
      <c r="H54" s="19"/>
      <c r="I54" s="21" t="s">
        <v>5</v>
      </c>
    </row>
    <row r="55" spans="1:9" x14ac:dyDescent="0.35">
      <c r="A55" s="17" t="s">
        <v>601</v>
      </c>
      <c r="B55" s="17" t="s">
        <v>602</v>
      </c>
      <c r="C55" s="19" t="s">
        <v>190</v>
      </c>
      <c r="D55" s="18" t="s">
        <v>162</v>
      </c>
      <c r="E55" s="19" t="s">
        <v>729</v>
      </c>
      <c r="F55" s="17" t="s">
        <v>730</v>
      </c>
      <c r="G55" s="21" t="s">
        <v>731</v>
      </c>
      <c r="H55" s="19"/>
      <c r="I55" s="21" t="s">
        <v>17</v>
      </c>
    </row>
    <row r="56" spans="1:9" x14ac:dyDescent="0.35">
      <c r="A56" s="17" t="s">
        <v>580</v>
      </c>
      <c r="B56" s="17" t="s">
        <v>581</v>
      </c>
      <c r="C56" s="19" t="s">
        <v>145</v>
      </c>
      <c r="D56" s="18" t="s">
        <v>143</v>
      </c>
      <c r="E56" s="19" t="s">
        <v>729</v>
      </c>
      <c r="F56" s="17" t="s">
        <v>730</v>
      </c>
      <c r="G56" s="21" t="s">
        <v>731</v>
      </c>
      <c r="H56" s="19"/>
      <c r="I56" s="21" t="s">
        <v>17</v>
      </c>
    </row>
    <row r="57" spans="1:9" x14ac:dyDescent="0.35">
      <c r="A57" s="17" t="s">
        <v>647</v>
      </c>
      <c r="B57" s="17" t="s">
        <v>648</v>
      </c>
      <c r="C57" s="19" t="s">
        <v>227</v>
      </c>
      <c r="D57" s="18" t="s">
        <v>246</v>
      </c>
      <c r="E57" s="19" t="s">
        <v>729</v>
      </c>
      <c r="F57" s="17" t="s">
        <v>730</v>
      </c>
      <c r="G57" s="21" t="s">
        <v>731</v>
      </c>
      <c r="H57" s="19"/>
      <c r="I57" s="21" t="s">
        <v>17</v>
      </c>
    </row>
    <row r="58" spans="1:9" x14ac:dyDescent="0.35">
      <c r="A58" s="17" t="s">
        <v>718</v>
      </c>
      <c r="B58" s="17" t="s">
        <v>719</v>
      </c>
      <c r="C58" s="19" t="s">
        <v>432</v>
      </c>
      <c r="D58" s="18" t="s">
        <v>212</v>
      </c>
      <c r="E58" s="19" t="s">
        <v>737</v>
      </c>
      <c r="F58" s="17" t="s">
        <v>738</v>
      </c>
      <c r="G58" s="21" t="s">
        <v>739</v>
      </c>
      <c r="H58" s="19">
        <v>6</v>
      </c>
      <c r="I58" s="21" t="s">
        <v>21</v>
      </c>
    </row>
    <row r="59" spans="1:9" x14ac:dyDescent="0.35">
      <c r="A59" s="17" t="s">
        <v>293</v>
      </c>
      <c r="B59" s="17"/>
      <c r="C59" s="19" t="s">
        <v>23</v>
      </c>
      <c r="D59" s="18" t="s">
        <v>166</v>
      </c>
      <c r="E59" s="19" t="s">
        <v>740</v>
      </c>
      <c r="F59" s="17" t="s">
        <v>741</v>
      </c>
      <c r="G59" s="21" t="s">
        <v>742</v>
      </c>
      <c r="H59" s="19">
        <v>7</v>
      </c>
      <c r="I59" s="21" t="s">
        <v>7</v>
      </c>
    </row>
    <row r="60" spans="1:9" x14ac:dyDescent="0.35">
      <c r="A60" s="17" t="s">
        <v>293</v>
      </c>
      <c r="B60" s="17"/>
      <c r="C60" s="19" t="s">
        <v>96</v>
      </c>
      <c r="D60" s="18" t="s">
        <v>61</v>
      </c>
      <c r="E60" s="19" t="s">
        <v>740</v>
      </c>
      <c r="F60" s="17" t="s">
        <v>741</v>
      </c>
      <c r="G60" s="21" t="s">
        <v>742</v>
      </c>
      <c r="H60" s="19">
        <v>7</v>
      </c>
      <c r="I60" s="21" t="s">
        <v>7</v>
      </c>
    </row>
    <row r="61" spans="1:9" x14ac:dyDescent="0.35">
      <c r="A61" s="17" t="s">
        <v>293</v>
      </c>
      <c r="B61" s="17"/>
      <c r="C61" s="19" t="s">
        <v>145</v>
      </c>
      <c r="D61" s="18" t="s">
        <v>116</v>
      </c>
      <c r="E61" s="19" t="s">
        <v>740</v>
      </c>
      <c r="F61" s="17" t="s">
        <v>741</v>
      </c>
      <c r="G61" s="21" t="s">
        <v>742</v>
      </c>
      <c r="H61" s="19">
        <v>7</v>
      </c>
      <c r="I61" s="21" t="s">
        <v>7</v>
      </c>
    </row>
    <row r="62" spans="1:9" x14ac:dyDescent="0.35">
      <c r="A62" s="17" t="s">
        <v>293</v>
      </c>
      <c r="B62" s="17"/>
      <c r="C62" s="19" t="s">
        <v>227</v>
      </c>
      <c r="D62" s="18" t="s">
        <v>67</v>
      </c>
      <c r="E62" s="19" t="s">
        <v>740</v>
      </c>
      <c r="F62" s="17" t="s">
        <v>741</v>
      </c>
      <c r="G62" s="21" t="s">
        <v>742</v>
      </c>
      <c r="H62" s="19">
        <v>7</v>
      </c>
      <c r="I62" s="21" t="s">
        <v>7</v>
      </c>
    </row>
    <row r="63" spans="1:9" x14ac:dyDescent="0.35">
      <c r="A63" s="17" t="s">
        <v>293</v>
      </c>
      <c r="B63" s="17"/>
      <c r="C63" s="19" t="s">
        <v>308</v>
      </c>
      <c r="D63" s="18" t="s">
        <v>61</v>
      </c>
      <c r="E63" s="19" t="s">
        <v>740</v>
      </c>
      <c r="F63" s="17" t="s">
        <v>741</v>
      </c>
      <c r="G63" s="21" t="s">
        <v>742</v>
      </c>
      <c r="H63" s="19">
        <v>8</v>
      </c>
      <c r="I63" s="21" t="s">
        <v>7</v>
      </c>
    </row>
    <row r="64" spans="1:9" x14ac:dyDescent="0.35">
      <c r="A64" s="17" t="s">
        <v>667</v>
      </c>
      <c r="B64" s="17"/>
      <c r="C64" s="19" t="s">
        <v>190</v>
      </c>
      <c r="D64" s="18" t="s">
        <v>144</v>
      </c>
      <c r="E64" s="19" t="s">
        <v>740</v>
      </c>
      <c r="F64" s="17" t="s">
        <v>743</v>
      </c>
      <c r="G64" s="21" t="s">
        <v>744</v>
      </c>
      <c r="H64" s="19">
        <v>9</v>
      </c>
      <c r="I64" s="21" t="s">
        <v>19</v>
      </c>
    </row>
    <row r="65" spans="1:9" x14ac:dyDescent="0.35">
      <c r="A65" s="17" t="s">
        <v>667</v>
      </c>
      <c r="B65" s="17"/>
      <c r="C65" s="19" t="s">
        <v>432</v>
      </c>
      <c r="D65" s="18" t="s">
        <v>144</v>
      </c>
      <c r="E65" s="19" t="s">
        <v>740</v>
      </c>
      <c r="F65" s="17" t="s">
        <v>743</v>
      </c>
      <c r="G65" s="21" t="s">
        <v>744</v>
      </c>
      <c r="H65" s="19">
        <v>8</v>
      </c>
      <c r="I65" s="21" t="s">
        <v>19</v>
      </c>
    </row>
    <row r="66" spans="1:9" x14ac:dyDescent="0.35">
      <c r="A66" s="17" t="s">
        <v>667</v>
      </c>
      <c r="B66" s="17" t="s">
        <v>668</v>
      </c>
      <c r="C66" s="19" t="s">
        <v>23</v>
      </c>
      <c r="D66" s="18" t="s">
        <v>298</v>
      </c>
      <c r="E66" s="19" t="s">
        <v>740</v>
      </c>
      <c r="F66" s="17" t="s">
        <v>743</v>
      </c>
      <c r="G66" s="21" t="s">
        <v>744</v>
      </c>
      <c r="H66" s="19">
        <v>1</v>
      </c>
      <c r="I66" s="21" t="s">
        <v>19</v>
      </c>
    </row>
    <row r="67" spans="1:9" x14ac:dyDescent="0.35">
      <c r="A67" s="17" t="s">
        <v>137</v>
      </c>
      <c r="B67" s="17"/>
      <c r="C67" s="19" t="s">
        <v>96</v>
      </c>
      <c r="D67" s="18" t="s">
        <v>87</v>
      </c>
      <c r="E67" s="19" t="s">
        <v>726</v>
      </c>
      <c r="F67" s="17" t="s">
        <v>727</v>
      </c>
      <c r="G67" s="21" t="s">
        <v>728</v>
      </c>
      <c r="H67" s="19"/>
      <c r="I67" s="21" t="s">
        <v>5</v>
      </c>
    </row>
    <row r="68" spans="1:9" x14ac:dyDescent="0.35">
      <c r="A68" s="17" t="s">
        <v>137</v>
      </c>
      <c r="B68" s="17"/>
      <c r="C68" s="19" t="s">
        <v>190</v>
      </c>
      <c r="D68" s="18" t="s">
        <v>220</v>
      </c>
      <c r="E68" s="19" t="s">
        <v>726</v>
      </c>
      <c r="F68" s="17" t="s">
        <v>727</v>
      </c>
      <c r="G68" s="21" t="s">
        <v>728</v>
      </c>
      <c r="H68" s="19"/>
      <c r="I68" s="21" t="s">
        <v>5</v>
      </c>
    </row>
    <row r="69" spans="1:9" x14ac:dyDescent="0.35">
      <c r="A69" s="17" t="s">
        <v>137</v>
      </c>
      <c r="B69" s="17"/>
      <c r="C69" s="19" t="s">
        <v>227</v>
      </c>
      <c r="D69" s="18" t="s">
        <v>36</v>
      </c>
      <c r="E69" s="19" t="s">
        <v>726</v>
      </c>
      <c r="F69" s="17" t="s">
        <v>727</v>
      </c>
      <c r="G69" s="21" t="s">
        <v>728</v>
      </c>
      <c r="H69" s="19"/>
      <c r="I69" s="21" t="s">
        <v>5</v>
      </c>
    </row>
    <row r="70" spans="1:9" x14ac:dyDescent="0.35">
      <c r="A70" s="17" t="s">
        <v>92</v>
      </c>
      <c r="B70" s="17"/>
      <c r="C70" s="19" t="s">
        <v>23</v>
      </c>
      <c r="D70" s="18" t="s">
        <v>93</v>
      </c>
      <c r="E70" s="19" t="s">
        <v>726</v>
      </c>
      <c r="F70" s="17" t="s">
        <v>727</v>
      </c>
      <c r="G70" s="21" t="s">
        <v>728</v>
      </c>
      <c r="H70" s="19"/>
      <c r="I70" s="21" t="s">
        <v>5</v>
      </c>
    </row>
    <row r="71" spans="1:9" x14ac:dyDescent="0.35">
      <c r="A71" s="17" t="s">
        <v>92</v>
      </c>
      <c r="B71" s="17"/>
      <c r="C71" s="19" t="s">
        <v>190</v>
      </c>
      <c r="D71" s="18" t="s">
        <v>166</v>
      </c>
      <c r="E71" s="19" t="s">
        <v>729</v>
      </c>
      <c r="F71" s="17" t="s">
        <v>730</v>
      </c>
      <c r="G71" s="21" t="s">
        <v>731</v>
      </c>
      <c r="H71" s="19"/>
      <c r="I71" s="21" t="s">
        <v>17</v>
      </c>
    </row>
    <row r="72" spans="1:9" x14ac:dyDescent="0.35">
      <c r="A72" s="17" t="s">
        <v>92</v>
      </c>
      <c r="B72" s="17"/>
      <c r="C72" s="19" t="s">
        <v>227</v>
      </c>
      <c r="D72" s="18" t="s">
        <v>143</v>
      </c>
      <c r="E72" s="19" t="s">
        <v>726</v>
      </c>
      <c r="F72" s="17" t="s">
        <v>727</v>
      </c>
      <c r="G72" s="21" t="s">
        <v>728</v>
      </c>
      <c r="H72" s="19"/>
      <c r="I72" s="21" t="s">
        <v>5</v>
      </c>
    </row>
    <row r="73" spans="1:9" x14ac:dyDescent="0.35">
      <c r="A73" s="17" t="s">
        <v>435</v>
      </c>
      <c r="B73" s="17" t="s">
        <v>436</v>
      </c>
      <c r="C73" s="19" t="s">
        <v>23</v>
      </c>
      <c r="D73" s="18" t="s">
        <v>273</v>
      </c>
      <c r="E73" s="19" t="s">
        <v>732</v>
      </c>
      <c r="F73" s="17" t="s">
        <v>733</v>
      </c>
      <c r="G73" s="21" t="s">
        <v>734</v>
      </c>
      <c r="H73" s="19">
        <v>1</v>
      </c>
      <c r="I73" s="21" t="s">
        <v>15</v>
      </c>
    </row>
    <row r="74" spans="1:9" x14ac:dyDescent="0.35">
      <c r="A74" s="17" t="s">
        <v>435</v>
      </c>
      <c r="B74" s="17" t="s">
        <v>436</v>
      </c>
      <c r="C74" s="19" t="s">
        <v>96</v>
      </c>
      <c r="D74" s="18" t="s">
        <v>166</v>
      </c>
      <c r="E74" s="19" t="s">
        <v>732</v>
      </c>
      <c r="F74" s="17" t="s">
        <v>733</v>
      </c>
      <c r="G74" s="21" t="s">
        <v>734</v>
      </c>
      <c r="H74" s="19">
        <v>1</v>
      </c>
      <c r="I74" s="21" t="s">
        <v>15</v>
      </c>
    </row>
    <row r="75" spans="1:9" x14ac:dyDescent="0.35">
      <c r="A75" s="17" t="s">
        <v>219</v>
      </c>
      <c r="B75" s="17"/>
      <c r="C75" s="19" t="s">
        <v>190</v>
      </c>
      <c r="D75" s="18" t="s">
        <v>134</v>
      </c>
      <c r="E75" s="19" t="s">
        <v>726</v>
      </c>
      <c r="F75" s="17" t="s">
        <v>727</v>
      </c>
      <c r="G75" s="21" t="s">
        <v>728</v>
      </c>
      <c r="H75" s="19"/>
      <c r="I75" s="21" t="s">
        <v>5</v>
      </c>
    </row>
    <row r="76" spans="1:9" x14ac:dyDescent="0.35">
      <c r="A76" s="17" t="s">
        <v>161</v>
      </c>
      <c r="B76" s="17"/>
      <c r="C76" s="19" t="s">
        <v>145</v>
      </c>
      <c r="D76" s="18" t="s">
        <v>162</v>
      </c>
      <c r="E76" s="19" t="s">
        <v>726</v>
      </c>
      <c r="F76" s="17" t="s">
        <v>727</v>
      </c>
      <c r="G76" s="21" t="s">
        <v>728</v>
      </c>
      <c r="H76" s="19"/>
      <c r="I76" s="21" t="s">
        <v>5</v>
      </c>
    </row>
    <row r="77" spans="1:9" x14ac:dyDescent="0.35">
      <c r="A77" s="17" t="s">
        <v>660</v>
      </c>
      <c r="B77" s="17" t="s">
        <v>661</v>
      </c>
      <c r="C77" s="19" t="s">
        <v>23</v>
      </c>
      <c r="D77" s="18" t="s">
        <v>152</v>
      </c>
      <c r="E77" s="19" t="s">
        <v>740</v>
      </c>
      <c r="F77" s="17" t="s">
        <v>743</v>
      </c>
      <c r="G77" s="21" t="s">
        <v>744</v>
      </c>
      <c r="H77" s="19">
        <v>3</v>
      </c>
      <c r="I77" s="21" t="s">
        <v>19</v>
      </c>
    </row>
    <row r="78" spans="1:9" x14ac:dyDescent="0.35">
      <c r="A78" s="17" t="s">
        <v>660</v>
      </c>
      <c r="B78" s="17" t="s">
        <v>662</v>
      </c>
      <c r="C78" s="19" t="s">
        <v>23</v>
      </c>
      <c r="D78" s="18" t="s">
        <v>41</v>
      </c>
      <c r="E78" s="19" t="s">
        <v>740</v>
      </c>
      <c r="F78" s="17" t="s">
        <v>743</v>
      </c>
      <c r="G78" s="21" t="s">
        <v>744</v>
      </c>
      <c r="H78" s="19">
        <v>1</v>
      </c>
      <c r="I78" s="21" t="s">
        <v>19</v>
      </c>
    </row>
    <row r="79" spans="1:9" x14ac:dyDescent="0.35">
      <c r="A79" s="17" t="s">
        <v>434</v>
      </c>
      <c r="B79" s="17"/>
      <c r="C79" s="19" t="s">
        <v>23</v>
      </c>
      <c r="D79" s="18" t="s">
        <v>194</v>
      </c>
      <c r="E79" s="19" t="s">
        <v>732</v>
      </c>
      <c r="F79" s="17" t="s">
        <v>733</v>
      </c>
      <c r="G79" s="21" t="s">
        <v>734</v>
      </c>
      <c r="H79" s="19">
        <v>3</v>
      </c>
      <c r="I79" s="21" t="s">
        <v>15</v>
      </c>
    </row>
    <row r="80" spans="1:9" x14ac:dyDescent="0.35">
      <c r="A80" s="17" t="s">
        <v>434</v>
      </c>
      <c r="B80" s="17"/>
      <c r="C80" s="19" t="s">
        <v>96</v>
      </c>
      <c r="D80" s="18" t="s">
        <v>196</v>
      </c>
      <c r="E80" s="19" t="s">
        <v>732</v>
      </c>
      <c r="F80" s="17" t="s">
        <v>733</v>
      </c>
      <c r="G80" s="21" t="s">
        <v>734</v>
      </c>
      <c r="H80" s="19">
        <v>3</v>
      </c>
      <c r="I80" s="21" t="s">
        <v>15</v>
      </c>
    </row>
    <row r="81" spans="1:9" x14ac:dyDescent="0.35">
      <c r="A81" s="17" t="s">
        <v>596</v>
      </c>
      <c r="B81" s="17" t="s">
        <v>597</v>
      </c>
      <c r="C81" s="19" t="s">
        <v>190</v>
      </c>
      <c r="D81" s="18" t="s">
        <v>346</v>
      </c>
      <c r="E81" s="19" t="s">
        <v>729</v>
      </c>
      <c r="F81" s="17" t="s">
        <v>730</v>
      </c>
      <c r="G81" s="21" t="s">
        <v>731</v>
      </c>
      <c r="H81" s="19"/>
      <c r="I81" s="21" t="s">
        <v>17</v>
      </c>
    </row>
    <row r="82" spans="1:9" x14ac:dyDescent="0.35">
      <c r="A82" s="17" t="s">
        <v>357</v>
      </c>
      <c r="B82" s="17"/>
      <c r="C82" s="19" t="s">
        <v>23</v>
      </c>
      <c r="D82" s="18" t="s">
        <v>91</v>
      </c>
      <c r="E82" s="19" t="s">
        <v>737</v>
      </c>
      <c r="F82" s="17" t="s">
        <v>738</v>
      </c>
      <c r="G82" s="21" t="s">
        <v>739</v>
      </c>
      <c r="H82" s="19">
        <v>4</v>
      </c>
      <c r="I82" s="21" t="s">
        <v>21</v>
      </c>
    </row>
    <row r="83" spans="1:9" x14ac:dyDescent="0.35">
      <c r="A83" s="17" t="s">
        <v>357</v>
      </c>
      <c r="B83" s="17"/>
      <c r="C83" s="19" t="s">
        <v>23</v>
      </c>
      <c r="D83" s="18" t="s">
        <v>759</v>
      </c>
      <c r="E83" s="19" t="s">
        <v>745</v>
      </c>
      <c r="F83" s="17" t="s">
        <v>746</v>
      </c>
      <c r="G83" s="21" t="s">
        <v>747</v>
      </c>
      <c r="H83" s="19"/>
      <c r="I83" s="21" t="s">
        <v>11</v>
      </c>
    </row>
    <row r="84" spans="1:9" x14ac:dyDescent="0.35">
      <c r="A84" s="17" t="s">
        <v>357</v>
      </c>
      <c r="B84" s="17"/>
      <c r="C84" s="19" t="s">
        <v>96</v>
      </c>
      <c r="D84" s="18" t="s">
        <v>141</v>
      </c>
      <c r="E84" s="19" t="s">
        <v>737</v>
      </c>
      <c r="F84" s="17" t="s">
        <v>738</v>
      </c>
      <c r="G84" s="21" t="s">
        <v>739</v>
      </c>
      <c r="H84" s="19">
        <v>4</v>
      </c>
      <c r="I84" s="21" t="s">
        <v>21</v>
      </c>
    </row>
    <row r="85" spans="1:9" x14ac:dyDescent="0.35">
      <c r="A85" s="17" t="s">
        <v>357</v>
      </c>
      <c r="B85" s="17"/>
      <c r="C85" s="19" t="s">
        <v>145</v>
      </c>
      <c r="D85" s="18" t="s">
        <v>143</v>
      </c>
      <c r="E85" s="19" t="s">
        <v>737</v>
      </c>
      <c r="F85" s="17" t="s">
        <v>735</v>
      </c>
      <c r="G85" s="21" t="s">
        <v>736</v>
      </c>
      <c r="H85" s="19">
        <v>4</v>
      </c>
      <c r="I85" s="21" t="s">
        <v>9</v>
      </c>
    </row>
    <row r="86" spans="1:9" x14ac:dyDescent="0.35">
      <c r="A86" s="17" t="s">
        <v>357</v>
      </c>
      <c r="B86" s="17"/>
      <c r="C86" s="19" t="s">
        <v>190</v>
      </c>
      <c r="D86" s="18" t="s">
        <v>91</v>
      </c>
      <c r="E86" s="19" t="s">
        <v>737</v>
      </c>
      <c r="F86" s="17" t="s">
        <v>738</v>
      </c>
      <c r="G86" s="21" t="s">
        <v>739</v>
      </c>
      <c r="H86" s="19">
        <v>4</v>
      </c>
      <c r="I86" s="21" t="s">
        <v>21</v>
      </c>
    </row>
    <row r="87" spans="1:9" x14ac:dyDescent="0.35">
      <c r="A87" s="17" t="s">
        <v>357</v>
      </c>
      <c r="B87" s="17"/>
      <c r="C87" s="19" t="s">
        <v>227</v>
      </c>
      <c r="D87" s="18" t="s">
        <v>91</v>
      </c>
      <c r="E87" s="19" t="s">
        <v>737</v>
      </c>
      <c r="F87" s="17" t="s">
        <v>738</v>
      </c>
      <c r="G87" s="21" t="s">
        <v>739</v>
      </c>
      <c r="H87" s="19">
        <v>4</v>
      </c>
      <c r="I87" s="21" t="s">
        <v>21</v>
      </c>
    </row>
    <row r="88" spans="1:9" x14ac:dyDescent="0.35">
      <c r="A88" s="17" t="s">
        <v>357</v>
      </c>
      <c r="B88" s="17"/>
      <c r="C88" s="19" t="s">
        <v>308</v>
      </c>
      <c r="D88" s="18" t="s">
        <v>143</v>
      </c>
      <c r="E88" s="19" t="s">
        <v>737</v>
      </c>
      <c r="F88" s="17" t="s">
        <v>735</v>
      </c>
      <c r="G88" s="21" t="s">
        <v>736</v>
      </c>
      <c r="H88" s="19">
        <v>3</v>
      </c>
      <c r="I88" s="21" t="s">
        <v>9</v>
      </c>
    </row>
    <row r="89" spans="1:9" x14ac:dyDescent="0.35">
      <c r="A89" s="17" t="s">
        <v>357</v>
      </c>
      <c r="B89" s="17"/>
      <c r="C89" s="19" t="s">
        <v>432</v>
      </c>
      <c r="D89" s="18" t="s">
        <v>36</v>
      </c>
      <c r="E89" s="19" t="s">
        <v>737</v>
      </c>
      <c r="F89" s="17" t="s">
        <v>738</v>
      </c>
      <c r="G89" s="21" t="s">
        <v>739</v>
      </c>
      <c r="H89" s="19">
        <v>4</v>
      </c>
      <c r="I89" s="21" t="s">
        <v>21</v>
      </c>
    </row>
    <row r="90" spans="1:9" x14ac:dyDescent="0.35">
      <c r="A90" s="17" t="s">
        <v>356</v>
      </c>
      <c r="B90" s="17"/>
      <c r="C90" s="19" t="s">
        <v>145</v>
      </c>
      <c r="D90" s="18" t="s">
        <v>257</v>
      </c>
      <c r="E90" s="19" t="s">
        <v>737</v>
      </c>
      <c r="F90" s="17" t="s">
        <v>735</v>
      </c>
      <c r="G90" s="21" t="s">
        <v>736</v>
      </c>
      <c r="H90" s="19">
        <v>2</v>
      </c>
      <c r="I90" s="21" t="s">
        <v>9</v>
      </c>
    </row>
    <row r="91" spans="1:9" x14ac:dyDescent="0.35">
      <c r="A91" s="17" t="s">
        <v>356</v>
      </c>
      <c r="B91" s="17"/>
      <c r="C91" s="19" t="s">
        <v>308</v>
      </c>
      <c r="D91" s="18" t="s">
        <v>257</v>
      </c>
      <c r="E91" s="19" t="s">
        <v>737</v>
      </c>
      <c r="F91" s="17" t="s">
        <v>735</v>
      </c>
      <c r="G91" s="21" t="s">
        <v>736</v>
      </c>
      <c r="H91" s="19">
        <v>2</v>
      </c>
      <c r="I91" s="21" t="s">
        <v>9</v>
      </c>
    </row>
    <row r="92" spans="1:9" x14ac:dyDescent="0.35">
      <c r="A92" s="17" t="s">
        <v>37</v>
      </c>
      <c r="B92" s="17"/>
      <c r="C92" s="19" t="s">
        <v>23</v>
      </c>
      <c r="D92" s="18" t="s">
        <v>38</v>
      </c>
      <c r="E92" s="19" t="s">
        <v>726</v>
      </c>
      <c r="F92" s="17" t="s">
        <v>727</v>
      </c>
      <c r="G92" s="21" t="s">
        <v>728</v>
      </c>
      <c r="H92" s="19"/>
      <c r="I92" s="21" t="s">
        <v>5</v>
      </c>
    </row>
    <row r="93" spans="1:9" x14ac:dyDescent="0.35">
      <c r="A93" s="17" t="s">
        <v>37</v>
      </c>
      <c r="B93" s="17"/>
      <c r="C93" s="19" t="s">
        <v>145</v>
      </c>
      <c r="D93" s="18" t="s">
        <v>45</v>
      </c>
      <c r="E93" s="19" t="s">
        <v>726</v>
      </c>
      <c r="F93" s="17" t="s">
        <v>727</v>
      </c>
      <c r="G93" s="21" t="s">
        <v>728</v>
      </c>
      <c r="H93" s="19"/>
      <c r="I93" s="21" t="s">
        <v>5</v>
      </c>
    </row>
    <row r="94" spans="1:9" x14ac:dyDescent="0.35">
      <c r="A94" s="17" t="s">
        <v>37</v>
      </c>
      <c r="B94" s="17"/>
      <c r="C94" s="19" t="s">
        <v>227</v>
      </c>
      <c r="D94" s="18" t="s">
        <v>246</v>
      </c>
      <c r="E94" s="19" t="s">
        <v>726</v>
      </c>
      <c r="F94" s="17" t="s">
        <v>727</v>
      </c>
      <c r="G94" s="21" t="s">
        <v>728</v>
      </c>
      <c r="H94" s="19"/>
      <c r="I94" s="21" t="s">
        <v>5</v>
      </c>
    </row>
    <row r="95" spans="1:9" x14ac:dyDescent="0.35">
      <c r="A95" s="17" t="s">
        <v>37</v>
      </c>
      <c r="B95" s="17" t="s">
        <v>663</v>
      </c>
      <c r="C95" s="19" t="s">
        <v>23</v>
      </c>
      <c r="D95" s="18" t="s">
        <v>196</v>
      </c>
      <c r="E95" s="19" t="s">
        <v>740</v>
      </c>
      <c r="F95" s="17" t="s">
        <v>743</v>
      </c>
      <c r="G95" s="21" t="s">
        <v>744</v>
      </c>
      <c r="H95" s="19">
        <v>1</v>
      </c>
      <c r="I95" s="21" t="s">
        <v>19</v>
      </c>
    </row>
    <row r="96" spans="1:9" x14ac:dyDescent="0.35">
      <c r="A96" s="17" t="s">
        <v>68</v>
      </c>
      <c r="B96" s="17"/>
      <c r="C96" s="19" t="s">
        <v>23</v>
      </c>
      <c r="D96" s="18" t="s">
        <v>69</v>
      </c>
      <c r="E96" s="19" t="s">
        <v>726</v>
      </c>
      <c r="F96" s="17" t="s">
        <v>727</v>
      </c>
      <c r="G96" s="21" t="s">
        <v>728</v>
      </c>
      <c r="H96" s="19"/>
      <c r="I96" s="21" t="s">
        <v>5</v>
      </c>
    </row>
    <row r="97" spans="1:9" x14ac:dyDescent="0.35">
      <c r="A97" s="17" t="s">
        <v>178</v>
      </c>
      <c r="B97" s="17"/>
      <c r="C97" s="19" t="s">
        <v>145</v>
      </c>
      <c r="D97" s="18" t="s">
        <v>179</v>
      </c>
      <c r="E97" s="19" t="s">
        <v>726</v>
      </c>
      <c r="F97" s="17" t="s">
        <v>727</v>
      </c>
      <c r="G97" s="21" t="s">
        <v>728</v>
      </c>
      <c r="H97" s="19"/>
      <c r="I97" s="21" t="s">
        <v>5</v>
      </c>
    </row>
    <row r="98" spans="1:9" x14ac:dyDescent="0.35">
      <c r="A98" s="17" t="s">
        <v>178</v>
      </c>
      <c r="B98" s="17"/>
      <c r="C98" s="19" t="s">
        <v>190</v>
      </c>
      <c r="D98" s="18" t="s">
        <v>194</v>
      </c>
      <c r="E98" s="19" t="s">
        <v>726</v>
      </c>
      <c r="F98" s="17" t="s">
        <v>727</v>
      </c>
      <c r="G98" s="21" t="s">
        <v>728</v>
      </c>
      <c r="H98" s="19"/>
      <c r="I98" s="21" t="s">
        <v>5</v>
      </c>
    </row>
    <row r="99" spans="1:9" x14ac:dyDescent="0.35">
      <c r="A99" s="17" t="s">
        <v>178</v>
      </c>
      <c r="B99" s="17" t="s">
        <v>678</v>
      </c>
      <c r="C99" s="19" t="s">
        <v>23</v>
      </c>
      <c r="D99" s="18" t="s">
        <v>139</v>
      </c>
      <c r="E99" s="19" t="s">
        <v>740</v>
      </c>
      <c r="F99" s="17" t="s">
        <v>743</v>
      </c>
      <c r="G99" s="21" t="s">
        <v>744</v>
      </c>
      <c r="H99" s="19">
        <v>1</v>
      </c>
      <c r="I99" s="21" t="s">
        <v>19</v>
      </c>
    </row>
    <row r="100" spans="1:9" x14ac:dyDescent="0.35">
      <c r="A100" s="17" t="s">
        <v>178</v>
      </c>
      <c r="B100" s="17" t="s">
        <v>336</v>
      </c>
      <c r="C100" s="19" t="s">
        <v>23</v>
      </c>
      <c r="D100" s="18" t="s">
        <v>162</v>
      </c>
      <c r="E100" s="19" t="s">
        <v>732</v>
      </c>
      <c r="F100" s="17" t="s">
        <v>733</v>
      </c>
      <c r="G100" s="21" t="s">
        <v>734</v>
      </c>
      <c r="H100" s="19">
        <v>4</v>
      </c>
      <c r="I100" s="21" t="s">
        <v>15</v>
      </c>
    </row>
    <row r="101" spans="1:9" x14ac:dyDescent="0.35">
      <c r="A101" s="17" t="s">
        <v>178</v>
      </c>
      <c r="B101" s="17" t="s">
        <v>336</v>
      </c>
      <c r="C101" s="19" t="s">
        <v>96</v>
      </c>
      <c r="D101" s="18" t="s">
        <v>85</v>
      </c>
      <c r="E101" s="19" t="s">
        <v>732</v>
      </c>
      <c r="F101" s="17" t="s">
        <v>733</v>
      </c>
      <c r="G101" s="21" t="s">
        <v>734</v>
      </c>
      <c r="H101" s="19">
        <v>4</v>
      </c>
      <c r="I101" s="21" t="s">
        <v>15</v>
      </c>
    </row>
    <row r="102" spans="1:9" x14ac:dyDescent="0.35">
      <c r="A102" s="17" t="s">
        <v>178</v>
      </c>
      <c r="B102" s="17" t="s">
        <v>336</v>
      </c>
      <c r="C102" s="19" t="s">
        <v>145</v>
      </c>
      <c r="D102" s="18" t="s">
        <v>170</v>
      </c>
      <c r="E102" s="19" t="s">
        <v>732</v>
      </c>
      <c r="F102" s="17" t="s">
        <v>733</v>
      </c>
      <c r="G102" s="21" t="s">
        <v>734</v>
      </c>
      <c r="H102" s="19">
        <v>4</v>
      </c>
      <c r="I102" s="21" t="s">
        <v>15</v>
      </c>
    </row>
    <row r="103" spans="1:9" x14ac:dyDescent="0.35">
      <c r="A103" s="17" t="s">
        <v>178</v>
      </c>
      <c r="B103" s="17" t="s">
        <v>336</v>
      </c>
      <c r="C103" s="19" t="s">
        <v>190</v>
      </c>
      <c r="D103" s="18" t="s">
        <v>186</v>
      </c>
      <c r="E103" s="19" t="s">
        <v>732</v>
      </c>
      <c r="F103" s="17" t="s">
        <v>735</v>
      </c>
      <c r="G103" s="21" t="s">
        <v>736</v>
      </c>
      <c r="H103" s="19">
        <v>3</v>
      </c>
      <c r="I103" s="21" t="s">
        <v>9</v>
      </c>
    </row>
    <row r="104" spans="1:9" x14ac:dyDescent="0.35">
      <c r="A104" s="17" t="s">
        <v>178</v>
      </c>
      <c r="B104" s="17" t="s">
        <v>336</v>
      </c>
      <c r="C104" s="19" t="s">
        <v>227</v>
      </c>
      <c r="D104" s="18" t="s">
        <v>87</v>
      </c>
      <c r="E104" s="19" t="s">
        <v>732</v>
      </c>
      <c r="F104" s="17" t="s">
        <v>733</v>
      </c>
      <c r="G104" s="21" t="s">
        <v>734</v>
      </c>
      <c r="H104" s="19">
        <v>4</v>
      </c>
      <c r="I104" s="21" t="s">
        <v>15</v>
      </c>
    </row>
    <row r="105" spans="1:9" x14ac:dyDescent="0.35">
      <c r="A105" s="17" t="s">
        <v>178</v>
      </c>
      <c r="B105" s="17" t="s">
        <v>336</v>
      </c>
      <c r="C105" s="19" t="s">
        <v>308</v>
      </c>
      <c r="D105" s="18" t="s">
        <v>91</v>
      </c>
      <c r="E105" s="19" t="s">
        <v>732</v>
      </c>
      <c r="F105" s="17" t="s">
        <v>733</v>
      </c>
      <c r="G105" s="21" t="s">
        <v>734</v>
      </c>
      <c r="H105" s="19">
        <v>4</v>
      </c>
      <c r="I105" s="21" t="s">
        <v>15</v>
      </c>
    </row>
    <row r="106" spans="1:9" x14ac:dyDescent="0.35">
      <c r="A106" s="17" t="s">
        <v>178</v>
      </c>
      <c r="B106" s="17" t="s">
        <v>336</v>
      </c>
      <c r="C106" s="19" t="s">
        <v>432</v>
      </c>
      <c r="D106" s="18" t="s">
        <v>186</v>
      </c>
      <c r="E106" s="19" t="s">
        <v>732</v>
      </c>
      <c r="F106" s="17" t="s">
        <v>735</v>
      </c>
      <c r="G106" s="21" t="s">
        <v>736</v>
      </c>
      <c r="H106" s="19">
        <v>3</v>
      </c>
      <c r="I106" s="21" t="s">
        <v>9</v>
      </c>
    </row>
    <row r="107" spans="1:9" x14ac:dyDescent="0.35">
      <c r="A107" s="17" t="s">
        <v>178</v>
      </c>
      <c r="B107" s="17">
        <v>110</v>
      </c>
      <c r="C107" s="19" t="s">
        <v>23</v>
      </c>
      <c r="D107" s="18" t="s">
        <v>212</v>
      </c>
      <c r="E107" s="19" t="s">
        <v>732</v>
      </c>
      <c r="F107" s="17" t="s">
        <v>733</v>
      </c>
      <c r="G107" s="21" t="s">
        <v>734</v>
      </c>
      <c r="H107" s="19">
        <v>5</v>
      </c>
      <c r="I107" s="21" t="s">
        <v>15</v>
      </c>
    </row>
    <row r="108" spans="1:9" x14ac:dyDescent="0.35">
      <c r="A108" s="17" t="s">
        <v>178</v>
      </c>
      <c r="B108" s="17">
        <v>110</v>
      </c>
      <c r="C108" s="19" t="s">
        <v>96</v>
      </c>
      <c r="D108" s="18" t="s">
        <v>87</v>
      </c>
      <c r="E108" s="19" t="s">
        <v>732</v>
      </c>
      <c r="F108" s="17" t="s">
        <v>733</v>
      </c>
      <c r="G108" s="21" t="s">
        <v>734</v>
      </c>
      <c r="H108" s="19">
        <v>5</v>
      </c>
      <c r="I108" s="21" t="s">
        <v>15</v>
      </c>
    </row>
    <row r="109" spans="1:9" x14ac:dyDescent="0.35">
      <c r="A109" s="17" t="s">
        <v>178</v>
      </c>
      <c r="B109" s="17">
        <v>110</v>
      </c>
      <c r="C109" s="19" t="s">
        <v>145</v>
      </c>
      <c r="D109" s="18" t="s">
        <v>127</v>
      </c>
      <c r="E109" s="19" t="s">
        <v>732</v>
      </c>
      <c r="F109" s="17" t="s">
        <v>733</v>
      </c>
      <c r="G109" s="21" t="s">
        <v>734</v>
      </c>
      <c r="H109" s="19">
        <v>5</v>
      </c>
      <c r="I109" s="21" t="s">
        <v>15</v>
      </c>
    </row>
    <row r="110" spans="1:9" x14ac:dyDescent="0.35">
      <c r="A110" s="17" t="s">
        <v>178</v>
      </c>
      <c r="B110" s="17">
        <v>110</v>
      </c>
      <c r="C110" s="19" t="s">
        <v>190</v>
      </c>
      <c r="D110" s="18" t="s">
        <v>93</v>
      </c>
      <c r="E110" s="19" t="s">
        <v>732</v>
      </c>
      <c r="F110" s="17" t="s">
        <v>735</v>
      </c>
      <c r="G110" s="21" t="s">
        <v>736</v>
      </c>
      <c r="H110" s="19">
        <v>3</v>
      </c>
      <c r="I110" s="21" t="s">
        <v>9</v>
      </c>
    </row>
    <row r="111" spans="1:9" x14ac:dyDescent="0.35">
      <c r="A111" s="17" t="s">
        <v>178</v>
      </c>
      <c r="B111" s="17">
        <v>110</v>
      </c>
      <c r="C111" s="19" t="s">
        <v>227</v>
      </c>
      <c r="D111" s="18" t="s">
        <v>127</v>
      </c>
      <c r="E111" s="19" t="s">
        <v>732</v>
      </c>
      <c r="F111" s="17" t="s">
        <v>733</v>
      </c>
      <c r="G111" s="21" t="s">
        <v>734</v>
      </c>
      <c r="H111" s="19">
        <v>5</v>
      </c>
      <c r="I111" s="21" t="s">
        <v>15</v>
      </c>
    </row>
    <row r="112" spans="1:9" x14ac:dyDescent="0.35">
      <c r="A112" s="17" t="s">
        <v>178</v>
      </c>
      <c r="B112" s="17">
        <v>110</v>
      </c>
      <c r="C112" s="19" t="s">
        <v>308</v>
      </c>
      <c r="D112" s="18" t="s">
        <v>139</v>
      </c>
      <c r="E112" s="19" t="s">
        <v>732</v>
      </c>
      <c r="F112" s="17" t="s">
        <v>733</v>
      </c>
      <c r="G112" s="21" t="s">
        <v>734</v>
      </c>
      <c r="H112" s="19">
        <v>5</v>
      </c>
      <c r="I112" s="21" t="s">
        <v>15</v>
      </c>
    </row>
    <row r="113" spans="1:9" x14ac:dyDescent="0.35">
      <c r="A113" s="17" t="s">
        <v>178</v>
      </c>
      <c r="B113" s="17">
        <v>110</v>
      </c>
      <c r="C113" s="19" t="s">
        <v>432</v>
      </c>
      <c r="D113" s="18" t="s">
        <v>93</v>
      </c>
      <c r="E113" s="19" t="s">
        <v>732</v>
      </c>
      <c r="F113" s="17" t="s">
        <v>735</v>
      </c>
      <c r="G113" s="21" t="s">
        <v>736</v>
      </c>
      <c r="H113" s="19">
        <v>3</v>
      </c>
      <c r="I113" s="21" t="s">
        <v>9</v>
      </c>
    </row>
    <row r="114" spans="1:9" x14ac:dyDescent="0.35">
      <c r="A114" s="17" t="s">
        <v>178</v>
      </c>
      <c r="B114" s="17" t="s">
        <v>382</v>
      </c>
      <c r="C114" s="19" t="s">
        <v>23</v>
      </c>
      <c r="D114" s="18" t="s">
        <v>179</v>
      </c>
      <c r="E114" s="19" t="s">
        <v>732</v>
      </c>
      <c r="F114" s="17" t="s">
        <v>735</v>
      </c>
      <c r="G114" s="21" t="s">
        <v>736</v>
      </c>
      <c r="H114" s="19">
        <v>2</v>
      </c>
      <c r="I114" s="21" t="s">
        <v>9</v>
      </c>
    </row>
    <row r="115" spans="1:9" x14ac:dyDescent="0.35">
      <c r="A115" s="17" t="s">
        <v>178</v>
      </c>
      <c r="B115" s="17" t="s">
        <v>185</v>
      </c>
      <c r="C115" s="19" t="s">
        <v>145</v>
      </c>
      <c r="D115" s="18" t="s">
        <v>186</v>
      </c>
      <c r="E115" s="19" t="s">
        <v>726</v>
      </c>
      <c r="F115" s="17" t="s">
        <v>727</v>
      </c>
      <c r="G115" s="21" t="s">
        <v>728</v>
      </c>
      <c r="H115" s="19"/>
      <c r="I115" s="21" t="s">
        <v>5</v>
      </c>
    </row>
    <row r="116" spans="1:9" x14ac:dyDescent="0.35">
      <c r="A116" s="17" t="s">
        <v>178</v>
      </c>
      <c r="B116" s="17" t="s">
        <v>265</v>
      </c>
      <c r="C116" s="19" t="s">
        <v>23</v>
      </c>
      <c r="D116" s="18" t="s">
        <v>150</v>
      </c>
      <c r="E116" s="19" t="s">
        <v>740</v>
      </c>
      <c r="F116" s="17" t="s">
        <v>741</v>
      </c>
      <c r="G116" s="21" t="s">
        <v>742</v>
      </c>
      <c r="H116" s="19">
        <v>3</v>
      </c>
      <c r="I116" s="21" t="s">
        <v>7</v>
      </c>
    </row>
    <row r="117" spans="1:9" x14ac:dyDescent="0.35">
      <c r="A117" s="17" t="s">
        <v>178</v>
      </c>
      <c r="B117" s="17" t="s">
        <v>265</v>
      </c>
      <c r="C117" s="19" t="s">
        <v>96</v>
      </c>
      <c r="D117" s="18" t="s">
        <v>150</v>
      </c>
      <c r="E117" s="19" t="s">
        <v>740</v>
      </c>
      <c r="F117" s="17" t="s">
        <v>741</v>
      </c>
      <c r="G117" s="21" t="s">
        <v>742</v>
      </c>
      <c r="H117" s="19">
        <v>3</v>
      </c>
      <c r="I117" s="21" t="s">
        <v>7</v>
      </c>
    </row>
    <row r="118" spans="1:9" x14ac:dyDescent="0.35">
      <c r="A118" s="17" t="s">
        <v>178</v>
      </c>
      <c r="B118" s="17" t="s">
        <v>265</v>
      </c>
      <c r="C118" s="19" t="s">
        <v>145</v>
      </c>
      <c r="D118" s="18" t="s">
        <v>150</v>
      </c>
      <c r="E118" s="19" t="s">
        <v>740</v>
      </c>
      <c r="F118" s="17" t="s">
        <v>741</v>
      </c>
      <c r="G118" s="21" t="s">
        <v>742</v>
      </c>
      <c r="H118" s="19">
        <v>3</v>
      </c>
      <c r="I118" s="21" t="s">
        <v>7</v>
      </c>
    </row>
    <row r="119" spans="1:9" x14ac:dyDescent="0.35">
      <c r="A119" s="17" t="s">
        <v>178</v>
      </c>
      <c r="B119" s="17" t="s">
        <v>265</v>
      </c>
      <c r="C119" s="19" t="s">
        <v>190</v>
      </c>
      <c r="D119" s="18" t="s">
        <v>49</v>
      </c>
      <c r="E119" s="19" t="s">
        <v>740</v>
      </c>
      <c r="F119" s="17" t="s">
        <v>743</v>
      </c>
      <c r="G119" s="21" t="s">
        <v>744</v>
      </c>
      <c r="H119" s="19">
        <v>5</v>
      </c>
      <c r="I119" s="21" t="s">
        <v>19</v>
      </c>
    </row>
    <row r="120" spans="1:9" x14ac:dyDescent="0.35">
      <c r="A120" s="17" t="s">
        <v>178</v>
      </c>
      <c r="B120" s="17" t="s">
        <v>265</v>
      </c>
      <c r="C120" s="19" t="s">
        <v>227</v>
      </c>
      <c r="D120" s="18" t="s">
        <v>150</v>
      </c>
      <c r="E120" s="19" t="s">
        <v>740</v>
      </c>
      <c r="F120" s="17" t="s">
        <v>741</v>
      </c>
      <c r="G120" s="21" t="s">
        <v>742</v>
      </c>
      <c r="H120" s="19">
        <v>3</v>
      </c>
      <c r="I120" s="21" t="s">
        <v>7</v>
      </c>
    </row>
    <row r="121" spans="1:9" x14ac:dyDescent="0.35">
      <c r="A121" s="17" t="s">
        <v>178</v>
      </c>
      <c r="B121" s="17" t="s">
        <v>265</v>
      </c>
      <c r="C121" s="19" t="s">
        <v>308</v>
      </c>
      <c r="D121" s="18" t="s">
        <v>150</v>
      </c>
      <c r="E121" s="19" t="s">
        <v>740</v>
      </c>
      <c r="F121" s="17" t="s">
        <v>741</v>
      </c>
      <c r="G121" s="21" t="s">
        <v>742</v>
      </c>
      <c r="H121" s="19">
        <v>3</v>
      </c>
      <c r="I121" s="21" t="s">
        <v>7</v>
      </c>
    </row>
    <row r="122" spans="1:9" x14ac:dyDescent="0.35">
      <c r="A122" s="17" t="s">
        <v>178</v>
      </c>
      <c r="B122" s="17" t="s">
        <v>265</v>
      </c>
      <c r="C122" s="19" t="s">
        <v>432</v>
      </c>
      <c r="D122" s="18" t="s">
        <v>49</v>
      </c>
      <c r="E122" s="19" t="s">
        <v>740</v>
      </c>
      <c r="F122" s="17" t="s">
        <v>743</v>
      </c>
      <c r="G122" s="21" t="s">
        <v>744</v>
      </c>
      <c r="H122" s="19">
        <v>5</v>
      </c>
      <c r="I122" s="21" t="s">
        <v>19</v>
      </c>
    </row>
    <row r="123" spans="1:9" x14ac:dyDescent="0.35">
      <c r="A123" s="17" t="s">
        <v>35</v>
      </c>
      <c r="B123" s="17"/>
      <c r="C123" s="19" t="s">
        <v>23</v>
      </c>
      <c r="D123" s="18" t="s">
        <v>36</v>
      </c>
      <c r="E123" s="19" t="s">
        <v>726</v>
      </c>
      <c r="F123" s="17" t="s">
        <v>727</v>
      </c>
      <c r="G123" s="21" t="s">
        <v>728</v>
      </c>
      <c r="H123" s="19"/>
      <c r="I123" s="21" t="s">
        <v>5</v>
      </c>
    </row>
    <row r="124" spans="1:9" x14ac:dyDescent="0.35">
      <c r="A124" s="17" t="s">
        <v>35</v>
      </c>
      <c r="B124" s="17"/>
      <c r="C124" s="19" t="s">
        <v>23</v>
      </c>
      <c r="D124" s="18" t="s">
        <v>39</v>
      </c>
      <c r="E124" s="19" t="s">
        <v>726</v>
      </c>
      <c r="F124" s="17" t="s">
        <v>727</v>
      </c>
      <c r="G124" s="21" t="s">
        <v>728</v>
      </c>
      <c r="H124" s="19"/>
      <c r="I124" s="21" t="s">
        <v>5</v>
      </c>
    </row>
    <row r="125" spans="1:9" x14ac:dyDescent="0.35">
      <c r="A125" s="17" t="s">
        <v>35</v>
      </c>
      <c r="B125" s="17"/>
      <c r="C125" s="19" t="s">
        <v>190</v>
      </c>
      <c r="D125" s="18" t="s">
        <v>39</v>
      </c>
      <c r="E125" s="19" t="s">
        <v>726</v>
      </c>
      <c r="F125" s="17" t="s">
        <v>727</v>
      </c>
      <c r="G125" s="21" t="s">
        <v>728</v>
      </c>
      <c r="H125" s="19"/>
      <c r="I125" s="21" t="s">
        <v>5</v>
      </c>
    </row>
    <row r="126" spans="1:9" x14ac:dyDescent="0.35">
      <c r="A126" s="17" t="s">
        <v>35</v>
      </c>
      <c r="B126" s="17"/>
      <c r="C126" s="19" t="s">
        <v>227</v>
      </c>
      <c r="D126" s="18" t="s">
        <v>73</v>
      </c>
      <c r="E126" s="19" t="s">
        <v>726</v>
      </c>
      <c r="F126" s="17" t="s">
        <v>727</v>
      </c>
      <c r="G126" s="21" t="s">
        <v>728</v>
      </c>
      <c r="H126" s="19"/>
      <c r="I126" s="21" t="s">
        <v>5</v>
      </c>
    </row>
    <row r="127" spans="1:9" x14ac:dyDescent="0.35">
      <c r="A127" s="17" t="s">
        <v>463</v>
      </c>
      <c r="B127" s="17" t="s">
        <v>592</v>
      </c>
      <c r="C127" s="19" t="s">
        <v>190</v>
      </c>
      <c r="D127" s="18" t="s">
        <v>45</v>
      </c>
      <c r="E127" s="19" t="s">
        <v>729</v>
      </c>
      <c r="F127" s="17" t="s">
        <v>730</v>
      </c>
      <c r="G127" s="21" t="s">
        <v>731</v>
      </c>
      <c r="H127" s="19"/>
      <c r="I127" s="21" t="s">
        <v>17</v>
      </c>
    </row>
    <row r="128" spans="1:9" x14ac:dyDescent="0.35">
      <c r="A128" s="17" t="s">
        <v>463</v>
      </c>
      <c r="B128" s="17" t="s">
        <v>464</v>
      </c>
      <c r="C128" s="19" t="s">
        <v>23</v>
      </c>
      <c r="D128" s="18" t="s">
        <v>199</v>
      </c>
      <c r="E128" s="19" t="s">
        <v>729</v>
      </c>
      <c r="F128" s="17" t="s">
        <v>730</v>
      </c>
      <c r="G128" s="21" t="s">
        <v>731</v>
      </c>
      <c r="H128" s="19"/>
      <c r="I128" s="21" t="s">
        <v>17</v>
      </c>
    </row>
    <row r="129" spans="1:9" x14ac:dyDescent="0.35">
      <c r="A129" s="17" t="s">
        <v>463</v>
      </c>
      <c r="B129" s="17" t="s">
        <v>630</v>
      </c>
      <c r="C129" s="19" t="s">
        <v>227</v>
      </c>
      <c r="D129" s="18" t="s">
        <v>154</v>
      </c>
      <c r="E129" s="19" t="s">
        <v>729</v>
      </c>
      <c r="F129" s="17" t="s">
        <v>730</v>
      </c>
      <c r="G129" s="21" t="s">
        <v>731</v>
      </c>
      <c r="H129" s="19"/>
      <c r="I129" s="21" t="s">
        <v>17</v>
      </c>
    </row>
    <row r="130" spans="1:9" x14ac:dyDescent="0.35">
      <c r="A130" s="17" t="s">
        <v>463</v>
      </c>
      <c r="B130" s="17">
        <v>96</v>
      </c>
      <c r="C130" s="19" t="s">
        <v>145</v>
      </c>
      <c r="D130" s="18" t="s">
        <v>43</v>
      </c>
      <c r="E130" s="19" t="s">
        <v>729</v>
      </c>
      <c r="F130" s="17" t="s">
        <v>730</v>
      </c>
      <c r="G130" s="21" t="s">
        <v>731</v>
      </c>
      <c r="H130" s="19"/>
      <c r="I130" s="21" t="s">
        <v>17</v>
      </c>
    </row>
    <row r="131" spans="1:9" x14ac:dyDescent="0.35">
      <c r="A131" s="17" t="s">
        <v>104</v>
      </c>
      <c r="B131" s="17"/>
      <c r="C131" s="19" t="s">
        <v>96</v>
      </c>
      <c r="D131" s="18" t="s">
        <v>45</v>
      </c>
      <c r="E131" s="19" t="s">
        <v>726</v>
      </c>
      <c r="F131" s="17" t="s">
        <v>727</v>
      </c>
      <c r="G131" s="21" t="s">
        <v>728</v>
      </c>
      <c r="H131" s="19"/>
      <c r="I131" s="21" t="s">
        <v>5</v>
      </c>
    </row>
    <row r="132" spans="1:9" x14ac:dyDescent="0.35">
      <c r="A132" s="17" t="s">
        <v>167</v>
      </c>
      <c r="B132" s="17"/>
      <c r="C132" s="19" t="s">
        <v>145</v>
      </c>
      <c r="D132" s="18" t="s">
        <v>168</v>
      </c>
      <c r="E132" s="19" t="s">
        <v>726</v>
      </c>
      <c r="F132" s="17" t="s">
        <v>727</v>
      </c>
      <c r="G132" s="21" t="s">
        <v>728</v>
      </c>
      <c r="H132" s="19"/>
      <c r="I132" s="21" t="s">
        <v>5</v>
      </c>
    </row>
    <row r="133" spans="1:9" x14ac:dyDescent="0.35">
      <c r="A133" s="17" t="s">
        <v>120</v>
      </c>
      <c r="B133" s="17"/>
      <c r="C133" s="19" t="s">
        <v>96</v>
      </c>
      <c r="D133" s="18" t="s">
        <v>121</v>
      </c>
      <c r="E133" s="19" t="s">
        <v>726</v>
      </c>
      <c r="F133" s="17" t="s">
        <v>727</v>
      </c>
      <c r="G133" s="21" t="s">
        <v>728</v>
      </c>
      <c r="H133" s="19"/>
      <c r="I133" s="21" t="s">
        <v>5</v>
      </c>
    </row>
    <row r="134" spans="1:9" x14ac:dyDescent="0.35">
      <c r="A134" s="17" t="s">
        <v>237</v>
      </c>
      <c r="B134" s="17"/>
      <c r="C134" s="19" t="s">
        <v>227</v>
      </c>
      <c r="D134" s="18" t="s">
        <v>238</v>
      </c>
      <c r="E134" s="19" t="s">
        <v>726</v>
      </c>
      <c r="F134" s="17" t="s">
        <v>727</v>
      </c>
      <c r="G134" s="21" t="s">
        <v>728</v>
      </c>
      <c r="H134" s="19"/>
      <c r="I134" s="21" t="s">
        <v>5</v>
      </c>
    </row>
    <row r="135" spans="1:9" x14ac:dyDescent="0.35">
      <c r="A135" s="17" t="s">
        <v>88</v>
      </c>
      <c r="B135" s="17"/>
      <c r="C135" s="19" t="s">
        <v>23</v>
      </c>
      <c r="D135" s="18" t="s">
        <v>89</v>
      </c>
      <c r="E135" s="19" t="s">
        <v>726</v>
      </c>
      <c r="F135" s="17" t="s">
        <v>727</v>
      </c>
      <c r="G135" s="21" t="s">
        <v>728</v>
      </c>
      <c r="H135" s="19"/>
      <c r="I135" s="21" t="s">
        <v>5</v>
      </c>
    </row>
    <row r="136" spans="1:9" x14ac:dyDescent="0.35">
      <c r="A136" s="17" t="s">
        <v>88</v>
      </c>
      <c r="B136" s="17"/>
      <c r="C136" s="19" t="s">
        <v>96</v>
      </c>
      <c r="D136" s="18" t="s">
        <v>91</v>
      </c>
      <c r="E136" s="19" t="s">
        <v>726</v>
      </c>
      <c r="F136" s="17" t="s">
        <v>727</v>
      </c>
      <c r="G136" s="21" t="s">
        <v>728</v>
      </c>
      <c r="H136" s="19"/>
      <c r="I136" s="21" t="s">
        <v>5</v>
      </c>
    </row>
    <row r="137" spans="1:9" x14ac:dyDescent="0.35">
      <c r="A137" s="17" t="s">
        <v>88</v>
      </c>
      <c r="B137" s="17">
        <v>77</v>
      </c>
      <c r="C137" s="19" t="s">
        <v>23</v>
      </c>
      <c r="D137" s="18" t="s">
        <v>55</v>
      </c>
      <c r="E137" s="19" t="s">
        <v>740</v>
      </c>
      <c r="F137" s="17" t="s">
        <v>743</v>
      </c>
      <c r="G137" s="21" t="s">
        <v>744</v>
      </c>
      <c r="H137" s="19">
        <v>2</v>
      </c>
      <c r="I137" s="21" t="s">
        <v>19</v>
      </c>
    </row>
    <row r="138" spans="1:9" x14ac:dyDescent="0.35">
      <c r="A138" s="17" t="s">
        <v>88</v>
      </c>
      <c r="B138" s="17">
        <v>84</v>
      </c>
      <c r="C138" s="19" t="s">
        <v>145</v>
      </c>
      <c r="D138" s="18" t="s">
        <v>38</v>
      </c>
      <c r="E138" s="19" t="s">
        <v>732</v>
      </c>
      <c r="F138" s="17" t="s">
        <v>733</v>
      </c>
      <c r="G138" s="21" t="s">
        <v>734</v>
      </c>
      <c r="H138" s="19">
        <v>3</v>
      </c>
      <c r="I138" s="21" t="s">
        <v>15</v>
      </c>
    </row>
    <row r="139" spans="1:9" x14ac:dyDescent="0.35">
      <c r="A139" s="17" t="s">
        <v>88</v>
      </c>
      <c r="B139" s="17" t="s">
        <v>433</v>
      </c>
      <c r="C139" s="19" t="s">
        <v>23</v>
      </c>
      <c r="D139" s="18" t="s">
        <v>150</v>
      </c>
      <c r="E139" s="19" t="s">
        <v>732</v>
      </c>
      <c r="F139" s="17" t="s">
        <v>733</v>
      </c>
      <c r="G139" s="21" t="s">
        <v>734</v>
      </c>
      <c r="H139" s="19">
        <v>1</v>
      </c>
      <c r="I139" s="21" t="s">
        <v>15</v>
      </c>
    </row>
    <row r="140" spans="1:9" x14ac:dyDescent="0.35">
      <c r="A140" s="17" t="s">
        <v>88</v>
      </c>
      <c r="B140" s="17" t="s">
        <v>433</v>
      </c>
      <c r="C140" s="19" t="s">
        <v>96</v>
      </c>
      <c r="D140" s="18" t="s">
        <v>38</v>
      </c>
      <c r="E140" s="19" t="s">
        <v>732</v>
      </c>
      <c r="F140" s="17" t="s">
        <v>733</v>
      </c>
      <c r="G140" s="21" t="s">
        <v>734</v>
      </c>
      <c r="H140" s="19">
        <v>1</v>
      </c>
      <c r="I140" s="21" t="s">
        <v>15</v>
      </c>
    </row>
    <row r="141" spans="1:9" x14ac:dyDescent="0.35">
      <c r="A141" s="17" t="s">
        <v>88</v>
      </c>
      <c r="B141" s="17" t="s">
        <v>665</v>
      </c>
      <c r="C141" s="19" t="s">
        <v>23</v>
      </c>
      <c r="D141" s="18" t="s">
        <v>158</v>
      </c>
      <c r="E141" s="19" t="s">
        <v>740</v>
      </c>
      <c r="F141" s="17" t="s">
        <v>743</v>
      </c>
      <c r="G141" s="21" t="s">
        <v>744</v>
      </c>
      <c r="H141" s="19">
        <v>2</v>
      </c>
      <c r="I141" s="21" t="s">
        <v>19</v>
      </c>
    </row>
    <row r="142" spans="1:9" x14ac:dyDescent="0.35">
      <c r="A142" s="17" t="s">
        <v>316</v>
      </c>
      <c r="B142" s="17">
        <v>7</v>
      </c>
      <c r="C142" s="19" t="s">
        <v>23</v>
      </c>
      <c r="D142" s="18" t="s">
        <v>199</v>
      </c>
      <c r="E142" s="19" t="s">
        <v>732</v>
      </c>
      <c r="F142" s="17" t="s">
        <v>733</v>
      </c>
      <c r="G142" s="21" t="s">
        <v>734</v>
      </c>
      <c r="H142" s="19">
        <v>2</v>
      </c>
      <c r="I142" s="21" t="s">
        <v>15</v>
      </c>
    </row>
    <row r="143" spans="1:9" x14ac:dyDescent="0.35">
      <c r="A143" s="17" t="s">
        <v>316</v>
      </c>
      <c r="B143" s="17">
        <v>7</v>
      </c>
      <c r="C143" s="19" t="s">
        <v>96</v>
      </c>
      <c r="D143" s="18" t="s">
        <v>346</v>
      </c>
      <c r="E143" s="19" t="s">
        <v>732</v>
      </c>
      <c r="F143" s="17" t="s">
        <v>733</v>
      </c>
      <c r="G143" s="21" t="s">
        <v>734</v>
      </c>
      <c r="H143" s="19">
        <v>2</v>
      </c>
      <c r="I143" s="21" t="s">
        <v>15</v>
      </c>
    </row>
    <row r="144" spans="1:9" x14ac:dyDescent="0.35">
      <c r="A144" s="17" t="s">
        <v>316</v>
      </c>
      <c r="B144" s="17">
        <v>7</v>
      </c>
      <c r="C144" s="19" t="s">
        <v>145</v>
      </c>
      <c r="D144" s="18" t="s">
        <v>346</v>
      </c>
      <c r="E144" s="19" t="s">
        <v>732</v>
      </c>
      <c r="F144" s="17" t="s">
        <v>733</v>
      </c>
      <c r="G144" s="21" t="s">
        <v>734</v>
      </c>
      <c r="H144" s="19">
        <v>2</v>
      </c>
      <c r="I144" s="21" t="s">
        <v>15</v>
      </c>
    </row>
    <row r="145" spans="1:9" x14ac:dyDescent="0.35">
      <c r="A145" s="17" t="s">
        <v>316</v>
      </c>
      <c r="B145" s="17">
        <v>7</v>
      </c>
      <c r="C145" s="19" t="s">
        <v>190</v>
      </c>
      <c r="D145" s="18" t="s">
        <v>199</v>
      </c>
      <c r="E145" s="19" t="s">
        <v>732</v>
      </c>
      <c r="F145" s="17" t="s">
        <v>735</v>
      </c>
      <c r="G145" s="21" t="s">
        <v>736</v>
      </c>
      <c r="H145" s="19">
        <v>1</v>
      </c>
      <c r="I145" s="21" t="s">
        <v>9</v>
      </c>
    </row>
    <row r="146" spans="1:9" x14ac:dyDescent="0.35">
      <c r="A146" s="17" t="s">
        <v>316</v>
      </c>
      <c r="B146" s="17">
        <v>7</v>
      </c>
      <c r="C146" s="19" t="s">
        <v>227</v>
      </c>
      <c r="D146" s="18" t="s">
        <v>199</v>
      </c>
      <c r="E146" s="19" t="s">
        <v>732</v>
      </c>
      <c r="F146" s="17" t="s">
        <v>733</v>
      </c>
      <c r="G146" s="21" t="s">
        <v>734</v>
      </c>
      <c r="H146" s="19">
        <v>2</v>
      </c>
      <c r="I146" s="21" t="s">
        <v>15</v>
      </c>
    </row>
    <row r="147" spans="1:9" x14ac:dyDescent="0.35">
      <c r="A147" s="17" t="s">
        <v>316</v>
      </c>
      <c r="B147" s="17">
        <v>7</v>
      </c>
      <c r="C147" s="19" t="s">
        <v>308</v>
      </c>
      <c r="D147" s="18" t="s">
        <v>346</v>
      </c>
      <c r="E147" s="19" t="s">
        <v>732</v>
      </c>
      <c r="F147" s="17" t="s">
        <v>733</v>
      </c>
      <c r="G147" s="21" t="s">
        <v>734</v>
      </c>
      <c r="H147" s="19">
        <v>2</v>
      </c>
      <c r="I147" s="21" t="s">
        <v>15</v>
      </c>
    </row>
    <row r="148" spans="1:9" x14ac:dyDescent="0.35">
      <c r="A148" s="17" t="s">
        <v>316</v>
      </c>
      <c r="B148" s="17">
        <v>7</v>
      </c>
      <c r="C148" s="19" t="s">
        <v>432</v>
      </c>
      <c r="D148" s="18" t="s">
        <v>199</v>
      </c>
      <c r="E148" s="19" t="s">
        <v>732</v>
      </c>
      <c r="F148" s="17" t="s">
        <v>735</v>
      </c>
      <c r="G148" s="21" t="s">
        <v>736</v>
      </c>
      <c r="H148" s="19">
        <v>1</v>
      </c>
      <c r="I148" s="21" t="s">
        <v>9</v>
      </c>
    </row>
    <row r="149" spans="1:9" x14ac:dyDescent="0.35">
      <c r="A149" s="17" t="s">
        <v>316</v>
      </c>
      <c r="B149" s="17" t="s">
        <v>318</v>
      </c>
      <c r="C149" s="19" t="s">
        <v>23</v>
      </c>
      <c r="D149" s="18" t="s">
        <v>49</v>
      </c>
      <c r="E149" s="19" t="s">
        <v>732</v>
      </c>
      <c r="F149" s="17" t="s">
        <v>733</v>
      </c>
      <c r="G149" s="21" t="s">
        <v>734</v>
      </c>
      <c r="H149" s="19">
        <v>1</v>
      </c>
      <c r="I149" s="21" t="s">
        <v>15</v>
      </c>
    </row>
    <row r="150" spans="1:9" x14ac:dyDescent="0.35">
      <c r="A150" s="17" t="s">
        <v>316</v>
      </c>
      <c r="B150" s="17" t="s">
        <v>318</v>
      </c>
      <c r="C150" s="19" t="s">
        <v>96</v>
      </c>
      <c r="D150" s="18" t="s">
        <v>53</v>
      </c>
      <c r="E150" s="19" t="s">
        <v>732</v>
      </c>
      <c r="F150" s="17" t="s">
        <v>733</v>
      </c>
      <c r="G150" s="21" t="s">
        <v>734</v>
      </c>
      <c r="H150" s="19">
        <v>1</v>
      </c>
      <c r="I150" s="21" t="s">
        <v>15</v>
      </c>
    </row>
    <row r="151" spans="1:9" x14ac:dyDescent="0.35">
      <c r="A151" s="17" t="s">
        <v>316</v>
      </c>
      <c r="B151" s="17" t="s">
        <v>318</v>
      </c>
      <c r="C151" s="19" t="s">
        <v>145</v>
      </c>
      <c r="D151" s="18" t="s">
        <v>51</v>
      </c>
      <c r="E151" s="19" t="s">
        <v>732</v>
      </c>
      <c r="F151" s="17" t="s">
        <v>733</v>
      </c>
      <c r="G151" s="21" t="s">
        <v>734</v>
      </c>
      <c r="H151" s="19">
        <v>1</v>
      </c>
      <c r="I151" s="21" t="s">
        <v>15</v>
      </c>
    </row>
    <row r="152" spans="1:9" x14ac:dyDescent="0.35">
      <c r="A152" s="17" t="s">
        <v>316</v>
      </c>
      <c r="B152" s="17" t="s">
        <v>318</v>
      </c>
      <c r="C152" s="19" t="s">
        <v>190</v>
      </c>
      <c r="D152" s="18" t="s">
        <v>53</v>
      </c>
      <c r="E152" s="19" t="s">
        <v>732</v>
      </c>
      <c r="F152" s="17" t="s">
        <v>735</v>
      </c>
      <c r="G152" s="21" t="s">
        <v>736</v>
      </c>
      <c r="H152" s="19">
        <v>1</v>
      </c>
      <c r="I152" s="21" t="s">
        <v>9</v>
      </c>
    </row>
    <row r="153" spans="1:9" x14ac:dyDescent="0.35">
      <c r="A153" s="17" t="s">
        <v>316</v>
      </c>
      <c r="B153" s="17" t="s">
        <v>318</v>
      </c>
      <c r="C153" s="19" t="s">
        <v>227</v>
      </c>
      <c r="D153" s="18" t="s">
        <v>49</v>
      </c>
      <c r="E153" s="19" t="s">
        <v>732</v>
      </c>
      <c r="F153" s="17" t="s">
        <v>733</v>
      </c>
      <c r="G153" s="21" t="s">
        <v>734</v>
      </c>
      <c r="H153" s="19">
        <v>1</v>
      </c>
      <c r="I153" s="21" t="s">
        <v>15</v>
      </c>
    </row>
    <row r="154" spans="1:9" x14ac:dyDescent="0.35">
      <c r="A154" s="17" t="s">
        <v>316</v>
      </c>
      <c r="B154" s="17" t="s">
        <v>318</v>
      </c>
      <c r="C154" s="19" t="s">
        <v>308</v>
      </c>
      <c r="D154" s="18" t="s">
        <v>53</v>
      </c>
      <c r="E154" s="19" t="s">
        <v>732</v>
      </c>
      <c r="F154" s="17" t="s">
        <v>733</v>
      </c>
      <c r="G154" s="21" t="s">
        <v>734</v>
      </c>
      <c r="H154" s="19">
        <v>1</v>
      </c>
      <c r="I154" s="21" t="s">
        <v>15</v>
      </c>
    </row>
    <row r="155" spans="1:9" x14ac:dyDescent="0.35">
      <c r="A155" s="17" t="s">
        <v>316</v>
      </c>
      <c r="B155" s="17" t="s">
        <v>318</v>
      </c>
      <c r="C155" s="19" t="s">
        <v>432</v>
      </c>
      <c r="D155" s="18" t="s">
        <v>53</v>
      </c>
      <c r="E155" s="19" t="s">
        <v>732</v>
      </c>
      <c r="F155" s="17" t="s">
        <v>735</v>
      </c>
      <c r="G155" s="21" t="s">
        <v>736</v>
      </c>
      <c r="H155" s="19">
        <v>1</v>
      </c>
      <c r="I155" s="21" t="s">
        <v>9</v>
      </c>
    </row>
    <row r="156" spans="1:9" x14ac:dyDescent="0.35">
      <c r="A156" s="17" t="s">
        <v>555</v>
      </c>
      <c r="B156" s="17" t="s">
        <v>556</v>
      </c>
      <c r="C156" s="19" t="s">
        <v>145</v>
      </c>
      <c r="D156" s="18" t="s">
        <v>305</v>
      </c>
      <c r="E156" s="19" t="s">
        <v>729</v>
      </c>
      <c r="F156" s="17" t="s">
        <v>730</v>
      </c>
      <c r="G156" s="21" t="s">
        <v>731</v>
      </c>
      <c r="H156" s="19"/>
      <c r="I156" s="21" t="s">
        <v>17</v>
      </c>
    </row>
    <row r="157" spans="1:9" x14ac:dyDescent="0.35">
      <c r="A157" s="17" t="s">
        <v>656</v>
      </c>
      <c r="B157" s="17"/>
      <c r="C157" s="19" t="s">
        <v>227</v>
      </c>
      <c r="D157" s="18" t="s">
        <v>141</v>
      </c>
      <c r="E157" s="19" t="s">
        <v>729</v>
      </c>
      <c r="F157" s="17" t="s">
        <v>730</v>
      </c>
      <c r="G157" s="21" t="s">
        <v>731</v>
      </c>
      <c r="H157" s="19"/>
      <c r="I157" s="21" t="s">
        <v>17</v>
      </c>
    </row>
    <row r="158" spans="1:9" x14ac:dyDescent="0.35">
      <c r="A158" s="17" t="s">
        <v>193</v>
      </c>
      <c r="B158" s="17"/>
      <c r="C158" s="19" t="s">
        <v>190</v>
      </c>
      <c r="D158" s="18" t="s">
        <v>41</v>
      </c>
      <c r="E158" s="19" t="s">
        <v>726</v>
      </c>
      <c r="F158" s="17" t="s">
        <v>727</v>
      </c>
      <c r="G158" s="21" t="s">
        <v>728</v>
      </c>
      <c r="H158" s="19"/>
      <c r="I158" s="21" t="s">
        <v>5</v>
      </c>
    </row>
    <row r="159" spans="1:9" x14ac:dyDescent="0.35">
      <c r="A159" s="17" t="s">
        <v>193</v>
      </c>
      <c r="B159" s="17"/>
      <c r="C159" s="19" t="s">
        <v>190</v>
      </c>
      <c r="D159" s="18" t="s">
        <v>204</v>
      </c>
      <c r="E159" s="19" t="s">
        <v>726</v>
      </c>
      <c r="F159" s="17" t="s">
        <v>727</v>
      </c>
      <c r="G159" s="21" t="s">
        <v>728</v>
      </c>
      <c r="H159" s="19"/>
      <c r="I159" s="21" t="s">
        <v>5</v>
      </c>
    </row>
    <row r="160" spans="1:9" x14ac:dyDescent="0.35">
      <c r="A160" s="17" t="s">
        <v>193</v>
      </c>
      <c r="B160" s="17"/>
      <c r="C160" s="19" t="s">
        <v>227</v>
      </c>
      <c r="D160" s="18" t="s">
        <v>148</v>
      </c>
      <c r="E160" s="19" t="s">
        <v>726</v>
      </c>
      <c r="F160" s="17" t="s">
        <v>727</v>
      </c>
      <c r="G160" s="21" t="s">
        <v>728</v>
      </c>
      <c r="H160" s="19"/>
      <c r="I160" s="21" t="s">
        <v>5</v>
      </c>
    </row>
    <row r="161" spans="1:9" x14ac:dyDescent="0.35">
      <c r="A161" s="17" t="s">
        <v>393</v>
      </c>
      <c r="B161" s="17">
        <v>14</v>
      </c>
      <c r="C161" s="19" t="s">
        <v>227</v>
      </c>
      <c r="D161" s="18" t="s">
        <v>759</v>
      </c>
      <c r="E161" s="19" t="s">
        <v>745</v>
      </c>
      <c r="F161" s="17" t="s">
        <v>746</v>
      </c>
      <c r="G161" s="21" t="s">
        <v>747</v>
      </c>
      <c r="H161" s="19"/>
      <c r="I161" s="21" t="s">
        <v>11</v>
      </c>
    </row>
    <row r="162" spans="1:9" x14ac:dyDescent="0.35">
      <c r="A162" s="17" t="s">
        <v>393</v>
      </c>
      <c r="B162" s="17" t="s">
        <v>522</v>
      </c>
      <c r="C162" s="19" t="s">
        <v>96</v>
      </c>
      <c r="D162" s="18" t="s">
        <v>168</v>
      </c>
      <c r="E162" s="19" t="s">
        <v>729</v>
      </c>
      <c r="F162" s="17" t="s">
        <v>730</v>
      </c>
      <c r="G162" s="21" t="s">
        <v>731</v>
      </c>
      <c r="H162" s="19"/>
      <c r="I162" s="21" t="s">
        <v>17</v>
      </c>
    </row>
    <row r="163" spans="1:9" x14ac:dyDescent="0.35">
      <c r="A163" s="17" t="s">
        <v>393</v>
      </c>
      <c r="B163" s="17" t="s">
        <v>451</v>
      </c>
      <c r="C163" s="19" t="s">
        <v>23</v>
      </c>
      <c r="D163" s="18" t="s">
        <v>32</v>
      </c>
      <c r="E163" s="19" t="s">
        <v>729</v>
      </c>
      <c r="F163" s="17" t="s">
        <v>730</v>
      </c>
      <c r="G163" s="21" t="s">
        <v>731</v>
      </c>
      <c r="H163" s="19"/>
      <c r="I163" s="21" t="s">
        <v>17</v>
      </c>
    </row>
    <row r="164" spans="1:9" x14ac:dyDescent="0.35">
      <c r="A164" s="17" t="s">
        <v>393</v>
      </c>
      <c r="B164" s="17" t="s">
        <v>503</v>
      </c>
      <c r="C164" s="19" t="s">
        <v>96</v>
      </c>
      <c r="D164" s="18" t="s">
        <v>150</v>
      </c>
      <c r="E164" s="19" t="s">
        <v>729</v>
      </c>
      <c r="F164" s="17" t="s">
        <v>730</v>
      </c>
      <c r="G164" s="21" t="s">
        <v>731</v>
      </c>
      <c r="H164" s="19"/>
      <c r="I164" s="21" t="s">
        <v>17</v>
      </c>
    </row>
    <row r="165" spans="1:9" x14ac:dyDescent="0.35">
      <c r="A165" s="17" t="s">
        <v>250</v>
      </c>
      <c r="B165" s="17"/>
      <c r="C165" s="19" t="s">
        <v>227</v>
      </c>
      <c r="D165" s="18" t="s">
        <v>134</v>
      </c>
      <c r="E165" s="19" t="s">
        <v>726</v>
      </c>
      <c r="F165" s="17" t="s">
        <v>727</v>
      </c>
      <c r="G165" s="21" t="s">
        <v>728</v>
      </c>
      <c r="H165" s="19"/>
      <c r="I165" s="21" t="s">
        <v>5</v>
      </c>
    </row>
    <row r="166" spans="1:9" x14ac:dyDescent="0.35">
      <c r="A166" s="17" t="s">
        <v>250</v>
      </c>
      <c r="B166" s="17">
        <v>130</v>
      </c>
      <c r="C166" s="19" t="s">
        <v>145</v>
      </c>
      <c r="D166" s="18" t="s">
        <v>179</v>
      </c>
      <c r="E166" s="19" t="s">
        <v>729</v>
      </c>
      <c r="F166" s="17" t="s">
        <v>730</v>
      </c>
      <c r="G166" s="21" t="s">
        <v>731</v>
      </c>
      <c r="H166" s="19"/>
      <c r="I166" s="21" t="s">
        <v>17</v>
      </c>
    </row>
    <row r="167" spans="1:9" x14ac:dyDescent="0.35">
      <c r="A167" s="17" t="s">
        <v>250</v>
      </c>
      <c r="B167" s="17" t="s">
        <v>572</v>
      </c>
      <c r="C167" s="19" t="s">
        <v>145</v>
      </c>
      <c r="D167" s="18" t="s">
        <v>87</v>
      </c>
      <c r="E167" s="19" t="s">
        <v>729</v>
      </c>
      <c r="F167" s="17" t="s">
        <v>730</v>
      </c>
      <c r="G167" s="21" t="s">
        <v>731</v>
      </c>
      <c r="H167" s="19"/>
      <c r="I167" s="21" t="s">
        <v>17</v>
      </c>
    </row>
    <row r="168" spans="1:9" x14ac:dyDescent="0.35">
      <c r="A168" s="17" t="s">
        <v>566</v>
      </c>
      <c r="B168" s="17" t="s">
        <v>567</v>
      </c>
      <c r="C168" s="19" t="s">
        <v>145</v>
      </c>
      <c r="D168" s="18" t="s">
        <v>215</v>
      </c>
      <c r="E168" s="19" t="s">
        <v>729</v>
      </c>
      <c r="F168" s="17" t="s">
        <v>730</v>
      </c>
      <c r="G168" s="21" t="s">
        <v>731</v>
      </c>
      <c r="H168" s="19"/>
      <c r="I168" s="21" t="s">
        <v>17</v>
      </c>
    </row>
    <row r="169" spans="1:9" x14ac:dyDescent="0.35">
      <c r="A169" s="17" t="s">
        <v>523</v>
      </c>
      <c r="B169" s="17" t="s">
        <v>524</v>
      </c>
      <c r="C169" s="19" t="s">
        <v>96</v>
      </c>
      <c r="D169" s="18" t="s">
        <v>134</v>
      </c>
      <c r="E169" s="19" t="s">
        <v>729</v>
      </c>
      <c r="F169" s="17" t="s">
        <v>730</v>
      </c>
      <c r="G169" s="21" t="s">
        <v>731</v>
      </c>
      <c r="H169" s="19"/>
      <c r="I169" s="21" t="s">
        <v>17</v>
      </c>
    </row>
    <row r="170" spans="1:9" x14ac:dyDescent="0.35">
      <c r="A170" s="17" t="s">
        <v>523</v>
      </c>
      <c r="B170" s="17" t="s">
        <v>560</v>
      </c>
      <c r="C170" s="19" t="s">
        <v>145</v>
      </c>
      <c r="D170" s="18" t="s">
        <v>244</v>
      </c>
      <c r="E170" s="19" t="s">
        <v>729</v>
      </c>
      <c r="F170" s="17" t="s">
        <v>730</v>
      </c>
      <c r="G170" s="21" t="s">
        <v>731</v>
      </c>
      <c r="H170" s="19"/>
      <c r="I170" s="21" t="s">
        <v>17</v>
      </c>
    </row>
    <row r="171" spans="1:9" x14ac:dyDescent="0.35">
      <c r="A171" s="17" t="s">
        <v>533</v>
      </c>
      <c r="B171" s="17" t="s">
        <v>534</v>
      </c>
      <c r="C171" s="19" t="s">
        <v>96</v>
      </c>
      <c r="D171" s="18" t="s">
        <v>335</v>
      </c>
      <c r="E171" s="19" t="s">
        <v>729</v>
      </c>
      <c r="F171" s="17" t="s">
        <v>730</v>
      </c>
      <c r="G171" s="21" t="s">
        <v>731</v>
      </c>
      <c r="H171" s="19"/>
      <c r="I171" s="21" t="s">
        <v>17</v>
      </c>
    </row>
    <row r="172" spans="1:9" x14ac:dyDescent="0.35">
      <c r="A172" s="17" t="s">
        <v>176</v>
      </c>
      <c r="B172" s="17"/>
      <c r="C172" s="19" t="s">
        <v>145</v>
      </c>
      <c r="D172" s="18" t="s">
        <v>85</v>
      </c>
      <c r="E172" s="19" t="s">
        <v>726</v>
      </c>
      <c r="F172" s="17" t="s">
        <v>727</v>
      </c>
      <c r="G172" s="21" t="s">
        <v>728</v>
      </c>
      <c r="H172" s="19"/>
      <c r="I172" s="21" t="s">
        <v>5</v>
      </c>
    </row>
    <row r="173" spans="1:9" x14ac:dyDescent="0.35">
      <c r="A173" s="17" t="s">
        <v>33</v>
      </c>
      <c r="B173" s="17"/>
      <c r="C173" s="19" t="s">
        <v>23</v>
      </c>
      <c r="D173" s="18" t="s">
        <v>34</v>
      </c>
      <c r="E173" s="19" t="s">
        <v>726</v>
      </c>
      <c r="F173" s="17" t="s">
        <v>727</v>
      </c>
      <c r="G173" s="21" t="s">
        <v>728</v>
      </c>
      <c r="H173" s="19"/>
      <c r="I173" s="21" t="s">
        <v>5</v>
      </c>
    </row>
    <row r="174" spans="1:9" x14ac:dyDescent="0.35">
      <c r="A174" s="17" t="s">
        <v>33</v>
      </c>
      <c r="B174" s="17"/>
      <c r="C174" s="19" t="s">
        <v>190</v>
      </c>
      <c r="D174" s="18" t="s">
        <v>38</v>
      </c>
      <c r="E174" s="19" t="s">
        <v>726</v>
      </c>
      <c r="F174" s="17" t="s">
        <v>727</v>
      </c>
      <c r="G174" s="21" t="s">
        <v>728</v>
      </c>
      <c r="H174" s="19"/>
      <c r="I174" s="21" t="s">
        <v>5</v>
      </c>
    </row>
    <row r="175" spans="1:9" x14ac:dyDescent="0.35">
      <c r="A175" s="17" t="s">
        <v>33</v>
      </c>
      <c r="B175" s="17"/>
      <c r="C175" s="19" t="s">
        <v>227</v>
      </c>
      <c r="D175" s="18" t="s">
        <v>245</v>
      </c>
      <c r="E175" s="19" t="s">
        <v>726</v>
      </c>
      <c r="F175" s="17" t="s">
        <v>727</v>
      </c>
      <c r="G175" s="21" t="s">
        <v>728</v>
      </c>
      <c r="H175" s="19"/>
      <c r="I175" s="21" t="s">
        <v>5</v>
      </c>
    </row>
    <row r="176" spans="1:9" x14ac:dyDescent="0.35">
      <c r="A176" s="17" t="s">
        <v>625</v>
      </c>
      <c r="B176" s="17" t="s">
        <v>626</v>
      </c>
      <c r="C176" s="19" t="s">
        <v>190</v>
      </c>
      <c r="D176" s="18" t="s">
        <v>94</v>
      </c>
      <c r="E176" s="19" t="s">
        <v>729</v>
      </c>
      <c r="F176" s="17" t="s">
        <v>730</v>
      </c>
      <c r="G176" s="21" t="s">
        <v>731</v>
      </c>
      <c r="H176" s="19"/>
      <c r="I176" s="21" t="s">
        <v>17</v>
      </c>
    </row>
    <row r="177" spans="1:9" x14ac:dyDescent="0.35">
      <c r="A177" s="17" t="s">
        <v>452</v>
      </c>
      <c r="B177" s="17" t="s">
        <v>588</v>
      </c>
      <c r="C177" s="19" t="s">
        <v>190</v>
      </c>
      <c r="D177" s="18" t="s">
        <v>148</v>
      </c>
      <c r="E177" s="19" t="s">
        <v>729</v>
      </c>
      <c r="F177" s="17" t="s">
        <v>730</v>
      </c>
      <c r="G177" s="21" t="s">
        <v>731</v>
      </c>
      <c r="H177" s="19"/>
      <c r="I177" s="21" t="s">
        <v>17</v>
      </c>
    </row>
    <row r="178" spans="1:9" x14ac:dyDescent="0.35">
      <c r="A178" s="17" t="s">
        <v>452</v>
      </c>
      <c r="B178" s="17" t="s">
        <v>453</v>
      </c>
      <c r="C178" s="19" t="s">
        <v>23</v>
      </c>
      <c r="D178" s="18" t="s">
        <v>148</v>
      </c>
      <c r="E178" s="19" t="s">
        <v>729</v>
      </c>
      <c r="F178" s="17" t="s">
        <v>730</v>
      </c>
      <c r="G178" s="21" t="s">
        <v>731</v>
      </c>
      <c r="H178" s="19"/>
      <c r="I178" s="21" t="s">
        <v>17</v>
      </c>
    </row>
    <row r="179" spans="1:9" x14ac:dyDescent="0.35">
      <c r="A179" s="17" t="s">
        <v>214</v>
      </c>
      <c r="B179" s="17"/>
      <c r="C179" s="19" t="s">
        <v>190</v>
      </c>
      <c r="D179" s="18" t="s">
        <v>215</v>
      </c>
      <c r="E179" s="19" t="s">
        <v>726</v>
      </c>
      <c r="F179" s="17" t="s">
        <v>727</v>
      </c>
      <c r="G179" s="21" t="s">
        <v>728</v>
      </c>
      <c r="H179" s="19"/>
      <c r="I179" s="21" t="s">
        <v>5</v>
      </c>
    </row>
    <row r="180" spans="1:9" x14ac:dyDescent="0.35">
      <c r="A180" s="17" t="s">
        <v>214</v>
      </c>
      <c r="B180" s="17"/>
      <c r="C180" s="19" t="s">
        <v>227</v>
      </c>
      <c r="D180" s="18" t="s">
        <v>87</v>
      </c>
      <c r="E180" s="19" t="s">
        <v>726</v>
      </c>
      <c r="F180" s="17" t="s">
        <v>727</v>
      </c>
      <c r="G180" s="21" t="s">
        <v>728</v>
      </c>
      <c r="H180" s="19"/>
      <c r="I180" s="21" t="s">
        <v>5</v>
      </c>
    </row>
    <row r="181" spans="1:9" x14ac:dyDescent="0.35">
      <c r="A181" s="17" t="s">
        <v>214</v>
      </c>
      <c r="B181" s="17" t="s">
        <v>385</v>
      </c>
      <c r="C181" s="19" t="s">
        <v>23</v>
      </c>
      <c r="D181" s="18" t="s">
        <v>93</v>
      </c>
      <c r="E181" s="19" t="s">
        <v>732</v>
      </c>
      <c r="F181" s="17" t="s">
        <v>735</v>
      </c>
      <c r="G181" s="21" t="s">
        <v>736</v>
      </c>
      <c r="H181" s="19">
        <v>1</v>
      </c>
      <c r="I181" s="21" t="s">
        <v>9</v>
      </c>
    </row>
    <row r="182" spans="1:9" x14ac:dyDescent="0.35">
      <c r="A182" s="17" t="s">
        <v>214</v>
      </c>
      <c r="B182" s="17" t="s">
        <v>511</v>
      </c>
      <c r="C182" s="19" t="s">
        <v>96</v>
      </c>
      <c r="D182" s="18" t="s">
        <v>111</v>
      </c>
      <c r="E182" s="19" t="s">
        <v>729</v>
      </c>
      <c r="F182" s="17" t="s">
        <v>730</v>
      </c>
      <c r="G182" s="21" t="s">
        <v>731</v>
      </c>
      <c r="H182" s="19"/>
      <c r="I182" s="21" t="s">
        <v>17</v>
      </c>
    </row>
    <row r="183" spans="1:9" x14ac:dyDescent="0.35">
      <c r="A183" s="17" t="s">
        <v>214</v>
      </c>
      <c r="B183" s="17" t="s">
        <v>383</v>
      </c>
      <c r="C183" s="19" t="s">
        <v>23</v>
      </c>
      <c r="D183" s="18" t="s">
        <v>333</v>
      </c>
      <c r="E183" s="19" t="s">
        <v>732</v>
      </c>
      <c r="F183" s="17" t="s">
        <v>735</v>
      </c>
      <c r="G183" s="21" t="s">
        <v>736</v>
      </c>
      <c r="H183" s="19">
        <v>1</v>
      </c>
      <c r="I183" s="21" t="s">
        <v>9</v>
      </c>
    </row>
    <row r="184" spans="1:9" x14ac:dyDescent="0.35">
      <c r="A184" s="17" t="s">
        <v>214</v>
      </c>
      <c r="B184" s="17" t="s">
        <v>384</v>
      </c>
      <c r="C184" s="19" t="s">
        <v>23</v>
      </c>
      <c r="D184" s="18" t="s">
        <v>183</v>
      </c>
      <c r="E184" s="19" t="s">
        <v>732</v>
      </c>
      <c r="F184" s="17" t="s">
        <v>735</v>
      </c>
      <c r="G184" s="21" t="s">
        <v>736</v>
      </c>
      <c r="H184" s="19">
        <v>1</v>
      </c>
      <c r="I184" s="21" t="s">
        <v>9</v>
      </c>
    </row>
    <row r="185" spans="1:9" x14ac:dyDescent="0.35">
      <c r="A185" s="17" t="s">
        <v>205</v>
      </c>
      <c r="B185" s="17"/>
      <c r="C185" s="19" t="s">
        <v>190</v>
      </c>
      <c r="D185" s="18" t="s">
        <v>65</v>
      </c>
      <c r="E185" s="19" t="s">
        <v>726</v>
      </c>
      <c r="F185" s="17" t="s">
        <v>727</v>
      </c>
      <c r="G185" s="21" t="s">
        <v>728</v>
      </c>
      <c r="H185" s="19"/>
      <c r="I185" s="21" t="s">
        <v>5</v>
      </c>
    </row>
    <row r="186" spans="1:9" x14ac:dyDescent="0.35">
      <c r="A186" s="17" t="s">
        <v>205</v>
      </c>
      <c r="B186" s="17"/>
      <c r="C186" s="19" t="s">
        <v>227</v>
      </c>
      <c r="D186" s="18" t="s">
        <v>152</v>
      </c>
      <c r="E186" s="19" t="s">
        <v>726</v>
      </c>
      <c r="F186" s="17" t="s">
        <v>727</v>
      </c>
      <c r="G186" s="21" t="s">
        <v>728</v>
      </c>
      <c r="H186" s="19"/>
      <c r="I186" s="21" t="s">
        <v>5</v>
      </c>
    </row>
    <row r="187" spans="1:9" x14ac:dyDescent="0.35">
      <c r="A187" s="17" t="s">
        <v>205</v>
      </c>
      <c r="B187" s="17" t="s">
        <v>327</v>
      </c>
      <c r="C187" s="19" t="s">
        <v>190</v>
      </c>
      <c r="D187" s="18" t="s">
        <v>174</v>
      </c>
      <c r="E187" s="19" t="s">
        <v>732</v>
      </c>
      <c r="F187" s="17" t="s">
        <v>735</v>
      </c>
      <c r="G187" s="21" t="s">
        <v>736</v>
      </c>
      <c r="H187" s="19">
        <v>2</v>
      </c>
      <c r="I187" s="21" t="s">
        <v>9</v>
      </c>
    </row>
    <row r="188" spans="1:9" x14ac:dyDescent="0.35">
      <c r="A188" s="17" t="s">
        <v>205</v>
      </c>
      <c r="B188" s="17" t="s">
        <v>327</v>
      </c>
      <c r="C188" s="19" t="s">
        <v>432</v>
      </c>
      <c r="D188" s="18" t="s">
        <v>174</v>
      </c>
      <c r="E188" s="19" t="s">
        <v>732</v>
      </c>
      <c r="F188" s="17" t="s">
        <v>735</v>
      </c>
      <c r="G188" s="21" t="s">
        <v>736</v>
      </c>
      <c r="H188" s="19">
        <v>3</v>
      </c>
      <c r="I188" s="21" t="s">
        <v>9</v>
      </c>
    </row>
    <row r="189" spans="1:9" x14ac:dyDescent="0.35">
      <c r="A189" s="17" t="s">
        <v>205</v>
      </c>
      <c r="B189" s="17" t="s">
        <v>439</v>
      </c>
      <c r="C189" s="19" t="s">
        <v>23</v>
      </c>
      <c r="D189" s="18" t="s">
        <v>127</v>
      </c>
      <c r="E189" s="19" t="s">
        <v>732</v>
      </c>
      <c r="F189" s="17" t="s">
        <v>733</v>
      </c>
      <c r="G189" s="21" t="s">
        <v>734</v>
      </c>
      <c r="H189" s="19">
        <v>5</v>
      </c>
      <c r="I189" s="21" t="s">
        <v>15</v>
      </c>
    </row>
    <row r="190" spans="1:9" x14ac:dyDescent="0.35">
      <c r="A190" s="17" t="s">
        <v>205</v>
      </c>
      <c r="B190" s="17" t="s">
        <v>439</v>
      </c>
      <c r="C190" s="19" t="s">
        <v>96</v>
      </c>
      <c r="D190" s="18" t="s">
        <v>168</v>
      </c>
      <c r="E190" s="19" t="s">
        <v>732</v>
      </c>
      <c r="F190" s="17" t="s">
        <v>733</v>
      </c>
      <c r="G190" s="21" t="s">
        <v>734</v>
      </c>
      <c r="H190" s="19">
        <v>5</v>
      </c>
      <c r="I190" s="21" t="s">
        <v>15</v>
      </c>
    </row>
    <row r="191" spans="1:9" x14ac:dyDescent="0.35">
      <c r="A191" s="17" t="s">
        <v>205</v>
      </c>
      <c r="B191" s="17" t="s">
        <v>439</v>
      </c>
      <c r="C191" s="19" t="s">
        <v>145</v>
      </c>
      <c r="D191" s="18" t="s">
        <v>162</v>
      </c>
      <c r="E191" s="19" t="s">
        <v>732</v>
      </c>
      <c r="F191" s="17" t="s">
        <v>733</v>
      </c>
      <c r="G191" s="21" t="s">
        <v>734</v>
      </c>
      <c r="H191" s="19">
        <v>5</v>
      </c>
      <c r="I191" s="21" t="s">
        <v>15</v>
      </c>
    </row>
    <row r="192" spans="1:9" x14ac:dyDescent="0.35">
      <c r="A192" s="17" t="s">
        <v>205</v>
      </c>
      <c r="B192" s="17" t="s">
        <v>439</v>
      </c>
      <c r="C192" s="19" t="s">
        <v>227</v>
      </c>
      <c r="D192" s="18" t="s">
        <v>118</v>
      </c>
      <c r="E192" s="19" t="s">
        <v>732</v>
      </c>
      <c r="F192" s="17" t="s">
        <v>733</v>
      </c>
      <c r="G192" s="21" t="s">
        <v>734</v>
      </c>
      <c r="H192" s="19">
        <v>5</v>
      </c>
      <c r="I192" s="21" t="s">
        <v>15</v>
      </c>
    </row>
    <row r="193" spans="1:9" x14ac:dyDescent="0.35">
      <c r="A193" s="17" t="s">
        <v>205</v>
      </c>
      <c r="B193" s="17" t="s">
        <v>439</v>
      </c>
      <c r="C193" s="19" t="s">
        <v>308</v>
      </c>
      <c r="D193" s="18" t="s">
        <v>168</v>
      </c>
      <c r="E193" s="19" t="s">
        <v>732</v>
      </c>
      <c r="F193" s="17" t="s">
        <v>733</v>
      </c>
      <c r="G193" s="21" t="s">
        <v>734</v>
      </c>
      <c r="H193" s="19">
        <v>4</v>
      </c>
      <c r="I193" s="21" t="s">
        <v>15</v>
      </c>
    </row>
    <row r="194" spans="1:9" x14ac:dyDescent="0.35">
      <c r="A194" s="17" t="s">
        <v>205</v>
      </c>
      <c r="B194" s="17">
        <v>113</v>
      </c>
      <c r="C194" s="19" t="s">
        <v>23</v>
      </c>
      <c r="D194" s="18" t="s">
        <v>238</v>
      </c>
      <c r="E194" s="19" t="s">
        <v>732</v>
      </c>
      <c r="F194" s="17" t="s">
        <v>733</v>
      </c>
      <c r="G194" s="21" t="s">
        <v>734</v>
      </c>
      <c r="H194" s="19">
        <v>3</v>
      </c>
      <c r="I194" s="21" t="s">
        <v>15</v>
      </c>
    </row>
    <row r="195" spans="1:9" x14ac:dyDescent="0.35">
      <c r="A195" s="17" t="s">
        <v>205</v>
      </c>
      <c r="B195" s="17">
        <v>113</v>
      </c>
      <c r="C195" s="19" t="s">
        <v>96</v>
      </c>
      <c r="D195" s="18" t="s">
        <v>79</v>
      </c>
      <c r="E195" s="19" t="s">
        <v>732</v>
      </c>
      <c r="F195" s="17" t="s">
        <v>733</v>
      </c>
      <c r="G195" s="21" t="s">
        <v>734</v>
      </c>
      <c r="H195" s="19">
        <v>3</v>
      </c>
      <c r="I195" s="21" t="s">
        <v>15</v>
      </c>
    </row>
    <row r="196" spans="1:9" x14ac:dyDescent="0.35">
      <c r="A196" s="17" t="s">
        <v>205</v>
      </c>
      <c r="B196" s="17">
        <v>113</v>
      </c>
      <c r="C196" s="19" t="s">
        <v>145</v>
      </c>
      <c r="D196" s="18" t="s">
        <v>238</v>
      </c>
      <c r="E196" s="19" t="s">
        <v>732</v>
      </c>
      <c r="F196" s="17" t="s">
        <v>733</v>
      </c>
      <c r="G196" s="21" t="s">
        <v>734</v>
      </c>
      <c r="H196" s="19">
        <v>3</v>
      </c>
      <c r="I196" s="21" t="s">
        <v>15</v>
      </c>
    </row>
    <row r="197" spans="1:9" x14ac:dyDescent="0.35">
      <c r="A197" s="17" t="s">
        <v>205</v>
      </c>
      <c r="B197" s="17">
        <v>113</v>
      </c>
      <c r="C197" s="19" t="s">
        <v>190</v>
      </c>
      <c r="D197" s="18" t="s">
        <v>79</v>
      </c>
      <c r="E197" s="19" t="s">
        <v>732</v>
      </c>
      <c r="F197" s="17" t="s">
        <v>735</v>
      </c>
      <c r="G197" s="21" t="s">
        <v>736</v>
      </c>
      <c r="H197" s="19">
        <v>3</v>
      </c>
      <c r="I197" s="21" t="s">
        <v>9</v>
      </c>
    </row>
    <row r="198" spans="1:9" x14ac:dyDescent="0.35">
      <c r="A198" s="17" t="s">
        <v>205</v>
      </c>
      <c r="B198" s="17">
        <v>113</v>
      </c>
      <c r="C198" s="19" t="s">
        <v>227</v>
      </c>
      <c r="D198" s="18" t="s">
        <v>204</v>
      </c>
      <c r="E198" s="19" t="s">
        <v>732</v>
      </c>
      <c r="F198" s="17" t="s">
        <v>733</v>
      </c>
      <c r="G198" s="21" t="s">
        <v>734</v>
      </c>
      <c r="H198" s="19">
        <v>3</v>
      </c>
      <c r="I198" s="21" t="s">
        <v>15</v>
      </c>
    </row>
    <row r="199" spans="1:9" x14ac:dyDescent="0.35">
      <c r="A199" s="17" t="s">
        <v>205</v>
      </c>
      <c r="B199" s="17">
        <v>113</v>
      </c>
      <c r="C199" s="19" t="s">
        <v>227</v>
      </c>
      <c r="D199" s="18" t="s">
        <v>188</v>
      </c>
      <c r="E199" s="19" t="s">
        <v>732</v>
      </c>
      <c r="F199" s="17" t="s">
        <v>733</v>
      </c>
      <c r="G199" s="21" t="s">
        <v>734</v>
      </c>
      <c r="H199" s="19">
        <v>3</v>
      </c>
      <c r="I199" s="21" t="s">
        <v>15</v>
      </c>
    </row>
    <row r="200" spans="1:9" x14ac:dyDescent="0.35">
      <c r="A200" s="17" t="s">
        <v>205</v>
      </c>
      <c r="B200" s="17">
        <v>113</v>
      </c>
      <c r="C200" s="19" t="s">
        <v>308</v>
      </c>
      <c r="D200" s="18" t="s">
        <v>123</v>
      </c>
      <c r="E200" s="19" t="s">
        <v>732</v>
      </c>
      <c r="F200" s="17" t="s">
        <v>733</v>
      </c>
      <c r="G200" s="21" t="s">
        <v>734</v>
      </c>
      <c r="H200" s="19">
        <v>3</v>
      </c>
      <c r="I200" s="21" t="s">
        <v>15</v>
      </c>
    </row>
    <row r="201" spans="1:9" x14ac:dyDescent="0.35">
      <c r="A201" s="17" t="s">
        <v>205</v>
      </c>
      <c r="B201" s="17">
        <v>113</v>
      </c>
      <c r="C201" s="19" t="s">
        <v>432</v>
      </c>
      <c r="D201" s="18" t="s">
        <v>79</v>
      </c>
      <c r="E201" s="19" t="s">
        <v>732</v>
      </c>
      <c r="F201" s="17" t="s">
        <v>735</v>
      </c>
      <c r="G201" s="21" t="s">
        <v>736</v>
      </c>
      <c r="H201" s="19">
        <v>2</v>
      </c>
      <c r="I201" s="21" t="s">
        <v>9</v>
      </c>
    </row>
    <row r="202" spans="1:9" x14ac:dyDescent="0.35">
      <c r="A202" s="17" t="s">
        <v>205</v>
      </c>
      <c r="B202" s="17" t="s">
        <v>396</v>
      </c>
      <c r="C202" s="19" t="s">
        <v>145</v>
      </c>
      <c r="D202" s="18" t="s">
        <v>759</v>
      </c>
      <c r="E202" s="19" t="s">
        <v>745</v>
      </c>
      <c r="F202" s="17" t="s">
        <v>746</v>
      </c>
      <c r="G202" s="21" t="s">
        <v>747</v>
      </c>
      <c r="H202" s="19"/>
      <c r="I202" s="21" t="s">
        <v>11</v>
      </c>
    </row>
    <row r="203" spans="1:9" x14ac:dyDescent="0.35">
      <c r="A203" s="17" t="s">
        <v>205</v>
      </c>
      <c r="B203" s="17" t="s">
        <v>303</v>
      </c>
      <c r="C203" s="19" t="s">
        <v>23</v>
      </c>
      <c r="D203" s="18" t="s">
        <v>123</v>
      </c>
      <c r="E203" s="19" t="s">
        <v>740</v>
      </c>
      <c r="F203" s="17" t="s">
        <v>743</v>
      </c>
      <c r="G203" s="21" t="s">
        <v>744</v>
      </c>
      <c r="H203" s="19">
        <v>1</v>
      </c>
      <c r="I203" s="21" t="s">
        <v>19</v>
      </c>
    </row>
    <row r="204" spans="1:9" x14ac:dyDescent="0.35">
      <c r="A204" s="17" t="s">
        <v>205</v>
      </c>
      <c r="B204" s="17" t="s">
        <v>303</v>
      </c>
      <c r="C204" s="19" t="s">
        <v>227</v>
      </c>
      <c r="D204" s="18" t="s">
        <v>114</v>
      </c>
      <c r="E204" s="19" t="s">
        <v>740</v>
      </c>
      <c r="F204" s="17" t="s">
        <v>741</v>
      </c>
      <c r="G204" s="21" t="s">
        <v>742</v>
      </c>
      <c r="H204" s="19">
        <v>1</v>
      </c>
      <c r="I204" s="21" t="s">
        <v>7</v>
      </c>
    </row>
    <row r="205" spans="1:9" x14ac:dyDescent="0.35">
      <c r="A205" s="17" t="s">
        <v>205</v>
      </c>
      <c r="B205" s="17" t="s">
        <v>300</v>
      </c>
      <c r="C205" s="19" t="s">
        <v>96</v>
      </c>
      <c r="D205" s="18" t="s">
        <v>238</v>
      </c>
      <c r="E205" s="19" t="s">
        <v>740</v>
      </c>
      <c r="F205" s="17" t="s">
        <v>741</v>
      </c>
      <c r="G205" s="21" t="s">
        <v>742</v>
      </c>
      <c r="H205" s="19">
        <v>1</v>
      </c>
      <c r="I205" s="21" t="s">
        <v>7</v>
      </c>
    </row>
    <row r="206" spans="1:9" x14ac:dyDescent="0.35">
      <c r="A206" s="17" t="s">
        <v>205</v>
      </c>
      <c r="B206" s="17" t="s">
        <v>300</v>
      </c>
      <c r="C206" s="19" t="s">
        <v>227</v>
      </c>
      <c r="D206" s="18" t="s">
        <v>65</v>
      </c>
      <c r="E206" s="19" t="s">
        <v>740</v>
      </c>
      <c r="F206" s="17" t="s">
        <v>741</v>
      </c>
      <c r="G206" s="21" t="s">
        <v>742</v>
      </c>
      <c r="H206" s="19">
        <v>1</v>
      </c>
      <c r="I206" s="21" t="s">
        <v>7</v>
      </c>
    </row>
    <row r="207" spans="1:9" x14ac:dyDescent="0.35">
      <c r="A207" s="17" t="s">
        <v>205</v>
      </c>
      <c r="B207" s="17" t="s">
        <v>300</v>
      </c>
      <c r="C207" s="19" t="s">
        <v>308</v>
      </c>
      <c r="D207" s="18" t="s">
        <v>238</v>
      </c>
      <c r="E207" s="19" t="s">
        <v>740</v>
      </c>
      <c r="F207" s="17" t="s">
        <v>741</v>
      </c>
      <c r="G207" s="21" t="s">
        <v>742</v>
      </c>
      <c r="H207" s="19">
        <v>1</v>
      </c>
      <c r="I207" s="21" t="s">
        <v>7</v>
      </c>
    </row>
    <row r="208" spans="1:9" x14ac:dyDescent="0.35">
      <c r="A208" s="17" t="s">
        <v>205</v>
      </c>
      <c r="B208" s="17" t="s">
        <v>325</v>
      </c>
      <c r="C208" s="19" t="s">
        <v>23</v>
      </c>
      <c r="D208" s="18" t="s">
        <v>61</v>
      </c>
      <c r="E208" s="19" t="s">
        <v>732</v>
      </c>
      <c r="F208" s="17" t="s">
        <v>733</v>
      </c>
      <c r="G208" s="21" t="s">
        <v>734</v>
      </c>
      <c r="H208" s="19">
        <v>5</v>
      </c>
      <c r="I208" s="21" t="s">
        <v>15</v>
      </c>
    </row>
    <row r="209" spans="1:9" x14ac:dyDescent="0.35">
      <c r="A209" s="17" t="s">
        <v>205</v>
      </c>
      <c r="B209" s="17" t="s">
        <v>325</v>
      </c>
      <c r="C209" s="19" t="s">
        <v>23</v>
      </c>
      <c r="D209" s="18" t="s">
        <v>93</v>
      </c>
      <c r="E209" s="19" t="s">
        <v>732</v>
      </c>
      <c r="F209" s="17" t="s">
        <v>733</v>
      </c>
      <c r="G209" s="21" t="s">
        <v>734</v>
      </c>
      <c r="H209" s="19">
        <v>5</v>
      </c>
      <c r="I209" s="21" t="s">
        <v>15</v>
      </c>
    </row>
    <row r="210" spans="1:9" x14ac:dyDescent="0.35">
      <c r="A210" s="17" t="s">
        <v>205</v>
      </c>
      <c r="B210" s="17" t="s">
        <v>325</v>
      </c>
      <c r="C210" s="19" t="s">
        <v>96</v>
      </c>
      <c r="D210" s="18" t="s">
        <v>141</v>
      </c>
      <c r="E210" s="19" t="s">
        <v>732</v>
      </c>
      <c r="F210" s="17" t="s">
        <v>733</v>
      </c>
      <c r="G210" s="21" t="s">
        <v>734</v>
      </c>
      <c r="H210" s="19">
        <v>5</v>
      </c>
      <c r="I210" s="21" t="s">
        <v>15</v>
      </c>
    </row>
    <row r="211" spans="1:9" x14ac:dyDescent="0.35">
      <c r="A211" s="17" t="s">
        <v>205</v>
      </c>
      <c r="B211" s="17" t="s">
        <v>325</v>
      </c>
      <c r="C211" s="19" t="s">
        <v>145</v>
      </c>
      <c r="D211" s="18" t="s">
        <v>57</v>
      </c>
      <c r="E211" s="19" t="s">
        <v>732</v>
      </c>
      <c r="F211" s="17" t="s">
        <v>733</v>
      </c>
      <c r="G211" s="21" t="s">
        <v>734</v>
      </c>
      <c r="H211" s="19">
        <v>5</v>
      </c>
      <c r="I211" s="21" t="s">
        <v>15</v>
      </c>
    </row>
    <row r="212" spans="1:9" x14ac:dyDescent="0.35">
      <c r="A212" s="17" t="s">
        <v>205</v>
      </c>
      <c r="B212" s="17" t="s">
        <v>325</v>
      </c>
      <c r="C212" s="19" t="s">
        <v>145</v>
      </c>
      <c r="D212" s="18" t="s">
        <v>93</v>
      </c>
      <c r="E212" s="19" t="s">
        <v>732</v>
      </c>
      <c r="F212" s="17" t="s">
        <v>733</v>
      </c>
      <c r="G212" s="21" t="s">
        <v>734</v>
      </c>
      <c r="H212" s="19">
        <v>4</v>
      </c>
      <c r="I212" s="21" t="s">
        <v>15</v>
      </c>
    </row>
    <row r="213" spans="1:9" x14ac:dyDescent="0.35">
      <c r="A213" s="17" t="s">
        <v>205</v>
      </c>
      <c r="B213" s="17" t="s">
        <v>325</v>
      </c>
      <c r="C213" s="19" t="s">
        <v>190</v>
      </c>
      <c r="D213" s="18" t="s">
        <v>166</v>
      </c>
      <c r="E213" s="19" t="s">
        <v>732</v>
      </c>
      <c r="F213" s="17" t="s">
        <v>735</v>
      </c>
      <c r="G213" s="21" t="s">
        <v>736</v>
      </c>
      <c r="H213" s="19">
        <v>3</v>
      </c>
      <c r="I213" s="21" t="s">
        <v>9</v>
      </c>
    </row>
    <row r="214" spans="1:9" x14ac:dyDescent="0.35">
      <c r="A214" s="17" t="s">
        <v>205</v>
      </c>
      <c r="B214" s="17" t="s">
        <v>325</v>
      </c>
      <c r="C214" s="19" t="s">
        <v>227</v>
      </c>
      <c r="D214" s="18" t="s">
        <v>81</v>
      </c>
      <c r="E214" s="19" t="s">
        <v>732</v>
      </c>
      <c r="F214" s="17" t="s">
        <v>733</v>
      </c>
      <c r="G214" s="21" t="s">
        <v>734</v>
      </c>
      <c r="H214" s="19">
        <v>4</v>
      </c>
      <c r="I214" s="21" t="s">
        <v>15</v>
      </c>
    </row>
    <row r="215" spans="1:9" x14ac:dyDescent="0.35">
      <c r="A215" s="17" t="s">
        <v>205</v>
      </c>
      <c r="B215" s="17" t="s">
        <v>325</v>
      </c>
      <c r="C215" s="19" t="s">
        <v>308</v>
      </c>
      <c r="D215" s="18" t="s">
        <v>87</v>
      </c>
      <c r="E215" s="19" t="s">
        <v>732</v>
      </c>
      <c r="F215" s="17" t="s">
        <v>733</v>
      </c>
      <c r="G215" s="21" t="s">
        <v>734</v>
      </c>
      <c r="H215" s="19">
        <v>5</v>
      </c>
      <c r="I215" s="21" t="s">
        <v>15</v>
      </c>
    </row>
    <row r="216" spans="1:9" x14ac:dyDescent="0.35">
      <c r="A216" s="17" t="s">
        <v>205</v>
      </c>
      <c r="B216" s="17" t="s">
        <v>325</v>
      </c>
      <c r="C216" s="19" t="s">
        <v>432</v>
      </c>
      <c r="D216" s="18" t="s">
        <v>166</v>
      </c>
      <c r="E216" s="19" t="s">
        <v>732</v>
      </c>
      <c r="F216" s="17" t="s">
        <v>735</v>
      </c>
      <c r="G216" s="21" t="s">
        <v>736</v>
      </c>
      <c r="H216" s="19">
        <v>3</v>
      </c>
      <c r="I216" s="21" t="s">
        <v>9</v>
      </c>
    </row>
    <row r="217" spans="1:9" x14ac:dyDescent="0.35">
      <c r="A217" s="17" t="s">
        <v>621</v>
      </c>
      <c r="B217" s="17" t="s">
        <v>622</v>
      </c>
      <c r="C217" s="19" t="s">
        <v>190</v>
      </c>
      <c r="D217" s="18" t="s">
        <v>186</v>
      </c>
      <c r="E217" s="19" t="s">
        <v>729</v>
      </c>
      <c r="F217" s="17" t="s">
        <v>730</v>
      </c>
      <c r="G217" s="21" t="s">
        <v>731</v>
      </c>
      <c r="H217" s="19"/>
      <c r="I217" s="21" t="s">
        <v>17</v>
      </c>
    </row>
    <row r="218" spans="1:9" x14ac:dyDescent="0.35">
      <c r="A218" s="17" t="s">
        <v>210</v>
      </c>
      <c r="B218" s="17"/>
      <c r="C218" s="19" t="s">
        <v>190</v>
      </c>
      <c r="D218" s="18" t="s">
        <v>123</v>
      </c>
      <c r="E218" s="19" t="s">
        <v>726</v>
      </c>
      <c r="F218" s="17" t="s">
        <v>727</v>
      </c>
      <c r="G218" s="21" t="s">
        <v>728</v>
      </c>
      <c r="H218" s="19"/>
      <c r="I218" s="21" t="s">
        <v>5</v>
      </c>
    </row>
    <row r="219" spans="1:9" x14ac:dyDescent="0.35">
      <c r="A219" s="17" t="s">
        <v>78</v>
      </c>
      <c r="B219" s="17"/>
      <c r="C219" s="19" t="s">
        <v>23</v>
      </c>
      <c r="D219" s="18" t="s">
        <v>79</v>
      </c>
      <c r="E219" s="19" t="s">
        <v>726</v>
      </c>
      <c r="F219" s="17" t="s">
        <v>727</v>
      </c>
      <c r="G219" s="21" t="s">
        <v>728</v>
      </c>
      <c r="H219" s="19"/>
      <c r="I219" s="21" t="s">
        <v>5</v>
      </c>
    </row>
    <row r="220" spans="1:9" x14ac:dyDescent="0.35">
      <c r="A220" s="17" t="s">
        <v>78</v>
      </c>
      <c r="B220" s="17" t="s">
        <v>266</v>
      </c>
      <c r="C220" s="19" t="s">
        <v>23</v>
      </c>
      <c r="D220" s="18" t="s">
        <v>39</v>
      </c>
      <c r="E220" s="19" t="s">
        <v>740</v>
      </c>
      <c r="F220" s="17" t="s">
        <v>741</v>
      </c>
      <c r="G220" s="21" t="s">
        <v>742</v>
      </c>
      <c r="H220" s="19">
        <v>3</v>
      </c>
      <c r="I220" s="21" t="s">
        <v>7</v>
      </c>
    </row>
    <row r="221" spans="1:9" x14ac:dyDescent="0.35">
      <c r="A221" s="17" t="s">
        <v>78</v>
      </c>
      <c r="B221" s="17" t="s">
        <v>266</v>
      </c>
      <c r="C221" s="19" t="s">
        <v>96</v>
      </c>
      <c r="D221" s="18" t="s">
        <v>39</v>
      </c>
      <c r="E221" s="19" t="s">
        <v>740</v>
      </c>
      <c r="F221" s="17" t="s">
        <v>741</v>
      </c>
      <c r="G221" s="21" t="s">
        <v>742</v>
      </c>
      <c r="H221" s="19">
        <v>3</v>
      </c>
      <c r="I221" s="21" t="s">
        <v>7</v>
      </c>
    </row>
    <row r="222" spans="1:9" x14ac:dyDescent="0.35">
      <c r="A222" s="17" t="s">
        <v>78</v>
      </c>
      <c r="B222" s="17" t="s">
        <v>266</v>
      </c>
      <c r="C222" s="19" t="s">
        <v>145</v>
      </c>
      <c r="D222" s="18" t="s">
        <v>39</v>
      </c>
      <c r="E222" s="19" t="s">
        <v>740</v>
      </c>
      <c r="F222" s="17" t="s">
        <v>741</v>
      </c>
      <c r="G222" s="21" t="s">
        <v>742</v>
      </c>
      <c r="H222" s="19">
        <v>3</v>
      </c>
      <c r="I222" s="21" t="s">
        <v>7</v>
      </c>
    </row>
    <row r="223" spans="1:9" x14ac:dyDescent="0.35">
      <c r="A223" s="17" t="s">
        <v>78</v>
      </c>
      <c r="B223" s="17" t="s">
        <v>266</v>
      </c>
      <c r="C223" s="19" t="s">
        <v>190</v>
      </c>
      <c r="D223" s="18" t="s">
        <v>53</v>
      </c>
      <c r="E223" s="19" t="s">
        <v>740</v>
      </c>
      <c r="F223" s="17" t="s">
        <v>743</v>
      </c>
      <c r="G223" s="21" t="s">
        <v>744</v>
      </c>
      <c r="H223" s="19">
        <v>2</v>
      </c>
      <c r="I223" s="21" t="s">
        <v>19</v>
      </c>
    </row>
    <row r="224" spans="1:9" x14ac:dyDescent="0.35">
      <c r="A224" s="17" t="s">
        <v>78</v>
      </c>
      <c r="B224" s="17" t="s">
        <v>266</v>
      </c>
      <c r="C224" s="19" t="s">
        <v>227</v>
      </c>
      <c r="D224" s="18" t="s">
        <v>39</v>
      </c>
      <c r="E224" s="19" t="s">
        <v>740</v>
      </c>
      <c r="F224" s="17" t="s">
        <v>741</v>
      </c>
      <c r="G224" s="21" t="s">
        <v>742</v>
      </c>
      <c r="H224" s="19">
        <v>3</v>
      </c>
      <c r="I224" s="21" t="s">
        <v>7</v>
      </c>
    </row>
    <row r="225" spans="1:9" x14ac:dyDescent="0.35">
      <c r="A225" s="17" t="s">
        <v>78</v>
      </c>
      <c r="B225" s="17" t="s">
        <v>266</v>
      </c>
      <c r="C225" s="19" t="s">
        <v>308</v>
      </c>
      <c r="D225" s="18" t="s">
        <v>39</v>
      </c>
      <c r="E225" s="19" t="s">
        <v>740</v>
      </c>
      <c r="F225" s="17" t="s">
        <v>741</v>
      </c>
      <c r="G225" s="21" t="s">
        <v>742</v>
      </c>
      <c r="H225" s="19">
        <v>3</v>
      </c>
      <c r="I225" s="21" t="s">
        <v>7</v>
      </c>
    </row>
    <row r="226" spans="1:9" x14ac:dyDescent="0.35">
      <c r="A226" s="17" t="s">
        <v>78</v>
      </c>
      <c r="B226" s="17" t="s">
        <v>266</v>
      </c>
      <c r="C226" s="19" t="s">
        <v>432</v>
      </c>
      <c r="D226" s="18" t="s">
        <v>53</v>
      </c>
      <c r="E226" s="19" t="s">
        <v>740</v>
      </c>
      <c r="F226" s="17" t="s">
        <v>743</v>
      </c>
      <c r="G226" s="21" t="s">
        <v>744</v>
      </c>
      <c r="H226" s="19">
        <v>3</v>
      </c>
      <c r="I226" s="21" t="s">
        <v>19</v>
      </c>
    </row>
    <row r="227" spans="1:9" x14ac:dyDescent="0.35">
      <c r="A227" s="17" t="s">
        <v>78</v>
      </c>
      <c r="B227" s="17" t="s">
        <v>372</v>
      </c>
      <c r="C227" s="19" t="s">
        <v>23</v>
      </c>
      <c r="D227" s="18" t="s">
        <v>59</v>
      </c>
      <c r="E227" s="19" t="s">
        <v>732</v>
      </c>
      <c r="F227" s="17" t="s">
        <v>735</v>
      </c>
      <c r="G227" s="21" t="s">
        <v>736</v>
      </c>
      <c r="H227" s="19">
        <v>1</v>
      </c>
      <c r="I227" s="21" t="s">
        <v>9</v>
      </c>
    </row>
    <row r="228" spans="1:9" x14ac:dyDescent="0.35">
      <c r="A228" s="17" t="s">
        <v>207</v>
      </c>
      <c r="B228" s="17"/>
      <c r="C228" s="19" t="s">
        <v>190</v>
      </c>
      <c r="D228" s="18" t="s">
        <v>208</v>
      </c>
      <c r="E228" s="19" t="s">
        <v>726</v>
      </c>
      <c r="F228" s="17" t="s">
        <v>727</v>
      </c>
      <c r="G228" s="21" t="s">
        <v>728</v>
      </c>
      <c r="H228" s="19"/>
      <c r="I228" s="21" t="s">
        <v>5</v>
      </c>
    </row>
    <row r="229" spans="1:9" x14ac:dyDescent="0.35">
      <c r="A229" s="17" t="s">
        <v>207</v>
      </c>
      <c r="B229" s="17" t="s">
        <v>438</v>
      </c>
      <c r="C229" s="19" t="s">
        <v>23</v>
      </c>
      <c r="D229" s="18" t="s">
        <v>204</v>
      </c>
      <c r="E229" s="19" t="s">
        <v>732</v>
      </c>
      <c r="F229" s="17" t="s">
        <v>733</v>
      </c>
      <c r="G229" s="21" t="s">
        <v>734</v>
      </c>
      <c r="H229" s="19">
        <v>1</v>
      </c>
      <c r="I229" s="21" t="s">
        <v>15</v>
      </c>
    </row>
    <row r="230" spans="1:9" x14ac:dyDescent="0.35">
      <c r="A230" s="17" t="s">
        <v>207</v>
      </c>
      <c r="B230" s="17" t="s">
        <v>438</v>
      </c>
      <c r="C230" s="19" t="s">
        <v>227</v>
      </c>
      <c r="D230" s="18" t="s">
        <v>61</v>
      </c>
      <c r="E230" s="19" t="s">
        <v>732</v>
      </c>
      <c r="F230" s="17" t="s">
        <v>733</v>
      </c>
      <c r="G230" s="21" t="s">
        <v>734</v>
      </c>
      <c r="H230" s="19">
        <v>1</v>
      </c>
      <c r="I230" s="21" t="s">
        <v>15</v>
      </c>
    </row>
    <row r="231" spans="1:9" x14ac:dyDescent="0.35">
      <c r="A231" s="17" t="s">
        <v>207</v>
      </c>
      <c r="B231" s="17">
        <v>12</v>
      </c>
      <c r="C231" s="19" t="s">
        <v>23</v>
      </c>
      <c r="D231" s="18" t="s">
        <v>270</v>
      </c>
      <c r="E231" s="19" t="s">
        <v>748</v>
      </c>
      <c r="F231" s="17" t="s">
        <v>749</v>
      </c>
      <c r="G231" s="21" t="s">
        <v>750</v>
      </c>
      <c r="H231" s="19">
        <v>2</v>
      </c>
      <c r="I231" s="21" t="s">
        <v>13</v>
      </c>
    </row>
    <row r="232" spans="1:9" x14ac:dyDescent="0.35">
      <c r="A232" s="17" t="s">
        <v>207</v>
      </c>
      <c r="B232" s="17">
        <v>12</v>
      </c>
      <c r="C232" s="19" t="s">
        <v>96</v>
      </c>
      <c r="D232" s="18" t="s">
        <v>270</v>
      </c>
      <c r="E232" s="19" t="s">
        <v>748</v>
      </c>
      <c r="F232" s="17" t="s">
        <v>749</v>
      </c>
      <c r="G232" s="21" t="s">
        <v>750</v>
      </c>
      <c r="H232" s="19">
        <v>2</v>
      </c>
      <c r="I232" s="21" t="s">
        <v>13</v>
      </c>
    </row>
    <row r="233" spans="1:9" x14ac:dyDescent="0.35">
      <c r="A233" s="17" t="s">
        <v>207</v>
      </c>
      <c r="B233" s="17">
        <v>12</v>
      </c>
      <c r="C233" s="19" t="s">
        <v>145</v>
      </c>
      <c r="D233" s="18" t="s">
        <v>174</v>
      </c>
      <c r="E233" s="19" t="s">
        <v>748</v>
      </c>
      <c r="F233" s="17" t="s">
        <v>743</v>
      </c>
      <c r="G233" s="21" t="s">
        <v>744</v>
      </c>
      <c r="H233" s="19">
        <v>2</v>
      </c>
      <c r="I233" s="21" t="s">
        <v>19</v>
      </c>
    </row>
    <row r="234" spans="1:9" x14ac:dyDescent="0.35">
      <c r="A234" s="17" t="s">
        <v>207</v>
      </c>
      <c r="B234" s="17">
        <v>12</v>
      </c>
      <c r="C234" s="19" t="s">
        <v>190</v>
      </c>
      <c r="D234" s="18" t="s">
        <v>270</v>
      </c>
      <c r="E234" s="19" t="s">
        <v>748</v>
      </c>
      <c r="F234" s="17" t="s">
        <v>749</v>
      </c>
      <c r="G234" s="21" t="s">
        <v>750</v>
      </c>
      <c r="H234" s="19">
        <v>2</v>
      </c>
      <c r="I234" s="21" t="s">
        <v>13</v>
      </c>
    </row>
    <row r="235" spans="1:9" x14ac:dyDescent="0.35">
      <c r="A235" s="17" t="s">
        <v>207</v>
      </c>
      <c r="B235" s="17">
        <v>12</v>
      </c>
      <c r="C235" s="19" t="s">
        <v>227</v>
      </c>
      <c r="D235" s="18" t="s">
        <v>270</v>
      </c>
      <c r="E235" s="19" t="s">
        <v>748</v>
      </c>
      <c r="F235" s="17" t="s">
        <v>749</v>
      </c>
      <c r="G235" s="21" t="s">
        <v>750</v>
      </c>
      <c r="H235" s="19">
        <v>2</v>
      </c>
      <c r="I235" s="21" t="s">
        <v>13</v>
      </c>
    </row>
    <row r="236" spans="1:9" x14ac:dyDescent="0.35">
      <c r="A236" s="17" t="s">
        <v>207</v>
      </c>
      <c r="B236" s="17">
        <v>12</v>
      </c>
      <c r="C236" s="19" t="s">
        <v>308</v>
      </c>
      <c r="D236" s="18" t="s">
        <v>174</v>
      </c>
      <c r="E236" s="19" t="s">
        <v>748</v>
      </c>
      <c r="F236" s="17" t="s">
        <v>743</v>
      </c>
      <c r="G236" s="21" t="s">
        <v>744</v>
      </c>
      <c r="H236" s="19">
        <v>2</v>
      </c>
      <c r="I236" s="21" t="s">
        <v>19</v>
      </c>
    </row>
    <row r="237" spans="1:9" x14ac:dyDescent="0.35">
      <c r="A237" s="17" t="s">
        <v>207</v>
      </c>
      <c r="B237" s="17">
        <v>12</v>
      </c>
      <c r="C237" s="19" t="s">
        <v>432</v>
      </c>
      <c r="D237" s="18" t="s">
        <v>270</v>
      </c>
      <c r="E237" s="19" t="s">
        <v>748</v>
      </c>
      <c r="F237" s="17" t="s">
        <v>749</v>
      </c>
      <c r="G237" s="21" t="s">
        <v>750</v>
      </c>
      <c r="H237" s="19">
        <v>2</v>
      </c>
      <c r="I237" s="21" t="s">
        <v>13</v>
      </c>
    </row>
    <row r="238" spans="1:9" x14ac:dyDescent="0.35">
      <c r="A238" s="17" t="s">
        <v>207</v>
      </c>
      <c r="B238" s="17">
        <v>29</v>
      </c>
      <c r="C238" s="19" t="s">
        <v>23</v>
      </c>
      <c r="D238" s="18" t="s">
        <v>43</v>
      </c>
      <c r="E238" s="19" t="s">
        <v>737</v>
      </c>
      <c r="F238" s="17" t="s">
        <v>738</v>
      </c>
      <c r="G238" s="21" t="s">
        <v>739</v>
      </c>
      <c r="H238" s="19">
        <v>3</v>
      </c>
      <c r="I238" s="21" t="s">
        <v>21</v>
      </c>
    </row>
    <row r="239" spans="1:9" x14ac:dyDescent="0.35">
      <c r="A239" s="17" t="s">
        <v>207</v>
      </c>
      <c r="B239" s="17">
        <v>29</v>
      </c>
      <c r="C239" s="19" t="s">
        <v>23</v>
      </c>
      <c r="D239" s="18" t="s">
        <v>259</v>
      </c>
      <c r="E239" s="19" t="s">
        <v>737</v>
      </c>
      <c r="F239" s="17" t="s">
        <v>738</v>
      </c>
      <c r="G239" s="21" t="s">
        <v>739</v>
      </c>
      <c r="H239" s="19">
        <v>3</v>
      </c>
      <c r="I239" s="21" t="s">
        <v>21</v>
      </c>
    </row>
    <row r="240" spans="1:9" x14ac:dyDescent="0.35">
      <c r="A240" s="17" t="s">
        <v>207</v>
      </c>
      <c r="B240" s="17">
        <v>29</v>
      </c>
      <c r="C240" s="19" t="s">
        <v>96</v>
      </c>
      <c r="D240" s="18" t="s">
        <v>45</v>
      </c>
      <c r="E240" s="19" t="s">
        <v>737</v>
      </c>
      <c r="F240" s="17" t="s">
        <v>738</v>
      </c>
      <c r="G240" s="21" t="s">
        <v>739</v>
      </c>
      <c r="H240" s="19">
        <v>3</v>
      </c>
      <c r="I240" s="21" t="s">
        <v>21</v>
      </c>
    </row>
    <row r="241" spans="1:9" x14ac:dyDescent="0.35">
      <c r="A241" s="17" t="s">
        <v>207</v>
      </c>
      <c r="B241" s="17">
        <v>29</v>
      </c>
      <c r="C241" s="19" t="s">
        <v>96</v>
      </c>
      <c r="D241" s="18" t="s">
        <v>335</v>
      </c>
      <c r="E241" s="19" t="s">
        <v>737</v>
      </c>
      <c r="F241" s="17" t="s">
        <v>738</v>
      </c>
      <c r="G241" s="21" t="s">
        <v>739</v>
      </c>
      <c r="H241" s="19">
        <v>3</v>
      </c>
      <c r="I241" s="21" t="s">
        <v>21</v>
      </c>
    </row>
    <row r="242" spans="1:9" x14ac:dyDescent="0.35">
      <c r="A242" s="17" t="s">
        <v>207</v>
      </c>
      <c r="B242" s="17">
        <v>29</v>
      </c>
      <c r="C242" s="19" t="s">
        <v>432</v>
      </c>
      <c r="D242" s="18" t="s">
        <v>226</v>
      </c>
      <c r="E242" s="19" t="s">
        <v>737</v>
      </c>
      <c r="F242" s="17" t="s">
        <v>738</v>
      </c>
      <c r="G242" s="21" t="s">
        <v>739</v>
      </c>
      <c r="H242" s="19">
        <v>3</v>
      </c>
      <c r="I242" s="21" t="s">
        <v>21</v>
      </c>
    </row>
    <row r="243" spans="1:9" x14ac:dyDescent="0.35">
      <c r="A243" s="17" t="s">
        <v>207</v>
      </c>
      <c r="B243" s="17" t="s">
        <v>343</v>
      </c>
      <c r="C243" s="19" t="s">
        <v>145</v>
      </c>
      <c r="D243" s="18" t="s">
        <v>154</v>
      </c>
      <c r="E243" s="19" t="s">
        <v>737</v>
      </c>
      <c r="F243" s="17" t="s">
        <v>735</v>
      </c>
      <c r="G243" s="21" t="s">
        <v>736</v>
      </c>
      <c r="H243" s="19">
        <v>3</v>
      </c>
      <c r="I243" s="21" t="s">
        <v>9</v>
      </c>
    </row>
    <row r="244" spans="1:9" x14ac:dyDescent="0.35">
      <c r="A244" s="17" t="s">
        <v>207</v>
      </c>
      <c r="B244" s="17" t="s">
        <v>343</v>
      </c>
      <c r="C244" s="19" t="s">
        <v>308</v>
      </c>
      <c r="D244" s="18" t="s">
        <v>154</v>
      </c>
      <c r="E244" s="19" t="s">
        <v>737</v>
      </c>
      <c r="F244" s="17" t="s">
        <v>735</v>
      </c>
      <c r="G244" s="21" t="s">
        <v>736</v>
      </c>
      <c r="H244" s="19">
        <v>3</v>
      </c>
      <c r="I244" s="21" t="s">
        <v>9</v>
      </c>
    </row>
    <row r="245" spans="1:9" x14ac:dyDescent="0.35">
      <c r="A245" s="17" t="s">
        <v>207</v>
      </c>
      <c r="B245" s="17" t="s">
        <v>711</v>
      </c>
      <c r="C245" s="19" t="s">
        <v>190</v>
      </c>
      <c r="D245" s="18" t="s">
        <v>43</v>
      </c>
      <c r="E245" s="19" t="s">
        <v>737</v>
      </c>
      <c r="F245" s="17" t="s">
        <v>738</v>
      </c>
      <c r="G245" s="21" t="s">
        <v>739</v>
      </c>
      <c r="H245" s="19">
        <v>3</v>
      </c>
      <c r="I245" s="21" t="s">
        <v>21</v>
      </c>
    </row>
    <row r="246" spans="1:9" x14ac:dyDescent="0.35">
      <c r="A246" s="17" t="s">
        <v>207</v>
      </c>
      <c r="B246" s="17" t="s">
        <v>711</v>
      </c>
      <c r="C246" s="19" t="s">
        <v>190</v>
      </c>
      <c r="D246" s="18" t="s">
        <v>226</v>
      </c>
      <c r="E246" s="19" t="s">
        <v>737</v>
      </c>
      <c r="F246" s="17" t="s">
        <v>738</v>
      </c>
      <c r="G246" s="21" t="s">
        <v>739</v>
      </c>
      <c r="H246" s="19">
        <v>3</v>
      </c>
      <c r="I246" s="21" t="s">
        <v>21</v>
      </c>
    </row>
    <row r="247" spans="1:9" x14ac:dyDescent="0.35">
      <c r="A247" s="17" t="s">
        <v>207</v>
      </c>
      <c r="B247" s="17" t="s">
        <v>711</v>
      </c>
      <c r="C247" s="19" t="s">
        <v>227</v>
      </c>
      <c r="D247" s="18" t="s">
        <v>43</v>
      </c>
      <c r="E247" s="19" t="s">
        <v>737</v>
      </c>
      <c r="F247" s="17" t="s">
        <v>738</v>
      </c>
      <c r="G247" s="21" t="s">
        <v>739</v>
      </c>
      <c r="H247" s="19">
        <v>3</v>
      </c>
      <c r="I247" s="21" t="s">
        <v>21</v>
      </c>
    </row>
    <row r="248" spans="1:9" x14ac:dyDescent="0.35">
      <c r="A248" s="17" t="s">
        <v>207</v>
      </c>
      <c r="B248" s="17" t="s">
        <v>711</v>
      </c>
      <c r="C248" s="19" t="s">
        <v>227</v>
      </c>
      <c r="D248" s="18" t="s">
        <v>141</v>
      </c>
      <c r="E248" s="19" t="s">
        <v>737</v>
      </c>
      <c r="F248" s="17" t="s">
        <v>738</v>
      </c>
      <c r="G248" s="21" t="s">
        <v>739</v>
      </c>
      <c r="H248" s="19">
        <v>3</v>
      </c>
      <c r="I248" s="21" t="s">
        <v>21</v>
      </c>
    </row>
    <row r="249" spans="1:9" x14ac:dyDescent="0.35">
      <c r="A249" s="17" t="s">
        <v>207</v>
      </c>
      <c r="B249" s="17" t="s">
        <v>711</v>
      </c>
      <c r="C249" s="19" t="s">
        <v>432</v>
      </c>
      <c r="D249" s="18" t="s">
        <v>45</v>
      </c>
      <c r="E249" s="19" t="s">
        <v>737</v>
      </c>
      <c r="F249" s="17" t="s">
        <v>738</v>
      </c>
      <c r="G249" s="21" t="s">
        <v>739</v>
      </c>
      <c r="H249" s="19">
        <v>3</v>
      </c>
      <c r="I249" s="21" t="s">
        <v>21</v>
      </c>
    </row>
    <row r="250" spans="1:9" x14ac:dyDescent="0.35">
      <c r="A250" s="17" t="s">
        <v>207</v>
      </c>
      <c r="B250" s="17">
        <v>3</v>
      </c>
      <c r="C250" s="19" t="s">
        <v>23</v>
      </c>
      <c r="D250" s="18" t="s">
        <v>45</v>
      </c>
      <c r="E250" s="19" t="s">
        <v>737</v>
      </c>
      <c r="F250" s="17" t="s">
        <v>738</v>
      </c>
      <c r="G250" s="21" t="s">
        <v>739</v>
      </c>
      <c r="H250" s="19">
        <v>3</v>
      </c>
      <c r="I250" s="21" t="s">
        <v>21</v>
      </c>
    </row>
    <row r="251" spans="1:9" x14ac:dyDescent="0.35">
      <c r="A251" s="17" t="s">
        <v>207</v>
      </c>
      <c r="B251" s="17">
        <v>3</v>
      </c>
      <c r="C251" s="19" t="s">
        <v>23</v>
      </c>
      <c r="D251" s="18" t="s">
        <v>144</v>
      </c>
      <c r="E251" s="19" t="s">
        <v>737</v>
      </c>
      <c r="F251" s="17" t="s">
        <v>738</v>
      </c>
      <c r="G251" s="21" t="s">
        <v>739</v>
      </c>
      <c r="H251" s="19">
        <v>3</v>
      </c>
      <c r="I251" s="21" t="s">
        <v>21</v>
      </c>
    </row>
    <row r="252" spans="1:9" x14ac:dyDescent="0.35">
      <c r="A252" s="17" t="s">
        <v>207</v>
      </c>
      <c r="B252" s="17">
        <v>3</v>
      </c>
      <c r="C252" s="19" t="s">
        <v>96</v>
      </c>
      <c r="D252" s="18" t="s">
        <v>196</v>
      </c>
      <c r="E252" s="19" t="s">
        <v>737</v>
      </c>
      <c r="F252" s="17" t="s">
        <v>738</v>
      </c>
      <c r="G252" s="21" t="s">
        <v>739</v>
      </c>
      <c r="H252" s="19">
        <v>3</v>
      </c>
      <c r="I252" s="21" t="s">
        <v>21</v>
      </c>
    </row>
    <row r="253" spans="1:9" x14ac:dyDescent="0.35">
      <c r="A253" s="17" t="s">
        <v>207</v>
      </c>
      <c r="B253" s="17">
        <v>3</v>
      </c>
      <c r="C253" s="19" t="s">
        <v>96</v>
      </c>
      <c r="D253" s="18" t="s">
        <v>144</v>
      </c>
      <c r="E253" s="19" t="s">
        <v>737</v>
      </c>
      <c r="F253" s="17" t="s">
        <v>738</v>
      </c>
      <c r="G253" s="21" t="s">
        <v>739</v>
      </c>
      <c r="H253" s="19">
        <v>3</v>
      </c>
      <c r="I253" s="21" t="s">
        <v>21</v>
      </c>
    </row>
    <row r="254" spans="1:9" x14ac:dyDescent="0.35">
      <c r="A254" s="17" t="s">
        <v>207</v>
      </c>
      <c r="B254" s="17">
        <v>3</v>
      </c>
      <c r="C254" s="19" t="s">
        <v>145</v>
      </c>
      <c r="D254" s="18" t="s">
        <v>43</v>
      </c>
      <c r="E254" s="19" t="s">
        <v>737</v>
      </c>
      <c r="F254" s="17" t="s">
        <v>735</v>
      </c>
      <c r="G254" s="21" t="s">
        <v>736</v>
      </c>
      <c r="H254" s="19">
        <v>3</v>
      </c>
      <c r="I254" s="21" t="s">
        <v>9</v>
      </c>
    </row>
    <row r="255" spans="1:9" x14ac:dyDescent="0.35">
      <c r="A255" s="17" t="s">
        <v>207</v>
      </c>
      <c r="B255" s="17">
        <v>3</v>
      </c>
      <c r="C255" s="19" t="s">
        <v>190</v>
      </c>
      <c r="D255" s="18" t="s">
        <v>45</v>
      </c>
      <c r="E255" s="19" t="s">
        <v>737</v>
      </c>
      <c r="F255" s="17" t="s">
        <v>738</v>
      </c>
      <c r="G255" s="21" t="s">
        <v>739</v>
      </c>
      <c r="H255" s="19">
        <v>3</v>
      </c>
      <c r="I255" s="21" t="s">
        <v>21</v>
      </c>
    </row>
    <row r="256" spans="1:9" x14ac:dyDescent="0.35">
      <c r="A256" s="17" t="s">
        <v>207</v>
      </c>
      <c r="B256" s="17">
        <v>3</v>
      </c>
      <c r="C256" s="19" t="s">
        <v>190</v>
      </c>
      <c r="D256" s="18" t="s">
        <v>144</v>
      </c>
      <c r="E256" s="19" t="s">
        <v>737</v>
      </c>
      <c r="F256" s="17" t="s">
        <v>738</v>
      </c>
      <c r="G256" s="21" t="s">
        <v>739</v>
      </c>
      <c r="H256" s="19">
        <v>2</v>
      </c>
      <c r="I256" s="21" t="s">
        <v>21</v>
      </c>
    </row>
    <row r="257" spans="1:9" x14ac:dyDescent="0.35">
      <c r="A257" s="17" t="s">
        <v>207</v>
      </c>
      <c r="B257" s="17">
        <v>3</v>
      </c>
      <c r="C257" s="19" t="s">
        <v>227</v>
      </c>
      <c r="D257" s="18" t="s">
        <v>45</v>
      </c>
      <c r="E257" s="19" t="s">
        <v>737</v>
      </c>
      <c r="F257" s="17" t="s">
        <v>738</v>
      </c>
      <c r="G257" s="21" t="s">
        <v>739</v>
      </c>
      <c r="H257" s="19">
        <v>3</v>
      </c>
      <c r="I257" s="21" t="s">
        <v>21</v>
      </c>
    </row>
    <row r="258" spans="1:9" x14ac:dyDescent="0.35">
      <c r="A258" s="17" t="s">
        <v>207</v>
      </c>
      <c r="B258" s="17">
        <v>3</v>
      </c>
      <c r="C258" s="19" t="s">
        <v>227</v>
      </c>
      <c r="D258" s="18" t="s">
        <v>418</v>
      </c>
      <c r="E258" s="19" t="s">
        <v>737</v>
      </c>
      <c r="F258" s="17" t="s">
        <v>738</v>
      </c>
      <c r="G258" s="21" t="s">
        <v>739</v>
      </c>
      <c r="H258" s="19">
        <v>2</v>
      </c>
      <c r="I258" s="21" t="s">
        <v>21</v>
      </c>
    </row>
    <row r="259" spans="1:9" x14ac:dyDescent="0.35">
      <c r="A259" s="17" t="s">
        <v>207</v>
      </c>
      <c r="B259" s="17">
        <v>3</v>
      </c>
      <c r="C259" s="19" t="s">
        <v>308</v>
      </c>
      <c r="D259" s="18" t="s">
        <v>43</v>
      </c>
      <c r="E259" s="19" t="s">
        <v>737</v>
      </c>
      <c r="F259" s="17" t="s">
        <v>735</v>
      </c>
      <c r="G259" s="21" t="s">
        <v>736</v>
      </c>
      <c r="H259" s="19">
        <v>2</v>
      </c>
      <c r="I259" s="21" t="s">
        <v>9</v>
      </c>
    </row>
    <row r="260" spans="1:9" x14ac:dyDescent="0.35">
      <c r="A260" s="17" t="s">
        <v>207</v>
      </c>
      <c r="B260" s="17">
        <v>3</v>
      </c>
      <c r="C260" s="19" t="s">
        <v>432</v>
      </c>
      <c r="D260" s="18" t="s">
        <v>196</v>
      </c>
      <c r="E260" s="19" t="s">
        <v>737</v>
      </c>
      <c r="F260" s="17" t="s">
        <v>738</v>
      </c>
      <c r="G260" s="21" t="s">
        <v>739</v>
      </c>
      <c r="H260" s="19">
        <v>3</v>
      </c>
      <c r="I260" s="21" t="s">
        <v>21</v>
      </c>
    </row>
    <row r="261" spans="1:9" x14ac:dyDescent="0.35">
      <c r="A261" s="17" t="s">
        <v>207</v>
      </c>
      <c r="B261" s="17">
        <v>3</v>
      </c>
      <c r="C261" s="19" t="s">
        <v>432</v>
      </c>
      <c r="D261" s="18" t="s">
        <v>144</v>
      </c>
      <c r="E261" s="19" t="s">
        <v>737</v>
      </c>
      <c r="F261" s="17" t="s">
        <v>738</v>
      </c>
      <c r="G261" s="21" t="s">
        <v>739</v>
      </c>
      <c r="H261" s="19">
        <v>3</v>
      </c>
      <c r="I261" s="21" t="s">
        <v>21</v>
      </c>
    </row>
    <row r="262" spans="1:9" x14ac:dyDescent="0.35">
      <c r="A262" s="17" t="s">
        <v>207</v>
      </c>
      <c r="B262" s="17">
        <v>35</v>
      </c>
      <c r="C262" s="19" t="s">
        <v>23</v>
      </c>
      <c r="D262" s="18" t="s">
        <v>154</v>
      </c>
      <c r="E262" s="19" t="s">
        <v>737</v>
      </c>
      <c r="F262" s="17" t="s">
        <v>738</v>
      </c>
      <c r="G262" s="21" t="s">
        <v>739</v>
      </c>
      <c r="H262" s="19">
        <v>2</v>
      </c>
      <c r="I262" s="21" t="s">
        <v>21</v>
      </c>
    </row>
    <row r="263" spans="1:9" x14ac:dyDescent="0.35">
      <c r="A263" s="17" t="s">
        <v>207</v>
      </c>
      <c r="B263" s="17">
        <v>35</v>
      </c>
      <c r="C263" s="19" t="s">
        <v>96</v>
      </c>
      <c r="D263" s="18" t="s">
        <v>43</v>
      </c>
      <c r="E263" s="19" t="s">
        <v>737</v>
      </c>
      <c r="F263" s="17" t="s">
        <v>738</v>
      </c>
      <c r="G263" s="21" t="s">
        <v>739</v>
      </c>
      <c r="H263" s="19">
        <v>2</v>
      </c>
      <c r="I263" s="21" t="s">
        <v>21</v>
      </c>
    </row>
    <row r="264" spans="1:9" x14ac:dyDescent="0.35">
      <c r="A264" s="17" t="s">
        <v>207</v>
      </c>
      <c r="B264" s="17">
        <v>35</v>
      </c>
      <c r="C264" s="19" t="s">
        <v>145</v>
      </c>
      <c r="D264" s="18" t="s">
        <v>329</v>
      </c>
      <c r="E264" s="19" t="s">
        <v>737</v>
      </c>
      <c r="F264" s="17" t="s">
        <v>735</v>
      </c>
      <c r="G264" s="21" t="s">
        <v>736</v>
      </c>
      <c r="H264" s="19">
        <v>2</v>
      </c>
      <c r="I264" s="21" t="s">
        <v>9</v>
      </c>
    </row>
    <row r="265" spans="1:9" x14ac:dyDescent="0.35">
      <c r="A265" s="17" t="s">
        <v>207</v>
      </c>
      <c r="B265" s="17">
        <v>35</v>
      </c>
      <c r="C265" s="19" t="s">
        <v>190</v>
      </c>
      <c r="D265" s="18" t="s">
        <v>154</v>
      </c>
      <c r="E265" s="19" t="s">
        <v>737</v>
      </c>
      <c r="F265" s="17" t="s">
        <v>738</v>
      </c>
      <c r="G265" s="21" t="s">
        <v>739</v>
      </c>
      <c r="H265" s="19">
        <v>2</v>
      </c>
      <c r="I265" s="21" t="s">
        <v>21</v>
      </c>
    </row>
    <row r="266" spans="1:9" x14ac:dyDescent="0.35">
      <c r="A266" s="17" t="s">
        <v>207</v>
      </c>
      <c r="B266" s="17">
        <v>35</v>
      </c>
      <c r="C266" s="19" t="s">
        <v>227</v>
      </c>
      <c r="D266" s="18" t="s">
        <v>154</v>
      </c>
      <c r="E266" s="19" t="s">
        <v>737</v>
      </c>
      <c r="F266" s="17" t="s">
        <v>738</v>
      </c>
      <c r="G266" s="21" t="s">
        <v>739</v>
      </c>
      <c r="H266" s="19">
        <v>2</v>
      </c>
      <c r="I266" s="21" t="s">
        <v>21</v>
      </c>
    </row>
    <row r="267" spans="1:9" x14ac:dyDescent="0.35">
      <c r="A267" s="17" t="s">
        <v>207</v>
      </c>
      <c r="B267" s="17">
        <v>35</v>
      </c>
      <c r="C267" s="19" t="s">
        <v>308</v>
      </c>
      <c r="D267" s="18" t="s">
        <v>329</v>
      </c>
      <c r="E267" s="19" t="s">
        <v>737</v>
      </c>
      <c r="F267" s="17" t="s">
        <v>735</v>
      </c>
      <c r="G267" s="21" t="s">
        <v>736</v>
      </c>
      <c r="H267" s="19">
        <v>2</v>
      </c>
      <c r="I267" s="21" t="s">
        <v>9</v>
      </c>
    </row>
    <row r="268" spans="1:9" x14ac:dyDescent="0.35">
      <c r="A268" s="17" t="s">
        <v>207</v>
      </c>
      <c r="B268" s="17">
        <v>35</v>
      </c>
      <c r="C268" s="19" t="s">
        <v>432</v>
      </c>
      <c r="D268" s="18" t="s">
        <v>43</v>
      </c>
      <c r="E268" s="19" t="s">
        <v>737</v>
      </c>
      <c r="F268" s="17" t="s">
        <v>738</v>
      </c>
      <c r="G268" s="21" t="s">
        <v>739</v>
      </c>
      <c r="H268" s="19">
        <v>2</v>
      </c>
      <c r="I268" s="21" t="s">
        <v>21</v>
      </c>
    </row>
    <row r="269" spans="1:9" x14ac:dyDescent="0.35">
      <c r="A269" s="17" t="s">
        <v>207</v>
      </c>
      <c r="B269" s="17" t="s">
        <v>706</v>
      </c>
      <c r="C269" s="19" t="s">
        <v>23</v>
      </c>
      <c r="D269" s="18" t="s">
        <v>226</v>
      </c>
      <c r="E269" s="19" t="s">
        <v>737</v>
      </c>
      <c r="F269" s="17" t="s">
        <v>738</v>
      </c>
      <c r="G269" s="21" t="s">
        <v>739</v>
      </c>
      <c r="H269" s="19">
        <v>3</v>
      </c>
      <c r="I269" s="21" t="s">
        <v>21</v>
      </c>
    </row>
    <row r="270" spans="1:9" x14ac:dyDescent="0.35">
      <c r="A270" s="17" t="s">
        <v>207</v>
      </c>
      <c r="B270" s="17" t="s">
        <v>296</v>
      </c>
      <c r="C270" s="19" t="s">
        <v>23</v>
      </c>
      <c r="D270" s="18" t="s">
        <v>125</v>
      </c>
      <c r="E270" s="19" t="s">
        <v>740</v>
      </c>
      <c r="F270" s="17" t="s">
        <v>743</v>
      </c>
      <c r="G270" s="21" t="s">
        <v>744</v>
      </c>
      <c r="H270" s="19">
        <v>1</v>
      </c>
      <c r="I270" s="21" t="s">
        <v>19</v>
      </c>
    </row>
    <row r="271" spans="1:9" x14ac:dyDescent="0.35">
      <c r="A271" s="17" t="s">
        <v>207</v>
      </c>
      <c r="B271" s="17" t="s">
        <v>404</v>
      </c>
      <c r="C271" s="19" t="s">
        <v>23</v>
      </c>
      <c r="D271" s="18" t="s">
        <v>194</v>
      </c>
      <c r="E271" s="19" t="s">
        <v>748</v>
      </c>
      <c r="F271" s="17" t="s">
        <v>749</v>
      </c>
      <c r="G271" s="21" t="s">
        <v>750</v>
      </c>
      <c r="H271" s="19">
        <v>3</v>
      </c>
      <c r="I271" s="21" t="s">
        <v>13</v>
      </c>
    </row>
    <row r="272" spans="1:9" x14ac:dyDescent="0.35">
      <c r="A272" s="17" t="s">
        <v>207</v>
      </c>
      <c r="B272" s="17" t="s">
        <v>404</v>
      </c>
      <c r="C272" s="19" t="s">
        <v>96</v>
      </c>
      <c r="D272" s="18" t="s">
        <v>194</v>
      </c>
      <c r="E272" s="19" t="s">
        <v>748</v>
      </c>
      <c r="F272" s="17" t="s">
        <v>749</v>
      </c>
      <c r="G272" s="21" t="s">
        <v>750</v>
      </c>
      <c r="H272" s="19">
        <v>3</v>
      </c>
      <c r="I272" s="21" t="s">
        <v>13</v>
      </c>
    </row>
    <row r="273" spans="1:9" x14ac:dyDescent="0.35">
      <c r="A273" s="17" t="s">
        <v>207</v>
      </c>
      <c r="B273" s="17" t="s">
        <v>404</v>
      </c>
      <c r="C273" s="19" t="s">
        <v>96</v>
      </c>
      <c r="D273" s="18" t="s">
        <v>226</v>
      </c>
      <c r="E273" s="19" t="s">
        <v>748</v>
      </c>
      <c r="F273" s="17" t="s">
        <v>749</v>
      </c>
      <c r="G273" s="21" t="s">
        <v>750</v>
      </c>
      <c r="H273" s="19">
        <v>3</v>
      </c>
      <c r="I273" s="21" t="s">
        <v>13</v>
      </c>
    </row>
    <row r="274" spans="1:9" x14ac:dyDescent="0.35">
      <c r="A274" s="17" t="s">
        <v>207</v>
      </c>
      <c r="B274" s="17" t="s">
        <v>404</v>
      </c>
      <c r="C274" s="19" t="s">
        <v>145</v>
      </c>
      <c r="D274" s="18" t="s">
        <v>273</v>
      </c>
      <c r="E274" s="19" t="s">
        <v>748</v>
      </c>
      <c r="F274" s="17" t="s">
        <v>743</v>
      </c>
      <c r="G274" s="21" t="s">
        <v>744</v>
      </c>
      <c r="H274" s="19">
        <v>3</v>
      </c>
      <c r="I274" s="21" t="s">
        <v>19</v>
      </c>
    </row>
    <row r="275" spans="1:9" x14ac:dyDescent="0.35">
      <c r="A275" s="17" t="s">
        <v>207</v>
      </c>
      <c r="B275" s="17" t="s">
        <v>404</v>
      </c>
      <c r="C275" s="19" t="s">
        <v>145</v>
      </c>
      <c r="D275" s="18" t="s">
        <v>143</v>
      </c>
      <c r="E275" s="19" t="s">
        <v>748</v>
      </c>
      <c r="F275" s="17" t="s">
        <v>743</v>
      </c>
      <c r="G275" s="21" t="s">
        <v>744</v>
      </c>
      <c r="H275" s="19">
        <v>3</v>
      </c>
      <c r="I275" s="21" t="s">
        <v>19</v>
      </c>
    </row>
    <row r="276" spans="1:9" x14ac:dyDescent="0.35">
      <c r="A276" s="17" t="s">
        <v>207</v>
      </c>
      <c r="B276" s="17" t="s">
        <v>404</v>
      </c>
      <c r="C276" s="19" t="s">
        <v>190</v>
      </c>
      <c r="D276" s="18" t="s">
        <v>194</v>
      </c>
      <c r="E276" s="19" t="s">
        <v>748</v>
      </c>
      <c r="F276" s="17" t="s">
        <v>749</v>
      </c>
      <c r="G276" s="21" t="s">
        <v>750</v>
      </c>
      <c r="H276" s="19">
        <v>3</v>
      </c>
      <c r="I276" s="21" t="s">
        <v>13</v>
      </c>
    </row>
    <row r="277" spans="1:9" x14ac:dyDescent="0.35">
      <c r="A277" s="17" t="s">
        <v>207</v>
      </c>
      <c r="B277" s="17" t="s">
        <v>404</v>
      </c>
      <c r="C277" s="19" t="s">
        <v>227</v>
      </c>
      <c r="D277" s="18" t="s">
        <v>194</v>
      </c>
      <c r="E277" s="19" t="s">
        <v>748</v>
      </c>
      <c r="F277" s="17" t="s">
        <v>749</v>
      </c>
      <c r="G277" s="21" t="s">
        <v>750</v>
      </c>
      <c r="H277" s="19">
        <v>3</v>
      </c>
      <c r="I277" s="21" t="s">
        <v>13</v>
      </c>
    </row>
    <row r="278" spans="1:9" x14ac:dyDescent="0.35">
      <c r="A278" s="17" t="s">
        <v>207</v>
      </c>
      <c r="B278" s="17" t="s">
        <v>404</v>
      </c>
      <c r="C278" s="19" t="s">
        <v>308</v>
      </c>
      <c r="D278" s="18" t="s">
        <v>273</v>
      </c>
      <c r="E278" s="19" t="s">
        <v>748</v>
      </c>
      <c r="F278" s="17" t="s">
        <v>743</v>
      </c>
      <c r="G278" s="21" t="s">
        <v>744</v>
      </c>
      <c r="H278" s="19">
        <v>3</v>
      </c>
      <c r="I278" s="21" t="s">
        <v>19</v>
      </c>
    </row>
    <row r="279" spans="1:9" x14ac:dyDescent="0.35">
      <c r="A279" s="17" t="s">
        <v>207</v>
      </c>
      <c r="B279" s="17" t="s">
        <v>404</v>
      </c>
      <c r="C279" s="19" t="s">
        <v>308</v>
      </c>
      <c r="D279" s="18" t="s">
        <v>143</v>
      </c>
      <c r="E279" s="19" t="s">
        <v>748</v>
      </c>
      <c r="F279" s="17" t="s">
        <v>743</v>
      </c>
      <c r="G279" s="21" t="s">
        <v>744</v>
      </c>
      <c r="H279" s="19">
        <v>3</v>
      </c>
      <c r="I279" s="21" t="s">
        <v>19</v>
      </c>
    </row>
    <row r="280" spans="1:9" x14ac:dyDescent="0.35">
      <c r="A280" s="17" t="s">
        <v>207</v>
      </c>
      <c r="B280" s="17" t="s">
        <v>404</v>
      </c>
      <c r="C280" s="19" t="s">
        <v>432</v>
      </c>
      <c r="D280" s="18" t="s">
        <v>194</v>
      </c>
      <c r="E280" s="19" t="s">
        <v>748</v>
      </c>
      <c r="F280" s="17" t="s">
        <v>749</v>
      </c>
      <c r="G280" s="21" t="s">
        <v>750</v>
      </c>
      <c r="H280" s="19">
        <v>3</v>
      </c>
      <c r="I280" s="21" t="s">
        <v>13</v>
      </c>
    </row>
    <row r="281" spans="1:9" x14ac:dyDescent="0.35">
      <c r="A281" s="17" t="s">
        <v>207</v>
      </c>
      <c r="B281" s="17" t="s">
        <v>404</v>
      </c>
      <c r="C281" s="19" t="s">
        <v>432</v>
      </c>
      <c r="D281" s="18" t="s">
        <v>418</v>
      </c>
      <c r="E281" s="19" t="s">
        <v>748</v>
      </c>
      <c r="F281" s="17" t="s">
        <v>749</v>
      </c>
      <c r="G281" s="21" t="s">
        <v>750</v>
      </c>
      <c r="H281" s="19">
        <v>3</v>
      </c>
      <c r="I281" s="21" t="s">
        <v>13</v>
      </c>
    </row>
    <row r="282" spans="1:9" x14ac:dyDescent="0.35">
      <c r="A282" s="17" t="s">
        <v>531</v>
      </c>
      <c r="B282" s="17" t="s">
        <v>532</v>
      </c>
      <c r="C282" s="19" t="s">
        <v>96</v>
      </c>
      <c r="D282" s="18" t="s">
        <v>93</v>
      </c>
      <c r="E282" s="19" t="s">
        <v>729</v>
      </c>
      <c r="F282" s="17" t="s">
        <v>730</v>
      </c>
      <c r="G282" s="21" t="s">
        <v>731</v>
      </c>
      <c r="H282" s="19"/>
      <c r="I282" s="21" t="s">
        <v>17</v>
      </c>
    </row>
    <row r="283" spans="1:9" x14ac:dyDescent="0.35">
      <c r="A283" s="17" t="s">
        <v>142</v>
      </c>
      <c r="B283" s="17"/>
      <c r="C283" s="19" t="s">
        <v>96</v>
      </c>
      <c r="D283" s="18" t="s">
        <v>143</v>
      </c>
      <c r="E283" s="19" t="s">
        <v>726</v>
      </c>
      <c r="F283" s="17" t="s">
        <v>727</v>
      </c>
      <c r="G283" s="21" t="s">
        <v>728</v>
      </c>
      <c r="H283" s="19"/>
      <c r="I283" s="21" t="s">
        <v>5</v>
      </c>
    </row>
    <row r="284" spans="1:9" x14ac:dyDescent="0.35">
      <c r="A284" s="17" t="s">
        <v>142</v>
      </c>
      <c r="B284" s="17"/>
      <c r="C284" s="19" t="s">
        <v>190</v>
      </c>
      <c r="D284" s="18" t="s">
        <v>57</v>
      </c>
      <c r="E284" s="19" t="s">
        <v>726</v>
      </c>
      <c r="F284" s="17" t="s">
        <v>727</v>
      </c>
      <c r="G284" s="21" t="s">
        <v>728</v>
      </c>
      <c r="H284" s="19"/>
      <c r="I284" s="21" t="s">
        <v>5</v>
      </c>
    </row>
    <row r="285" spans="1:9" x14ac:dyDescent="0.35">
      <c r="A285" s="17" t="s">
        <v>40</v>
      </c>
      <c r="B285" s="17"/>
      <c r="C285" s="19" t="s">
        <v>23</v>
      </c>
      <c r="D285" s="18" t="s">
        <v>41</v>
      </c>
      <c r="E285" s="19" t="s">
        <v>726</v>
      </c>
      <c r="F285" s="17" t="s">
        <v>727</v>
      </c>
      <c r="G285" s="21" t="s">
        <v>728</v>
      </c>
      <c r="H285" s="19"/>
      <c r="I285" s="21" t="s">
        <v>5</v>
      </c>
    </row>
    <row r="286" spans="1:9" x14ac:dyDescent="0.35">
      <c r="A286" s="17" t="s">
        <v>330</v>
      </c>
      <c r="B286" s="17" t="s">
        <v>331</v>
      </c>
      <c r="C286" s="19" t="s">
        <v>23</v>
      </c>
      <c r="D286" s="18" t="s">
        <v>81</v>
      </c>
      <c r="E286" s="19" t="s">
        <v>732</v>
      </c>
      <c r="F286" s="17" t="s">
        <v>733</v>
      </c>
      <c r="G286" s="21" t="s">
        <v>734</v>
      </c>
      <c r="H286" s="19">
        <v>3</v>
      </c>
      <c r="I286" s="21" t="s">
        <v>15</v>
      </c>
    </row>
    <row r="287" spans="1:9" x14ac:dyDescent="0.35">
      <c r="A287" s="17" t="s">
        <v>330</v>
      </c>
      <c r="B287" s="17" t="s">
        <v>331</v>
      </c>
      <c r="C287" s="19" t="s">
        <v>96</v>
      </c>
      <c r="D287" s="18" t="s">
        <v>91</v>
      </c>
      <c r="E287" s="19" t="s">
        <v>732</v>
      </c>
      <c r="F287" s="17" t="s">
        <v>733</v>
      </c>
      <c r="G287" s="21" t="s">
        <v>734</v>
      </c>
      <c r="H287" s="19">
        <v>3</v>
      </c>
      <c r="I287" s="21" t="s">
        <v>15</v>
      </c>
    </row>
    <row r="288" spans="1:9" x14ac:dyDescent="0.35">
      <c r="A288" s="17" t="s">
        <v>330</v>
      </c>
      <c r="B288" s="17" t="s">
        <v>331</v>
      </c>
      <c r="C288" s="19" t="s">
        <v>145</v>
      </c>
      <c r="D288" s="18" t="s">
        <v>79</v>
      </c>
      <c r="E288" s="19" t="s">
        <v>732</v>
      </c>
      <c r="F288" s="17" t="s">
        <v>733</v>
      </c>
      <c r="G288" s="21" t="s">
        <v>734</v>
      </c>
      <c r="H288" s="19">
        <v>3</v>
      </c>
      <c r="I288" s="21" t="s">
        <v>15</v>
      </c>
    </row>
    <row r="289" spans="1:9" x14ac:dyDescent="0.35">
      <c r="A289" s="17" t="s">
        <v>330</v>
      </c>
      <c r="B289" s="17" t="s">
        <v>331</v>
      </c>
      <c r="C289" s="19" t="s">
        <v>190</v>
      </c>
      <c r="D289" s="18" t="s">
        <v>332</v>
      </c>
      <c r="E289" s="19" t="s">
        <v>732</v>
      </c>
      <c r="F289" s="17" t="s">
        <v>735</v>
      </c>
      <c r="G289" s="21" t="s">
        <v>736</v>
      </c>
      <c r="H289" s="19">
        <v>2</v>
      </c>
      <c r="I289" s="21" t="s">
        <v>9</v>
      </c>
    </row>
    <row r="290" spans="1:9" x14ac:dyDescent="0.35">
      <c r="A290" s="17" t="s">
        <v>330</v>
      </c>
      <c r="B290" s="17" t="s">
        <v>331</v>
      </c>
      <c r="C290" s="19" t="s">
        <v>227</v>
      </c>
      <c r="D290" s="18" t="s">
        <v>79</v>
      </c>
      <c r="E290" s="19" t="s">
        <v>732</v>
      </c>
      <c r="F290" s="17" t="s">
        <v>733</v>
      </c>
      <c r="G290" s="21" t="s">
        <v>734</v>
      </c>
      <c r="H290" s="19">
        <v>3</v>
      </c>
      <c r="I290" s="21" t="s">
        <v>15</v>
      </c>
    </row>
    <row r="291" spans="1:9" x14ac:dyDescent="0.35">
      <c r="A291" s="17" t="s">
        <v>330</v>
      </c>
      <c r="B291" s="17" t="s">
        <v>331</v>
      </c>
      <c r="C291" s="19" t="s">
        <v>308</v>
      </c>
      <c r="D291" s="18" t="s">
        <v>141</v>
      </c>
      <c r="E291" s="19" t="s">
        <v>732</v>
      </c>
      <c r="F291" s="17" t="s">
        <v>733</v>
      </c>
      <c r="G291" s="21" t="s">
        <v>734</v>
      </c>
      <c r="H291" s="19">
        <v>3</v>
      </c>
      <c r="I291" s="21" t="s">
        <v>15</v>
      </c>
    </row>
    <row r="292" spans="1:9" x14ac:dyDescent="0.35">
      <c r="A292" s="17" t="s">
        <v>330</v>
      </c>
      <c r="B292" s="17" t="s">
        <v>331</v>
      </c>
      <c r="C292" s="19" t="s">
        <v>432</v>
      </c>
      <c r="D292" s="18" t="s">
        <v>332</v>
      </c>
      <c r="E292" s="19" t="s">
        <v>732</v>
      </c>
      <c r="F292" s="17" t="s">
        <v>735</v>
      </c>
      <c r="G292" s="21" t="s">
        <v>736</v>
      </c>
      <c r="H292" s="19">
        <v>2</v>
      </c>
      <c r="I292" s="21" t="s">
        <v>9</v>
      </c>
    </row>
    <row r="293" spans="1:9" x14ac:dyDescent="0.35">
      <c r="A293" s="17" t="s">
        <v>31</v>
      </c>
      <c r="B293" s="17"/>
      <c r="C293" s="19" t="s">
        <v>23</v>
      </c>
      <c r="D293" s="18" t="s">
        <v>32</v>
      </c>
      <c r="E293" s="19" t="s">
        <v>726</v>
      </c>
      <c r="F293" s="17" t="s">
        <v>727</v>
      </c>
      <c r="G293" s="21" t="s">
        <v>728</v>
      </c>
      <c r="H293" s="19"/>
      <c r="I293" s="21" t="s">
        <v>5</v>
      </c>
    </row>
    <row r="294" spans="1:9" x14ac:dyDescent="0.35">
      <c r="A294" s="17" t="s">
        <v>31</v>
      </c>
      <c r="B294" s="17"/>
      <c r="C294" s="19" t="s">
        <v>190</v>
      </c>
      <c r="D294" s="18" t="s">
        <v>32</v>
      </c>
      <c r="E294" s="19" t="s">
        <v>726</v>
      </c>
      <c r="F294" s="17" t="s">
        <v>727</v>
      </c>
      <c r="G294" s="21" t="s">
        <v>728</v>
      </c>
      <c r="H294" s="19"/>
      <c r="I294" s="21" t="s">
        <v>5</v>
      </c>
    </row>
    <row r="295" spans="1:9" x14ac:dyDescent="0.35">
      <c r="A295" s="17" t="s">
        <v>31</v>
      </c>
      <c r="B295" s="17"/>
      <c r="C295" s="19" t="s">
        <v>190</v>
      </c>
      <c r="D295" s="18" t="s">
        <v>139</v>
      </c>
      <c r="E295" s="19" t="s">
        <v>729</v>
      </c>
      <c r="F295" s="17" t="s">
        <v>730</v>
      </c>
      <c r="G295" s="21" t="s">
        <v>731</v>
      </c>
      <c r="H295" s="19"/>
      <c r="I295" s="21" t="s">
        <v>17</v>
      </c>
    </row>
    <row r="296" spans="1:9" x14ac:dyDescent="0.35">
      <c r="A296" s="17" t="s">
        <v>31</v>
      </c>
      <c r="B296" s="17">
        <v>92</v>
      </c>
      <c r="C296" s="19" t="s">
        <v>145</v>
      </c>
      <c r="D296" s="18" t="s">
        <v>188</v>
      </c>
      <c r="E296" s="19" t="s">
        <v>737</v>
      </c>
      <c r="F296" s="17" t="s">
        <v>735</v>
      </c>
      <c r="G296" s="21" t="s">
        <v>736</v>
      </c>
      <c r="H296" s="19">
        <v>2</v>
      </c>
      <c r="I296" s="21" t="s">
        <v>9</v>
      </c>
    </row>
    <row r="297" spans="1:9" x14ac:dyDescent="0.35">
      <c r="A297" s="17" t="s">
        <v>31</v>
      </c>
      <c r="B297" s="17">
        <v>92</v>
      </c>
      <c r="C297" s="19" t="s">
        <v>190</v>
      </c>
      <c r="D297" s="18" t="s">
        <v>759</v>
      </c>
      <c r="E297" s="19" t="s">
        <v>745</v>
      </c>
      <c r="F297" s="17" t="s">
        <v>746</v>
      </c>
      <c r="G297" s="21" t="s">
        <v>747</v>
      </c>
      <c r="H297" s="19"/>
      <c r="I297" s="21" t="s">
        <v>11</v>
      </c>
    </row>
    <row r="298" spans="1:9" x14ac:dyDescent="0.35">
      <c r="A298" s="17" t="s">
        <v>31</v>
      </c>
      <c r="B298" s="17">
        <v>92</v>
      </c>
      <c r="C298" s="19" t="s">
        <v>308</v>
      </c>
      <c r="D298" s="18" t="s">
        <v>188</v>
      </c>
      <c r="E298" s="19" t="s">
        <v>737</v>
      </c>
      <c r="F298" s="17" t="s">
        <v>735</v>
      </c>
      <c r="G298" s="21" t="s">
        <v>736</v>
      </c>
      <c r="H298" s="19">
        <v>3</v>
      </c>
      <c r="I298" s="21" t="s">
        <v>9</v>
      </c>
    </row>
    <row r="299" spans="1:9" x14ac:dyDescent="0.35">
      <c r="A299" s="17" t="s">
        <v>31</v>
      </c>
      <c r="B299" s="17" t="s">
        <v>113</v>
      </c>
      <c r="C299" s="19" t="s">
        <v>96</v>
      </c>
      <c r="D299" s="18" t="s">
        <v>114</v>
      </c>
      <c r="E299" s="19" t="s">
        <v>726</v>
      </c>
      <c r="F299" s="17" t="s">
        <v>727</v>
      </c>
      <c r="G299" s="21" t="s">
        <v>728</v>
      </c>
      <c r="H299" s="19"/>
      <c r="I299" s="21" t="s">
        <v>5</v>
      </c>
    </row>
    <row r="300" spans="1:9" x14ac:dyDescent="0.35">
      <c r="A300" s="17" t="s">
        <v>151</v>
      </c>
      <c r="B300" s="17"/>
      <c r="C300" s="19" t="s">
        <v>145</v>
      </c>
      <c r="D300" s="18" t="s">
        <v>152</v>
      </c>
      <c r="E300" s="19" t="s">
        <v>726</v>
      </c>
      <c r="F300" s="17" t="s">
        <v>727</v>
      </c>
      <c r="G300" s="21" t="s">
        <v>728</v>
      </c>
      <c r="H300" s="19"/>
      <c r="I300" s="21" t="s">
        <v>5</v>
      </c>
    </row>
    <row r="301" spans="1:9" x14ac:dyDescent="0.35">
      <c r="A301" s="17" t="s">
        <v>457</v>
      </c>
      <c r="B301" s="17" t="s">
        <v>505</v>
      </c>
      <c r="C301" s="19" t="s">
        <v>96</v>
      </c>
      <c r="D301" s="18" t="s">
        <v>273</v>
      </c>
      <c r="E301" s="19" t="s">
        <v>729</v>
      </c>
      <c r="F301" s="17" t="s">
        <v>730</v>
      </c>
      <c r="G301" s="21" t="s">
        <v>731</v>
      </c>
      <c r="H301" s="19"/>
      <c r="I301" s="21" t="s">
        <v>17</v>
      </c>
    </row>
    <row r="302" spans="1:9" x14ac:dyDescent="0.35">
      <c r="A302" s="17" t="s">
        <v>457</v>
      </c>
      <c r="B302" s="17" t="s">
        <v>542</v>
      </c>
      <c r="C302" s="19" t="s">
        <v>145</v>
      </c>
      <c r="D302" s="18" t="s">
        <v>148</v>
      </c>
      <c r="E302" s="19" t="s">
        <v>729</v>
      </c>
      <c r="F302" s="17" t="s">
        <v>730</v>
      </c>
      <c r="G302" s="21" t="s">
        <v>731</v>
      </c>
      <c r="H302" s="19"/>
      <c r="I302" s="21" t="s">
        <v>17</v>
      </c>
    </row>
    <row r="303" spans="1:9" x14ac:dyDescent="0.35">
      <c r="A303" s="17" t="s">
        <v>457</v>
      </c>
      <c r="B303" s="17">
        <v>76</v>
      </c>
      <c r="C303" s="19" t="s">
        <v>23</v>
      </c>
      <c r="D303" s="18" t="s">
        <v>43</v>
      </c>
      <c r="E303" s="19" t="s">
        <v>729</v>
      </c>
      <c r="F303" s="17" t="s">
        <v>730</v>
      </c>
      <c r="G303" s="21" t="s">
        <v>731</v>
      </c>
      <c r="H303" s="19"/>
      <c r="I303" s="21" t="s">
        <v>17</v>
      </c>
    </row>
    <row r="304" spans="1:9" x14ac:dyDescent="0.35">
      <c r="A304" s="17" t="s">
        <v>457</v>
      </c>
      <c r="B304" s="17">
        <v>76</v>
      </c>
      <c r="C304" s="19" t="s">
        <v>23</v>
      </c>
      <c r="D304" s="18" t="s">
        <v>43</v>
      </c>
      <c r="E304" s="19" t="s">
        <v>729</v>
      </c>
      <c r="F304" s="17" t="s">
        <v>730</v>
      </c>
      <c r="G304" s="21" t="s">
        <v>731</v>
      </c>
      <c r="H304" s="19"/>
      <c r="I304" s="21" t="s">
        <v>17</v>
      </c>
    </row>
    <row r="305" spans="1:9" x14ac:dyDescent="0.35">
      <c r="A305" s="17" t="s">
        <v>457</v>
      </c>
      <c r="B305" s="17">
        <v>76</v>
      </c>
      <c r="C305" s="19" t="s">
        <v>227</v>
      </c>
      <c r="D305" s="18" t="s">
        <v>148</v>
      </c>
      <c r="E305" s="19" t="s">
        <v>729</v>
      </c>
      <c r="F305" s="17" t="s">
        <v>730</v>
      </c>
      <c r="G305" s="21" t="s">
        <v>731</v>
      </c>
      <c r="H305" s="19"/>
      <c r="I305" s="21" t="s">
        <v>17</v>
      </c>
    </row>
    <row r="306" spans="1:9" x14ac:dyDescent="0.35">
      <c r="A306" s="17" t="s">
        <v>457</v>
      </c>
      <c r="B306" s="17" t="s">
        <v>590</v>
      </c>
      <c r="C306" s="19" t="s">
        <v>190</v>
      </c>
      <c r="D306" s="18" t="s">
        <v>154</v>
      </c>
      <c r="E306" s="19" t="s">
        <v>729</v>
      </c>
      <c r="F306" s="17" t="s">
        <v>730</v>
      </c>
      <c r="G306" s="21" t="s">
        <v>731</v>
      </c>
      <c r="H306" s="19"/>
      <c r="I306" s="21" t="s">
        <v>17</v>
      </c>
    </row>
    <row r="307" spans="1:9" x14ac:dyDescent="0.35">
      <c r="A307" s="17" t="s">
        <v>457</v>
      </c>
      <c r="B307" s="17" t="s">
        <v>605</v>
      </c>
      <c r="C307" s="19" t="s">
        <v>190</v>
      </c>
      <c r="D307" s="18" t="s">
        <v>63</v>
      </c>
      <c r="E307" s="19" t="s">
        <v>729</v>
      </c>
      <c r="F307" s="17" t="s">
        <v>730</v>
      </c>
      <c r="G307" s="21" t="s">
        <v>731</v>
      </c>
      <c r="H307" s="19"/>
      <c r="I307" s="21" t="s">
        <v>17</v>
      </c>
    </row>
    <row r="308" spans="1:9" x14ac:dyDescent="0.35">
      <c r="A308" s="17" t="s">
        <v>320</v>
      </c>
      <c r="B308" s="17" t="s">
        <v>641</v>
      </c>
      <c r="C308" s="19" t="s">
        <v>227</v>
      </c>
      <c r="D308" s="18" t="s">
        <v>63</v>
      </c>
      <c r="E308" s="19" t="s">
        <v>729</v>
      </c>
      <c r="F308" s="17" t="s">
        <v>730</v>
      </c>
      <c r="G308" s="21" t="s">
        <v>731</v>
      </c>
      <c r="H308" s="19"/>
      <c r="I308" s="21" t="s">
        <v>17</v>
      </c>
    </row>
    <row r="309" spans="1:9" x14ac:dyDescent="0.35">
      <c r="A309" s="17" t="s">
        <v>320</v>
      </c>
      <c r="B309" s="17" t="s">
        <v>563</v>
      </c>
      <c r="C309" s="19" t="s">
        <v>145</v>
      </c>
      <c r="D309" s="18" t="s">
        <v>246</v>
      </c>
      <c r="E309" s="19" t="s">
        <v>729</v>
      </c>
      <c r="F309" s="17" t="s">
        <v>730</v>
      </c>
      <c r="G309" s="21" t="s">
        <v>731</v>
      </c>
      <c r="H309" s="19"/>
      <c r="I309" s="21" t="s">
        <v>17</v>
      </c>
    </row>
    <row r="310" spans="1:9" x14ac:dyDescent="0.35">
      <c r="A310" s="17" t="s">
        <v>320</v>
      </c>
      <c r="B310" s="17">
        <v>80</v>
      </c>
      <c r="C310" s="19" t="s">
        <v>23</v>
      </c>
      <c r="D310" s="18" t="s">
        <v>57</v>
      </c>
      <c r="E310" s="19" t="s">
        <v>732</v>
      </c>
      <c r="F310" s="17" t="s">
        <v>733</v>
      </c>
      <c r="G310" s="21" t="s">
        <v>734</v>
      </c>
      <c r="H310" s="19">
        <v>4</v>
      </c>
      <c r="I310" s="21" t="s">
        <v>15</v>
      </c>
    </row>
    <row r="311" spans="1:9" x14ac:dyDescent="0.35">
      <c r="A311" s="17" t="s">
        <v>320</v>
      </c>
      <c r="B311" s="17">
        <v>80</v>
      </c>
      <c r="C311" s="19" t="s">
        <v>96</v>
      </c>
      <c r="D311" s="18" t="s">
        <v>61</v>
      </c>
      <c r="E311" s="19" t="s">
        <v>732</v>
      </c>
      <c r="F311" s="17" t="s">
        <v>733</v>
      </c>
      <c r="G311" s="21" t="s">
        <v>734</v>
      </c>
      <c r="H311" s="19">
        <v>4</v>
      </c>
      <c r="I311" s="21" t="s">
        <v>15</v>
      </c>
    </row>
    <row r="312" spans="1:9" x14ac:dyDescent="0.35">
      <c r="A312" s="17" t="s">
        <v>320</v>
      </c>
      <c r="B312" s="17">
        <v>80</v>
      </c>
      <c r="C312" s="19" t="s">
        <v>145</v>
      </c>
      <c r="D312" s="18" t="s">
        <v>204</v>
      </c>
      <c r="E312" s="19" t="s">
        <v>732</v>
      </c>
      <c r="F312" s="17" t="s">
        <v>733</v>
      </c>
      <c r="G312" s="21" t="s">
        <v>734</v>
      </c>
      <c r="H312" s="19">
        <v>4</v>
      </c>
      <c r="I312" s="21" t="s">
        <v>15</v>
      </c>
    </row>
    <row r="313" spans="1:9" x14ac:dyDescent="0.35">
      <c r="A313" s="17" t="s">
        <v>320</v>
      </c>
      <c r="B313" s="17">
        <v>80</v>
      </c>
      <c r="C313" s="19" t="s">
        <v>190</v>
      </c>
      <c r="D313" s="18" t="s">
        <v>162</v>
      </c>
      <c r="E313" s="19" t="s">
        <v>732</v>
      </c>
      <c r="F313" s="17" t="s">
        <v>735</v>
      </c>
      <c r="G313" s="21" t="s">
        <v>736</v>
      </c>
      <c r="H313" s="19">
        <v>3</v>
      </c>
      <c r="I313" s="21" t="s">
        <v>9</v>
      </c>
    </row>
    <row r="314" spans="1:9" x14ac:dyDescent="0.35">
      <c r="A314" s="17" t="s">
        <v>320</v>
      </c>
      <c r="B314" s="17">
        <v>80</v>
      </c>
      <c r="C314" s="19" t="s">
        <v>227</v>
      </c>
      <c r="D314" s="18" t="s">
        <v>57</v>
      </c>
      <c r="E314" s="19" t="s">
        <v>732</v>
      </c>
      <c r="F314" s="17" t="s">
        <v>733</v>
      </c>
      <c r="G314" s="21" t="s">
        <v>734</v>
      </c>
      <c r="H314" s="19">
        <v>4</v>
      </c>
      <c r="I314" s="21" t="s">
        <v>15</v>
      </c>
    </row>
    <row r="315" spans="1:9" x14ac:dyDescent="0.35">
      <c r="A315" s="17" t="s">
        <v>320</v>
      </c>
      <c r="B315" s="17">
        <v>80</v>
      </c>
      <c r="C315" s="19" t="s">
        <v>308</v>
      </c>
      <c r="D315" s="18" t="s">
        <v>61</v>
      </c>
      <c r="E315" s="19" t="s">
        <v>732</v>
      </c>
      <c r="F315" s="17" t="s">
        <v>733</v>
      </c>
      <c r="G315" s="21" t="s">
        <v>734</v>
      </c>
      <c r="H315" s="19">
        <v>4</v>
      </c>
      <c r="I315" s="21" t="s">
        <v>15</v>
      </c>
    </row>
    <row r="316" spans="1:9" x14ac:dyDescent="0.35">
      <c r="A316" s="17" t="s">
        <v>320</v>
      </c>
      <c r="B316" s="17">
        <v>80</v>
      </c>
      <c r="C316" s="19" t="s">
        <v>432</v>
      </c>
      <c r="D316" s="18" t="s">
        <v>162</v>
      </c>
      <c r="E316" s="19" t="s">
        <v>732</v>
      </c>
      <c r="F316" s="17" t="s">
        <v>735</v>
      </c>
      <c r="G316" s="21" t="s">
        <v>736</v>
      </c>
      <c r="H316" s="19">
        <v>2</v>
      </c>
      <c r="I316" s="21" t="s">
        <v>9</v>
      </c>
    </row>
    <row r="317" spans="1:9" x14ac:dyDescent="0.35">
      <c r="A317" s="17" t="s">
        <v>651</v>
      </c>
      <c r="B317" s="17"/>
      <c r="C317" s="19" t="s">
        <v>227</v>
      </c>
      <c r="D317" s="18" t="s">
        <v>134</v>
      </c>
      <c r="E317" s="19" t="s">
        <v>729</v>
      </c>
      <c r="F317" s="17" t="s">
        <v>730</v>
      </c>
      <c r="G317" s="21" t="s">
        <v>731</v>
      </c>
      <c r="H317" s="19"/>
      <c r="I317" s="21" t="s">
        <v>17</v>
      </c>
    </row>
    <row r="318" spans="1:9" x14ac:dyDescent="0.35">
      <c r="A318" s="17" t="s">
        <v>538</v>
      </c>
      <c r="B318" s="17" t="s">
        <v>539</v>
      </c>
      <c r="C318" s="19" t="s">
        <v>96</v>
      </c>
      <c r="D318" s="18" t="s">
        <v>189</v>
      </c>
      <c r="E318" s="19" t="s">
        <v>729</v>
      </c>
      <c r="F318" s="17" t="s">
        <v>730</v>
      </c>
      <c r="G318" s="21" t="s">
        <v>731</v>
      </c>
      <c r="H318" s="19"/>
      <c r="I318" s="21" t="s">
        <v>17</v>
      </c>
    </row>
    <row r="319" spans="1:9" x14ac:dyDescent="0.35">
      <c r="A319" s="17" t="s">
        <v>538</v>
      </c>
      <c r="B319" s="17" t="s">
        <v>589</v>
      </c>
      <c r="C319" s="19" t="s">
        <v>227</v>
      </c>
      <c r="D319" s="18" t="s">
        <v>306</v>
      </c>
      <c r="E319" s="19" t="s">
        <v>729</v>
      </c>
      <c r="F319" s="17" t="s">
        <v>730</v>
      </c>
      <c r="G319" s="21" t="s">
        <v>731</v>
      </c>
      <c r="H319" s="19"/>
      <c r="I319" s="21" t="s">
        <v>17</v>
      </c>
    </row>
    <row r="320" spans="1:9" x14ac:dyDescent="0.35">
      <c r="A320" s="17" t="s">
        <v>538</v>
      </c>
      <c r="B320" s="17" t="s">
        <v>589</v>
      </c>
      <c r="C320" s="19" t="s">
        <v>227</v>
      </c>
      <c r="D320" s="18" t="s">
        <v>212</v>
      </c>
      <c r="E320" s="19" t="s">
        <v>729</v>
      </c>
      <c r="F320" s="17" t="s">
        <v>730</v>
      </c>
      <c r="G320" s="21" t="s">
        <v>731</v>
      </c>
      <c r="H320" s="19"/>
      <c r="I320" s="21" t="s">
        <v>17</v>
      </c>
    </row>
    <row r="321" spans="1:9" x14ac:dyDescent="0.35">
      <c r="A321" s="17" t="s">
        <v>538</v>
      </c>
      <c r="B321" s="17" t="s">
        <v>610</v>
      </c>
      <c r="C321" s="19" t="s">
        <v>190</v>
      </c>
      <c r="D321" s="18" t="s">
        <v>79</v>
      </c>
      <c r="E321" s="19" t="s">
        <v>729</v>
      </c>
      <c r="F321" s="17" t="s">
        <v>730</v>
      </c>
      <c r="G321" s="21" t="s">
        <v>731</v>
      </c>
      <c r="H321" s="19"/>
      <c r="I321" s="21" t="s">
        <v>17</v>
      </c>
    </row>
    <row r="322" spans="1:9" x14ac:dyDescent="0.35">
      <c r="A322" s="17" t="s">
        <v>623</v>
      </c>
      <c r="B322" s="17" t="s">
        <v>624</v>
      </c>
      <c r="C322" s="19" t="s">
        <v>190</v>
      </c>
      <c r="D322" s="18" t="s">
        <v>188</v>
      </c>
      <c r="E322" s="19" t="s">
        <v>729</v>
      </c>
      <c r="F322" s="17" t="s">
        <v>730</v>
      </c>
      <c r="G322" s="21" t="s">
        <v>731</v>
      </c>
      <c r="H322" s="19"/>
      <c r="I322" s="21" t="s">
        <v>17</v>
      </c>
    </row>
    <row r="323" spans="1:9" x14ac:dyDescent="0.35">
      <c r="A323" s="17" t="s">
        <v>615</v>
      </c>
      <c r="B323" s="17" t="s">
        <v>616</v>
      </c>
      <c r="C323" s="19" t="s">
        <v>190</v>
      </c>
      <c r="D323" s="18" t="s">
        <v>179</v>
      </c>
      <c r="E323" s="19" t="s">
        <v>729</v>
      </c>
      <c r="F323" s="17" t="s">
        <v>730</v>
      </c>
      <c r="G323" s="21" t="s">
        <v>731</v>
      </c>
      <c r="H323" s="19"/>
      <c r="I323" s="21" t="s">
        <v>17</v>
      </c>
    </row>
    <row r="324" spans="1:9" x14ac:dyDescent="0.35">
      <c r="A324" s="17" t="s">
        <v>258</v>
      </c>
      <c r="B324" s="17"/>
      <c r="C324" s="19" t="s">
        <v>227</v>
      </c>
      <c r="D324" s="18" t="s">
        <v>141</v>
      </c>
      <c r="E324" s="19" t="s">
        <v>726</v>
      </c>
      <c r="F324" s="17" t="s">
        <v>727</v>
      </c>
      <c r="G324" s="21" t="s">
        <v>728</v>
      </c>
      <c r="H324" s="19"/>
      <c r="I324" s="21" t="s">
        <v>5</v>
      </c>
    </row>
    <row r="325" spans="1:9" x14ac:dyDescent="0.35">
      <c r="A325" s="17" t="s">
        <v>364</v>
      </c>
      <c r="B325" s="17" t="s">
        <v>504</v>
      </c>
      <c r="C325" s="19" t="s">
        <v>96</v>
      </c>
      <c r="D325" s="18" t="s">
        <v>270</v>
      </c>
      <c r="E325" s="19" t="s">
        <v>729</v>
      </c>
      <c r="F325" s="17" t="s">
        <v>730</v>
      </c>
      <c r="G325" s="21" t="s">
        <v>731</v>
      </c>
      <c r="H325" s="19"/>
      <c r="I325" s="21" t="s">
        <v>17</v>
      </c>
    </row>
    <row r="326" spans="1:9" x14ac:dyDescent="0.35">
      <c r="A326" s="17" t="s">
        <v>364</v>
      </c>
      <c r="B326" s="17">
        <v>140</v>
      </c>
      <c r="C326" s="19" t="s">
        <v>190</v>
      </c>
      <c r="D326" s="18" t="s">
        <v>408</v>
      </c>
      <c r="E326" s="19" t="s">
        <v>729</v>
      </c>
      <c r="F326" s="17" t="s">
        <v>730</v>
      </c>
      <c r="G326" s="21" t="s">
        <v>731</v>
      </c>
      <c r="H326" s="19"/>
      <c r="I326" s="21" t="s">
        <v>17</v>
      </c>
    </row>
    <row r="327" spans="1:9" x14ac:dyDescent="0.35">
      <c r="A327" s="17" t="s">
        <v>364</v>
      </c>
      <c r="B327" s="17">
        <v>22</v>
      </c>
      <c r="C327" s="19" t="s">
        <v>23</v>
      </c>
      <c r="D327" s="18" t="s">
        <v>179</v>
      </c>
      <c r="E327" s="19" t="s">
        <v>732</v>
      </c>
      <c r="F327" s="17" t="s">
        <v>733</v>
      </c>
      <c r="G327" s="21" t="s">
        <v>734</v>
      </c>
      <c r="H327" s="19">
        <v>3</v>
      </c>
      <c r="I327" s="21" t="s">
        <v>15</v>
      </c>
    </row>
    <row r="328" spans="1:9" x14ac:dyDescent="0.35">
      <c r="A328" s="17" t="s">
        <v>364</v>
      </c>
      <c r="B328" s="17">
        <v>22</v>
      </c>
      <c r="C328" s="19" t="s">
        <v>145</v>
      </c>
      <c r="D328" s="18" t="s">
        <v>87</v>
      </c>
      <c r="E328" s="19" t="s">
        <v>732</v>
      </c>
      <c r="F328" s="17" t="s">
        <v>733</v>
      </c>
      <c r="G328" s="21" t="s">
        <v>734</v>
      </c>
      <c r="H328" s="19">
        <v>3</v>
      </c>
      <c r="I328" s="21" t="s">
        <v>15</v>
      </c>
    </row>
    <row r="329" spans="1:9" x14ac:dyDescent="0.35">
      <c r="A329" s="17" t="s">
        <v>364</v>
      </c>
      <c r="B329" s="17">
        <v>22</v>
      </c>
      <c r="C329" s="19" t="s">
        <v>308</v>
      </c>
      <c r="D329" s="18" t="s">
        <v>166</v>
      </c>
      <c r="E329" s="19" t="s">
        <v>732</v>
      </c>
      <c r="F329" s="17" t="s">
        <v>733</v>
      </c>
      <c r="G329" s="21" t="s">
        <v>734</v>
      </c>
      <c r="H329" s="19">
        <v>3</v>
      </c>
      <c r="I329" s="21" t="s">
        <v>15</v>
      </c>
    </row>
    <row r="330" spans="1:9" x14ac:dyDescent="0.35">
      <c r="A330" s="17" t="s">
        <v>364</v>
      </c>
      <c r="B330" s="17" t="s">
        <v>365</v>
      </c>
      <c r="C330" s="19" t="s">
        <v>23</v>
      </c>
      <c r="D330" s="18" t="s">
        <v>154</v>
      </c>
      <c r="E330" s="19" t="s">
        <v>732</v>
      </c>
      <c r="F330" s="17" t="s">
        <v>735</v>
      </c>
      <c r="G330" s="21" t="s">
        <v>736</v>
      </c>
      <c r="H330" s="19">
        <v>1</v>
      </c>
      <c r="I330" s="21" t="s">
        <v>9</v>
      </c>
    </row>
    <row r="331" spans="1:9" x14ac:dyDescent="0.35">
      <c r="A331" s="17" t="s">
        <v>344</v>
      </c>
      <c r="B331" s="17" t="s">
        <v>413</v>
      </c>
      <c r="C331" s="19" t="s">
        <v>23</v>
      </c>
      <c r="D331" s="18" t="s">
        <v>174</v>
      </c>
      <c r="E331" s="19" t="s">
        <v>748</v>
      </c>
      <c r="F331" s="17" t="s">
        <v>749</v>
      </c>
      <c r="G331" s="21" t="s">
        <v>750</v>
      </c>
      <c r="H331" s="19">
        <v>4</v>
      </c>
      <c r="I331" s="21" t="s">
        <v>13</v>
      </c>
    </row>
    <row r="332" spans="1:9" x14ac:dyDescent="0.35">
      <c r="A332" s="17" t="s">
        <v>344</v>
      </c>
      <c r="B332" s="17" t="s">
        <v>413</v>
      </c>
      <c r="C332" s="19" t="s">
        <v>96</v>
      </c>
      <c r="D332" s="18" t="s">
        <v>174</v>
      </c>
      <c r="E332" s="19" t="s">
        <v>748</v>
      </c>
      <c r="F332" s="17" t="s">
        <v>749</v>
      </c>
      <c r="G332" s="21" t="s">
        <v>750</v>
      </c>
      <c r="H332" s="19">
        <v>5</v>
      </c>
      <c r="I332" s="21" t="s">
        <v>13</v>
      </c>
    </row>
    <row r="333" spans="1:9" x14ac:dyDescent="0.35">
      <c r="A333" s="17" t="s">
        <v>344</v>
      </c>
      <c r="B333" s="17" t="s">
        <v>413</v>
      </c>
      <c r="C333" s="19" t="s">
        <v>145</v>
      </c>
      <c r="D333" s="18" t="s">
        <v>172</v>
      </c>
      <c r="E333" s="19" t="s">
        <v>748</v>
      </c>
      <c r="F333" s="17" t="s">
        <v>743</v>
      </c>
      <c r="G333" s="21" t="s">
        <v>744</v>
      </c>
      <c r="H333" s="19">
        <v>4</v>
      </c>
      <c r="I333" s="21" t="s">
        <v>19</v>
      </c>
    </row>
    <row r="334" spans="1:9" x14ac:dyDescent="0.35">
      <c r="A334" s="17" t="s">
        <v>344</v>
      </c>
      <c r="B334" s="17" t="s">
        <v>413</v>
      </c>
      <c r="C334" s="19" t="s">
        <v>190</v>
      </c>
      <c r="D334" s="18" t="s">
        <v>174</v>
      </c>
      <c r="E334" s="19" t="s">
        <v>748</v>
      </c>
      <c r="F334" s="17" t="s">
        <v>749</v>
      </c>
      <c r="G334" s="21" t="s">
        <v>750</v>
      </c>
      <c r="H334" s="19">
        <v>5</v>
      </c>
      <c r="I334" s="21" t="s">
        <v>13</v>
      </c>
    </row>
    <row r="335" spans="1:9" x14ac:dyDescent="0.35">
      <c r="A335" s="17" t="s">
        <v>344</v>
      </c>
      <c r="B335" s="17" t="s">
        <v>413</v>
      </c>
      <c r="C335" s="19" t="s">
        <v>227</v>
      </c>
      <c r="D335" s="18" t="s">
        <v>174</v>
      </c>
      <c r="E335" s="19" t="s">
        <v>748</v>
      </c>
      <c r="F335" s="17" t="s">
        <v>749</v>
      </c>
      <c r="G335" s="21" t="s">
        <v>750</v>
      </c>
      <c r="H335" s="19">
        <v>5</v>
      </c>
      <c r="I335" s="21" t="s">
        <v>13</v>
      </c>
    </row>
    <row r="336" spans="1:9" x14ac:dyDescent="0.35">
      <c r="A336" s="17" t="s">
        <v>344</v>
      </c>
      <c r="B336" s="17" t="s">
        <v>413</v>
      </c>
      <c r="C336" s="19" t="s">
        <v>308</v>
      </c>
      <c r="D336" s="18" t="s">
        <v>172</v>
      </c>
      <c r="E336" s="19" t="s">
        <v>748</v>
      </c>
      <c r="F336" s="17" t="s">
        <v>743</v>
      </c>
      <c r="G336" s="21" t="s">
        <v>744</v>
      </c>
      <c r="H336" s="19">
        <v>4</v>
      </c>
      <c r="I336" s="21" t="s">
        <v>19</v>
      </c>
    </row>
    <row r="337" spans="1:9" x14ac:dyDescent="0.35">
      <c r="A337" s="17" t="s">
        <v>344</v>
      </c>
      <c r="B337" s="17" t="s">
        <v>413</v>
      </c>
      <c r="C337" s="19" t="s">
        <v>432</v>
      </c>
      <c r="D337" s="18" t="s">
        <v>174</v>
      </c>
      <c r="E337" s="19" t="s">
        <v>748</v>
      </c>
      <c r="F337" s="17" t="s">
        <v>749</v>
      </c>
      <c r="G337" s="21" t="s">
        <v>750</v>
      </c>
      <c r="H337" s="19">
        <v>5</v>
      </c>
      <c r="I337" s="21" t="s">
        <v>13</v>
      </c>
    </row>
    <row r="338" spans="1:9" x14ac:dyDescent="0.35">
      <c r="A338" s="17" t="s">
        <v>344</v>
      </c>
      <c r="B338" s="17" t="s">
        <v>561</v>
      </c>
      <c r="C338" s="19" t="s">
        <v>145</v>
      </c>
      <c r="D338" s="18" t="s">
        <v>206</v>
      </c>
      <c r="E338" s="19" t="s">
        <v>729</v>
      </c>
      <c r="F338" s="17" t="s">
        <v>730</v>
      </c>
      <c r="G338" s="21" t="s">
        <v>731</v>
      </c>
      <c r="H338" s="19"/>
      <c r="I338" s="21" t="s">
        <v>17</v>
      </c>
    </row>
    <row r="339" spans="1:9" x14ac:dyDescent="0.35">
      <c r="A339" s="17" t="s">
        <v>344</v>
      </c>
      <c r="B339" s="17" t="s">
        <v>414</v>
      </c>
      <c r="C339" s="19" t="s">
        <v>23</v>
      </c>
      <c r="D339" s="18" t="s">
        <v>328</v>
      </c>
      <c r="E339" s="19" t="s">
        <v>748</v>
      </c>
      <c r="F339" s="17" t="s">
        <v>749</v>
      </c>
      <c r="G339" s="21" t="s">
        <v>750</v>
      </c>
      <c r="H339" s="19">
        <v>4</v>
      </c>
      <c r="I339" s="21" t="s">
        <v>13</v>
      </c>
    </row>
    <row r="340" spans="1:9" x14ac:dyDescent="0.35">
      <c r="A340" s="17" t="s">
        <v>344</v>
      </c>
      <c r="B340" s="17" t="s">
        <v>414</v>
      </c>
      <c r="C340" s="19" t="s">
        <v>96</v>
      </c>
      <c r="D340" s="18" t="s">
        <v>328</v>
      </c>
      <c r="E340" s="19" t="s">
        <v>748</v>
      </c>
      <c r="F340" s="17" t="s">
        <v>749</v>
      </c>
      <c r="G340" s="21" t="s">
        <v>750</v>
      </c>
      <c r="H340" s="19">
        <v>4</v>
      </c>
      <c r="I340" s="21" t="s">
        <v>13</v>
      </c>
    </row>
    <row r="341" spans="1:9" x14ac:dyDescent="0.35">
      <c r="A341" s="17" t="s">
        <v>344</v>
      </c>
      <c r="B341" s="17" t="s">
        <v>414</v>
      </c>
      <c r="C341" s="19" t="s">
        <v>145</v>
      </c>
      <c r="D341" s="18" t="s">
        <v>215</v>
      </c>
      <c r="E341" s="19" t="s">
        <v>748</v>
      </c>
      <c r="F341" s="17" t="s">
        <v>743</v>
      </c>
      <c r="G341" s="21" t="s">
        <v>744</v>
      </c>
      <c r="H341" s="19">
        <v>4</v>
      </c>
      <c r="I341" s="21" t="s">
        <v>19</v>
      </c>
    </row>
    <row r="342" spans="1:9" x14ac:dyDescent="0.35">
      <c r="A342" s="17" t="s">
        <v>344</v>
      </c>
      <c r="B342" s="17" t="s">
        <v>414</v>
      </c>
      <c r="C342" s="19" t="s">
        <v>190</v>
      </c>
      <c r="D342" s="18" t="s">
        <v>328</v>
      </c>
      <c r="E342" s="19" t="s">
        <v>748</v>
      </c>
      <c r="F342" s="17" t="s">
        <v>749</v>
      </c>
      <c r="G342" s="21" t="s">
        <v>750</v>
      </c>
      <c r="H342" s="19">
        <v>4</v>
      </c>
      <c r="I342" s="21" t="s">
        <v>13</v>
      </c>
    </row>
    <row r="343" spans="1:9" x14ac:dyDescent="0.35">
      <c r="A343" s="17" t="s">
        <v>344</v>
      </c>
      <c r="B343" s="17" t="s">
        <v>414</v>
      </c>
      <c r="C343" s="19" t="s">
        <v>227</v>
      </c>
      <c r="D343" s="18" t="s">
        <v>328</v>
      </c>
      <c r="E343" s="19" t="s">
        <v>748</v>
      </c>
      <c r="F343" s="17" t="s">
        <v>749</v>
      </c>
      <c r="G343" s="21" t="s">
        <v>750</v>
      </c>
      <c r="H343" s="19">
        <v>4</v>
      </c>
      <c r="I343" s="21" t="s">
        <v>13</v>
      </c>
    </row>
    <row r="344" spans="1:9" x14ac:dyDescent="0.35">
      <c r="A344" s="17" t="s">
        <v>344</v>
      </c>
      <c r="B344" s="17" t="s">
        <v>414</v>
      </c>
      <c r="C344" s="19" t="s">
        <v>308</v>
      </c>
      <c r="D344" s="18" t="s">
        <v>215</v>
      </c>
      <c r="E344" s="19" t="s">
        <v>748</v>
      </c>
      <c r="F344" s="17" t="s">
        <v>743</v>
      </c>
      <c r="G344" s="21" t="s">
        <v>744</v>
      </c>
      <c r="H344" s="19">
        <v>4</v>
      </c>
      <c r="I344" s="21" t="s">
        <v>19</v>
      </c>
    </row>
    <row r="345" spans="1:9" x14ac:dyDescent="0.35">
      <c r="A345" s="17" t="s">
        <v>344</v>
      </c>
      <c r="B345" s="17" t="s">
        <v>414</v>
      </c>
      <c r="C345" s="19" t="s">
        <v>432</v>
      </c>
      <c r="D345" s="18" t="s">
        <v>328</v>
      </c>
      <c r="E345" s="19" t="s">
        <v>748</v>
      </c>
      <c r="F345" s="17" t="s">
        <v>749</v>
      </c>
      <c r="G345" s="21" t="s">
        <v>750</v>
      </c>
      <c r="H345" s="19">
        <v>4</v>
      </c>
      <c r="I345" s="21" t="s">
        <v>13</v>
      </c>
    </row>
    <row r="346" spans="1:9" x14ac:dyDescent="0.35">
      <c r="A346" s="17" t="s">
        <v>344</v>
      </c>
      <c r="B346" s="17" t="s">
        <v>345</v>
      </c>
      <c r="C346" s="19" t="s">
        <v>23</v>
      </c>
      <c r="D346" s="18" t="s">
        <v>141</v>
      </c>
      <c r="E346" s="19" t="s">
        <v>737</v>
      </c>
      <c r="F346" s="17" t="s">
        <v>738</v>
      </c>
      <c r="G346" s="21" t="s">
        <v>739</v>
      </c>
      <c r="H346" s="19">
        <v>1</v>
      </c>
      <c r="I346" s="21" t="s">
        <v>21</v>
      </c>
    </row>
    <row r="347" spans="1:9" x14ac:dyDescent="0.35">
      <c r="A347" s="17" t="s">
        <v>344</v>
      </c>
      <c r="B347" s="17" t="s">
        <v>345</v>
      </c>
      <c r="C347" s="19" t="s">
        <v>96</v>
      </c>
      <c r="D347" s="18" t="s">
        <v>226</v>
      </c>
      <c r="E347" s="19" t="s">
        <v>737</v>
      </c>
      <c r="F347" s="17" t="s">
        <v>738</v>
      </c>
      <c r="G347" s="21" t="s">
        <v>739</v>
      </c>
      <c r="H347" s="19">
        <v>1</v>
      </c>
      <c r="I347" s="21" t="s">
        <v>21</v>
      </c>
    </row>
    <row r="348" spans="1:9" x14ac:dyDescent="0.35">
      <c r="A348" s="17" t="s">
        <v>344</v>
      </c>
      <c r="B348" s="17" t="s">
        <v>345</v>
      </c>
      <c r="C348" s="19" t="s">
        <v>145</v>
      </c>
      <c r="D348" s="18" t="s">
        <v>273</v>
      </c>
      <c r="E348" s="19" t="s">
        <v>737</v>
      </c>
      <c r="F348" s="17" t="s">
        <v>735</v>
      </c>
      <c r="G348" s="21" t="s">
        <v>736</v>
      </c>
      <c r="H348" s="19">
        <v>1</v>
      </c>
      <c r="I348" s="21" t="s">
        <v>9</v>
      </c>
    </row>
    <row r="349" spans="1:9" x14ac:dyDescent="0.35">
      <c r="A349" s="17" t="s">
        <v>344</v>
      </c>
      <c r="B349" s="17" t="s">
        <v>345</v>
      </c>
      <c r="C349" s="19" t="s">
        <v>190</v>
      </c>
      <c r="D349" s="18" t="s">
        <v>141</v>
      </c>
      <c r="E349" s="19" t="s">
        <v>737</v>
      </c>
      <c r="F349" s="17" t="s">
        <v>738</v>
      </c>
      <c r="G349" s="21" t="s">
        <v>739</v>
      </c>
      <c r="H349" s="19">
        <v>1</v>
      </c>
      <c r="I349" s="21" t="s">
        <v>21</v>
      </c>
    </row>
    <row r="350" spans="1:9" x14ac:dyDescent="0.35">
      <c r="A350" s="17" t="s">
        <v>344</v>
      </c>
      <c r="B350" s="17" t="s">
        <v>345</v>
      </c>
      <c r="C350" s="19" t="s">
        <v>227</v>
      </c>
      <c r="D350" s="18" t="s">
        <v>186</v>
      </c>
      <c r="E350" s="19" t="s">
        <v>737</v>
      </c>
      <c r="F350" s="17" t="s">
        <v>738</v>
      </c>
      <c r="G350" s="21" t="s">
        <v>739</v>
      </c>
      <c r="H350" s="19">
        <v>1</v>
      </c>
      <c r="I350" s="21" t="s">
        <v>21</v>
      </c>
    </row>
    <row r="351" spans="1:9" x14ac:dyDescent="0.35">
      <c r="A351" s="17" t="s">
        <v>344</v>
      </c>
      <c r="B351" s="17" t="s">
        <v>345</v>
      </c>
      <c r="C351" s="19" t="s">
        <v>308</v>
      </c>
      <c r="D351" s="18" t="s">
        <v>273</v>
      </c>
      <c r="E351" s="19" t="s">
        <v>737</v>
      </c>
      <c r="F351" s="17" t="s">
        <v>735</v>
      </c>
      <c r="G351" s="21" t="s">
        <v>736</v>
      </c>
      <c r="H351" s="19">
        <v>1</v>
      </c>
      <c r="I351" s="21" t="s">
        <v>9</v>
      </c>
    </row>
    <row r="352" spans="1:9" x14ac:dyDescent="0.35">
      <c r="A352" s="17" t="s">
        <v>344</v>
      </c>
      <c r="B352" s="17" t="s">
        <v>345</v>
      </c>
      <c r="C352" s="19" t="s">
        <v>432</v>
      </c>
      <c r="D352" s="18" t="s">
        <v>141</v>
      </c>
      <c r="E352" s="19" t="s">
        <v>737</v>
      </c>
      <c r="F352" s="17" t="s">
        <v>738</v>
      </c>
      <c r="G352" s="21" t="s">
        <v>739</v>
      </c>
      <c r="H352" s="19">
        <v>1</v>
      </c>
      <c r="I352" s="21" t="s">
        <v>21</v>
      </c>
    </row>
    <row r="353" spans="1:9" x14ac:dyDescent="0.35">
      <c r="A353" s="17" t="s">
        <v>80</v>
      </c>
      <c r="B353" s="17"/>
      <c r="C353" s="19" t="s">
        <v>23</v>
      </c>
      <c r="D353" s="18" t="s">
        <v>81</v>
      </c>
      <c r="E353" s="19" t="s">
        <v>726</v>
      </c>
      <c r="F353" s="17" t="s">
        <v>727</v>
      </c>
      <c r="G353" s="21" t="s">
        <v>728</v>
      </c>
      <c r="H353" s="19"/>
      <c r="I353" s="21" t="s">
        <v>5</v>
      </c>
    </row>
    <row r="354" spans="1:9" x14ac:dyDescent="0.35">
      <c r="A354" s="17" t="s">
        <v>80</v>
      </c>
      <c r="B354" s="17"/>
      <c r="C354" s="19" t="s">
        <v>227</v>
      </c>
      <c r="D354" s="18" t="s">
        <v>154</v>
      </c>
      <c r="E354" s="19" t="s">
        <v>726</v>
      </c>
      <c r="F354" s="17" t="s">
        <v>727</v>
      </c>
      <c r="G354" s="21" t="s">
        <v>728</v>
      </c>
      <c r="H354" s="19"/>
      <c r="I354" s="21" t="s">
        <v>5</v>
      </c>
    </row>
    <row r="355" spans="1:9" x14ac:dyDescent="0.35">
      <c r="A355" s="17" t="s">
        <v>211</v>
      </c>
      <c r="B355" s="17"/>
      <c r="C355" s="19" t="s">
        <v>190</v>
      </c>
      <c r="D355" s="18" t="s">
        <v>212</v>
      </c>
      <c r="E355" s="19" t="s">
        <v>726</v>
      </c>
      <c r="F355" s="17" t="s">
        <v>727</v>
      </c>
      <c r="G355" s="21" t="s">
        <v>728</v>
      </c>
      <c r="H355" s="19"/>
      <c r="I355" s="21" t="s">
        <v>5</v>
      </c>
    </row>
    <row r="356" spans="1:9" x14ac:dyDescent="0.35">
      <c r="A356" s="17" t="s">
        <v>211</v>
      </c>
      <c r="B356" s="17">
        <v>33</v>
      </c>
      <c r="C356" s="19" t="s">
        <v>227</v>
      </c>
      <c r="D356" s="18" t="s">
        <v>34</v>
      </c>
      <c r="E356" s="19" t="s">
        <v>732</v>
      </c>
      <c r="F356" s="17" t="s">
        <v>733</v>
      </c>
      <c r="G356" s="21" t="s">
        <v>734</v>
      </c>
      <c r="H356" s="19">
        <v>1</v>
      </c>
      <c r="I356" s="21" t="s">
        <v>15</v>
      </c>
    </row>
    <row r="357" spans="1:9" x14ac:dyDescent="0.35">
      <c r="A357" s="17" t="s">
        <v>223</v>
      </c>
      <c r="B357" s="17"/>
      <c r="C357" s="19" t="s">
        <v>190</v>
      </c>
      <c r="D357" s="18" t="s">
        <v>183</v>
      </c>
      <c r="E357" s="19" t="s">
        <v>726</v>
      </c>
      <c r="F357" s="17" t="s">
        <v>727</v>
      </c>
      <c r="G357" s="21" t="s">
        <v>728</v>
      </c>
      <c r="H357" s="19"/>
      <c r="I357" s="21" t="s">
        <v>5</v>
      </c>
    </row>
    <row r="358" spans="1:9" x14ac:dyDescent="0.35">
      <c r="A358" s="17" t="s">
        <v>574</v>
      </c>
      <c r="B358" s="17" t="s">
        <v>617</v>
      </c>
      <c r="C358" s="19" t="s">
        <v>190</v>
      </c>
      <c r="D358" s="18" t="s">
        <v>333</v>
      </c>
      <c r="E358" s="19" t="s">
        <v>729</v>
      </c>
      <c r="F358" s="17" t="s">
        <v>730</v>
      </c>
      <c r="G358" s="21" t="s">
        <v>731</v>
      </c>
      <c r="H358" s="19"/>
      <c r="I358" s="21" t="s">
        <v>17</v>
      </c>
    </row>
    <row r="359" spans="1:9" x14ac:dyDescent="0.35">
      <c r="A359" s="17" t="s">
        <v>574</v>
      </c>
      <c r="B359" s="17" t="s">
        <v>575</v>
      </c>
      <c r="C359" s="19" t="s">
        <v>145</v>
      </c>
      <c r="D359" s="18" t="s">
        <v>181</v>
      </c>
      <c r="E359" s="19" t="s">
        <v>729</v>
      </c>
      <c r="F359" s="17" t="s">
        <v>730</v>
      </c>
      <c r="G359" s="21" t="s">
        <v>731</v>
      </c>
      <c r="H359" s="19"/>
      <c r="I359" s="21" t="s">
        <v>17</v>
      </c>
    </row>
    <row r="360" spans="1:9" x14ac:dyDescent="0.35">
      <c r="A360" s="17" t="s">
        <v>232</v>
      </c>
      <c r="B360" s="17"/>
      <c r="C360" s="19" t="s">
        <v>227</v>
      </c>
      <c r="D360" s="18" t="s">
        <v>194</v>
      </c>
      <c r="E360" s="19" t="s">
        <v>726</v>
      </c>
      <c r="F360" s="17" t="s">
        <v>727</v>
      </c>
      <c r="G360" s="21" t="s">
        <v>728</v>
      </c>
      <c r="H360" s="19"/>
      <c r="I360" s="21" t="s">
        <v>5</v>
      </c>
    </row>
    <row r="361" spans="1:9" x14ac:dyDescent="0.35">
      <c r="A361" s="17" t="s">
        <v>232</v>
      </c>
      <c r="B361" s="17"/>
      <c r="C361" s="19" t="s">
        <v>227</v>
      </c>
      <c r="D361" s="18" t="s">
        <v>57</v>
      </c>
      <c r="E361" s="19" t="s">
        <v>726</v>
      </c>
      <c r="F361" s="17" t="s">
        <v>727</v>
      </c>
      <c r="G361" s="21" t="s">
        <v>728</v>
      </c>
      <c r="H361" s="19"/>
      <c r="I361" s="21" t="s">
        <v>5</v>
      </c>
    </row>
    <row r="362" spans="1:9" x14ac:dyDescent="0.35">
      <c r="A362" s="17" t="s">
        <v>213</v>
      </c>
      <c r="B362" s="17"/>
      <c r="C362" s="19" t="s">
        <v>190</v>
      </c>
      <c r="D362" s="18" t="s">
        <v>168</v>
      </c>
      <c r="E362" s="19" t="s">
        <v>726</v>
      </c>
      <c r="F362" s="17" t="s">
        <v>727</v>
      </c>
      <c r="G362" s="21" t="s">
        <v>728</v>
      </c>
      <c r="H362" s="19"/>
      <c r="I362" s="21" t="s">
        <v>5</v>
      </c>
    </row>
    <row r="363" spans="1:9" x14ac:dyDescent="0.35">
      <c r="A363" s="17" t="s">
        <v>213</v>
      </c>
      <c r="B363" s="17" t="s">
        <v>644</v>
      </c>
      <c r="C363" s="19" t="s">
        <v>227</v>
      </c>
      <c r="D363" s="18" t="s">
        <v>67</v>
      </c>
      <c r="E363" s="19" t="s">
        <v>729</v>
      </c>
      <c r="F363" s="17" t="s">
        <v>730</v>
      </c>
      <c r="G363" s="21" t="s">
        <v>731</v>
      </c>
      <c r="H363" s="19"/>
      <c r="I363" s="21" t="s">
        <v>17</v>
      </c>
    </row>
    <row r="364" spans="1:9" x14ac:dyDescent="0.35">
      <c r="A364" s="17" t="s">
        <v>213</v>
      </c>
      <c r="B364" s="17" t="s">
        <v>557</v>
      </c>
      <c r="C364" s="19" t="s">
        <v>145</v>
      </c>
      <c r="D364" s="18" t="s">
        <v>63</v>
      </c>
      <c r="E364" s="19" t="s">
        <v>729</v>
      </c>
      <c r="F364" s="17" t="s">
        <v>730</v>
      </c>
      <c r="G364" s="21" t="s">
        <v>731</v>
      </c>
      <c r="H364" s="19"/>
      <c r="I364" s="21" t="s">
        <v>17</v>
      </c>
    </row>
    <row r="365" spans="1:9" x14ac:dyDescent="0.35">
      <c r="A365" s="17" t="s">
        <v>213</v>
      </c>
      <c r="B365" s="17" t="s">
        <v>535</v>
      </c>
      <c r="C365" s="19" t="s">
        <v>96</v>
      </c>
      <c r="D365" s="18" t="s">
        <v>186</v>
      </c>
      <c r="E365" s="19" t="s">
        <v>729</v>
      </c>
      <c r="F365" s="17" t="s">
        <v>730</v>
      </c>
      <c r="G365" s="21" t="s">
        <v>731</v>
      </c>
      <c r="H365" s="19"/>
      <c r="I365" s="21" t="s">
        <v>17</v>
      </c>
    </row>
    <row r="366" spans="1:9" x14ac:dyDescent="0.35">
      <c r="A366" s="17" t="s">
        <v>107</v>
      </c>
      <c r="B366" s="17"/>
      <c r="C366" s="19" t="s">
        <v>96</v>
      </c>
      <c r="D366" s="18" t="s">
        <v>51</v>
      </c>
      <c r="E366" s="19" t="s">
        <v>726</v>
      </c>
      <c r="F366" s="17" t="s">
        <v>727</v>
      </c>
      <c r="G366" s="21" t="s">
        <v>728</v>
      </c>
      <c r="H366" s="19"/>
      <c r="I366" s="21" t="s">
        <v>5</v>
      </c>
    </row>
    <row r="367" spans="1:9" x14ac:dyDescent="0.35">
      <c r="A367" s="17" t="s">
        <v>115</v>
      </c>
      <c r="B367" s="17"/>
      <c r="C367" s="19" t="s">
        <v>96</v>
      </c>
      <c r="D367" s="18" t="s">
        <v>116</v>
      </c>
      <c r="E367" s="19" t="s">
        <v>726</v>
      </c>
      <c r="F367" s="17" t="s">
        <v>727</v>
      </c>
      <c r="G367" s="21" t="s">
        <v>728</v>
      </c>
      <c r="H367" s="19"/>
      <c r="I367" s="21" t="s">
        <v>5</v>
      </c>
    </row>
    <row r="368" spans="1:9" x14ac:dyDescent="0.35">
      <c r="A368" s="17" t="s">
        <v>70</v>
      </c>
      <c r="B368" s="17"/>
      <c r="C368" s="19" t="s">
        <v>23</v>
      </c>
      <c r="D368" s="18" t="s">
        <v>71</v>
      </c>
      <c r="E368" s="19" t="s">
        <v>726</v>
      </c>
      <c r="F368" s="17" t="s">
        <v>727</v>
      </c>
      <c r="G368" s="21" t="s">
        <v>728</v>
      </c>
      <c r="H368" s="19"/>
      <c r="I368" s="21" t="s">
        <v>5</v>
      </c>
    </row>
    <row r="369" spans="1:9" x14ac:dyDescent="0.35">
      <c r="A369" s="17" t="s">
        <v>138</v>
      </c>
      <c r="B369" s="17"/>
      <c r="C369" s="19" t="s">
        <v>96</v>
      </c>
      <c r="D369" s="18" t="s">
        <v>139</v>
      </c>
      <c r="E369" s="19" t="s">
        <v>726</v>
      </c>
      <c r="F369" s="17" t="s">
        <v>727</v>
      </c>
      <c r="G369" s="21" t="s">
        <v>728</v>
      </c>
      <c r="H369" s="19"/>
      <c r="I369" s="21" t="s">
        <v>5</v>
      </c>
    </row>
    <row r="370" spans="1:9" x14ac:dyDescent="0.35">
      <c r="A370" s="17" t="s">
        <v>138</v>
      </c>
      <c r="B370" s="17" t="s">
        <v>312</v>
      </c>
      <c r="C370" s="19" t="s">
        <v>23</v>
      </c>
      <c r="D370" s="18" t="s">
        <v>148</v>
      </c>
      <c r="E370" s="19" t="s">
        <v>732</v>
      </c>
      <c r="F370" s="17" t="s">
        <v>733</v>
      </c>
      <c r="G370" s="21" t="s">
        <v>734</v>
      </c>
      <c r="H370" s="19">
        <v>3</v>
      </c>
      <c r="I370" s="21" t="s">
        <v>15</v>
      </c>
    </row>
    <row r="371" spans="1:9" x14ac:dyDescent="0.35">
      <c r="A371" s="17" t="s">
        <v>138</v>
      </c>
      <c r="B371" s="17" t="s">
        <v>312</v>
      </c>
      <c r="C371" s="19" t="s">
        <v>23</v>
      </c>
      <c r="D371" s="18" t="s">
        <v>144</v>
      </c>
      <c r="E371" s="19" t="s">
        <v>732</v>
      </c>
      <c r="F371" s="17" t="s">
        <v>733</v>
      </c>
      <c r="G371" s="21" t="s">
        <v>734</v>
      </c>
      <c r="H371" s="19">
        <v>3</v>
      </c>
      <c r="I371" s="21" t="s">
        <v>15</v>
      </c>
    </row>
    <row r="372" spans="1:9" x14ac:dyDescent="0.35">
      <c r="A372" s="17" t="s">
        <v>138</v>
      </c>
      <c r="B372" s="17" t="s">
        <v>312</v>
      </c>
      <c r="C372" s="19" t="s">
        <v>96</v>
      </c>
      <c r="D372" s="18" t="s">
        <v>148</v>
      </c>
      <c r="E372" s="19" t="s">
        <v>732</v>
      </c>
      <c r="F372" s="17" t="s">
        <v>733</v>
      </c>
      <c r="G372" s="21" t="s">
        <v>734</v>
      </c>
      <c r="H372" s="19">
        <v>3</v>
      </c>
      <c r="I372" s="21" t="s">
        <v>15</v>
      </c>
    </row>
    <row r="373" spans="1:9" x14ac:dyDescent="0.35">
      <c r="A373" s="17" t="s">
        <v>138</v>
      </c>
      <c r="B373" s="17" t="s">
        <v>312</v>
      </c>
      <c r="C373" s="19" t="s">
        <v>145</v>
      </c>
      <c r="D373" s="18" t="s">
        <v>148</v>
      </c>
      <c r="E373" s="19" t="s">
        <v>732</v>
      </c>
      <c r="F373" s="17" t="s">
        <v>733</v>
      </c>
      <c r="G373" s="21" t="s">
        <v>734</v>
      </c>
      <c r="H373" s="19">
        <v>3</v>
      </c>
      <c r="I373" s="21" t="s">
        <v>15</v>
      </c>
    </row>
    <row r="374" spans="1:9" x14ac:dyDescent="0.35">
      <c r="A374" s="17" t="s">
        <v>138</v>
      </c>
      <c r="B374" s="17" t="s">
        <v>312</v>
      </c>
      <c r="C374" s="19" t="s">
        <v>145</v>
      </c>
      <c r="D374" s="18" t="s">
        <v>144</v>
      </c>
      <c r="E374" s="19" t="s">
        <v>732</v>
      </c>
      <c r="F374" s="17" t="s">
        <v>733</v>
      </c>
      <c r="G374" s="21" t="s">
        <v>734</v>
      </c>
      <c r="H374" s="19">
        <v>3</v>
      </c>
      <c r="I374" s="21" t="s">
        <v>15</v>
      </c>
    </row>
    <row r="375" spans="1:9" x14ac:dyDescent="0.35">
      <c r="A375" s="17" t="s">
        <v>138</v>
      </c>
      <c r="B375" s="17" t="s">
        <v>312</v>
      </c>
      <c r="C375" s="19" t="s">
        <v>190</v>
      </c>
      <c r="D375" s="18" t="s">
        <v>38</v>
      </c>
      <c r="E375" s="19" t="s">
        <v>732</v>
      </c>
      <c r="F375" s="17" t="s">
        <v>735</v>
      </c>
      <c r="G375" s="21" t="s">
        <v>736</v>
      </c>
      <c r="H375" s="19">
        <v>2</v>
      </c>
      <c r="I375" s="21" t="s">
        <v>9</v>
      </c>
    </row>
    <row r="376" spans="1:9" x14ac:dyDescent="0.35">
      <c r="A376" s="17" t="s">
        <v>138</v>
      </c>
      <c r="B376" s="17" t="s">
        <v>312</v>
      </c>
      <c r="C376" s="19" t="s">
        <v>227</v>
      </c>
      <c r="D376" s="18" t="s">
        <v>152</v>
      </c>
      <c r="E376" s="19" t="s">
        <v>732</v>
      </c>
      <c r="F376" s="17" t="s">
        <v>733</v>
      </c>
      <c r="G376" s="21" t="s">
        <v>734</v>
      </c>
      <c r="H376" s="19">
        <v>3</v>
      </c>
      <c r="I376" s="21" t="s">
        <v>15</v>
      </c>
    </row>
    <row r="377" spans="1:9" x14ac:dyDescent="0.35">
      <c r="A377" s="17" t="s">
        <v>138</v>
      </c>
      <c r="B377" s="17" t="s">
        <v>312</v>
      </c>
      <c r="C377" s="19" t="s">
        <v>227</v>
      </c>
      <c r="D377" s="18" t="s">
        <v>144</v>
      </c>
      <c r="E377" s="19" t="s">
        <v>732</v>
      </c>
      <c r="F377" s="17" t="s">
        <v>733</v>
      </c>
      <c r="G377" s="21" t="s">
        <v>734</v>
      </c>
      <c r="H377" s="19">
        <v>3</v>
      </c>
      <c r="I377" s="21" t="s">
        <v>15</v>
      </c>
    </row>
    <row r="378" spans="1:9" x14ac:dyDescent="0.35">
      <c r="A378" s="17" t="s">
        <v>138</v>
      </c>
      <c r="B378" s="17" t="s">
        <v>312</v>
      </c>
      <c r="C378" s="19" t="s">
        <v>308</v>
      </c>
      <c r="D378" s="18" t="s">
        <v>148</v>
      </c>
      <c r="E378" s="19" t="s">
        <v>732</v>
      </c>
      <c r="F378" s="17" t="s">
        <v>733</v>
      </c>
      <c r="G378" s="21" t="s">
        <v>734</v>
      </c>
      <c r="H378" s="19">
        <v>3</v>
      </c>
      <c r="I378" s="21" t="s">
        <v>15</v>
      </c>
    </row>
    <row r="379" spans="1:9" x14ac:dyDescent="0.35">
      <c r="A379" s="17" t="s">
        <v>138</v>
      </c>
      <c r="B379" s="17" t="s">
        <v>312</v>
      </c>
      <c r="C379" s="19" t="s">
        <v>432</v>
      </c>
      <c r="D379" s="18" t="s">
        <v>38</v>
      </c>
      <c r="E379" s="19" t="s">
        <v>732</v>
      </c>
      <c r="F379" s="17" t="s">
        <v>735</v>
      </c>
      <c r="G379" s="21" t="s">
        <v>736</v>
      </c>
      <c r="H379" s="19">
        <v>2</v>
      </c>
      <c r="I379" s="21" t="s">
        <v>9</v>
      </c>
    </row>
    <row r="380" spans="1:9" x14ac:dyDescent="0.35">
      <c r="A380" s="17" t="s">
        <v>138</v>
      </c>
      <c r="B380" s="17" t="s">
        <v>374</v>
      </c>
      <c r="C380" s="19" t="s">
        <v>23</v>
      </c>
      <c r="D380" s="18" t="s">
        <v>63</v>
      </c>
      <c r="E380" s="19" t="s">
        <v>732</v>
      </c>
      <c r="F380" s="17" t="s">
        <v>735</v>
      </c>
      <c r="G380" s="21" t="s">
        <v>736</v>
      </c>
      <c r="H380" s="19">
        <v>1</v>
      </c>
      <c r="I380" s="21" t="s">
        <v>9</v>
      </c>
    </row>
    <row r="381" spans="1:9" x14ac:dyDescent="0.35">
      <c r="A381" s="17" t="s">
        <v>138</v>
      </c>
      <c r="B381" s="17" t="s">
        <v>405</v>
      </c>
      <c r="C381" s="19" t="s">
        <v>23</v>
      </c>
      <c r="D381" s="18" t="s">
        <v>47</v>
      </c>
      <c r="E381" s="19" t="s">
        <v>748</v>
      </c>
      <c r="F381" s="17" t="s">
        <v>749</v>
      </c>
      <c r="G381" s="21" t="s">
        <v>750</v>
      </c>
      <c r="H381" s="19">
        <v>1</v>
      </c>
      <c r="I381" s="21" t="s">
        <v>13</v>
      </c>
    </row>
    <row r="382" spans="1:9" x14ac:dyDescent="0.35">
      <c r="A382" s="17" t="s">
        <v>138</v>
      </c>
      <c r="B382" s="17" t="s">
        <v>405</v>
      </c>
      <c r="C382" s="19" t="s">
        <v>23</v>
      </c>
      <c r="D382" s="18" t="s">
        <v>186</v>
      </c>
      <c r="E382" s="19" t="s">
        <v>748</v>
      </c>
      <c r="F382" s="17" t="s">
        <v>749</v>
      </c>
      <c r="G382" s="21" t="s">
        <v>750</v>
      </c>
      <c r="H382" s="19">
        <v>1</v>
      </c>
      <c r="I382" s="21" t="s">
        <v>13</v>
      </c>
    </row>
    <row r="383" spans="1:9" x14ac:dyDescent="0.35">
      <c r="A383" s="17" t="s">
        <v>138</v>
      </c>
      <c r="B383" s="17" t="s">
        <v>405</v>
      </c>
      <c r="C383" s="19" t="s">
        <v>96</v>
      </c>
      <c r="D383" s="18" t="s">
        <v>47</v>
      </c>
      <c r="E383" s="19" t="s">
        <v>748</v>
      </c>
      <c r="F383" s="17" t="s">
        <v>749</v>
      </c>
      <c r="G383" s="21" t="s">
        <v>750</v>
      </c>
      <c r="H383" s="19">
        <v>1</v>
      </c>
      <c r="I383" s="21" t="s">
        <v>13</v>
      </c>
    </row>
    <row r="384" spans="1:9" x14ac:dyDescent="0.35">
      <c r="A384" s="17" t="s">
        <v>138</v>
      </c>
      <c r="B384" s="17" t="s">
        <v>405</v>
      </c>
      <c r="C384" s="19" t="s">
        <v>96</v>
      </c>
      <c r="D384" s="18" t="s">
        <v>91</v>
      </c>
      <c r="E384" s="19" t="s">
        <v>748</v>
      </c>
      <c r="F384" s="17" t="s">
        <v>749</v>
      </c>
      <c r="G384" s="21" t="s">
        <v>750</v>
      </c>
      <c r="H384" s="19">
        <v>1</v>
      </c>
      <c r="I384" s="21" t="s">
        <v>13</v>
      </c>
    </row>
    <row r="385" spans="1:9" x14ac:dyDescent="0.35">
      <c r="A385" s="17" t="s">
        <v>138</v>
      </c>
      <c r="B385" s="17" t="s">
        <v>405</v>
      </c>
      <c r="C385" s="19" t="s">
        <v>145</v>
      </c>
      <c r="D385" s="18" t="s">
        <v>87</v>
      </c>
      <c r="E385" s="19" t="s">
        <v>748</v>
      </c>
      <c r="F385" s="17" t="s">
        <v>743</v>
      </c>
      <c r="G385" s="21" t="s">
        <v>744</v>
      </c>
      <c r="H385" s="19">
        <v>1</v>
      </c>
      <c r="I385" s="21" t="s">
        <v>19</v>
      </c>
    </row>
    <row r="386" spans="1:9" x14ac:dyDescent="0.35">
      <c r="A386" s="17" t="s">
        <v>138</v>
      </c>
      <c r="B386" s="17" t="s">
        <v>405</v>
      </c>
      <c r="C386" s="19" t="s">
        <v>190</v>
      </c>
      <c r="D386" s="18" t="s">
        <v>47</v>
      </c>
      <c r="E386" s="19" t="s">
        <v>748</v>
      </c>
      <c r="F386" s="17" t="s">
        <v>749</v>
      </c>
      <c r="G386" s="21" t="s">
        <v>750</v>
      </c>
      <c r="H386" s="19">
        <v>1</v>
      </c>
      <c r="I386" s="21" t="s">
        <v>13</v>
      </c>
    </row>
    <row r="387" spans="1:9" x14ac:dyDescent="0.35">
      <c r="A387" s="17" t="s">
        <v>138</v>
      </c>
      <c r="B387" s="17" t="s">
        <v>405</v>
      </c>
      <c r="C387" s="19" t="s">
        <v>190</v>
      </c>
      <c r="D387" s="18" t="s">
        <v>188</v>
      </c>
      <c r="E387" s="19" t="s">
        <v>748</v>
      </c>
      <c r="F387" s="17" t="s">
        <v>749</v>
      </c>
      <c r="G387" s="21" t="s">
        <v>750</v>
      </c>
      <c r="H387" s="19">
        <v>1</v>
      </c>
      <c r="I387" s="21" t="s">
        <v>13</v>
      </c>
    </row>
    <row r="388" spans="1:9" x14ac:dyDescent="0.35">
      <c r="A388" s="17" t="s">
        <v>138</v>
      </c>
      <c r="B388" s="17" t="s">
        <v>405</v>
      </c>
      <c r="C388" s="19" t="s">
        <v>227</v>
      </c>
      <c r="D388" s="18" t="s">
        <v>47</v>
      </c>
      <c r="E388" s="19" t="s">
        <v>748</v>
      </c>
      <c r="F388" s="17" t="s">
        <v>749</v>
      </c>
      <c r="G388" s="21" t="s">
        <v>750</v>
      </c>
      <c r="H388" s="19">
        <v>1</v>
      </c>
      <c r="I388" s="21" t="s">
        <v>13</v>
      </c>
    </row>
    <row r="389" spans="1:9" x14ac:dyDescent="0.35">
      <c r="A389" s="17" t="s">
        <v>138</v>
      </c>
      <c r="B389" s="17" t="s">
        <v>405</v>
      </c>
      <c r="C389" s="19" t="s">
        <v>227</v>
      </c>
      <c r="D389" s="18" t="s">
        <v>418</v>
      </c>
      <c r="E389" s="19" t="s">
        <v>748</v>
      </c>
      <c r="F389" s="17" t="s">
        <v>749</v>
      </c>
      <c r="G389" s="21" t="s">
        <v>750</v>
      </c>
      <c r="H389" s="19">
        <v>1</v>
      </c>
      <c r="I389" s="21" t="s">
        <v>13</v>
      </c>
    </row>
    <row r="390" spans="1:9" x14ac:dyDescent="0.35">
      <c r="A390" s="17" t="s">
        <v>138</v>
      </c>
      <c r="B390" s="17" t="s">
        <v>405</v>
      </c>
      <c r="C390" s="19" t="s">
        <v>308</v>
      </c>
      <c r="D390" s="18" t="s">
        <v>87</v>
      </c>
      <c r="E390" s="19" t="s">
        <v>748</v>
      </c>
      <c r="F390" s="17" t="s">
        <v>743</v>
      </c>
      <c r="G390" s="21" t="s">
        <v>744</v>
      </c>
      <c r="H390" s="19">
        <v>1</v>
      </c>
      <c r="I390" s="21" t="s">
        <v>19</v>
      </c>
    </row>
    <row r="391" spans="1:9" x14ac:dyDescent="0.35">
      <c r="A391" s="17" t="s">
        <v>138</v>
      </c>
      <c r="B391" s="17" t="s">
        <v>405</v>
      </c>
      <c r="C391" s="19" t="s">
        <v>432</v>
      </c>
      <c r="D391" s="18" t="s">
        <v>47</v>
      </c>
      <c r="E391" s="19" t="s">
        <v>748</v>
      </c>
      <c r="F391" s="17" t="s">
        <v>749</v>
      </c>
      <c r="G391" s="21" t="s">
        <v>750</v>
      </c>
      <c r="H391" s="19">
        <v>1</v>
      </c>
      <c r="I391" s="21" t="s">
        <v>13</v>
      </c>
    </row>
    <row r="392" spans="1:9" x14ac:dyDescent="0.35">
      <c r="A392" s="17" t="s">
        <v>138</v>
      </c>
      <c r="B392" s="17" t="s">
        <v>405</v>
      </c>
      <c r="C392" s="19" t="s">
        <v>432</v>
      </c>
      <c r="D392" s="18" t="s">
        <v>333</v>
      </c>
      <c r="E392" s="19" t="s">
        <v>748</v>
      </c>
      <c r="F392" s="17" t="s">
        <v>749</v>
      </c>
      <c r="G392" s="21" t="s">
        <v>750</v>
      </c>
      <c r="H392" s="19">
        <v>1</v>
      </c>
      <c r="I392" s="21" t="s">
        <v>13</v>
      </c>
    </row>
    <row r="393" spans="1:9" x14ac:dyDescent="0.35">
      <c r="A393" s="17" t="s">
        <v>138</v>
      </c>
      <c r="B393" s="17" t="s">
        <v>311</v>
      </c>
      <c r="C393" s="19" t="s">
        <v>23</v>
      </c>
      <c r="D393" s="18" t="s">
        <v>34</v>
      </c>
      <c r="E393" s="19" t="s">
        <v>732</v>
      </c>
      <c r="F393" s="17" t="s">
        <v>733</v>
      </c>
      <c r="G393" s="21" t="s">
        <v>734</v>
      </c>
      <c r="H393" s="19">
        <v>1</v>
      </c>
      <c r="I393" s="21" t="s">
        <v>15</v>
      </c>
    </row>
    <row r="394" spans="1:9" x14ac:dyDescent="0.35">
      <c r="A394" s="17" t="s">
        <v>138</v>
      </c>
      <c r="B394" s="17" t="s">
        <v>311</v>
      </c>
      <c r="C394" s="19" t="s">
        <v>23</v>
      </c>
      <c r="D394" s="18" t="s">
        <v>257</v>
      </c>
      <c r="E394" s="19" t="s">
        <v>732</v>
      </c>
      <c r="F394" s="17" t="s">
        <v>733</v>
      </c>
      <c r="G394" s="21" t="s">
        <v>734</v>
      </c>
      <c r="H394" s="19">
        <v>1</v>
      </c>
      <c r="I394" s="21" t="s">
        <v>15</v>
      </c>
    </row>
    <row r="395" spans="1:9" x14ac:dyDescent="0.35">
      <c r="A395" s="17" t="s">
        <v>138</v>
      </c>
      <c r="B395" s="17" t="s">
        <v>311</v>
      </c>
      <c r="C395" s="19" t="s">
        <v>96</v>
      </c>
      <c r="D395" s="18" t="s">
        <v>34</v>
      </c>
      <c r="E395" s="19" t="s">
        <v>732</v>
      </c>
      <c r="F395" s="17" t="s">
        <v>733</v>
      </c>
      <c r="G395" s="21" t="s">
        <v>734</v>
      </c>
      <c r="H395" s="19">
        <v>1</v>
      </c>
      <c r="I395" s="21" t="s">
        <v>15</v>
      </c>
    </row>
    <row r="396" spans="1:9" x14ac:dyDescent="0.35">
      <c r="A396" s="17" t="s">
        <v>138</v>
      </c>
      <c r="B396" s="17" t="s">
        <v>311</v>
      </c>
      <c r="C396" s="19" t="s">
        <v>145</v>
      </c>
      <c r="D396" s="18" t="s">
        <v>34</v>
      </c>
      <c r="E396" s="19" t="s">
        <v>732</v>
      </c>
      <c r="F396" s="17" t="s">
        <v>733</v>
      </c>
      <c r="G396" s="21" t="s">
        <v>734</v>
      </c>
      <c r="H396" s="19">
        <v>1</v>
      </c>
      <c r="I396" s="21" t="s">
        <v>15</v>
      </c>
    </row>
    <row r="397" spans="1:9" x14ac:dyDescent="0.35">
      <c r="A397" s="17" t="s">
        <v>138</v>
      </c>
      <c r="B397" s="17" t="s">
        <v>311</v>
      </c>
      <c r="C397" s="19" t="s">
        <v>145</v>
      </c>
      <c r="D397" s="18" t="s">
        <v>257</v>
      </c>
      <c r="E397" s="19" t="s">
        <v>732</v>
      </c>
      <c r="F397" s="17" t="s">
        <v>733</v>
      </c>
      <c r="G397" s="21" t="s">
        <v>734</v>
      </c>
      <c r="H397" s="19">
        <v>1</v>
      </c>
      <c r="I397" s="21" t="s">
        <v>15</v>
      </c>
    </row>
    <row r="398" spans="1:9" x14ac:dyDescent="0.35">
      <c r="A398" s="17" t="s">
        <v>138</v>
      </c>
      <c r="B398" s="17" t="s">
        <v>311</v>
      </c>
      <c r="C398" s="19" t="s">
        <v>190</v>
      </c>
      <c r="D398" s="18" t="s">
        <v>36</v>
      </c>
      <c r="E398" s="19" t="s">
        <v>732</v>
      </c>
      <c r="F398" s="17" t="s">
        <v>735</v>
      </c>
      <c r="G398" s="21" t="s">
        <v>736</v>
      </c>
      <c r="H398" s="19">
        <v>1</v>
      </c>
      <c r="I398" s="21" t="s">
        <v>9</v>
      </c>
    </row>
    <row r="399" spans="1:9" x14ac:dyDescent="0.35">
      <c r="A399" s="17" t="s">
        <v>138</v>
      </c>
      <c r="B399" s="17" t="s">
        <v>311</v>
      </c>
      <c r="C399" s="19" t="s">
        <v>190</v>
      </c>
      <c r="D399" s="18" t="s">
        <v>335</v>
      </c>
      <c r="E399" s="19" t="s">
        <v>732</v>
      </c>
      <c r="F399" s="17" t="s">
        <v>735</v>
      </c>
      <c r="G399" s="21" t="s">
        <v>736</v>
      </c>
      <c r="H399" s="19">
        <v>1</v>
      </c>
      <c r="I399" s="21" t="s">
        <v>9</v>
      </c>
    </row>
    <row r="400" spans="1:9" x14ac:dyDescent="0.35">
      <c r="A400" s="17" t="s">
        <v>138</v>
      </c>
      <c r="B400" s="17" t="s">
        <v>311</v>
      </c>
      <c r="C400" s="19" t="s">
        <v>227</v>
      </c>
      <c r="D400" s="18" t="s">
        <v>150</v>
      </c>
      <c r="E400" s="19" t="s">
        <v>732</v>
      </c>
      <c r="F400" s="17" t="s">
        <v>733</v>
      </c>
      <c r="G400" s="21" t="s">
        <v>734</v>
      </c>
      <c r="H400" s="19">
        <v>1</v>
      </c>
      <c r="I400" s="21" t="s">
        <v>15</v>
      </c>
    </row>
    <row r="401" spans="1:9" x14ac:dyDescent="0.35">
      <c r="A401" s="17" t="s">
        <v>138</v>
      </c>
      <c r="B401" s="17" t="s">
        <v>311</v>
      </c>
      <c r="C401" s="19" t="s">
        <v>227</v>
      </c>
      <c r="D401" s="18" t="s">
        <v>257</v>
      </c>
      <c r="E401" s="19" t="s">
        <v>732</v>
      </c>
      <c r="F401" s="17" t="s">
        <v>733</v>
      </c>
      <c r="G401" s="21" t="s">
        <v>734</v>
      </c>
      <c r="H401" s="19">
        <v>1</v>
      </c>
      <c r="I401" s="21" t="s">
        <v>15</v>
      </c>
    </row>
    <row r="402" spans="1:9" x14ac:dyDescent="0.35">
      <c r="A402" s="17" t="s">
        <v>138</v>
      </c>
      <c r="B402" s="17" t="s">
        <v>311</v>
      </c>
      <c r="C402" s="19" t="s">
        <v>308</v>
      </c>
      <c r="D402" s="18" t="s">
        <v>34</v>
      </c>
      <c r="E402" s="19" t="s">
        <v>732</v>
      </c>
      <c r="F402" s="17" t="s">
        <v>733</v>
      </c>
      <c r="G402" s="21" t="s">
        <v>734</v>
      </c>
      <c r="H402" s="19">
        <v>1</v>
      </c>
      <c r="I402" s="21" t="s">
        <v>15</v>
      </c>
    </row>
    <row r="403" spans="1:9" x14ac:dyDescent="0.35">
      <c r="A403" s="17" t="s">
        <v>138</v>
      </c>
      <c r="B403" s="17" t="s">
        <v>311</v>
      </c>
      <c r="C403" s="19" t="s">
        <v>432</v>
      </c>
      <c r="D403" s="18" t="s">
        <v>36</v>
      </c>
      <c r="E403" s="19" t="s">
        <v>732</v>
      </c>
      <c r="F403" s="17" t="s">
        <v>735</v>
      </c>
      <c r="G403" s="21" t="s">
        <v>736</v>
      </c>
      <c r="H403" s="19">
        <v>1</v>
      </c>
      <c r="I403" s="21" t="s">
        <v>9</v>
      </c>
    </row>
    <row r="404" spans="1:9" x14ac:dyDescent="0.35">
      <c r="A404" s="17" t="s">
        <v>138</v>
      </c>
      <c r="B404" s="17" t="s">
        <v>311</v>
      </c>
      <c r="C404" s="19" t="s">
        <v>432</v>
      </c>
      <c r="D404" s="18" t="s">
        <v>335</v>
      </c>
      <c r="E404" s="19" t="s">
        <v>732</v>
      </c>
      <c r="F404" s="17" t="s">
        <v>735</v>
      </c>
      <c r="G404" s="21" t="s">
        <v>736</v>
      </c>
      <c r="H404" s="19">
        <v>1</v>
      </c>
      <c r="I404" s="21" t="s">
        <v>9</v>
      </c>
    </row>
    <row r="405" spans="1:9" x14ac:dyDescent="0.35">
      <c r="A405" s="17" t="s">
        <v>482</v>
      </c>
      <c r="B405" s="17" t="s">
        <v>483</v>
      </c>
      <c r="C405" s="19" t="s">
        <v>23</v>
      </c>
      <c r="D405" s="18" t="s">
        <v>245</v>
      </c>
      <c r="E405" s="19" t="s">
        <v>729</v>
      </c>
      <c r="F405" s="17" t="s">
        <v>730</v>
      </c>
      <c r="G405" s="21" t="s">
        <v>731</v>
      </c>
      <c r="H405" s="19"/>
      <c r="I405" s="21" t="s">
        <v>17</v>
      </c>
    </row>
    <row r="406" spans="1:9" x14ac:dyDescent="0.35">
      <c r="A406" s="17" t="s">
        <v>169</v>
      </c>
      <c r="B406" s="17"/>
      <c r="C406" s="19" t="s">
        <v>145</v>
      </c>
      <c r="D406" s="18" t="s">
        <v>170</v>
      </c>
      <c r="E406" s="19" t="s">
        <v>726</v>
      </c>
      <c r="F406" s="17" t="s">
        <v>727</v>
      </c>
      <c r="G406" s="21" t="s">
        <v>728</v>
      </c>
      <c r="H406" s="19"/>
      <c r="I406" s="21" t="s">
        <v>5</v>
      </c>
    </row>
    <row r="407" spans="1:9" x14ac:dyDescent="0.35">
      <c r="A407" s="17" t="s">
        <v>169</v>
      </c>
      <c r="B407" s="17"/>
      <c r="C407" s="19" t="s">
        <v>190</v>
      </c>
      <c r="D407" s="18" t="s">
        <v>179</v>
      </c>
      <c r="E407" s="19" t="s">
        <v>726</v>
      </c>
      <c r="F407" s="17" t="s">
        <v>727</v>
      </c>
      <c r="G407" s="21" t="s">
        <v>728</v>
      </c>
      <c r="H407" s="19"/>
      <c r="I407" s="21" t="s">
        <v>5</v>
      </c>
    </row>
    <row r="408" spans="1:9" x14ac:dyDescent="0.35">
      <c r="A408" s="17" t="s">
        <v>209</v>
      </c>
      <c r="B408" s="17"/>
      <c r="C408" s="19" t="s">
        <v>190</v>
      </c>
      <c r="D408" s="18" t="s">
        <v>75</v>
      </c>
      <c r="E408" s="19" t="s">
        <v>726</v>
      </c>
      <c r="F408" s="17" t="s">
        <v>727</v>
      </c>
      <c r="G408" s="21" t="s">
        <v>728</v>
      </c>
      <c r="H408" s="19"/>
      <c r="I408" s="21" t="s">
        <v>5</v>
      </c>
    </row>
    <row r="409" spans="1:9" x14ac:dyDescent="0.35">
      <c r="A409" s="17" t="s">
        <v>209</v>
      </c>
      <c r="B409" s="17" t="s">
        <v>424</v>
      </c>
      <c r="C409" s="19" t="s">
        <v>190</v>
      </c>
      <c r="D409" s="18" t="s">
        <v>139</v>
      </c>
      <c r="E409" s="19" t="s">
        <v>748</v>
      </c>
      <c r="F409" s="17" t="s">
        <v>749</v>
      </c>
      <c r="G409" s="21" t="s">
        <v>750</v>
      </c>
      <c r="H409" s="19">
        <v>2</v>
      </c>
      <c r="I409" s="21" t="s">
        <v>13</v>
      </c>
    </row>
    <row r="410" spans="1:9" x14ac:dyDescent="0.35">
      <c r="A410" s="17" t="s">
        <v>209</v>
      </c>
      <c r="B410" s="17" t="s">
        <v>373</v>
      </c>
      <c r="C410" s="19" t="s">
        <v>23</v>
      </c>
      <c r="D410" s="18" t="s">
        <v>61</v>
      </c>
      <c r="E410" s="19" t="s">
        <v>732</v>
      </c>
      <c r="F410" s="17" t="s">
        <v>735</v>
      </c>
      <c r="G410" s="21" t="s">
        <v>736</v>
      </c>
      <c r="H410" s="19">
        <v>3</v>
      </c>
      <c r="I410" s="21" t="s">
        <v>9</v>
      </c>
    </row>
    <row r="411" spans="1:9" x14ac:dyDescent="0.35">
      <c r="A411" s="17" t="s">
        <v>209</v>
      </c>
      <c r="B411" s="17" t="s">
        <v>378</v>
      </c>
      <c r="C411" s="19" t="s">
        <v>23</v>
      </c>
      <c r="D411" s="18" t="s">
        <v>246</v>
      </c>
      <c r="E411" s="19" t="s">
        <v>732</v>
      </c>
      <c r="F411" s="17" t="s">
        <v>735</v>
      </c>
      <c r="G411" s="21" t="s">
        <v>736</v>
      </c>
      <c r="H411" s="19">
        <v>1</v>
      </c>
      <c r="I411" s="21" t="s">
        <v>9</v>
      </c>
    </row>
    <row r="412" spans="1:9" x14ac:dyDescent="0.35">
      <c r="A412" s="17" t="s">
        <v>209</v>
      </c>
      <c r="B412" s="17">
        <v>140</v>
      </c>
      <c r="C412" s="19" t="s">
        <v>96</v>
      </c>
      <c r="D412" s="18" t="s">
        <v>346</v>
      </c>
      <c r="E412" s="19" t="s">
        <v>737</v>
      </c>
      <c r="F412" s="17" t="s">
        <v>738</v>
      </c>
      <c r="G412" s="21" t="s">
        <v>739</v>
      </c>
      <c r="H412" s="19">
        <v>3</v>
      </c>
      <c r="I412" s="21" t="s">
        <v>21</v>
      </c>
    </row>
    <row r="413" spans="1:9" x14ac:dyDescent="0.35">
      <c r="A413" s="17" t="s">
        <v>209</v>
      </c>
      <c r="B413" s="17">
        <v>265</v>
      </c>
      <c r="C413" s="19" t="s">
        <v>23</v>
      </c>
      <c r="D413" s="18" t="s">
        <v>111</v>
      </c>
      <c r="E413" s="19" t="s">
        <v>737</v>
      </c>
      <c r="F413" s="17" t="s">
        <v>738</v>
      </c>
      <c r="G413" s="21" t="s">
        <v>739</v>
      </c>
      <c r="H413" s="19">
        <v>3</v>
      </c>
      <c r="I413" s="21" t="s">
        <v>21</v>
      </c>
    </row>
    <row r="414" spans="1:9" x14ac:dyDescent="0.35">
      <c r="A414" s="17" t="s">
        <v>209</v>
      </c>
      <c r="B414" s="17">
        <v>265</v>
      </c>
      <c r="C414" s="19" t="s">
        <v>96</v>
      </c>
      <c r="D414" s="18" t="s">
        <v>49</v>
      </c>
      <c r="E414" s="19" t="s">
        <v>737</v>
      </c>
      <c r="F414" s="17" t="s">
        <v>738</v>
      </c>
      <c r="G414" s="21" t="s">
        <v>739</v>
      </c>
      <c r="H414" s="19">
        <v>3</v>
      </c>
      <c r="I414" s="21" t="s">
        <v>21</v>
      </c>
    </row>
    <row r="415" spans="1:9" x14ac:dyDescent="0.35">
      <c r="A415" s="17" t="s">
        <v>209</v>
      </c>
      <c r="B415" s="17">
        <v>265</v>
      </c>
      <c r="C415" s="19" t="s">
        <v>190</v>
      </c>
      <c r="D415" s="18" t="s">
        <v>408</v>
      </c>
      <c r="E415" s="19" t="s">
        <v>737</v>
      </c>
      <c r="F415" s="17" t="s">
        <v>738</v>
      </c>
      <c r="G415" s="21" t="s">
        <v>739</v>
      </c>
      <c r="H415" s="19">
        <v>3</v>
      </c>
      <c r="I415" s="21" t="s">
        <v>21</v>
      </c>
    </row>
    <row r="416" spans="1:9" x14ac:dyDescent="0.35">
      <c r="A416" s="17" t="s">
        <v>209</v>
      </c>
      <c r="B416" s="17">
        <v>265</v>
      </c>
      <c r="C416" s="19" t="s">
        <v>227</v>
      </c>
      <c r="D416" s="18" t="s">
        <v>111</v>
      </c>
      <c r="E416" s="19" t="s">
        <v>737</v>
      </c>
      <c r="F416" s="17" t="s">
        <v>738</v>
      </c>
      <c r="G416" s="21" t="s">
        <v>739</v>
      </c>
      <c r="H416" s="19">
        <v>2</v>
      </c>
      <c r="I416" s="21" t="s">
        <v>21</v>
      </c>
    </row>
    <row r="417" spans="1:9" x14ac:dyDescent="0.35">
      <c r="A417" s="17" t="s">
        <v>209</v>
      </c>
      <c r="B417" s="17">
        <v>265</v>
      </c>
      <c r="C417" s="19" t="s">
        <v>432</v>
      </c>
      <c r="D417" s="18" t="s">
        <v>111</v>
      </c>
      <c r="E417" s="19" t="s">
        <v>737</v>
      </c>
      <c r="F417" s="17" t="s">
        <v>738</v>
      </c>
      <c r="G417" s="21" t="s">
        <v>739</v>
      </c>
      <c r="H417" s="19">
        <v>3</v>
      </c>
      <c r="I417" s="21" t="s">
        <v>21</v>
      </c>
    </row>
    <row r="418" spans="1:9" x14ac:dyDescent="0.35">
      <c r="A418" s="17" t="s">
        <v>209</v>
      </c>
      <c r="B418" s="20" t="s">
        <v>261</v>
      </c>
      <c r="C418" s="19" t="s">
        <v>23</v>
      </c>
      <c r="D418" s="18" t="s">
        <v>262</v>
      </c>
      <c r="E418" s="19" t="s">
        <v>740</v>
      </c>
      <c r="F418" s="17" t="s">
        <v>741</v>
      </c>
      <c r="G418" s="21" t="s">
        <v>742</v>
      </c>
      <c r="H418" s="19">
        <v>4</v>
      </c>
      <c r="I418" s="21" t="s">
        <v>7</v>
      </c>
    </row>
    <row r="419" spans="1:9" x14ac:dyDescent="0.35">
      <c r="A419" s="17" t="s">
        <v>209</v>
      </c>
      <c r="B419" s="17" t="s">
        <v>261</v>
      </c>
      <c r="C419" s="19" t="s">
        <v>96</v>
      </c>
      <c r="D419" s="18" t="s">
        <v>262</v>
      </c>
      <c r="E419" s="19" t="s">
        <v>740</v>
      </c>
      <c r="F419" s="17" t="s">
        <v>741</v>
      </c>
      <c r="G419" s="21" t="s">
        <v>742</v>
      </c>
      <c r="H419" s="19">
        <v>4</v>
      </c>
      <c r="I419" s="21" t="s">
        <v>7</v>
      </c>
    </row>
    <row r="420" spans="1:9" x14ac:dyDescent="0.35">
      <c r="A420" s="17" t="s">
        <v>209</v>
      </c>
      <c r="B420" s="17" t="s">
        <v>261</v>
      </c>
      <c r="C420" s="19" t="s">
        <v>96</v>
      </c>
      <c r="D420" s="18" t="s">
        <v>69</v>
      </c>
      <c r="E420" s="19" t="s">
        <v>740</v>
      </c>
      <c r="F420" s="17" t="s">
        <v>741</v>
      </c>
      <c r="G420" s="21" t="s">
        <v>742</v>
      </c>
      <c r="H420" s="19">
        <v>4</v>
      </c>
      <c r="I420" s="21" t="s">
        <v>7</v>
      </c>
    </row>
    <row r="421" spans="1:9" x14ac:dyDescent="0.35">
      <c r="A421" s="17" t="s">
        <v>209</v>
      </c>
      <c r="B421" s="17" t="s">
        <v>261</v>
      </c>
      <c r="C421" s="19" t="s">
        <v>145</v>
      </c>
      <c r="D421" s="18" t="s">
        <v>262</v>
      </c>
      <c r="E421" s="19" t="s">
        <v>740</v>
      </c>
      <c r="F421" s="17" t="s">
        <v>741</v>
      </c>
      <c r="G421" s="21" t="s">
        <v>742</v>
      </c>
      <c r="H421" s="19">
        <v>4</v>
      </c>
      <c r="I421" s="21" t="s">
        <v>7</v>
      </c>
    </row>
    <row r="422" spans="1:9" x14ac:dyDescent="0.35">
      <c r="A422" s="17" t="s">
        <v>209</v>
      </c>
      <c r="B422" s="17" t="s">
        <v>261</v>
      </c>
      <c r="C422" s="19" t="s">
        <v>145</v>
      </c>
      <c r="D422" s="18" t="s">
        <v>245</v>
      </c>
      <c r="E422" s="19" t="s">
        <v>740</v>
      </c>
      <c r="F422" s="17" t="s">
        <v>741</v>
      </c>
      <c r="G422" s="21" t="s">
        <v>742</v>
      </c>
      <c r="H422" s="19">
        <v>4</v>
      </c>
      <c r="I422" s="21" t="s">
        <v>7</v>
      </c>
    </row>
    <row r="423" spans="1:9" x14ac:dyDescent="0.35">
      <c r="A423" s="17" t="s">
        <v>209</v>
      </c>
      <c r="B423" s="17" t="s">
        <v>261</v>
      </c>
      <c r="C423" s="19" t="s">
        <v>190</v>
      </c>
      <c r="D423" s="18" t="s">
        <v>34</v>
      </c>
      <c r="E423" s="19" t="s">
        <v>740</v>
      </c>
      <c r="F423" s="17" t="s">
        <v>743</v>
      </c>
      <c r="G423" s="21" t="s">
        <v>744</v>
      </c>
      <c r="H423" s="19">
        <v>5</v>
      </c>
      <c r="I423" s="21" t="s">
        <v>19</v>
      </c>
    </row>
    <row r="424" spans="1:9" x14ac:dyDescent="0.35">
      <c r="A424" s="17" t="s">
        <v>209</v>
      </c>
      <c r="B424" s="17" t="s">
        <v>261</v>
      </c>
      <c r="C424" s="19" t="s">
        <v>227</v>
      </c>
      <c r="D424" s="18" t="s">
        <v>262</v>
      </c>
      <c r="E424" s="19" t="s">
        <v>740</v>
      </c>
      <c r="F424" s="17" t="s">
        <v>741</v>
      </c>
      <c r="G424" s="21" t="s">
        <v>742</v>
      </c>
      <c r="H424" s="19">
        <v>4</v>
      </c>
      <c r="I424" s="21" t="s">
        <v>7</v>
      </c>
    </row>
    <row r="425" spans="1:9" x14ac:dyDescent="0.35">
      <c r="A425" s="17" t="s">
        <v>209</v>
      </c>
      <c r="B425" s="17" t="s">
        <v>261</v>
      </c>
      <c r="C425" s="19" t="s">
        <v>308</v>
      </c>
      <c r="D425" s="18" t="s">
        <v>262</v>
      </c>
      <c r="E425" s="19" t="s">
        <v>740</v>
      </c>
      <c r="F425" s="17" t="s">
        <v>741</v>
      </c>
      <c r="G425" s="21" t="s">
        <v>742</v>
      </c>
      <c r="H425" s="19">
        <v>4</v>
      </c>
      <c r="I425" s="21" t="s">
        <v>7</v>
      </c>
    </row>
    <row r="426" spans="1:9" x14ac:dyDescent="0.35">
      <c r="A426" s="17" t="s">
        <v>209</v>
      </c>
      <c r="B426" s="17" t="s">
        <v>261</v>
      </c>
      <c r="C426" s="19" t="s">
        <v>308</v>
      </c>
      <c r="D426" s="18" t="s">
        <v>69</v>
      </c>
      <c r="E426" s="19" t="s">
        <v>740</v>
      </c>
      <c r="F426" s="17" t="s">
        <v>741</v>
      </c>
      <c r="G426" s="21" t="s">
        <v>742</v>
      </c>
      <c r="H426" s="19">
        <v>3</v>
      </c>
      <c r="I426" s="21" t="s">
        <v>7</v>
      </c>
    </row>
    <row r="427" spans="1:9" x14ac:dyDescent="0.35">
      <c r="A427" s="17" t="s">
        <v>209</v>
      </c>
      <c r="B427" s="17" t="s">
        <v>261</v>
      </c>
      <c r="C427" s="19" t="s">
        <v>432</v>
      </c>
      <c r="D427" s="18" t="s">
        <v>34</v>
      </c>
      <c r="E427" s="19" t="s">
        <v>740</v>
      </c>
      <c r="F427" s="17" t="s">
        <v>743</v>
      </c>
      <c r="G427" s="21" t="s">
        <v>744</v>
      </c>
      <c r="H427" s="19">
        <v>5</v>
      </c>
      <c r="I427" s="21" t="s">
        <v>19</v>
      </c>
    </row>
    <row r="428" spans="1:9" x14ac:dyDescent="0.35">
      <c r="A428" s="17" t="s">
        <v>209</v>
      </c>
      <c r="B428" s="20">
        <v>469479519</v>
      </c>
      <c r="C428" s="19" t="s">
        <v>227</v>
      </c>
      <c r="D428" s="18" t="s">
        <v>181</v>
      </c>
      <c r="E428" s="19" t="s">
        <v>729</v>
      </c>
      <c r="F428" s="17" t="s">
        <v>730</v>
      </c>
      <c r="G428" s="21" t="s">
        <v>731</v>
      </c>
      <c r="H428" s="19"/>
      <c r="I428" s="21" t="s">
        <v>17</v>
      </c>
    </row>
    <row r="429" spans="1:9" x14ac:dyDescent="0.35">
      <c r="A429" s="17" t="s">
        <v>209</v>
      </c>
      <c r="B429" s="17" t="s">
        <v>271</v>
      </c>
      <c r="C429" s="19" t="s">
        <v>23</v>
      </c>
      <c r="D429" s="18" t="s">
        <v>194</v>
      </c>
      <c r="E429" s="19" t="s">
        <v>740</v>
      </c>
      <c r="F429" s="17" t="s">
        <v>741</v>
      </c>
      <c r="G429" s="21" t="s">
        <v>742</v>
      </c>
      <c r="H429" s="19">
        <v>3</v>
      </c>
      <c r="I429" s="21" t="s">
        <v>7</v>
      </c>
    </row>
    <row r="430" spans="1:9" x14ac:dyDescent="0.35">
      <c r="A430" s="17" t="s">
        <v>209</v>
      </c>
      <c r="B430" s="17" t="s">
        <v>271</v>
      </c>
      <c r="C430" s="19" t="s">
        <v>96</v>
      </c>
      <c r="D430" s="18" t="s">
        <v>194</v>
      </c>
      <c r="E430" s="19" t="s">
        <v>740</v>
      </c>
      <c r="F430" s="17" t="s">
        <v>741</v>
      </c>
      <c r="G430" s="21" t="s">
        <v>742</v>
      </c>
      <c r="H430" s="19">
        <v>3</v>
      </c>
      <c r="I430" s="21" t="s">
        <v>7</v>
      </c>
    </row>
    <row r="431" spans="1:9" x14ac:dyDescent="0.35">
      <c r="A431" s="17" t="s">
        <v>209</v>
      </c>
      <c r="B431" s="17" t="s">
        <v>271</v>
      </c>
      <c r="C431" s="19" t="s">
        <v>145</v>
      </c>
      <c r="D431" s="18" t="s">
        <v>194</v>
      </c>
      <c r="E431" s="19" t="s">
        <v>740</v>
      </c>
      <c r="F431" s="17" t="s">
        <v>741</v>
      </c>
      <c r="G431" s="21" t="s">
        <v>742</v>
      </c>
      <c r="H431" s="19">
        <v>3</v>
      </c>
      <c r="I431" s="21" t="s">
        <v>7</v>
      </c>
    </row>
    <row r="432" spans="1:9" x14ac:dyDescent="0.35">
      <c r="A432" s="17" t="s">
        <v>209</v>
      </c>
      <c r="B432" s="17" t="s">
        <v>271</v>
      </c>
      <c r="C432" s="19" t="s">
        <v>190</v>
      </c>
      <c r="D432" s="18" t="s">
        <v>204</v>
      </c>
      <c r="E432" s="19" t="s">
        <v>740</v>
      </c>
      <c r="F432" s="17" t="s">
        <v>743</v>
      </c>
      <c r="G432" s="21" t="s">
        <v>744</v>
      </c>
      <c r="H432" s="19">
        <v>3</v>
      </c>
      <c r="I432" s="21" t="s">
        <v>19</v>
      </c>
    </row>
    <row r="433" spans="1:9" x14ac:dyDescent="0.35">
      <c r="A433" s="17" t="s">
        <v>209</v>
      </c>
      <c r="B433" s="17" t="s">
        <v>271</v>
      </c>
      <c r="C433" s="19" t="s">
        <v>227</v>
      </c>
      <c r="D433" s="18" t="s">
        <v>194</v>
      </c>
      <c r="E433" s="19" t="s">
        <v>740</v>
      </c>
      <c r="F433" s="17" t="s">
        <v>741</v>
      </c>
      <c r="G433" s="21" t="s">
        <v>742</v>
      </c>
      <c r="H433" s="19">
        <v>3</v>
      </c>
      <c r="I433" s="21" t="s">
        <v>7</v>
      </c>
    </row>
    <row r="434" spans="1:9" x14ac:dyDescent="0.35">
      <c r="A434" s="17" t="s">
        <v>209</v>
      </c>
      <c r="B434" s="17" t="s">
        <v>271</v>
      </c>
      <c r="C434" s="19" t="s">
        <v>308</v>
      </c>
      <c r="D434" s="18" t="s">
        <v>194</v>
      </c>
      <c r="E434" s="19" t="s">
        <v>740</v>
      </c>
      <c r="F434" s="17" t="s">
        <v>741</v>
      </c>
      <c r="G434" s="21" t="s">
        <v>742</v>
      </c>
      <c r="H434" s="19">
        <v>3</v>
      </c>
      <c r="I434" s="21" t="s">
        <v>7</v>
      </c>
    </row>
    <row r="435" spans="1:9" x14ac:dyDescent="0.35">
      <c r="A435" s="17" t="s">
        <v>209</v>
      </c>
      <c r="B435" s="17" t="s">
        <v>271</v>
      </c>
      <c r="C435" s="19" t="s">
        <v>432</v>
      </c>
      <c r="D435" s="18" t="s">
        <v>65</v>
      </c>
      <c r="E435" s="19" t="s">
        <v>740</v>
      </c>
      <c r="F435" s="17" t="s">
        <v>743</v>
      </c>
      <c r="G435" s="21" t="s">
        <v>744</v>
      </c>
      <c r="H435" s="19">
        <v>3</v>
      </c>
      <c r="I435" s="21" t="s">
        <v>19</v>
      </c>
    </row>
    <row r="436" spans="1:9" x14ac:dyDescent="0.35">
      <c r="A436" s="17" t="s">
        <v>209</v>
      </c>
      <c r="B436" s="17" t="s">
        <v>420</v>
      </c>
      <c r="C436" s="19" t="s">
        <v>23</v>
      </c>
      <c r="D436" s="18" t="s">
        <v>188</v>
      </c>
      <c r="E436" s="19" t="s">
        <v>748</v>
      </c>
      <c r="F436" s="17" t="s">
        <v>749</v>
      </c>
      <c r="G436" s="21" t="s">
        <v>750</v>
      </c>
      <c r="H436" s="19">
        <v>1</v>
      </c>
      <c r="I436" s="21" t="s">
        <v>13</v>
      </c>
    </row>
    <row r="437" spans="1:9" x14ac:dyDescent="0.35">
      <c r="A437" s="17" t="s">
        <v>209</v>
      </c>
      <c r="B437" s="17" t="s">
        <v>296</v>
      </c>
      <c r="C437" s="19" t="s">
        <v>23</v>
      </c>
      <c r="D437" s="18" t="s">
        <v>245</v>
      </c>
      <c r="E437" s="19" t="s">
        <v>740</v>
      </c>
      <c r="F437" s="17" t="s">
        <v>741</v>
      </c>
      <c r="G437" s="21" t="s">
        <v>742</v>
      </c>
      <c r="H437" s="19">
        <v>2</v>
      </c>
      <c r="I437" s="21" t="s">
        <v>7</v>
      </c>
    </row>
    <row r="438" spans="1:9" x14ac:dyDescent="0.35">
      <c r="A438" s="17" t="s">
        <v>209</v>
      </c>
      <c r="B438" s="17" t="s">
        <v>296</v>
      </c>
      <c r="C438" s="19" t="s">
        <v>23</v>
      </c>
      <c r="D438" s="18" t="s">
        <v>328</v>
      </c>
      <c r="E438" s="19" t="s">
        <v>740</v>
      </c>
      <c r="F438" s="17" t="s">
        <v>743</v>
      </c>
      <c r="G438" s="21" t="s">
        <v>744</v>
      </c>
      <c r="H438" s="19">
        <v>1</v>
      </c>
      <c r="I438" s="21" t="s">
        <v>19</v>
      </c>
    </row>
    <row r="439" spans="1:9" x14ac:dyDescent="0.35">
      <c r="A439" s="17" t="s">
        <v>209</v>
      </c>
      <c r="B439" s="17" t="s">
        <v>669</v>
      </c>
      <c r="C439" s="19" t="s">
        <v>23</v>
      </c>
      <c r="D439" s="18" t="s">
        <v>204</v>
      </c>
      <c r="E439" s="19" t="s">
        <v>740</v>
      </c>
      <c r="F439" s="17" t="s">
        <v>743</v>
      </c>
      <c r="G439" s="21" t="s">
        <v>744</v>
      </c>
      <c r="H439" s="19">
        <v>3</v>
      </c>
      <c r="I439" s="21" t="s">
        <v>19</v>
      </c>
    </row>
    <row r="440" spans="1:9" x14ac:dyDescent="0.35">
      <c r="A440" s="17" t="s">
        <v>209</v>
      </c>
      <c r="B440" s="17" t="s">
        <v>587</v>
      </c>
      <c r="C440" s="19" t="s">
        <v>190</v>
      </c>
      <c r="D440" s="18" t="s">
        <v>32</v>
      </c>
      <c r="E440" s="19" t="s">
        <v>729</v>
      </c>
      <c r="F440" s="17" t="s">
        <v>730</v>
      </c>
      <c r="G440" s="21" t="s">
        <v>731</v>
      </c>
      <c r="H440" s="19"/>
      <c r="I440" s="21" t="s">
        <v>17</v>
      </c>
    </row>
    <row r="441" spans="1:9" x14ac:dyDescent="0.35">
      <c r="A441" s="17" t="s">
        <v>209</v>
      </c>
      <c r="B441" s="17" t="s">
        <v>324</v>
      </c>
      <c r="C441" s="19" t="s">
        <v>190</v>
      </c>
      <c r="D441" s="18" t="s">
        <v>204</v>
      </c>
      <c r="E441" s="19" t="s">
        <v>732</v>
      </c>
      <c r="F441" s="17" t="s">
        <v>735</v>
      </c>
      <c r="G441" s="21" t="s">
        <v>736</v>
      </c>
      <c r="H441" s="19">
        <v>1</v>
      </c>
      <c r="I441" s="21" t="s">
        <v>9</v>
      </c>
    </row>
    <row r="442" spans="1:9" x14ac:dyDescent="0.35">
      <c r="A442" s="17" t="s">
        <v>209</v>
      </c>
      <c r="B442" s="17" t="s">
        <v>288</v>
      </c>
      <c r="C442" s="19" t="s">
        <v>23</v>
      </c>
      <c r="D442" s="18" t="s">
        <v>61</v>
      </c>
      <c r="E442" s="19" t="s">
        <v>740</v>
      </c>
      <c r="F442" s="17" t="s">
        <v>741</v>
      </c>
      <c r="G442" s="21" t="s">
        <v>742</v>
      </c>
      <c r="H442" s="19">
        <v>2</v>
      </c>
      <c r="I442" s="21" t="s">
        <v>7</v>
      </c>
    </row>
    <row r="443" spans="1:9" x14ac:dyDescent="0.35">
      <c r="A443" s="17" t="s">
        <v>209</v>
      </c>
      <c r="B443" s="17" t="s">
        <v>288</v>
      </c>
      <c r="C443" s="19" t="s">
        <v>145</v>
      </c>
      <c r="D443" s="18" t="s">
        <v>67</v>
      </c>
      <c r="E443" s="19" t="s">
        <v>740</v>
      </c>
      <c r="F443" s="17" t="s">
        <v>741</v>
      </c>
      <c r="G443" s="21" t="s">
        <v>742</v>
      </c>
      <c r="H443" s="19">
        <v>2</v>
      </c>
      <c r="I443" s="21" t="s">
        <v>7</v>
      </c>
    </row>
    <row r="444" spans="1:9" x14ac:dyDescent="0.35">
      <c r="A444" s="17" t="s">
        <v>209</v>
      </c>
      <c r="B444" s="17" t="s">
        <v>288</v>
      </c>
      <c r="C444" s="19" t="s">
        <v>190</v>
      </c>
      <c r="D444" s="18" t="s">
        <v>134</v>
      </c>
      <c r="E444" s="19" t="s">
        <v>740</v>
      </c>
      <c r="F444" s="17" t="s">
        <v>743</v>
      </c>
      <c r="G444" s="21" t="s">
        <v>744</v>
      </c>
      <c r="H444" s="19">
        <v>2</v>
      </c>
      <c r="I444" s="21" t="s">
        <v>19</v>
      </c>
    </row>
    <row r="445" spans="1:9" x14ac:dyDescent="0.35">
      <c r="A445" s="17" t="s">
        <v>209</v>
      </c>
      <c r="B445" s="17" t="s">
        <v>288</v>
      </c>
      <c r="C445" s="19" t="s">
        <v>227</v>
      </c>
      <c r="D445" s="18" t="s">
        <v>73</v>
      </c>
      <c r="E445" s="19" t="s">
        <v>740</v>
      </c>
      <c r="F445" s="17" t="s">
        <v>741</v>
      </c>
      <c r="G445" s="21" t="s">
        <v>742</v>
      </c>
      <c r="H445" s="19">
        <v>2</v>
      </c>
      <c r="I445" s="21" t="s">
        <v>7</v>
      </c>
    </row>
    <row r="446" spans="1:9" x14ac:dyDescent="0.35">
      <c r="A446" s="17" t="s">
        <v>209</v>
      </c>
      <c r="B446" s="17" t="s">
        <v>288</v>
      </c>
      <c r="C446" s="19" t="s">
        <v>432</v>
      </c>
      <c r="D446" s="18" t="s">
        <v>134</v>
      </c>
      <c r="E446" s="19" t="s">
        <v>740</v>
      </c>
      <c r="F446" s="17" t="s">
        <v>743</v>
      </c>
      <c r="G446" s="21" t="s">
        <v>744</v>
      </c>
      <c r="H446" s="19">
        <v>2</v>
      </c>
      <c r="I446" s="21" t="s">
        <v>19</v>
      </c>
    </row>
    <row r="447" spans="1:9" x14ac:dyDescent="0.35">
      <c r="A447" s="17" t="s">
        <v>209</v>
      </c>
      <c r="B447" s="17" t="s">
        <v>289</v>
      </c>
      <c r="C447" s="19" t="s">
        <v>23</v>
      </c>
      <c r="D447" s="18" t="s">
        <v>290</v>
      </c>
      <c r="E447" s="19" t="s">
        <v>740</v>
      </c>
      <c r="F447" s="17" t="s">
        <v>741</v>
      </c>
      <c r="G447" s="21" t="s">
        <v>742</v>
      </c>
      <c r="H447" s="19">
        <v>3</v>
      </c>
      <c r="I447" s="21" t="s">
        <v>7</v>
      </c>
    </row>
    <row r="448" spans="1:9" x14ac:dyDescent="0.35">
      <c r="A448" s="17" t="s">
        <v>209</v>
      </c>
      <c r="B448" s="17" t="s">
        <v>289</v>
      </c>
      <c r="C448" s="19" t="s">
        <v>190</v>
      </c>
      <c r="D448" s="18" t="s">
        <v>81</v>
      </c>
      <c r="E448" s="19" t="s">
        <v>740</v>
      </c>
      <c r="F448" s="17" t="s">
        <v>743</v>
      </c>
      <c r="G448" s="21" t="s">
        <v>744</v>
      </c>
      <c r="H448" s="19">
        <v>3</v>
      </c>
      <c r="I448" s="21" t="s">
        <v>19</v>
      </c>
    </row>
    <row r="449" spans="1:9" x14ac:dyDescent="0.35">
      <c r="A449" s="17" t="s">
        <v>209</v>
      </c>
      <c r="B449" s="17" t="s">
        <v>289</v>
      </c>
      <c r="C449" s="19" t="s">
        <v>227</v>
      </c>
      <c r="D449" s="18" t="s">
        <v>306</v>
      </c>
      <c r="E449" s="19" t="s">
        <v>740</v>
      </c>
      <c r="F449" s="17" t="s">
        <v>741</v>
      </c>
      <c r="G449" s="21" t="s">
        <v>742</v>
      </c>
      <c r="H449" s="19">
        <v>3</v>
      </c>
      <c r="I449" s="21" t="s">
        <v>7</v>
      </c>
    </row>
    <row r="450" spans="1:9" x14ac:dyDescent="0.35">
      <c r="A450" s="17" t="s">
        <v>209</v>
      </c>
      <c r="B450" s="17" t="s">
        <v>289</v>
      </c>
      <c r="C450" s="19" t="s">
        <v>432</v>
      </c>
      <c r="D450" s="18" t="s">
        <v>81</v>
      </c>
      <c r="E450" s="19" t="s">
        <v>740</v>
      </c>
      <c r="F450" s="17" t="s">
        <v>743</v>
      </c>
      <c r="G450" s="21" t="s">
        <v>744</v>
      </c>
      <c r="H450" s="19">
        <v>3</v>
      </c>
      <c r="I450" s="21" t="s">
        <v>19</v>
      </c>
    </row>
    <row r="451" spans="1:9" x14ac:dyDescent="0.35">
      <c r="A451" s="17" t="s">
        <v>209</v>
      </c>
      <c r="B451" s="17" t="s">
        <v>291</v>
      </c>
      <c r="C451" s="19" t="s">
        <v>23</v>
      </c>
      <c r="D451" s="18" t="s">
        <v>204</v>
      </c>
      <c r="E451" s="19" t="s">
        <v>740</v>
      </c>
      <c r="F451" s="17" t="s">
        <v>741</v>
      </c>
      <c r="G451" s="21" t="s">
        <v>742</v>
      </c>
      <c r="H451" s="19">
        <v>1</v>
      </c>
      <c r="I451" s="21" t="s">
        <v>7</v>
      </c>
    </row>
    <row r="452" spans="1:9" x14ac:dyDescent="0.35">
      <c r="A452" s="17" t="s">
        <v>209</v>
      </c>
      <c r="B452" s="17" t="s">
        <v>291</v>
      </c>
      <c r="C452" s="19" t="s">
        <v>190</v>
      </c>
      <c r="D452" s="18" t="s">
        <v>132</v>
      </c>
      <c r="E452" s="19" t="s">
        <v>740</v>
      </c>
      <c r="F452" s="17" t="s">
        <v>743</v>
      </c>
      <c r="G452" s="21" t="s">
        <v>744</v>
      </c>
      <c r="H452" s="19">
        <v>1</v>
      </c>
      <c r="I452" s="21" t="s">
        <v>19</v>
      </c>
    </row>
    <row r="453" spans="1:9" x14ac:dyDescent="0.35">
      <c r="A453" s="17" t="s">
        <v>209</v>
      </c>
      <c r="B453" s="17" t="s">
        <v>291</v>
      </c>
      <c r="C453" s="19" t="s">
        <v>227</v>
      </c>
      <c r="D453" s="18" t="s">
        <v>245</v>
      </c>
      <c r="E453" s="19" t="s">
        <v>740</v>
      </c>
      <c r="F453" s="17" t="s">
        <v>741</v>
      </c>
      <c r="G453" s="21" t="s">
        <v>742</v>
      </c>
      <c r="H453" s="19">
        <v>1</v>
      </c>
      <c r="I453" s="21" t="s">
        <v>7</v>
      </c>
    </row>
    <row r="454" spans="1:9" x14ac:dyDescent="0.35">
      <c r="A454" s="17" t="s">
        <v>209</v>
      </c>
      <c r="B454" s="17" t="s">
        <v>291</v>
      </c>
      <c r="C454" s="19" t="s">
        <v>432</v>
      </c>
      <c r="D454" s="18" t="s">
        <v>132</v>
      </c>
      <c r="E454" s="19" t="s">
        <v>740</v>
      </c>
      <c r="F454" s="17" t="s">
        <v>743</v>
      </c>
      <c r="G454" s="21" t="s">
        <v>744</v>
      </c>
      <c r="H454" s="19">
        <v>1</v>
      </c>
      <c r="I454" s="21" t="s">
        <v>19</v>
      </c>
    </row>
    <row r="455" spans="1:9" x14ac:dyDescent="0.35">
      <c r="A455" s="17" t="s">
        <v>209</v>
      </c>
      <c r="B455" s="17" t="s">
        <v>430</v>
      </c>
      <c r="C455" s="19" t="s">
        <v>227</v>
      </c>
      <c r="D455" s="18" t="s">
        <v>186</v>
      </c>
      <c r="E455" s="19" t="s">
        <v>748</v>
      </c>
      <c r="F455" s="17" t="s">
        <v>749</v>
      </c>
      <c r="G455" s="21" t="s">
        <v>750</v>
      </c>
      <c r="H455" s="19">
        <v>2</v>
      </c>
      <c r="I455" s="21" t="s">
        <v>13</v>
      </c>
    </row>
    <row r="456" spans="1:9" x14ac:dyDescent="0.35">
      <c r="A456" s="17" t="s">
        <v>209</v>
      </c>
      <c r="B456" s="17" t="s">
        <v>263</v>
      </c>
      <c r="C456" s="19" t="s">
        <v>23</v>
      </c>
      <c r="D456" s="18" t="s">
        <v>148</v>
      </c>
      <c r="E456" s="19" t="s">
        <v>740</v>
      </c>
      <c r="F456" s="17" t="s">
        <v>741</v>
      </c>
      <c r="G456" s="21" t="s">
        <v>742</v>
      </c>
      <c r="H456" s="19">
        <v>3</v>
      </c>
      <c r="I456" s="21" t="s">
        <v>7</v>
      </c>
    </row>
    <row r="457" spans="1:9" x14ac:dyDescent="0.35">
      <c r="A457" s="17" t="s">
        <v>209</v>
      </c>
      <c r="B457" s="17" t="s">
        <v>263</v>
      </c>
      <c r="C457" s="19" t="s">
        <v>96</v>
      </c>
      <c r="D457" s="18" t="s">
        <v>148</v>
      </c>
      <c r="E457" s="19" t="s">
        <v>740</v>
      </c>
      <c r="F457" s="17" t="s">
        <v>741</v>
      </c>
      <c r="G457" s="21" t="s">
        <v>742</v>
      </c>
      <c r="H457" s="19">
        <v>3</v>
      </c>
      <c r="I457" s="21" t="s">
        <v>7</v>
      </c>
    </row>
    <row r="458" spans="1:9" x14ac:dyDescent="0.35">
      <c r="A458" s="17" t="s">
        <v>209</v>
      </c>
      <c r="B458" s="17" t="s">
        <v>263</v>
      </c>
      <c r="C458" s="19" t="s">
        <v>96</v>
      </c>
      <c r="D458" s="18" t="s">
        <v>166</v>
      </c>
      <c r="E458" s="19" t="s">
        <v>740</v>
      </c>
      <c r="F458" s="17" t="s">
        <v>741</v>
      </c>
      <c r="G458" s="21" t="s">
        <v>742</v>
      </c>
      <c r="H458" s="19">
        <v>3</v>
      </c>
      <c r="I458" s="21" t="s">
        <v>7</v>
      </c>
    </row>
    <row r="459" spans="1:9" x14ac:dyDescent="0.35">
      <c r="A459" s="17" t="s">
        <v>209</v>
      </c>
      <c r="B459" s="17" t="s">
        <v>263</v>
      </c>
      <c r="C459" s="19" t="s">
        <v>145</v>
      </c>
      <c r="D459" s="18" t="s">
        <v>148</v>
      </c>
      <c r="E459" s="19" t="s">
        <v>740</v>
      </c>
      <c r="F459" s="17" t="s">
        <v>741</v>
      </c>
      <c r="G459" s="21" t="s">
        <v>742</v>
      </c>
      <c r="H459" s="19">
        <v>3</v>
      </c>
      <c r="I459" s="21" t="s">
        <v>7</v>
      </c>
    </row>
    <row r="460" spans="1:9" x14ac:dyDescent="0.35">
      <c r="A460" s="17" t="s">
        <v>209</v>
      </c>
      <c r="B460" s="17" t="s">
        <v>263</v>
      </c>
      <c r="C460" s="19" t="s">
        <v>145</v>
      </c>
      <c r="D460" s="18" t="s">
        <v>206</v>
      </c>
      <c r="E460" s="19" t="s">
        <v>740</v>
      </c>
      <c r="F460" s="17" t="s">
        <v>741</v>
      </c>
      <c r="G460" s="21" t="s">
        <v>742</v>
      </c>
      <c r="H460" s="19">
        <v>3</v>
      </c>
      <c r="I460" s="21" t="s">
        <v>7</v>
      </c>
    </row>
    <row r="461" spans="1:9" x14ac:dyDescent="0.35">
      <c r="A461" s="17" t="s">
        <v>209</v>
      </c>
      <c r="B461" s="17" t="s">
        <v>263</v>
      </c>
      <c r="C461" s="19" t="s">
        <v>190</v>
      </c>
      <c r="D461" s="18" t="s">
        <v>150</v>
      </c>
      <c r="E461" s="19" t="s">
        <v>740</v>
      </c>
      <c r="F461" s="17" t="s">
        <v>743</v>
      </c>
      <c r="G461" s="21" t="s">
        <v>744</v>
      </c>
      <c r="H461" s="19">
        <v>3</v>
      </c>
      <c r="I461" s="21" t="s">
        <v>19</v>
      </c>
    </row>
    <row r="462" spans="1:9" x14ac:dyDescent="0.35">
      <c r="A462" s="17" t="s">
        <v>209</v>
      </c>
      <c r="B462" s="17" t="s">
        <v>263</v>
      </c>
      <c r="C462" s="19" t="s">
        <v>227</v>
      </c>
      <c r="D462" s="18" t="s">
        <v>148</v>
      </c>
      <c r="E462" s="19" t="s">
        <v>740</v>
      </c>
      <c r="F462" s="17" t="s">
        <v>741</v>
      </c>
      <c r="G462" s="21" t="s">
        <v>742</v>
      </c>
      <c r="H462" s="19">
        <v>3</v>
      </c>
      <c r="I462" s="21" t="s">
        <v>7</v>
      </c>
    </row>
    <row r="463" spans="1:9" x14ac:dyDescent="0.35">
      <c r="A463" s="17" t="s">
        <v>209</v>
      </c>
      <c r="B463" s="17" t="s">
        <v>263</v>
      </c>
      <c r="C463" s="19" t="s">
        <v>308</v>
      </c>
      <c r="D463" s="18" t="s">
        <v>148</v>
      </c>
      <c r="E463" s="19" t="s">
        <v>740</v>
      </c>
      <c r="F463" s="17" t="s">
        <v>741</v>
      </c>
      <c r="G463" s="21" t="s">
        <v>742</v>
      </c>
      <c r="H463" s="19">
        <v>3</v>
      </c>
      <c r="I463" s="21" t="s">
        <v>7</v>
      </c>
    </row>
    <row r="464" spans="1:9" x14ac:dyDescent="0.35">
      <c r="A464" s="17" t="s">
        <v>209</v>
      </c>
      <c r="B464" s="17" t="s">
        <v>263</v>
      </c>
      <c r="C464" s="19" t="s">
        <v>308</v>
      </c>
      <c r="D464" s="18" t="s">
        <v>166</v>
      </c>
      <c r="E464" s="19" t="s">
        <v>740</v>
      </c>
      <c r="F464" s="17" t="s">
        <v>741</v>
      </c>
      <c r="G464" s="21" t="s">
        <v>742</v>
      </c>
      <c r="H464" s="19">
        <v>3</v>
      </c>
      <c r="I464" s="21" t="s">
        <v>7</v>
      </c>
    </row>
    <row r="465" spans="1:9" x14ac:dyDescent="0.35">
      <c r="A465" s="17" t="s">
        <v>209</v>
      </c>
      <c r="B465" s="17" t="s">
        <v>263</v>
      </c>
      <c r="C465" s="19" t="s">
        <v>432</v>
      </c>
      <c r="D465" s="18" t="s">
        <v>150</v>
      </c>
      <c r="E465" s="19" t="s">
        <v>740</v>
      </c>
      <c r="F465" s="17" t="s">
        <v>743</v>
      </c>
      <c r="G465" s="21" t="s">
        <v>744</v>
      </c>
      <c r="H465" s="19">
        <v>3</v>
      </c>
      <c r="I465" s="21" t="s">
        <v>19</v>
      </c>
    </row>
    <row r="466" spans="1:9" x14ac:dyDescent="0.35">
      <c r="A466" s="17" t="s">
        <v>209</v>
      </c>
      <c r="B466" s="17" t="s">
        <v>269</v>
      </c>
      <c r="C466" s="19" t="s">
        <v>23</v>
      </c>
      <c r="D466" s="18" t="s">
        <v>270</v>
      </c>
      <c r="E466" s="19" t="s">
        <v>740</v>
      </c>
      <c r="F466" s="17" t="s">
        <v>741</v>
      </c>
      <c r="G466" s="21" t="s">
        <v>742</v>
      </c>
      <c r="H466" s="19">
        <v>3</v>
      </c>
      <c r="I466" s="21" t="s">
        <v>7</v>
      </c>
    </row>
    <row r="467" spans="1:9" x14ac:dyDescent="0.35">
      <c r="A467" s="17" t="s">
        <v>209</v>
      </c>
      <c r="B467" s="17" t="s">
        <v>269</v>
      </c>
      <c r="C467" s="19" t="s">
        <v>96</v>
      </c>
      <c r="D467" s="18" t="s">
        <v>270</v>
      </c>
      <c r="E467" s="19" t="s">
        <v>740</v>
      </c>
      <c r="F467" s="17" t="s">
        <v>741</v>
      </c>
      <c r="G467" s="21" t="s">
        <v>742</v>
      </c>
      <c r="H467" s="19">
        <v>3</v>
      </c>
      <c r="I467" s="21" t="s">
        <v>7</v>
      </c>
    </row>
    <row r="468" spans="1:9" x14ac:dyDescent="0.35">
      <c r="A468" s="17" t="s">
        <v>209</v>
      </c>
      <c r="B468" s="17" t="s">
        <v>269</v>
      </c>
      <c r="C468" s="19" t="s">
        <v>145</v>
      </c>
      <c r="D468" s="18" t="s">
        <v>270</v>
      </c>
      <c r="E468" s="19" t="s">
        <v>740</v>
      </c>
      <c r="F468" s="17" t="s">
        <v>741</v>
      </c>
      <c r="G468" s="21" t="s">
        <v>742</v>
      </c>
      <c r="H468" s="19">
        <v>3</v>
      </c>
      <c r="I468" s="21" t="s">
        <v>7</v>
      </c>
    </row>
    <row r="469" spans="1:9" x14ac:dyDescent="0.35">
      <c r="A469" s="17" t="s">
        <v>209</v>
      </c>
      <c r="B469" s="17" t="s">
        <v>269</v>
      </c>
      <c r="C469" s="19" t="s">
        <v>190</v>
      </c>
      <c r="D469" s="18" t="s">
        <v>109</v>
      </c>
      <c r="E469" s="19" t="s">
        <v>740</v>
      </c>
      <c r="F469" s="17" t="s">
        <v>743</v>
      </c>
      <c r="G469" s="21" t="s">
        <v>744</v>
      </c>
      <c r="H469" s="19">
        <v>4</v>
      </c>
      <c r="I469" s="21" t="s">
        <v>19</v>
      </c>
    </row>
    <row r="470" spans="1:9" x14ac:dyDescent="0.35">
      <c r="A470" s="17" t="s">
        <v>209</v>
      </c>
      <c r="B470" s="17" t="s">
        <v>269</v>
      </c>
      <c r="C470" s="19" t="s">
        <v>227</v>
      </c>
      <c r="D470" s="18" t="s">
        <v>270</v>
      </c>
      <c r="E470" s="19" t="s">
        <v>740</v>
      </c>
      <c r="F470" s="17" t="s">
        <v>741</v>
      </c>
      <c r="G470" s="21" t="s">
        <v>742</v>
      </c>
      <c r="H470" s="19">
        <v>3</v>
      </c>
      <c r="I470" s="21" t="s">
        <v>7</v>
      </c>
    </row>
    <row r="471" spans="1:9" x14ac:dyDescent="0.35">
      <c r="A471" s="17" t="s">
        <v>209</v>
      </c>
      <c r="B471" s="17" t="s">
        <v>269</v>
      </c>
      <c r="C471" s="19" t="s">
        <v>308</v>
      </c>
      <c r="D471" s="18" t="s">
        <v>270</v>
      </c>
      <c r="E471" s="19" t="s">
        <v>740</v>
      </c>
      <c r="F471" s="17" t="s">
        <v>741</v>
      </c>
      <c r="G471" s="21" t="s">
        <v>742</v>
      </c>
      <c r="H471" s="19">
        <v>3</v>
      </c>
      <c r="I471" s="21" t="s">
        <v>7</v>
      </c>
    </row>
    <row r="472" spans="1:9" x14ac:dyDescent="0.35">
      <c r="A472" s="17" t="s">
        <v>209</v>
      </c>
      <c r="B472" s="17" t="s">
        <v>269</v>
      </c>
      <c r="C472" s="19" t="s">
        <v>432</v>
      </c>
      <c r="D472" s="18" t="s">
        <v>109</v>
      </c>
      <c r="E472" s="19" t="s">
        <v>740</v>
      </c>
      <c r="F472" s="17" t="s">
        <v>743</v>
      </c>
      <c r="G472" s="21" t="s">
        <v>744</v>
      </c>
      <c r="H472" s="19">
        <v>3</v>
      </c>
      <c r="I472" s="21" t="s">
        <v>19</v>
      </c>
    </row>
    <row r="473" spans="1:9" x14ac:dyDescent="0.35">
      <c r="A473" s="17" t="s">
        <v>209</v>
      </c>
      <c r="B473" s="17" t="s">
        <v>292</v>
      </c>
      <c r="C473" s="19" t="s">
        <v>23</v>
      </c>
      <c r="D473" s="18" t="s">
        <v>164</v>
      </c>
      <c r="E473" s="19" t="s">
        <v>740</v>
      </c>
      <c r="F473" s="17" t="s">
        <v>741</v>
      </c>
      <c r="G473" s="21" t="s">
        <v>742</v>
      </c>
      <c r="H473" s="19">
        <v>2</v>
      </c>
      <c r="I473" s="21" t="s">
        <v>7</v>
      </c>
    </row>
    <row r="474" spans="1:9" x14ac:dyDescent="0.35">
      <c r="A474" s="17" t="s">
        <v>209</v>
      </c>
      <c r="B474" s="17" t="s">
        <v>292</v>
      </c>
      <c r="C474" s="19" t="s">
        <v>145</v>
      </c>
      <c r="D474" s="18" t="s">
        <v>65</v>
      </c>
      <c r="E474" s="19" t="s">
        <v>740</v>
      </c>
      <c r="F474" s="17" t="s">
        <v>741</v>
      </c>
      <c r="G474" s="21" t="s">
        <v>742</v>
      </c>
      <c r="H474" s="19">
        <v>2</v>
      </c>
      <c r="I474" s="21" t="s">
        <v>7</v>
      </c>
    </row>
    <row r="475" spans="1:9" x14ac:dyDescent="0.35">
      <c r="A475" s="17" t="s">
        <v>209</v>
      </c>
      <c r="B475" s="17" t="s">
        <v>292</v>
      </c>
      <c r="C475" s="19" t="s">
        <v>190</v>
      </c>
      <c r="D475" s="18" t="s">
        <v>65</v>
      </c>
      <c r="E475" s="19" t="s">
        <v>740</v>
      </c>
      <c r="F475" s="17" t="s">
        <v>743</v>
      </c>
      <c r="G475" s="21" t="s">
        <v>744</v>
      </c>
      <c r="H475" s="19">
        <v>2</v>
      </c>
      <c r="I475" s="21" t="s">
        <v>19</v>
      </c>
    </row>
    <row r="476" spans="1:9" x14ac:dyDescent="0.35">
      <c r="A476" s="17" t="s">
        <v>209</v>
      </c>
      <c r="B476" s="17" t="s">
        <v>292</v>
      </c>
      <c r="C476" s="19" t="s">
        <v>227</v>
      </c>
      <c r="D476" s="18" t="s">
        <v>71</v>
      </c>
      <c r="E476" s="19" t="s">
        <v>740</v>
      </c>
      <c r="F476" s="17" t="s">
        <v>741</v>
      </c>
      <c r="G476" s="21" t="s">
        <v>742</v>
      </c>
      <c r="H476" s="19">
        <v>2</v>
      </c>
      <c r="I476" s="21" t="s">
        <v>7</v>
      </c>
    </row>
    <row r="477" spans="1:9" x14ac:dyDescent="0.35">
      <c r="A477" s="17" t="s">
        <v>209</v>
      </c>
      <c r="B477" s="17" t="s">
        <v>292</v>
      </c>
      <c r="C477" s="19" t="s">
        <v>432</v>
      </c>
      <c r="D477" s="18" t="s">
        <v>75</v>
      </c>
      <c r="E477" s="19" t="s">
        <v>740</v>
      </c>
      <c r="F477" s="17" t="s">
        <v>743</v>
      </c>
      <c r="G477" s="21" t="s">
        <v>744</v>
      </c>
      <c r="H477" s="19">
        <v>2</v>
      </c>
      <c r="I477" s="21" t="s">
        <v>19</v>
      </c>
    </row>
    <row r="478" spans="1:9" x14ac:dyDescent="0.35">
      <c r="A478" s="17" t="s">
        <v>209</v>
      </c>
      <c r="B478" s="17" t="s">
        <v>705</v>
      </c>
      <c r="C478" s="19" t="s">
        <v>23</v>
      </c>
      <c r="D478" s="18" t="s">
        <v>335</v>
      </c>
      <c r="E478" s="19" t="s">
        <v>737</v>
      </c>
      <c r="F478" s="17" t="s">
        <v>738</v>
      </c>
      <c r="G478" s="21" t="s">
        <v>739</v>
      </c>
      <c r="H478" s="19">
        <v>2</v>
      </c>
      <c r="I478" s="21" t="s">
        <v>21</v>
      </c>
    </row>
    <row r="479" spans="1:9" x14ac:dyDescent="0.35">
      <c r="A479" s="17" t="s">
        <v>209</v>
      </c>
      <c r="B479" s="17" t="s">
        <v>705</v>
      </c>
      <c r="C479" s="19" t="s">
        <v>96</v>
      </c>
      <c r="D479" s="18" t="s">
        <v>259</v>
      </c>
      <c r="E479" s="19" t="s">
        <v>737</v>
      </c>
      <c r="F479" s="17" t="s">
        <v>738</v>
      </c>
      <c r="G479" s="21" t="s">
        <v>739</v>
      </c>
      <c r="H479" s="19">
        <v>2</v>
      </c>
      <c r="I479" s="21" t="s">
        <v>21</v>
      </c>
    </row>
    <row r="480" spans="1:9" x14ac:dyDescent="0.35">
      <c r="A480" s="17" t="s">
        <v>209</v>
      </c>
      <c r="B480" s="17" t="s">
        <v>705</v>
      </c>
      <c r="C480" s="19" t="s">
        <v>190</v>
      </c>
      <c r="D480" s="18" t="s">
        <v>335</v>
      </c>
      <c r="E480" s="19" t="s">
        <v>737</v>
      </c>
      <c r="F480" s="17" t="s">
        <v>738</v>
      </c>
      <c r="G480" s="21" t="s">
        <v>739</v>
      </c>
      <c r="H480" s="19">
        <v>2</v>
      </c>
      <c r="I480" s="21" t="s">
        <v>21</v>
      </c>
    </row>
    <row r="481" spans="1:9" x14ac:dyDescent="0.35">
      <c r="A481" s="17" t="s">
        <v>209</v>
      </c>
      <c r="B481" s="17" t="s">
        <v>705</v>
      </c>
      <c r="C481" s="19" t="s">
        <v>227</v>
      </c>
      <c r="D481" s="18" t="s">
        <v>226</v>
      </c>
      <c r="E481" s="19" t="s">
        <v>737</v>
      </c>
      <c r="F481" s="17" t="s">
        <v>738</v>
      </c>
      <c r="G481" s="21" t="s">
        <v>739</v>
      </c>
      <c r="H481" s="19">
        <v>2</v>
      </c>
      <c r="I481" s="21" t="s">
        <v>21</v>
      </c>
    </row>
    <row r="482" spans="1:9" x14ac:dyDescent="0.35">
      <c r="A482" s="17" t="s">
        <v>209</v>
      </c>
      <c r="B482" s="17" t="s">
        <v>705</v>
      </c>
      <c r="C482" s="19" t="s">
        <v>432</v>
      </c>
      <c r="D482" s="18" t="s">
        <v>335</v>
      </c>
      <c r="E482" s="19" t="s">
        <v>737</v>
      </c>
      <c r="F482" s="17" t="s">
        <v>738</v>
      </c>
      <c r="G482" s="21" t="s">
        <v>739</v>
      </c>
      <c r="H482" s="19">
        <v>3</v>
      </c>
      <c r="I482" s="21" t="s">
        <v>21</v>
      </c>
    </row>
    <row r="483" spans="1:9" x14ac:dyDescent="0.35">
      <c r="A483" s="17" t="s">
        <v>209</v>
      </c>
      <c r="B483" s="17" t="s">
        <v>427</v>
      </c>
      <c r="C483" s="19" t="s">
        <v>190</v>
      </c>
      <c r="D483" s="18" t="s">
        <v>418</v>
      </c>
      <c r="E483" s="19" t="s">
        <v>748</v>
      </c>
      <c r="F483" s="17" t="s">
        <v>749</v>
      </c>
      <c r="G483" s="21" t="s">
        <v>750</v>
      </c>
      <c r="H483" s="19">
        <v>1</v>
      </c>
      <c r="I483" s="21" t="s">
        <v>13</v>
      </c>
    </row>
    <row r="484" spans="1:9" x14ac:dyDescent="0.35">
      <c r="A484" s="17" t="s">
        <v>209</v>
      </c>
      <c r="B484" s="17" t="s">
        <v>419</v>
      </c>
      <c r="C484" s="19" t="s">
        <v>23</v>
      </c>
      <c r="D484" s="18" t="s">
        <v>226</v>
      </c>
      <c r="E484" s="19" t="s">
        <v>748</v>
      </c>
      <c r="F484" s="17" t="s">
        <v>749</v>
      </c>
      <c r="G484" s="21" t="s">
        <v>750</v>
      </c>
      <c r="H484" s="19">
        <v>1</v>
      </c>
      <c r="I484" s="21" t="s">
        <v>13</v>
      </c>
    </row>
    <row r="485" spans="1:9" x14ac:dyDescent="0.35">
      <c r="A485" s="17" t="s">
        <v>209</v>
      </c>
      <c r="B485" s="17" t="s">
        <v>274</v>
      </c>
      <c r="C485" s="19" t="s">
        <v>23</v>
      </c>
      <c r="D485" s="18" t="s">
        <v>196</v>
      </c>
      <c r="E485" s="19" t="s">
        <v>740</v>
      </c>
      <c r="F485" s="17" t="s">
        <v>741</v>
      </c>
      <c r="G485" s="21" t="s">
        <v>742</v>
      </c>
      <c r="H485" s="19">
        <v>3</v>
      </c>
      <c r="I485" s="21" t="s">
        <v>7</v>
      </c>
    </row>
    <row r="486" spans="1:9" x14ac:dyDescent="0.35">
      <c r="A486" s="17" t="s">
        <v>209</v>
      </c>
      <c r="B486" s="17" t="s">
        <v>274</v>
      </c>
      <c r="C486" s="19" t="s">
        <v>23</v>
      </c>
      <c r="D486" s="18" t="s">
        <v>220</v>
      </c>
      <c r="E486" s="19" t="s">
        <v>737</v>
      </c>
      <c r="F486" s="17" t="s">
        <v>738</v>
      </c>
      <c r="G486" s="21" t="s">
        <v>739</v>
      </c>
      <c r="H486" s="19">
        <v>4</v>
      </c>
      <c r="I486" s="21" t="s">
        <v>21</v>
      </c>
    </row>
    <row r="487" spans="1:9" x14ac:dyDescent="0.35">
      <c r="A487" s="17" t="s">
        <v>209</v>
      </c>
      <c r="B487" s="17" t="s">
        <v>274</v>
      </c>
      <c r="C487" s="19" t="s">
        <v>96</v>
      </c>
      <c r="D487" s="18" t="s">
        <v>196</v>
      </c>
      <c r="E487" s="19" t="s">
        <v>740</v>
      </c>
      <c r="F487" s="17" t="s">
        <v>741</v>
      </c>
      <c r="G487" s="21" t="s">
        <v>742</v>
      </c>
      <c r="H487" s="19">
        <v>3</v>
      </c>
      <c r="I487" s="21" t="s">
        <v>7</v>
      </c>
    </row>
    <row r="488" spans="1:9" x14ac:dyDescent="0.35">
      <c r="A488" s="17" t="s">
        <v>209</v>
      </c>
      <c r="B488" s="17" t="s">
        <v>274</v>
      </c>
      <c r="C488" s="19" t="s">
        <v>96</v>
      </c>
      <c r="D488" s="18" t="s">
        <v>354</v>
      </c>
      <c r="E488" s="19" t="s">
        <v>737</v>
      </c>
      <c r="F488" s="17" t="s">
        <v>738</v>
      </c>
      <c r="G488" s="21" t="s">
        <v>739</v>
      </c>
      <c r="H488" s="19">
        <v>4</v>
      </c>
      <c r="I488" s="21" t="s">
        <v>21</v>
      </c>
    </row>
    <row r="489" spans="1:9" x14ac:dyDescent="0.35">
      <c r="A489" s="17" t="s">
        <v>209</v>
      </c>
      <c r="B489" s="17" t="s">
        <v>274</v>
      </c>
      <c r="C489" s="19" t="s">
        <v>145</v>
      </c>
      <c r="D489" s="18" t="s">
        <v>196</v>
      </c>
      <c r="E489" s="19" t="s">
        <v>740</v>
      </c>
      <c r="F489" s="17" t="s">
        <v>741</v>
      </c>
      <c r="G489" s="21" t="s">
        <v>742</v>
      </c>
      <c r="H489" s="19">
        <v>3</v>
      </c>
      <c r="I489" s="21" t="s">
        <v>7</v>
      </c>
    </row>
    <row r="490" spans="1:9" x14ac:dyDescent="0.35">
      <c r="A490" s="17" t="s">
        <v>209</v>
      </c>
      <c r="B490" s="17" t="s">
        <v>274</v>
      </c>
      <c r="C490" s="19" t="s">
        <v>145</v>
      </c>
      <c r="D490" s="18" t="s">
        <v>168</v>
      </c>
      <c r="E490" s="19" t="s">
        <v>737</v>
      </c>
      <c r="F490" s="17" t="s">
        <v>735</v>
      </c>
      <c r="G490" s="21" t="s">
        <v>736</v>
      </c>
      <c r="H490" s="19">
        <v>2</v>
      </c>
      <c r="I490" s="21" t="s">
        <v>9</v>
      </c>
    </row>
    <row r="491" spans="1:9" x14ac:dyDescent="0.35">
      <c r="A491" s="17" t="s">
        <v>209</v>
      </c>
      <c r="B491" s="17" t="s">
        <v>274</v>
      </c>
      <c r="C491" s="19" t="s">
        <v>190</v>
      </c>
      <c r="D491" s="18" t="s">
        <v>354</v>
      </c>
      <c r="E491" s="19" t="s">
        <v>737</v>
      </c>
      <c r="F491" s="17" t="s">
        <v>738</v>
      </c>
      <c r="G491" s="21" t="s">
        <v>739</v>
      </c>
      <c r="H491" s="19">
        <v>4</v>
      </c>
      <c r="I491" s="21" t="s">
        <v>21</v>
      </c>
    </row>
    <row r="492" spans="1:9" x14ac:dyDescent="0.35">
      <c r="A492" s="17" t="s">
        <v>209</v>
      </c>
      <c r="B492" s="17" t="s">
        <v>274</v>
      </c>
      <c r="C492" s="19" t="s">
        <v>190</v>
      </c>
      <c r="D492" s="18" t="s">
        <v>85</v>
      </c>
      <c r="E492" s="19" t="s">
        <v>740</v>
      </c>
      <c r="F492" s="17" t="s">
        <v>743</v>
      </c>
      <c r="G492" s="21" t="s">
        <v>744</v>
      </c>
      <c r="H492" s="19">
        <v>3</v>
      </c>
      <c r="I492" s="21" t="s">
        <v>19</v>
      </c>
    </row>
    <row r="493" spans="1:9" x14ac:dyDescent="0.35">
      <c r="A493" s="17" t="s">
        <v>209</v>
      </c>
      <c r="B493" s="17" t="s">
        <v>274</v>
      </c>
      <c r="C493" s="19" t="s">
        <v>227</v>
      </c>
      <c r="D493" s="18" t="s">
        <v>196</v>
      </c>
      <c r="E493" s="19" t="s">
        <v>740</v>
      </c>
      <c r="F493" s="17" t="s">
        <v>741</v>
      </c>
      <c r="G493" s="21" t="s">
        <v>742</v>
      </c>
      <c r="H493" s="19">
        <v>3</v>
      </c>
      <c r="I493" s="21" t="s">
        <v>7</v>
      </c>
    </row>
    <row r="494" spans="1:9" x14ac:dyDescent="0.35">
      <c r="A494" s="17" t="s">
        <v>209</v>
      </c>
      <c r="B494" s="17" t="s">
        <v>274</v>
      </c>
      <c r="C494" s="19" t="s">
        <v>227</v>
      </c>
      <c r="D494" s="18" t="s">
        <v>220</v>
      </c>
      <c r="E494" s="19" t="s">
        <v>737</v>
      </c>
      <c r="F494" s="17" t="s">
        <v>738</v>
      </c>
      <c r="G494" s="21" t="s">
        <v>739</v>
      </c>
      <c r="H494" s="19">
        <v>4</v>
      </c>
      <c r="I494" s="21" t="s">
        <v>21</v>
      </c>
    </row>
    <row r="495" spans="1:9" x14ac:dyDescent="0.35">
      <c r="A495" s="17" t="s">
        <v>209</v>
      </c>
      <c r="B495" s="17" t="s">
        <v>274</v>
      </c>
      <c r="C495" s="19" t="s">
        <v>308</v>
      </c>
      <c r="D495" s="18" t="s">
        <v>196</v>
      </c>
      <c r="E495" s="19" t="s">
        <v>740</v>
      </c>
      <c r="F495" s="17" t="s">
        <v>741</v>
      </c>
      <c r="G495" s="21" t="s">
        <v>742</v>
      </c>
      <c r="H495" s="19">
        <v>3</v>
      </c>
      <c r="I495" s="21" t="s">
        <v>7</v>
      </c>
    </row>
    <row r="496" spans="1:9" x14ac:dyDescent="0.35">
      <c r="A496" s="17" t="s">
        <v>209</v>
      </c>
      <c r="B496" s="17" t="s">
        <v>274</v>
      </c>
      <c r="C496" s="19" t="s">
        <v>308</v>
      </c>
      <c r="D496" s="18" t="s">
        <v>168</v>
      </c>
      <c r="E496" s="19" t="s">
        <v>737</v>
      </c>
      <c r="F496" s="17" t="s">
        <v>735</v>
      </c>
      <c r="G496" s="21" t="s">
        <v>736</v>
      </c>
      <c r="H496" s="19">
        <v>2</v>
      </c>
      <c r="I496" s="21" t="s">
        <v>9</v>
      </c>
    </row>
    <row r="497" spans="1:9" x14ac:dyDescent="0.35">
      <c r="A497" s="17" t="s">
        <v>209</v>
      </c>
      <c r="B497" s="17" t="s">
        <v>274</v>
      </c>
      <c r="C497" s="19" t="s">
        <v>432</v>
      </c>
      <c r="D497" s="18" t="s">
        <v>85</v>
      </c>
      <c r="E497" s="19" t="s">
        <v>740</v>
      </c>
      <c r="F497" s="17" t="s">
        <v>743</v>
      </c>
      <c r="G497" s="21" t="s">
        <v>744</v>
      </c>
      <c r="H497" s="19">
        <v>3</v>
      </c>
      <c r="I497" s="21" t="s">
        <v>19</v>
      </c>
    </row>
    <row r="498" spans="1:9" x14ac:dyDescent="0.35">
      <c r="A498" s="17" t="s">
        <v>209</v>
      </c>
      <c r="B498" s="17" t="s">
        <v>274</v>
      </c>
      <c r="C498" s="19" t="s">
        <v>432</v>
      </c>
      <c r="D498" s="18" t="s">
        <v>329</v>
      </c>
      <c r="E498" s="19" t="s">
        <v>737</v>
      </c>
      <c r="F498" s="17" t="s">
        <v>738</v>
      </c>
      <c r="G498" s="21" t="s">
        <v>739</v>
      </c>
      <c r="H498" s="19">
        <v>4</v>
      </c>
      <c r="I498" s="21" t="s">
        <v>21</v>
      </c>
    </row>
    <row r="499" spans="1:9" x14ac:dyDescent="0.35">
      <c r="A499" s="17" t="s">
        <v>209</v>
      </c>
      <c r="B499" s="17" t="s">
        <v>353</v>
      </c>
      <c r="C499" s="19" t="s">
        <v>23</v>
      </c>
      <c r="D499" s="18" t="s">
        <v>329</v>
      </c>
      <c r="E499" s="19" t="s">
        <v>737</v>
      </c>
      <c r="F499" s="17" t="s">
        <v>738</v>
      </c>
      <c r="G499" s="21" t="s">
        <v>739</v>
      </c>
      <c r="H499" s="19">
        <v>2</v>
      </c>
      <c r="I499" s="21" t="s">
        <v>21</v>
      </c>
    </row>
    <row r="500" spans="1:9" x14ac:dyDescent="0.35">
      <c r="A500" s="17" t="s">
        <v>209</v>
      </c>
      <c r="B500" s="17" t="s">
        <v>353</v>
      </c>
      <c r="C500" s="19" t="s">
        <v>96</v>
      </c>
      <c r="D500" s="18" t="s">
        <v>220</v>
      </c>
      <c r="E500" s="19" t="s">
        <v>737</v>
      </c>
      <c r="F500" s="17" t="s">
        <v>738</v>
      </c>
      <c r="G500" s="21" t="s">
        <v>739</v>
      </c>
      <c r="H500" s="19">
        <v>2</v>
      </c>
      <c r="I500" s="21" t="s">
        <v>21</v>
      </c>
    </row>
    <row r="501" spans="1:9" x14ac:dyDescent="0.35">
      <c r="A501" s="17" t="s">
        <v>209</v>
      </c>
      <c r="B501" s="17" t="s">
        <v>353</v>
      </c>
      <c r="C501" s="19" t="s">
        <v>145</v>
      </c>
      <c r="D501" s="18" t="s">
        <v>77</v>
      </c>
      <c r="E501" s="19" t="s">
        <v>737</v>
      </c>
      <c r="F501" s="17" t="s">
        <v>735</v>
      </c>
      <c r="G501" s="21" t="s">
        <v>736</v>
      </c>
      <c r="H501" s="19">
        <v>1</v>
      </c>
      <c r="I501" s="21" t="s">
        <v>9</v>
      </c>
    </row>
    <row r="502" spans="1:9" x14ac:dyDescent="0.35">
      <c r="A502" s="17" t="s">
        <v>209</v>
      </c>
      <c r="B502" s="17" t="s">
        <v>353</v>
      </c>
      <c r="C502" s="19" t="s">
        <v>190</v>
      </c>
      <c r="D502" s="18" t="s">
        <v>220</v>
      </c>
      <c r="E502" s="19" t="s">
        <v>737</v>
      </c>
      <c r="F502" s="17" t="s">
        <v>738</v>
      </c>
      <c r="G502" s="21" t="s">
        <v>739</v>
      </c>
      <c r="H502" s="19">
        <v>2</v>
      </c>
      <c r="I502" s="21" t="s">
        <v>21</v>
      </c>
    </row>
    <row r="503" spans="1:9" x14ac:dyDescent="0.35">
      <c r="A503" s="17" t="s">
        <v>209</v>
      </c>
      <c r="B503" s="17" t="s">
        <v>353</v>
      </c>
      <c r="C503" s="19" t="s">
        <v>227</v>
      </c>
      <c r="D503" s="18" t="s">
        <v>329</v>
      </c>
      <c r="E503" s="19" t="s">
        <v>737</v>
      </c>
      <c r="F503" s="17" t="s">
        <v>738</v>
      </c>
      <c r="G503" s="21" t="s">
        <v>739</v>
      </c>
      <c r="H503" s="19">
        <v>2</v>
      </c>
      <c r="I503" s="21" t="s">
        <v>21</v>
      </c>
    </row>
    <row r="504" spans="1:9" x14ac:dyDescent="0.35">
      <c r="A504" s="17" t="s">
        <v>209</v>
      </c>
      <c r="B504" s="17" t="s">
        <v>353</v>
      </c>
      <c r="C504" s="19" t="s">
        <v>308</v>
      </c>
      <c r="D504" s="18" t="s">
        <v>77</v>
      </c>
      <c r="E504" s="19" t="s">
        <v>737</v>
      </c>
      <c r="F504" s="17" t="s">
        <v>735</v>
      </c>
      <c r="G504" s="21" t="s">
        <v>736</v>
      </c>
      <c r="H504" s="19">
        <v>1</v>
      </c>
      <c r="I504" s="21" t="s">
        <v>9</v>
      </c>
    </row>
    <row r="505" spans="1:9" x14ac:dyDescent="0.35">
      <c r="A505" s="17" t="s">
        <v>209</v>
      </c>
      <c r="B505" s="17" t="s">
        <v>353</v>
      </c>
      <c r="C505" s="19" t="s">
        <v>432</v>
      </c>
      <c r="D505" s="18" t="s">
        <v>179</v>
      </c>
      <c r="E505" s="19" t="s">
        <v>737</v>
      </c>
      <c r="F505" s="17" t="s">
        <v>738</v>
      </c>
      <c r="G505" s="21" t="s">
        <v>739</v>
      </c>
      <c r="H505" s="19">
        <v>2</v>
      </c>
      <c r="I505" s="21" t="s">
        <v>21</v>
      </c>
    </row>
    <row r="506" spans="1:9" x14ac:dyDescent="0.35">
      <c r="A506" s="17" t="s">
        <v>209</v>
      </c>
      <c r="B506" s="17" t="s">
        <v>264</v>
      </c>
      <c r="C506" s="19" t="s">
        <v>23</v>
      </c>
      <c r="D506" s="18" t="s">
        <v>36</v>
      </c>
      <c r="E506" s="19" t="s">
        <v>740</v>
      </c>
      <c r="F506" s="17" t="s">
        <v>741</v>
      </c>
      <c r="G506" s="21" t="s">
        <v>742</v>
      </c>
      <c r="H506" s="19">
        <v>2</v>
      </c>
      <c r="I506" s="21" t="s">
        <v>7</v>
      </c>
    </row>
    <row r="507" spans="1:9" x14ac:dyDescent="0.35">
      <c r="A507" s="17" t="s">
        <v>209</v>
      </c>
      <c r="B507" s="17" t="s">
        <v>264</v>
      </c>
      <c r="C507" s="19" t="s">
        <v>23</v>
      </c>
      <c r="D507" s="18" t="s">
        <v>71</v>
      </c>
      <c r="E507" s="19" t="s">
        <v>740</v>
      </c>
      <c r="F507" s="17" t="s">
        <v>741</v>
      </c>
      <c r="G507" s="21" t="s">
        <v>742</v>
      </c>
      <c r="H507" s="19">
        <v>2</v>
      </c>
      <c r="I507" s="21" t="s">
        <v>7</v>
      </c>
    </row>
    <row r="508" spans="1:9" x14ac:dyDescent="0.35">
      <c r="A508" s="17" t="s">
        <v>209</v>
      </c>
      <c r="B508" s="17" t="s">
        <v>264</v>
      </c>
      <c r="C508" s="19" t="s">
        <v>96</v>
      </c>
      <c r="D508" s="18" t="s">
        <v>36</v>
      </c>
      <c r="E508" s="19" t="s">
        <v>740</v>
      </c>
      <c r="F508" s="17" t="s">
        <v>741</v>
      </c>
      <c r="G508" s="21" t="s">
        <v>742</v>
      </c>
      <c r="H508" s="19">
        <v>2</v>
      </c>
      <c r="I508" s="21" t="s">
        <v>7</v>
      </c>
    </row>
    <row r="509" spans="1:9" x14ac:dyDescent="0.35">
      <c r="A509" s="17" t="s">
        <v>209</v>
      </c>
      <c r="B509" s="17" t="s">
        <v>264</v>
      </c>
      <c r="C509" s="19" t="s">
        <v>96</v>
      </c>
      <c r="D509" s="18" t="s">
        <v>118</v>
      </c>
      <c r="E509" s="19" t="s">
        <v>740</v>
      </c>
      <c r="F509" s="17" t="s">
        <v>741</v>
      </c>
      <c r="G509" s="21" t="s">
        <v>742</v>
      </c>
      <c r="H509" s="19">
        <v>2</v>
      </c>
      <c r="I509" s="21" t="s">
        <v>7</v>
      </c>
    </row>
    <row r="510" spans="1:9" x14ac:dyDescent="0.35">
      <c r="A510" s="17" t="s">
        <v>209</v>
      </c>
      <c r="B510" s="17" t="s">
        <v>264</v>
      </c>
      <c r="C510" s="19" t="s">
        <v>145</v>
      </c>
      <c r="D510" s="18" t="s">
        <v>36</v>
      </c>
      <c r="E510" s="19" t="s">
        <v>740</v>
      </c>
      <c r="F510" s="17" t="s">
        <v>741</v>
      </c>
      <c r="G510" s="21" t="s">
        <v>742</v>
      </c>
      <c r="H510" s="19">
        <v>2</v>
      </c>
      <c r="I510" s="21" t="s">
        <v>7</v>
      </c>
    </row>
    <row r="511" spans="1:9" x14ac:dyDescent="0.35">
      <c r="A511" s="17" t="s">
        <v>209</v>
      </c>
      <c r="B511" s="17" t="s">
        <v>264</v>
      </c>
      <c r="C511" s="19" t="s">
        <v>145</v>
      </c>
      <c r="D511" s="18" t="s">
        <v>69</v>
      </c>
      <c r="E511" s="19" t="s">
        <v>740</v>
      </c>
      <c r="F511" s="17" t="s">
        <v>741</v>
      </c>
      <c r="G511" s="21" t="s">
        <v>742</v>
      </c>
      <c r="H511" s="19">
        <v>2</v>
      </c>
      <c r="I511" s="21" t="s">
        <v>7</v>
      </c>
    </row>
    <row r="512" spans="1:9" x14ac:dyDescent="0.35">
      <c r="A512" s="17" t="s">
        <v>209</v>
      </c>
      <c r="B512" s="17" t="s">
        <v>264</v>
      </c>
      <c r="C512" s="19" t="s">
        <v>190</v>
      </c>
      <c r="D512" s="18" t="s">
        <v>152</v>
      </c>
      <c r="E512" s="19" t="s">
        <v>740</v>
      </c>
      <c r="F512" s="17" t="s">
        <v>743</v>
      </c>
      <c r="G512" s="21" t="s">
        <v>744</v>
      </c>
      <c r="H512" s="19">
        <v>2</v>
      </c>
      <c r="I512" s="21" t="s">
        <v>19</v>
      </c>
    </row>
    <row r="513" spans="1:9" x14ac:dyDescent="0.35">
      <c r="A513" s="17" t="s">
        <v>209</v>
      </c>
      <c r="B513" s="17" t="s">
        <v>264</v>
      </c>
      <c r="C513" s="19" t="s">
        <v>227</v>
      </c>
      <c r="D513" s="18" t="s">
        <v>36</v>
      </c>
      <c r="E513" s="19" t="s">
        <v>740</v>
      </c>
      <c r="F513" s="17" t="s">
        <v>741</v>
      </c>
      <c r="G513" s="21" t="s">
        <v>742</v>
      </c>
      <c r="H513" s="19">
        <v>2</v>
      </c>
      <c r="I513" s="21" t="s">
        <v>7</v>
      </c>
    </row>
    <row r="514" spans="1:9" x14ac:dyDescent="0.35">
      <c r="A514" s="17" t="s">
        <v>209</v>
      </c>
      <c r="B514" s="17" t="s">
        <v>264</v>
      </c>
      <c r="C514" s="19" t="s">
        <v>308</v>
      </c>
      <c r="D514" s="18" t="s">
        <v>36</v>
      </c>
      <c r="E514" s="19" t="s">
        <v>740</v>
      </c>
      <c r="F514" s="17" t="s">
        <v>741</v>
      </c>
      <c r="G514" s="21" t="s">
        <v>742</v>
      </c>
      <c r="H514" s="19">
        <v>2</v>
      </c>
      <c r="I514" s="21" t="s">
        <v>7</v>
      </c>
    </row>
    <row r="515" spans="1:9" x14ac:dyDescent="0.35">
      <c r="A515" s="17" t="s">
        <v>209</v>
      </c>
      <c r="B515" s="17" t="s">
        <v>264</v>
      </c>
      <c r="C515" s="19" t="s">
        <v>308</v>
      </c>
      <c r="D515" s="18" t="s">
        <v>118</v>
      </c>
      <c r="E515" s="19" t="s">
        <v>740</v>
      </c>
      <c r="F515" s="17" t="s">
        <v>741</v>
      </c>
      <c r="G515" s="21" t="s">
        <v>742</v>
      </c>
      <c r="H515" s="19">
        <v>2</v>
      </c>
      <c r="I515" s="21" t="s">
        <v>7</v>
      </c>
    </row>
    <row r="516" spans="1:9" x14ac:dyDescent="0.35">
      <c r="A516" s="17" t="s">
        <v>209</v>
      </c>
      <c r="B516" s="17" t="s">
        <v>264</v>
      </c>
      <c r="C516" s="19" t="s">
        <v>432</v>
      </c>
      <c r="D516" s="18" t="s">
        <v>152</v>
      </c>
      <c r="E516" s="19" t="s">
        <v>740</v>
      </c>
      <c r="F516" s="17" t="s">
        <v>743</v>
      </c>
      <c r="G516" s="21" t="s">
        <v>744</v>
      </c>
      <c r="H516" s="19">
        <v>2</v>
      </c>
      <c r="I516" s="21" t="s">
        <v>19</v>
      </c>
    </row>
    <row r="517" spans="1:9" x14ac:dyDescent="0.35">
      <c r="A517" s="17" t="s">
        <v>209</v>
      </c>
      <c r="B517" s="17" t="s">
        <v>264</v>
      </c>
      <c r="C517" s="19" t="s">
        <v>432</v>
      </c>
      <c r="D517" s="18" t="s">
        <v>189</v>
      </c>
      <c r="E517" s="19" t="s">
        <v>740</v>
      </c>
      <c r="F517" s="17" t="s">
        <v>743</v>
      </c>
      <c r="G517" s="21" t="s">
        <v>744</v>
      </c>
      <c r="H517" s="19">
        <v>2</v>
      </c>
      <c r="I517" s="21" t="s">
        <v>19</v>
      </c>
    </row>
    <row r="518" spans="1:9" x14ac:dyDescent="0.35">
      <c r="A518" s="17" t="s">
        <v>209</v>
      </c>
      <c r="B518" s="17" t="s">
        <v>428</v>
      </c>
      <c r="C518" s="19" t="s">
        <v>190</v>
      </c>
      <c r="D518" s="18" t="s">
        <v>143</v>
      </c>
      <c r="E518" s="19" t="s">
        <v>748</v>
      </c>
      <c r="F518" s="17" t="s">
        <v>749</v>
      </c>
      <c r="G518" s="21" t="s">
        <v>750</v>
      </c>
      <c r="H518" s="19">
        <v>6</v>
      </c>
      <c r="I518" s="21" t="s">
        <v>13</v>
      </c>
    </row>
    <row r="519" spans="1:9" x14ac:dyDescent="0.35">
      <c r="A519" s="17" t="s">
        <v>209</v>
      </c>
      <c r="B519" s="17" t="s">
        <v>443</v>
      </c>
      <c r="C519" s="19" t="s">
        <v>96</v>
      </c>
      <c r="D519" s="18" t="s">
        <v>123</v>
      </c>
      <c r="E519" s="19" t="s">
        <v>732</v>
      </c>
      <c r="F519" s="17" t="s">
        <v>733</v>
      </c>
      <c r="G519" s="21" t="s">
        <v>734</v>
      </c>
      <c r="H519" s="19">
        <v>1</v>
      </c>
      <c r="I519" s="21" t="s">
        <v>15</v>
      </c>
    </row>
    <row r="520" spans="1:9" x14ac:dyDescent="0.35">
      <c r="A520" s="17" t="s">
        <v>209</v>
      </c>
      <c r="B520" s="17" t="s">
        <v>437</v>
      </c>
      <c r="C520" s="19" t="s">
        <v>23</v>
      </c>
      <c r="D520" s="18" t="s">
        <v>196</v>
      </c>
      <c r="E520" s="19" t="s">
        <v>732</v>
      </c>
      <c r="F520" s="17" t="s">
        <v>733</v>
      </c>
      <c r="G520" s="21" t="s">
        <v>734</v>
      </c>
      <c r="H520" s="19">
        <v>2</v>
      </c>
      <c r="I520" s="21" t="s">
        <v>15</v>
      </c>
    </row>
    <row r="521" spans="1:9" x14ac:dyDescent="0.35">
      <c r="A521" s="17" t="s">
        <v>209</v>
      </c>
      <c r="B521" s="17" t="s">
        <v>675</v>
      </c>
      <c r="C521" s="19" t="s">
        <v>23</v>
      </c>
      <c r="D521" s="18" t="s">
        <v>85</v>
      </c>
      <c r="E521" s="19" t="s">
        <v>740</v>
      </c>
      <c r="F521" s="17" t="s">
        <v>743</v>
      </c>
      <c r="G521" s="21" t="s">
        <v>744</v>
      </c>
      <c r="H521" s="19">
        <v>1</v>
      </c>
      <c r="I521" s="21" t="s">
        <v>19</v>
      </c>
    </row>
    <row r="522" spans="1:9" x14ac:dyDescent="0.35">
      <c r="A522" s="17" t="s">
        <v>209</v>
      </c>
      <c r="B522" s="17" t="s">
        <v>307</v>
      </c>
      <c r="C522" s="19" t="s">
        <v>227</v>
      </c>
      <c r="D522" s="18" t="s">
        <v>246</v>
      </c>
      <c r="E522" s="19" t="s">
        <v>740</v>
      </c>
      <c r="F522" s="17" t="s">
        <v>741</v>
      </c>
      <c r="G522" s="21" t="s">
        <v>742</v>
      </c>
      <c r="H522" s="19">
        <v>1</v>
      </c>
      <c r="I522" s="21" t="s">
        <v>7</v>
      </c>
    </row>
    <row r="523" spans="1:9" x14ac:dyDescent="0.35">
      <c r="A523" s="17" t="s">
        <v>209</v>
      </c>
      <c r="B523" s="17" t="s">
        <v>696</v>
      </c>
      <c r="C523" s="19" t="s">
        <v>23</v>
      </c>
      <c r="D523" s="18" t="s">
        <v>196</v>
      </c>
      <c r="E523" s="19" t="s">
        <v>737</v>
      </c>
      <c r="F523" s="17" t="s">
        <v>738</v>
      </c>
      <c r="G523" s="21" t="s">
        <v>739</v>
      </c>
      <c r="H523" s="19">
        <v>1</v>
      </c>
      <c r="I523" s="21" t="s">
        <v>21</v>
      </c>
    </row>
    <row r="524" spans="1:9" x14ac:dyDescent="0.35">
      <c r="A524" s="17" t="s">
        <v>209</v>
      </c>
      <c r="B524" s="17" t="s">
        <v>696</v>
      </c>
      <c r="C524" s="19" t="s">
        <v>227</v>
      </c>
      <c r="D524" s="18" t="s">
        <v>196</v>
      </c>
      <c r="E524" s="19" t="s">
        <v>737</v>
      </c>
      <c r="F524" s="17" t="s">
        <v>738</v>
      </c>
      <c r="G524" s="21" t="s">
        <v>739</v>
      </c>
      <c r="H524" s="19">
        <v>1</v>
      </c>
      <c r="I524" s="21" t="s">
        <v>21</v>
      </c>
    </row>
    <row r="525" spans="1:9" x14ac:dyDescent="0.35">
      <c r="A525" s="17" t="s">
        <v>209</v>
      </c>
      <c r="B525" s="17" t="s">
        <v>696</v>
      </c>
      <c r="C525" s="19" t="s">
        <v>432</v>
      </c>
      <c r="D525" s="18" t="s">
        <v>49</v>
      </c>
      <c r="E525" s="19" t="s">
        <v>737</v>
      </c>
      <c r="F525" s="17" t="s">
        <v>738</v>
      </c>
      <c r="G525" s="21" t="s">
        <v>739</v>
      </c>
      <c r="H525" s="19">
        <v>1</v>
      </c>
      <c r="I525" s="21" t="s">
        <v>21</v>
      </c>
    </row>
    <row r="526" spans="1:9" x14ac:dyDescent="0.35">
      <c r="A526" s="17" t="s">
        <v>209</v>
      </c>
      <c r="B526" s="17" t="s">
        <v>421</v>
      </c>
      <c r="C526" s="19" t="s">
        <v>23</v>
      </c>
      <c r="D526" s="18" t="s">
        <v>94</v>
      </c>
      <c r="E526" s="19" t="s">
        <v>748</v>
      </c>
      <c r="F526" s="17" t="s">
        <v>749</v>
      </c>
      <c r="G526" s="21" t="s">
        <v>750</v>
      </c>
      <c r="H526" s="19">
        <v>1</v>
      </c>
      <c r="I526" s="21" t="s">
        <v>13</v>
      </c>
    </row>
    <row r="527" spans="1:9" x14ac:dyDescent="0.35">
      <c r="A527" s="17" t="s">
        <v>209</v>
      </c>
      <c r="B527" s="17" t="s">
        <v>421</v>
      </c>
      <c r="C527" s="19" t="s">
        <v>227</v>
      </c>
      <c r="D527" s="18" t="s">
        <v>259</v>
      </c>
      <c r="E527" s="19" t="s">
        <v>748</v>
      </c>
      <c r="F527" s="17" t="s">
        <v>749</v>
      </c>
      <c r="G527" s="21" t="s">
        <v>750</v>
      </c>
      <c r="H527" s="19">
        <v>1</v>
      </c>
      <c r="I527" s="21" t="s">
        <v>13</v>
      </c>
    </row>
    <row r="528" spans="1:9" x14ac:dyDescent="0.35">
      <c r="A528" s="17" t="s">
        <v>209</v>
      </c>
      <c r="B528" s="17" t="s">
        <v>717</v>
      </c>
      <c r="C528" s="19" t="s">
        <v>227</v>
      </c>
      <c r="D528" s="18" t="s">
        <v>189</v>
      </c>
      <c r="E528" s="19" t="s">
        <v>737</v>
      </c>
      <c r="F528" s="17" t="s">
        <v>738</v>
      </c>
      <c r="G528" s="21" t="s">
        <v>739</v>
      </c>
      <c r="H528" s="19">
        <v>2</v>
      </c>
      <c r="I528" s="21" t="s">
        <v>21</v>
      </c>
    </row>
    <row r="529" spans="1:9" x14ac:dyDescent="0.35">
      <c r="A529" s="17" t="s">
        <v>209</v>
      </c>
      <c r="B529" s="17" t="s">
        <v>440</v>
      </c>
      <c r="C529" s="19" t="s">
        <v>23</v>
      </c>
      <c r="D529" s="18" t="s">
        <v>79</v>
      </c>
      <c r="E529" s="19" t="s">
        <v>732</v>
      </c>
      <c r="F529" s="17" t="s">
        <v>733</v>
      </c>
      <c r="G529" s="21" t="s">
        <v>734</v>
      </c>
      <c r="H529" s="19">
        <v>2</v>
      </c>
      <c r="I529" s="21" t="s">
        <v>15</v>
      </c>
    </row>
    <row r="530" spans="1:9" x14ac:dyDescent="0.35">
      <c r="A530" s="17" t="s">
        <v>209</v>
      </c>
      <c r="B530" s="17" t="s">
        <v>440</v>
      </c>
      <c r="C530" s="19" t="s">
        <v>227</v>
      </c>
      <c r="D530" s="18" t="s">
        <v>148</v>
      </c>
      <c r="E530" s="19" t="s">
        <v>732</v>
      </c>
      <c r="F530" s="17" t="s">
        <v>733</v>
      </c>
      <c r="G530" s="21" t="s">
        <v>734</v>
      </c>
      <c r="H530" s="19">
        <v>2</v>
      </c>
      <c r="I530" s="21" t="s">
        <v>15</v>
      </c>
    </row>
    <row r="531" spans="1:9" x14ac:dyDescent="0.35">
      <c r="A531" s="17" t="s">
        <v>209</v>
      </c>
      <c r="B531" s="17" t="s">
        <v>447</v>
      </c>
      <c r="C531" s="19" t="s">
        <v>227</v>
      </c>
      <c r="D531" s="18" t="s">
        <v>238</v>
      </c>
      <c r="E531" s="19" t="s">
        <v>732</v>
      </c>
      <c r="F531" s="17" t="s">
        <v>733</v>
      </c>
      <c r="G531" s="21" t="s">
        <v>734</v>
      </c>
      <c r="H531" s="19">
        <v>1</v>
      </c>
      <c r="I531" s="21" t="s">
        <v>15</v>
      </c>
    </row>
    <row r="532" spans="1:9" x14ac:dyDescent="0.35">
      <c r="A532" s="17" t="s">
        <v>209</v>
      </c>
      <c r="B532" s="17" t="s">
        <v>673</v>
      </c>
      <c r="C532" s="19" t="s">
        <v>23</v>
      </c>
      <c r="D532" s="18" t="s">
        <v>79</v>
      </c>
      <c r="E532" s="19" t="s">
        <v>740</v>
      </c>
      <c r="F532" s="17" t="s">
        <v>743</v>
      </c>
      <c r="G532" s="21" t="s">
        <v>744</v>
      </c>
      <c r="H532" s="19">
        <v>3</v>
      </c>
      <c r="I532" s="21" t="s">
        <v>19</v>
      </c>
    </row>
    <row r="533" spans="1:9" x14ac:dyDescent="0.35">
      <c r="A533" s="17" t="s">
        <v>209</v>
      </c>
      <c r="B533" s="17" t="s">
        <v>677</v>
      </c>
      <c r="C533" s="19" t="s">
        <v>23</v>
      </c>
      <c r="D533" s="18" t="s">
        <v>332</v>
      </c>
      <c r="E533" s="19" t="s">
        <v>740</v>
      </c>
      <c r="F533" s="17" t="s">
        <v>743</v>
      </c>
      <c r="G533" s="21" t="s">
        <v>744</v>
      </c>
      <c r="H533" s="19">
        <v>1</v>
      </c>
      <c r="I533" s="21" t="s">
        <v>19</v>
      </c>
    </row>
    <row r="534" spans="1:9" x14ac:dyDescent="0.35">
      <c r="A534" s="17" t="s">
        <v>209</v>
      </c>
      <c r="B534" s="17" t="s">
        <v>375</v>
      </c>
      <c r="C534" s="19" t="s">
        <v>23</v>
      </c>
      <c r="D534" s="18" t="s">
        <v>65</v>
      </c>
      <c r="E534" s="19" t="s">
        <v>732</v>
      </c>
      <c r="F534" s="17" t="s">
        <v>735</v>
      </c>
      <c r="G534" s="21" t="s">
        <v>736</v>
      </c>
      <c r="H534" s="19">
        <v>1</v>
      </c>
      <c r="I534" s="21" t="s">
        <v>9</v>
      </c>
    </row>
    <row r="535" spans="1:9" x14ac:dyDescent="0.35">
      <c r="A535" s="17" t="s">
        <v>209</v>
      </c>
      <c r="B535" s="17" t="s">
        <v>377</v>
      </c>
      <c r="C535" s="19" t="s">
        <v>23</v>
      </c>
      <c r="D535" s="18" t="s">
        <v>302</v>
      </c>
      <c r="E535" s="19" t="s">
        <v>732</v>
      </c>
      <c r="F535" s="17" t="s">
        <v>735</v>
      </c>
      <c r="G535" s="21" t="s">
        <v>736</v>
      </c>
      <c r="H535" s="19">
        <v>2</v>
      </c>
      <c r="I535" s="21" t="s">
        <v>9</v>
      </c>
    </row>
    <row r="536" spans="1:9" x14ac:dyDescent="0.35">
      <c r="A536" s="17" t="s">
        <v>276</v>
      </c>
      <c r="B536" s="17" t="s">
        <v>277</v>
      </c>
      <c r="C536" s="19" t="s">
        <v>23</v>
      </c>
      <c r="D536" s="18" t="s">
        <v>49</v>
      </c>
      <c r="E536" s="19" t="s">
        <v>740</v>
      </c>
      <c r="F536" s="17" t="s">
        <v>741</v>
      </c>
      <c r="G536" s="21" t="s">
        <v>742</v>
      </c>
      <c r="H536" s="19">
        <v>2</v>
      </c>
      <c r="I536" s="21" t="s">
        <v>7</v>
      </c>
    </row>
    <row r="537" spans="1:9" x14ac:dyDescent="0.35">
      <c r="A537" s="17" t="s">
        <v>276</v>
      </c>
      <c r="B537" s="17" t="s">
        <v>277</v>
      </c>
      <c r="C537" s="19" t="s">
        <v>96</v>
      </c>
      <c r="D537" s="18" t="s">
        <v>49</v>
      </c>
      <c r="E537" s="19" t="s">
        <v>740</v>
      </c>
      <c r="F537" s="17" t="s">
        <v>741</v>
      </c>
      <c r="G537" s="21" t="s">
        <v>742</v>
      </c>
      <c r="H537" s="19">
        <v>2</v>
      </c>
      <c r="I537" s="21" t="s">
        <v>7</v>
      </c>
    </row>
    <row r="538" spans="1:9" x14ac:dyDescent="0.35">
      <c r="A538" s="17" t="s">
        <v>276</v>
      </c>
      <c r="B538" s="17" t="s">
        <v>277</v>
      </c>
      <c r="C538" s="19" t="s">
        <v>145</v>
      </c>
      <c r="D538" s="18" t="s">
        <v>49</v>
      </c>
      <c r="E538" s="19" t="s">
        <v>740</v>
      </c>
      <c r="F538" s="17" t="s">
        <v>741</v>
      </c>
      <c r="G538" s="21" t="s">
        <v>742</v>
      </c>
      <c r="H538" s="19">
        <v>2</v>
      </c>
      <c r="I538" s="21" t="s">
        <v>7</v>
      </c>
    </row>
    <row r="539" spans="1:9" x14ac:dyDescent="0.35">
      <c r="A539" s="17" t="s">
        <v>276</v>
      </c>
      <c r="B539" s="17" t="s">
        <v>277</v>
      </c>
      <c r="C539" s="19" t="s">
        <v>190</v>
      </c>
      <c r="D539" s="18" t="s">
        <v>87</v>
      </c>
      <c r="E539" s="19" t="s">
        <v>740</v>
      </c>
      <c r="F539" s="17" t="s">
        <v>743</v>
      </c>
      <c r="G539" s="21" t="s">
        <v>744</v>
      </c>
      <c r="H539" s="19">
        <v>2</v>
      </c>
      <c r="I539" s="21" t="s">
        <v>19</v>
      </c>
    </row>
    <row r="540" spans="1:9" x14ac:dyDescent="0.35">
      <c r="A540" s="17" t="s">
        <v>276</v>
      </c>
      <c r="B540" s="17" t="s">
        <v>277</v>
      </c>
      <c r="C540" s="19" t="s">
        <v>227</v>
      </c>
      <c r="D540" s="18" t="s">
        <v>49</v>
      </c>
      <c r="E540" s="19" t="s">
        <v>740</v>
      </c>
      <c r="F540" s="17" t="s">
        <v>741</v>
      </c>
      <c r="G540" s="21" t="s">
        <v>742</v>
      </c>
      <c r="H540" s="19">
        <v>2</v>
      </c>
      <c r="I540" s="21" t="s">
        <v>7</v>
      </c>
    </row>
    <row r="541" spans="1:9" x14ac:dyDescent="0.35">
      <c r="A541" s="17" t="s">
        <v>276</v>
      </c>
      <c r="B541" s="17" t="s">
        <v>277</v>
      </c>
      <c r="C541" s="19" t="s">
        <v>308</v>
      </c>
      <c r="D541" s="18" t="s">
        <v>49</v>
      </c>
      <c r="E541" s="19" t="s">
        <v>740</v>
      </c>
      <c r="F541" s="17" t="s">
        <v>741</v>
      </c>
      <c r="G541" s="21" t="s">
        <v>742</v>
      </c>
      <c r="H541" s="19">
        <v>2</v>
      </c>
      <c r="I541" s="21" t="s">
        <v>7</v>
      </c>
    </row>
    <row r="542" spans="1:9" x14ac:dyDescent="0.35">
      <c r="A542" s="17" t="s">
        <v>276</v>
      </c>
      <c r="B542" s="17" t="s">
        <v>277</v>
      </c>
      <c r="C542" s="19" t="s">
        <v>432</v>
      </c>
      <c r="D542" s="18" t="s">
        <v>87</v>
      </c>
      <c r="E542" s="19" t="s">
        <v>740</v>
      </c>
      <c r="F542" s="17" t="s">
        <v>743</v>
      </c>
      <c r="G542" s="21" t="s">
        <v>744</v>
      </c>
      <c r="H542" s="19">
        <v>2</v>
      </c>
      <c r="I542" s="21" t="s">
        <v>19</v>
      </c>
    </row>
    <row r="543" spans="1:9" x14ac:dyDescent="0.35">
      <c r="A543" s="17" t="s">
        <v>267</v>
      </c>
      <c r="B543" s="17" t="s">
        <v>268</v>
      </c>
      <c r="C543" s="19" t="s">
        <v>23</v>
      </c>
      <c r="D543" s="18" t="s">
        <v>41</v>
      </c>
      <c r="E543" s="19" t="s">
        <v>740</v>
      </c>
      <c r="F543" s="17" t="s">
        <v>741</v>
      </c>
      <c r="G543" s="21" t="s">
        <v>742</v>
      </c>
      <c r="H543" s="19">
        <v>2</v>
      </c>
      <c r="I543" s="21" t="s">
        <v>7</v>
      </c>
    </row>
    <row r="544" spans="1:9" x14ac:dyDescent="0.35">
      <c r="A544" s="17" t="s">
        <v>267</v>
      </c>
      <c r="B544" s="17" t="s">
        <v>268</v>
      </c>
      <c r="C544" s="19" t="s">
        <v>96</v>
      </c>
      <c r="D544" s="18" t="s">
        <v>41</v>
      </c>
      <c r="E544" s="19" t="s">
        <v>740</v>
      </c>
      <c r="F544" s="17" t="s">
        <v>741</v>
      </c>
      <c r="G544" s="21" t="s">
        <v>742</v>
      </c>
      <c r="H544" s="19">
        <v>2</v>
      </c>
      <c r="I544" s="21" t="s">
        <v>7</v>
      </c>
    </row>
    <row r="545" spans="1:9" x14ac:dyDescent="0.35">
      <c r="A545" s="17" t="s">
        <v>267</v>
      </c>
      <c r="B545" s="17" t="s">
        <v>268</v>
      </c>
      <c r="C545" s="19" t="s">
        <v>145</v>
      </c>
      <c r="D545" s="18" t="s">
        <v>41</v>
      </c>
      <c r="E545" s="19" t="s">
        <v>740</v>
      </c>
      <c r="F545" s="17" t="s">
        <v>741</v>
      </c>
      <c r="G545" s="21" t="s">
        <v>742</v>
      </c>
      <c r="H545" s="19">
        <v>2</v>
      </c>
      <c r="I545" s="21" t="s">
        <v>7</v>
      </c>
    </row>
    <row r="546" spans="1:9" x14ac:dyDescent="0.35">
      <c r="A546" s="17" t="s">
        <v>267</v>
      </c>
      <c r="B546" s="17" t="s">
        <v>268</v>
      </c>
      <c r="C546" s="19" t="s">
        <v>190</v>
      </c>
      <c r="D546" s="18" t="s">
        <v>346</v>
      </c>
      <c r="E546" s="19" t="s">
        <v>740</v>
      </c>
      <c r="F546" s="17" t="s">
        <v>743</v>
      </c>
      <c r="G546" s="21" t="s">
        <v>744</v>
      </c>
      <c r="H546" s="19">
        <v>2</v>
      </c>
      <c r="I546" s="21" t="s">
        <v>19</v>
      </c>
    </row>
    <row r="547" spans="1:9" x14ac:dyDescent="0.35">
      <c r="A547" s="17" t="s">
        <v>267</v>
      </c>
      <c r="B547" s="17" t="s">
        <v>268</v>
      </c>
      <c r="C547" s="19" t="s">
        <v>227</v>
      </c>
      <c r="D547" s="18" t="s">
        <v>41</v>
      </c>
      <c r="E547" s="19" t="s">
        <v>740</v>
      </c>
      <c r="F547" s="17" t="s">
        <v>741</v>
      </c>
      <c r="G547" s="21" t="s">
        <v>742</v>
      </c>
      <c r="H547" s="19">
        <v>2</v>
      </c>
      <c r="I547" s="21" t="s">
        <v>7</v>
      </c>
    </row>
    <row r="548" spans="1:9" x14ac:dyDescent="0.35">
      <c r="A548" s="17" t="s">
        <v>267</v>
      </c>
      <c r="B548" s="17" t="s">
        <v>268</v>
      </c>
      <c r="C548" s="19" t="s">
        <v>308</v>
      </c>
      <c r="D548" s="18" t="s">
        <v>41</v>
      </c>
      <c r="E548" s="19" t="s">
        <v>740</v>
      </c>
      <c r="F548" s="17" t="s">
        <v>741</v>
      </c>
      <c r="G548" s="21" t="s">
        <v>742</v>
      </c>
      <c r="H548" s="19">
        <v>2</v>
      </c>
      <c r="I548" s="21" t="s">
        <v>7</v>
      </c>
    </row>
    <row r="549" spans="1:9" x14ac:dyDescent="0.35">
      <c r="A549" s="17" t="s">
        <v>267</v>
      </c>
      <c r="B549" s="17" t="s">
        <v>268</v>
      </c>
      <c r="C549" s="19" t="s">
        <v>432</v>
      </c>
      <c r="D549" s="18" t="s">
        <v>346</v>
      </c>
      <c r="E549" s="19" t="s">
        <v>740</v>
      </c>
      <c r="F549" s="17" t="s">
        <v>743</v>
      </c>
      <c r="G549" s="21" t="s">
        <v>744</v>
      </c>
      <c r="H549" s="19">
        <v>2</v>
      </c>
      <c r="I549" s="21" t="s">
        <v>19</v>
      </c>
    </row>
    <row r="550" spans="1:9" x14ac:dyDescent="0.35">
      <c r="A550" s="17" t="s">
        <v>66</v>
      </c>
      <c r="B550" s="17"/>
      <c r="C550" s="19" t="s">
        <v>23</v>
      </c>
      <c r="D550" s="18" t="s">
        <v>67</v>
      </c>
      <c r="E550" s="19" t="s">
        <v>726</v>
      </c>
      <c r="F550" s="17" t="s">
        <v>727</v>
      </c>
      <c r="G550" s="21" t="s">
        <v>728</v>
      </c>
      <c r="H550" s="19"/>
      <c r="I550" s="21" t="s">
        <v>5</v>
      </c>
    </row>
    <row r="551" spans="1:9" x14ac:dyDescent="0.35">
      <c r="A551" s="17" t="s">
        <v>406</v>
      </c>
      <c r="B551" s="17" t="s">
        <v>407</v>
      </c>
      <c r="C551" s="19" t="s">
        <v>23</v>
      </c>
      <c r="D551" s="18" t="s">
        <v>408</v>
      </c>
      <c r="E551" s="19" t="s">
        <v>748</v>
      </c>
      <c r="F551" s="17" t="s">
        <v>749</v>
      </c>
      <c r="G551" s="21" t="s">
        <v>750</v>
      </c>
      <c r="H551" s="19">
        <v>5</v>
      </c>
      <c r="I551" s="21" t="s">
        <v>13</v>
      </c>
    </row>
    <row r="552" spans="1:9" x14ac:dyDescent="0.35">
      <c r="A552" s="17" t="s">
        <v>406</v>
      </c>
      <c r="B552" s="17" t="s">
        <v>407</v>
      </c>
      <c r="C552" s="19" t="s">
        <v>96</v>
      </c>
      <c r="D552" s="18" t="s">
        <v>408</v>
      </c>
      <c r="E552" s="19" t="s">
        <v>748</v>
      </c>
      <c r="F552" s="17" t="s">
        <v>749</v>
      </c>
      <c r="G552" s="21" t="s">
        <v>750</v>
      </c>
      <c r="H552" s="19">
        <v>5</v>
      </c>
      <c r="I552" s="21" t="s">
        <v>13</v>
      </c>
    </row>
    <row r="553" spans="1:9" x14ac:dyDescent="0.35">
      <c r="A553" s="17" t="s">
        <v>406</v>
      </c>
      <c r="B553" s="17" t="s">
        <v>407</v>
      </c>
      <c r="C553" s="19" t="s">
        <v>145</v>
      </c>
      <c r="D553" s="18" t="s">
        <v>298</v>
      </c>
      <c r="E553" s="19" t="s">
        <v>748</v>
      </c>
      <c r="F553" s="17" t="s">
        <v>743</v>
      </c>
      <c r="G553" s="21" t="s">
        <v>744</v>
      </c>
      <c r="H553" s="19">
        <v>5</v>
      </c>
      <c r="I553" s="21" t="s">
        <v>19</v>
      </c>
    </row>
    <row r="554" spans="1:9" x14ac:dyDescent="0.35">
      <c r="A554" s="17" t="s">
        <v>406</v>
      </c>
      <c r="B554" s="17" t="s">
        <v>407</v>
      </c>
      <c r="C554" s="19" t="s">
        <v>190</v>
      </c>
      <c r="D554" s="18" t="s">
        <v>408</v>
      </c>
      <c r="E554" s="19" t="s">
        <v>748</v>
      </c>
      <c r="F554" s="17" t="s">
        <v>749</v>
      </c>
      <c r="G554" s="21" t="s">
        <v>750</v>
      </c>
      <c r="H554" s="19">
        <v>5</v>
      </c>
      <c r="I554" s="21" t="s">
        <v>13</v>
      </c>
    </row>
    <row r="555" spans="1:9" x14ac:dyDescent="0.35">
      <c r="A555" s="17" t="s">
        <v>406</v>
      </c>
      <c r="B555" s="17" t="s">
        <v>407</v>
      </c>
      <c r="C555" s="19" t="s">
        <v>227</v>
      </c>
      <c r="D555" s="18" t="s">
        <v>408</v>
      </c>
      <c r="E555" s="19" t="s">
        <v>748</v>
      </c>
      <c r="F555" s="17" t="s">
        <v>749</v>
      </c>
      <c r="G555" s="21" t="s">
        <v>750</v>
      </c>
      <c r="H555" s="19">
        <v>5</v>
      </c>
      <c r="I555" s="21" t="s">
        <v>13</v>
      </c>
    </row>
    <row r="556" spans="1:9" x14ac:dyDescent="0.35">
      <c r="A556" s="17" t="s">
        <v>406</v>
      </c>
      <c r="B556" s="17" t="s">
        <v>407</v>
      </c>
      <c r="C556" s="19" t="s">
        <v>308</v>
      </c>
      <c r="D556" s="18" t="s">
        <v>298</v>
      </c>
      <c r="E556" s="19" t="s">
        <v>748</v>
      </c>
      <c r="F556" s="17" t="s">
        <v>743</v>
      </c>
      <c r="G556" s="21" t="s">
        <v>744</v>
      </c>
      <c r="H556" s="19">
        <v>5</v>
      </c>
      <c r="I556" s="21" t="s">
        <v>19</v>
      </c>
    </row>
    <row r="557" spans="1:9" x14ac:dyDescent="0.35">
      <c r="A557" s="17" t="s">
        <v>406</v>
      </c>
      <c r="B557" s="17" t="s">
        <v>407</v>
      </c>
      <c r="C557" s="19" t="s">
        <v>432</v>
      </c>
      <c r="D557" s="18" t="s">
        <v>408</v>
      </c>
      <c r="E557" s="19" t="s">
        <v>748</v>
      </c>
      <c r="F557" s="17" t="s">
        <v>749</v>
      </c>
      <c r="G557" s="21" t="s">
        <v>750</v>
      </c>
      <c r="H557" s="19">
        <v>5</v>
      </c>
      <c r="I557" s="21" t="s">
        <v>13</v>
      </c>
    </row>
    <row r="558" spans="1:9" x14ac:dyDescent="0.35">
      <c r="A558" s="17" t="s">
        <v>198</v>
      </c>
      <c r="B558" s="17"/>
      <c r="C558" s="19" t="s">
        <v>190</v>
      </c>
      <c r="D558" s="18" t="s">
        <v>199</v>
      </c>
      <c r="E558" s="19" t="s">
        <v>726</v>
      </c>
      <c r="F558" s="17" t="s">
        <v>727</v>
      </c>
      <c r="G558" s="21" t="s">
        <v>728</v>
      </c>
      <c r="H558" s="19"/>
      <c r="I558" s="21" t="s">
        <v>5</v>
      </c>
    </row>
    <row r="559" spans="1:9" x14ac:dyDescent="0.35">
      <c r="A559" s="17" t="s">
        <v>198</v>
      </c>
      <c r="B559" s="17" t="s">
        <v>301</v>
      </c>
      <c r="C559" s="19" t="s">
        <v>96</v>
      </c>
      <c r="D559" s="18" t="s">
        <v>204</v>
      </c>
      <c r="E559" s="19" t="s">
        <v>740</v>
      </c>
      <c r="F559" s="17" t="s">
        <v>741</v>
      </c>
      <c r="G559" s="21" t="s">
        <v>742</v>
      </c>
      <c r="H559" s="19">
        <v>2</v>
      </c>
      <c r="I559" s="21" t="s">
        <v>7</v>
      </c>
    </row>
    <row r="560" spans="1:9" x14ac:dyDescent="0.35">
      <c r="A560" s="17" t="s">
        <v>198</v>
      </c>
      <c r="B560" s="17" t="s">
        <v>301</v>
      </c>
      <c r="C560" s="19" t="s">
        <v>308</v>
      </c>
      <c r="D560" s="18" t="s">
        <v>204</v>
      </c>
      <c r="E560" s="19" t="s">
        <v>740</v>
      </c>
      <c r="F560" s="17" t="s">
        <v>741</v>
      </c>
      <c r="G560" s="21" t="s">
        <v>742</v>
      </c>
      <c r="H560" s="19">
        <v>2</v>
      </c>
      <c r="I560" s="21" t="s">
        <v>7</v>
      </c>
    </row>
    <row r="561" spans="1:9" x14ac:dyDescent="0.35">
      <c r="A561" s="17" t="s">
        <v>198</v>
      </c>
      <c r="B561" s="17" t="s">
        <v>277</v>
      </c>
      <c r="C561" s="19" t="s">
        <v>23</v>
      </c>
      <c r="D561" s="18" t="s">
        <v>179</v>
      </c>
      <c r="E561" s="19" t="s">
        <v>737</v>
      </c>
      <c r="F561" s="17" t="s">
        <v>738</v>
      </c>
      <c r="G561" s="21" t="s">
        <v>739</v>
      </c>
      <c r="H561" s="19">
        <v>3</v>
      </c>
      <c r="I561" s="21" t="s">
        <v>21</v>
      </c>
    </row>
    <row r="562" spans="1:9" x14ac:dyDescent="0.35">
      <c r="A562" s="17" t="s">
        <v>198</v>
      </c>
      <c r="B562" s="17" t="s">
        <v>277</v>
      </c>
      <c r="C562" s="19" t="s">
        <v>96</v>
      </c>
      <c r="D562" s="18" t="s">
        <v>329</v>
      </c>
      <c r="E562" s="19" t="s">
        <v>737</v>
      </c>
      <c r="F562" s="17" t="s">
        <v>738</v>
      </c>
      <c r="G562" s="21" t="s">
        <v>739</v>
      </c>
      <c r="H562" s="19">
        <v>3</v>
      </c>
      <c r="I562" s="21" t="s">
        <v>21</v>
      </c>
    </row>
    <row r="563" spans="1:9" x14ac:dyDescent="0.35">
      <c r="A563" s="17" t="s">
        <v>198</v>
      </c>
      <c r="B563" s="17" t="s">
        <v>277</v>
      </c>
      <c r="C563" s="19" t="s">
        <v>145</v>
      </c>
      <c r="D563" s="18" t="s">
        <v>139</v>
      </c>
      <c r="E563" s="19" t="s">
        <v>737</v>
      </c>
      <c r="F563" s="17" t="s">
        <v>735</v>
      </c>
      <c r="G563" s="21" t="s">
        <v>736</v>
      </c>
      <c r="H563" s="19">
        <v>2</v>
      </c>
      <c r="I563" s="21" t="s">
        <v>9</v>
      </c>
    </row>
    <row r="564" spans="1:9" x14ac:dyDescent="0.35">
      <c r="A564" s="17" t="s">
        <v>198</v>
      </c>
      <c r="B564" s="17" t="s">
        <v>277</v>
      </c>
      <c r="C564" s="19" t="s">
        <v>190</v>
      </c>
      <c r="D564" s="18" t="s">
        <v>329</v>
      </c>
      <c r="E564" s="19" t="s">
        <v>737</v>
      </c>
      <c r="F564" s="17" t="s">
        <v>738</v>
      </c>
      <c r="G564" s="21" t="s">
        <v>739</v>
      </c>
      <c r="H564" s="19">
        <v>3</v>
      </c>
      <c r="I564" s="21" t="s">
        <v>21</v>
      </c>
    </row>
    <row r="565" spans="1:9" x14ac:dyDescent="0.35">
      <c r="A565" s="17" t="s">
        <v>198</v>
      </c>
      <c r="B565" s="17" t="s">
        <v>277</v>
      </c>
      <c r="C565" s="19" t="s">
        <v>227</v>
      </c>
      <c r="D565" s="18" t="s">
        <v>179</v>
      </c>
      <c r="E565" s="19" t="s">
        <v>737</v>
      </c>
      <c r="F565" s="17" t="s">
        <v>738</v>
      </c>
      <c r="G565" s="21" t="s">
        <v>739</v>
      </c>
      <c r="H565" s="19">
        <v>3</v>
      </c>
      <c r="I565" s="21" t="s">
        <v>21</v>
      </c>
    </row>
    <row r="566" spans="1:9" x14ac:dyDescent="0.35">
      <c r="A566" s="17" t="s">
        <v>198</v>
      </c>
      <c r="B566" s="17" t="s">
        <v>277</v>
      </c>
      <c r="C566" s="19" t="s">
        <v>308</v>
      </c>
      <c r="D566" s="18" t="s">
        <v>139</v>
      </c>
      <c r="E566" s="19" t="s">
        <v>737</v>
      </c>
      <c r="F566" s="17" t="s">
        <v>735</v>
      </c>
      <c r="G566" s="21" t="s">
        <v>736</v>
      </c>
      <c r="H566" s="19">
        <v>2</v>
      </c>
      <c r="I566" s="21" t="s">
        <v>9</v>
      </c>
    </row>
    <row r="567" spans="1:9" x14ac:dyDescent="0.35">
      <c r="A567" s="17" t="s">
        <v>198</v>
      </c>
      <c r="B567" s="17" t="s">
        <v>277</v>
      </c>
      <c r="C567" s="19" t="s">
        <v>432</v>
      </c>
      <c r="D567" s="18" t="s">
        <v>91</v>
      </c>
      <c r="E567" s="19" t="s">
        <v>737</v>
      </c>
      <c r="F567" s="17" t="s">
        <v>738</v>
      </c>
      <c r="G567" s="21" t="s">
        <v>739</v>
      </c>
      <c r="H567" s="19">
        <v>3</v>
      </c>
      <c r="I567" s="21" t="s">
        <v>21</v>
      </c>
    </row>
    <row r="568" spans="1:9" x14ac:dyDescent="0.35">
      <c r="A568" s="17" t="s">
        <v>198</v>
      </c>
      <c r="B568" s="17" t="s">
        <v>708</v>
      </c>
      <c r="C568" s="19" t="s">
        <v>96</v>
      </c>
      <c r="D568" s="18" t="s">
        <v>179</v>
      </c>
      <c r="E568" s="19" t="s">
        <v>737</v>
      </c>
      <c r="F568" s="17" t="s">
        <v>738</v>
      </c>
      <c r="G568" s="21" t="s">
        <v>739</v>
      </c>
      <c r="H568" s="19">
        <v>1</v>
      </c>
      <c r="I568" s="21" t="s">
        <v>21</v>
      </c>
    </row>
    <row r="569" spans="1:9" x14ac:dyDescent="0.35">
      <c r="A569" s="17" t="s">
        <v>198</v>
      </c>
      <c r="B569" s="17" t="s">
        <v>708</v>
      </c>
      <c r="C569" s="19" t="s">
        <v>190</v>
      </c>
      <c r="D569" s="18" t="s">
        <v>179</v>
      </c>
      <c r="E569" s="19" t="s">
        <v>737</v>
      </c>
      <c r="F569" s="17" t="s">
        <v>738</v>
      </c>
      <c r="G569" s="21" t="s">
        <v>739</v>
      </c>
      <c r="H569" s="19">
        <v>1</v>
      </c>
      <c r="I569" s="21" t="s">
        <v>21</v>
      </c>
    </row>
    <row r="570" spans="1:9" x14ac:dyDescent="0.35">
      <c r="A570" s="17" t="s">
        <v>379</v>
      </c>
      <c r="B570" s="17" t="s">
        <v>681</v>
      </c>
      <c r="C570" s="19" t="s">
        <v>23</v>
      </c>
      <c r="D570" s="18" t="s">
        <v>141</v>
      </c>
      <c r="E570" s="19" t="s">
        <v>740</v>
      </c>
      <c r="F570" s="17" t="s">
        <v>743</v>
      </c>
      <c r="G570" s="21" t="s">
        <v>744</v>
      </c>
      <c r="H570" s="19">
        <v>2</v>
      </c>
      <c r="I570" s="21" t="s">
        <v>19</v>
      </c>
    </row>
    <row r="571" spans="1:9" x14ac:dyDescent="0.35">
      <c r="A571" s="17" t="s">
        <v>379</v>
      </c>
      <c r="B571" s="17" t="s">
        <v>680</v>
      </c>
      <c r="C571" s="19" t="s">
        <v>23</v>
      </c>
      <c r="D571" s="18" t="s">
        <v>93</v>
      </c>
      <c r="E571" s="19" t="s">
        <v>740</v>
      </c>
      <c r="F571" s="17" t="s">
        <v>743</v>
      </c>
      <c r="G571" s="21" t="s">
        <v>744</v>
      </c>
      <c r="H571" s="19">
        <v>1</v>
      </c>
      <c r="I571" s="21" t="s">
        <v>19</v>
      </c>
    </row>
    <row r="572" spans="1:9" x14ac:dyDescent="0.35">
      <c r="A572" s="17" t="s">
        <v>379</v>
      </c>
      <c r="B572" s="17" t="s">
        <v>688</v>
      </c>
      <c r="C572" s="19" t="s">
        <v>145</v>
      </c>
      <c r="D572" s="18" t="s">
        <v>188</v>
      </c>
      <c r="E572" s="19" t="s">
        <v>748</v>
      </c>
      <c r="F572" s="17" t="s">
        <v>743</v>
      </c>
      <c r="G572" s="21" t="s">
        <v>744</v>
      </c>
      <c r="H572" s="19">
        <v>1</v>
      </c>
      <c r="I572" s="21" t="s">
        <v>19</v>
      </c>
    </row>
    <row r="573" spans="1:9" x14ac:dyDescent="0.35">
      <c r="A573" s="17" t="s">
        <v>379</v>
      </c>
      <c r="B573" s="17" t="s">
        <v>688</v>
      </c>
      <c r="C573" s="19" t="s">
        <v>308</v>
      </c>
      <c r="D573" s="18" t="s">
        <v>188</v>
      </c>
      <c r="E573" s="19" t="s">
        <v>748</v>
      </c>
      <c r="F573" s="17" t="s">
        <v>743</v>
      </c>
      <c r="G573" s="21" t="s">
        <v>744</v>
      </c>
      <c r="H573" s="19">
        <v>1</v>
      </c>
      <c r="I573" s="21" t="s">
        <v>19</v>
      </c>
    </row>
    <row r="574" spans="1:9" x14ac:dyDescent="0.35">
      <c r="A574" s="17" t="s">
        <v>379</v>
      </c>
      <c r="B574" s="17" t="s">
        <v>303</v>
      </c>
      <c r="C574" s="19" t="s">
        <v>23</v>
      </c>
      <c r="D574" s="18" t="s">
        <v>148</v>
      </c>
      <c r="E574" s="19" t="s">
        <v>740</v>
      </c>
      <c r="F574" s="17" t="s">
        <v>743</v>
      </c>
      <c r="G574" s="21" t="s">
        <v>744</v>
      </c>
      <c r="H574" s="19">
        <v>1</v>
      </c>
      <c r="I574" s="21" t="s">
        <v>19</v>
      </c>
    </row>
    <row r="575" spans="1:9" x14ac:dyDescent="0.35">
      <c r="A575" s="17" t="s">
        <v>379</v>
      </c>
      <c r="B575" s="17" t="s">
        <v>380</v>
      </c>
      <c r="C575" s="19" t="s">
        <v>23</v>
      </c>
      <c r="D575" s="18" t="s">
        <v>354</v>
      </c>
      <c r="E575" s="19" t="s">
        <v>732</v>
      </c>
      <c r="F575" s="17" t="s">
        <v>735</v>
      </c>
      <c r="G575" s="21" t="s">
        <v>736</v>
      </c>
      <c r="H575" s="19">
        <v>1</v>
      </c>
      <c r="I575" s="21" t="s">
        <v>9</v>
      </c>
    </row>
    <row r="576" spans="1:9" x14ac:dyDescent="0.35">
      <c r="A576" s="17" t="s">
        <v>101</v>
      </c>
      <c r="B576" s="17"/>
      <c r="C576" s="19" t="s">
        <v>96</v>
      </c>
      <c r="D576" s="18" t="s">
        <v>39</v>
      </c>
      <c r="E576" s="19" t="s">
        <v>726</v>
      </c>
      <c r="F576" s="17" t="s">
        <v>727</v>
      </c>
      <c r="G576" s="21" t="s">
        <v>728</v>
      </c>
      <c r="H576" s="19"/>
      <c r="I576" s="21" t="s">
        <v>5</v>
      </c>
    </row>
    <row r="577" spans="1:9" x14ac:dyDescent="0.35">
      <c r="A577" s="17" t="s">
        <v>282</v>
      </c>
      <c r="B577" s="17" t="s">
        <v>606</v>
      </c>
      <c r="C577" s="19" t="s">
        <v>190</v>
      </c>
      <c r="D577" s="18" t="s">
        <v>118</v>
      </c>
      <c r="E577" s="19" t="s">
        <v>729</v>
      </c>
      <c r="F577" s="17" t="s">
        <v>730</v>
      </c>
      <c r="G577" s="21" t="s">
        <v>731</v>
      </c>
      <c r="H577" s="19"/>
      <c r="I577" s="21" t="s">
        <v>17</v>
      </c>
    </row>
    <row r="578" spans="1:9" x14ac:dyDescent="0.35">
      <c r="A578" s="17" t="s">
        <v>282</v>
      </c>
      <c r="B578" s="17" t="s">
        <v>510</v>
      </c>
      <c r="C578" s="19" t="s">
        <v>96</v>
      </c>
      <c r="D578" s="18" t="s">
        <v>109</v>
      </c>
      <c r="E578" s="19" t="s">
        <v>729</v>
      </c>
      <c r="F578" s="17" t="s">
        <v>730</v>
      </c>
      <c r="G578" s="21" t="s">
        <v>731</v>
      </c>
      <c r="H578" s="19"/>
      <c r="I578" s="21" t="s">
        <v>17</v>
      </c>
    </row>
    <row r="579" spans="1:9" x14ac:dyDescent="0.35">
      <c r="A579" s="17" t="s">
        <v>282</v>
      </c>
      <c r="B579" s="17" t="s">
        <v>283</v>
      </c>
      <c r="C579" s="19" t="s">
        <v>23</v>
      </c>
      <c r="D579" s="18" t="s">
        <v>162</v>
      </c>
      <c r="E579" s="19" t="s">
        <v>740</v>
      </c>
      <c r="F579" s="17" t="s">
        <v>741</v>
      </c>
      <c r="G579" s="21" t="s">
        <v>742</v>
      </c>
      <c r="H579" s="19">
        <v>1</v>
      </c>
      <c r="I579" s="21" t="s">
        <v>7</v>
      </c>
    </row>
    <row r="580" spans="1:9" x14ac:dyDescent="0.35">
      <c r="A580" s="17" t="s">
        <v>282</v>
      </c>
      <c r="B580" s="17" t="s">
        <v>674</v>
      </c>
      <c r="C580" s="19" t="s">
        <v>23</v>
      </c>
      <c r="D580" s="18" t="s">
        <v>134</v>
      </c>
      <c r="E580" s="19" t="s">
        <v>740</v>
      </c>
      <c r="F580" s="17" t="s">
        <v>743</v>
      </c>
      <c r="G580" s="21" t="s">
        <v>744</v>
      </c>
      <c r="H580" s="19">
        <v>1</v>
      </c>
      <c r="I580" s="21" t="s">
        <v>19</v>
      </c>
    </row>
    <row r="581" spans="1:9" x14ac:dyDescent="0.35">
      <c r="A581" s="17" t="s">
        <v>282</v>
      </c>
      <c r="B581" s="17" t="s">
        <v>692</v>
      </c>
      <c r="C581" s="19" t="s">
        <v>190</v>
      </c>
      <c r="D581" s="18" t="s">
        <v>189</v>
      </c>
      <c r="E581" s="19" t="s">
        <v>740</v>
      </c>
      <c r="F581" s="17" t="s">
        <v>743</v>
      </c>
      <c r="G581" s="21" t="s">
        <v>744</v>
      </c>
      <c r="H581" s="19">
        <v>1</v>
      </c>
      <c r="I581" s="21" t="s">
        <v>19</v>
      </c>
    </row>
    <row r="582" spans="1:9" x14ac:dyDescent="0.35">
      <c r="A582" s="17" t="s">
        <v>282</v>
      </c>
      <c r="B582" s="17" t="s">
        <v>376</v>
      </c>
      <c r="C582" s="19" t="s">
        <v>23</v>
      </c>
      <c r="D582" s="18" t="s">
        <v>244</v>
      </c>
      <c r="E582" s="19" t="s">
        <v>732</v>
      </c>
      <c r="F582" s="17" t="s">
        <v>735</v>
      </c>
      <c r="G582" s="21" t="s">
        <v>736</v>
      </c>
      <c r="H582" s="19">
        <v>3</v>
      </c>
      <c r="I582" s="21" t="s">
        <v>9</v>
      </c>
    </row>
    <row r="583" spans="1:9" x14ac:dyDescent="0.35">
      <c r="A583" s="17" t="s">
        <v>558</v>
      </c>
      <c r="B583" s="17"/>
      <c r="C583" s="19" t="s">
        <v>227</v>
      </c>
      <c r="D583" s="18" t="s">
        <v>127</v>
      </c>
      <c r="E583" s="19" t="s">
        <v>729</v>
      </c>
      <c r="F583" s="17" t="s">
        <v>730</v>
      </c>
      <c r="G583" s="21" t="s">
        <v>731</v>
      </c>
      <c r="H583" s="19"/>
      <c r="I583" s="21" t="s">
        <v>17</v>
      </c>
    </row>
    <row r="584" spans="1:9" x14ac:dyDescent="0.35">
      <c r="A584" s="17" t="s">
        <v>558</v>
      </c>
      <c r="B584" s="17" t="s">
        <v>559</v>
      </c>
      <c r="C584" s="19" t="s">
        <v>145</v>
      </c>
      <c r="D584" s="18" t="s">
        <v>65</v>
      </c>
      <c r="E584" s="19" t="s">
        <v>729</v>
      </c>
      <c r="F584" s="17" t="s">
        <v>730</v>
      </c>
      <c r="G584" s="21" t="s">
        <v>731</v>
      </c>
      <c r="H584" s="19"/>
      <c r="I584" s="21" t="s">
        <v>17</v>
      </c>
    </row>
    <row r="585" spans="1:9" x14ac:dyDescent="0.35">
      <c r="A585" s="17" t="s">
        <v>171</v>
      </c>
      <c r="B585" s="17"/>
      <c r="C585" s="19" t="s">
        <v>145</v>
      </c>
      <c r="D585" s="18" t="s">
        <v>172</v>
      </c>
      <c r="E585" s="19" t="s">
        <v>726</v>
      </c>
      <c r="F585" s="17" t="s">
        <v>727</v>
      </c>
      <c r="G585" s="21" t="s">
        <v>728</v>
      </c>
      <c r="H585" s="19"/>
      <c r="I585" s="21" t="s">
        <v>5</v>
      </c>
    </row>
    <row r="586" spans="1:9" x14ac:dyDescent="0.35">
      <c r="A586" s="17" t="s">
        <v>517</v>
      </c>
      <c r="B586" s="17" t="s">
        <v>518</v>
      </c>
      <c r="C586" s="19" t="s">
        <v>96</v>
      </c>
      <c r="D586" s="18" t="s">
        <v>244</v>
      </c>
      <c r="E586" s="19" t="s">
        <v>729</v>
      </c>
      <c r="F586" s="17" t="s">
        <v>730</v>
      </c>
      <c r="G586" s="21" t="s">
        <v>731</v>
      </c>
      <c r="H586" s="19"/>
      <c r="I586" s="21" t="s">
        <v>17</v>
      </c>
    </row>
    <row r="587" spans="1:9" x14ac:dyDescent="0.35">
      <c r="A587" s="17" t="s">
        <v>387</v>
      </c>
      <c r="B587" s="17" t="s">
        <v>388</v>
      </c>
      <c r="C587" s="19" t="s">
        <v>23</v>
      </c>
      <c r="D587" s="18" t="s">
        <v>188</v>
      </c>
      <c r="E587" s="19" t="s">
        <v>732</v>
      </c>
      <c r="F587" s="17" t="s">
        <v>735</v>
      </c>
      <c r="G587" s="21" t="s">
        <v>736</v>
      </c>
      <c r="H587" s="19">
        <v>2</v>
      </c>
      <c r="I587" s="21" t="s">
        <v>9</v>
      </c>
    </row>
    <row r="588" spans="1:9" x14ac:dyDescent="0.35">
      <c r="A588" s="17" t="s">
        <v>387</v>
      </c>
      <c r="B588" s="17" t="s">
        <v>713</v>
      </c>
      <c r="C588" s="19" t="s">
        <v>190</v>
      </c>
      <c r="D588" s="18" t="s">
        <v>118</v>
      </c>
      <c r="E588" s="19" t="s">
        <v>737</v>
      </c>
      <c r="F588" s="17" t="s">
        <v>738</v>
      </c>
      <c r="G588" s="21" t="s">
        <v>739</v>
      </c>
      <c r="H588" s="19">
        <v>1</v>
      </c>
      <c r="I588" s="21" t="s">
        <v>21</v>
      </c>
    </row>
    <row r="589" spans="1:9" x14ac:dyDescent="0.35">
      <c r="A589" s="17" t="s">
        <v>568</v>
      </c>
      <c r="B589" s="17" t="s">
        <v>569</v>
      </c>
      <c r="C589" s="19" t="s">
        <v>145</v>
      </c>
      <c r="D589" s="18" t="s">
        <v>134</v>
      </c>
      <c r="E589" s="19" t="s">
        <v>729</v>
      </c>
      <c r="F589" s="17" t="s">
        <v>730</v>
      </c>
      <c r="G589" s="21" t="s">
        <v>731</v>
      </c>
      <c r="H589" s="19"/>
      <c r="I589" s="21" t="s">
        <v>17</v>
      </c>
    </row>
    <row r="590" spans="1:9" x14ac:dyDescent="0.35">
      <c r="A590" s="17" t="s">
        <v>231</v>
      </c>
      <c r="B590" s="17"/>
      <c r="C590" s="19" t="s">
        <v>227</v>
      </c>
      <c r="D590" s="18" t="s">
        <v>43</v>
      </c>
      <c r="E590" s="19" t="s">
        <v>726</v>
      </c>
      <c r="F590" s="17" t="s">
        <v>727</v>
      </c>
      <c r="G590" s="21" t="s">
        <v>728</v>
      </c>
      <c r="H590" s="19"/>
      <c r="I590" s="21" t="s">
        <v>5</v>
      </c>
    </row>
    <row r="591" spans="1:9" x14ac:dyDescent="0.35">
      <c r="A591" s="17" t="s">
        <v>231</v>
      </c>
      <c r="B591" s="17" t="s">
        <v>352</v>
      </c>
      <c r="C591" s="19" t="s">
        <v>145</v>
      </c>
      <c r="D591" s="18" t="s">
        <v>121</v>
      </c>
      <c r="E591" s="19" t="s">
        <v>737</v>
      </c>
      <c r="F591" s="17" t="s">
        <v>735</v>
      </c>
      <c r="G591" s="21" t="s">
        <v>736</v>
      </c>
      <c r="H591" s="19">
        <v>2</v>
      </c>
      <c r="I591" s="21" t="s">
        <v>9</v>
      </c>
    </row>
    <row r="592" spans="1:9" x14ac:dyDescent="0.35">
      <c r="A592" s="17" t="s">
        <v>231</v>
      </c>
      <c r="B592" s="17" t="s">
        <v>352</v>
      </c>
      <c r="C592" s="19" t="s">
        <v>308</v>
      </c>
      <c r="D592" s="18" t="s">
        <v>121</v>
      </c>
      <c r="E592" s="19" t="s">
        <v>737</v>
      </c>
      <c r="F592" s="17" t="s">
        <v>735</v>
      </c>
      <c r="G592" s="21" t="s">
        <v>736</v>
      </c>
      <c r="H592" s="19">
        <v>2</v>
      </c>
      <c r="I592" s="21" t="s">
        <v>9</v>
      </c>
    </row>
    <row r="593" spans="1:9" x14ac:dyDescent="0.35">
      <c r="A593" s="17" t="s">
        <v>231</v>
      </c>
      <c r="B593" s="17" t="s">
        <v>704</v>
      </c>
      <c r="C593" s="19" t="s">
        <v>23</v>
      </c>
      <c r="D593" s="18" t="s">
        <v>354</v>
      </c>
      <c r="E593" s="19" t="s">
        <v>737</v>
      </c>
      <c r="F593" s="17" t="s">
        <v>738</v>
      </c>
      <c r="G593" s="21" t="s">
        <v>739</v>
      </c>
      <c r="H593" s="19">
        <v>3</v>
      </c>
      <c r="I593" s="21" t="s">
        <v>21</v>
      </c>
    </row>
    <row r="594" spans="1:9" x14ac:dyDescent="0.35">
      <c r="A594" s="17" t="s">
        <v>231</v>
      </c>
      <c r="B594" s="17" t="s">
        <v>704</v>
      </c>
      <c r="C594" s="19" t="s">
        <v>96</v>
      </c>
      <c r="D594" s="18" t="s">
        <v>81</v>
      </c>
      <c r="E594" s="19" t="s">
        <v>737</v>
      </c>
      <c r="F594" s="17" t="s">
        <v>738</v>
      </c>
      <c r="G594" s="21" t="s">
        <v>739</v>
      </c>
      <c r="H594" s="19">
        <v>3</v>
      </c>
      <c r="I594" s="21" t="s">
        <v>21</v>
      </c>
    </row>
    <row r="595" spans="1:9" x14ac:dyDescent="0.35">
      <c r="A595" s="17" t="s">
        <v>231</v>
      </c>
      <c r="B595" s="17" t="s">
        <v>704</v>
      </c>
      <c r="C595" s="19" t="s">
        <v>190</v>
      </c>
      <c r="D595" s="18" t="s">
        <v>81</v>
      </c>
      <c r="E595" s="19" t="s">
        <v>737</v>
      </c>
      <c r="F595" s="17" t="s">
        <v>738</v>
      </c>
      <c r="G595" s="21" t="s">
        <v>739</v>
      </c>
      <c r="H595" s="19">
        <v>3</v>
      </c>
      <c r="I595" s="21" t="s">
        <v>21</v>
      </c>
    </row>
    <row r="596" spans="1:9" x14ac:dyDescent="0.35">
      <c r="A596" s="17" t="s">
        <v>231</v>
      </c>
      <c r="B596" s="17" t="s">
        <v>704</v>
      </c>
      <c r="C596" s="19" t="s">
        <v>227</v>
      </c>
      <c r="D596" s="18" t="s">
        <v>354</v>
      </c>
      <c r="E596" s="19" t="s">
        <v>737</v>
      </c>
      <c r="F596" s="17" t="s">
        <v>738</v>
      </c>
      <c r="G596" s="21" t="s">
        <v>739</v>
      </c>
      <c r="H596" s="19">
        <v>3</v>
      </c>
      <c r="I596" s="21" t="s">
        <v>21</v>
      </c>
    </row>
    <row r="597" spans="1:9" x14ac:dyDescent="0.35">
      <c r="A597" s="17" t="s">
        <v>231</v>
      </c>
      <c r="B597" s="17" t="s">
        <v>704</v>
      </c>
      <c r="C597" s="19" t="s">
        <v>432</v>
      </c>
      <c r="D597" s="18" t="s">
        <v>85</v>
      </c>
      <c r="E597" s="19" t="s">
        <v>737</v>
      </c>
      <c r="F597" s="17" t="s">
        <v>738</v>
      </c>
      <c r="G597" s="21" t="s">
        <v>739</v>
      </c>
      <c r="H597" s="19">
        <v>3</v>
      </c>
      <c r="I597" s="21" t="s">
        <v>21</v>
      </c>
    </row>
    <row r="598" spans="1:9" x14ac:dyDescent="0.35">
      <c r="A598" s="17" t="s">
        <v>97</v>
      </c>
      <c r="B598" s="20"/>
      <c r="C598" s="19" t="s">
        <v>96</v>
      </c>
      <c r="D598" s="18" t="s">
        <v>32</v>
      </c>
      <c r="E598" s="19" t="s">
        <v>726</v>
      </c>
      <c r="F598" s="17" t="s">
        <v>727</v>
      </c>
      <c r="G598" s="21" t="s">
        <v>728</v>
      </c>
      <c r="H598" s="19"/>
      <c r="I598" s="21" t="s">
        <v>5</v>
      </c>
    </row>
    <row r="599" spans="1:9" x14ac:dyDescent="0.35">
      <c r="A599" s="17" t="s">
        <v>653</v>
      </c>
      <c r="B599" s="17" t="s">
        <v>654</v>
      </c>
      <c r="C599" s="19" t="s">
        <v>227</v>
      </c>
      <c r="D599" s="18" t="s">
        <v>87</v>
      </c>
      <c r="E599" s="19" t="s">
        <v>729</v>
      </c>
      <c r="F599" s="17" t="s">
        <v>730</v>
      </c>
      <c r="G599" s="21" t="s">
        <v>731</v>
      </c>
      <c r="H599" s="19"/>
      <c r="I599" s="21" t="s">
        <v>17</v>
      </c>
    </row>
    <row r="600" spans="1:9" x14ac:dyDescent="0.35">
      <c r="A600" s="17" t="s">
        <v>191</v>
      </c>
      <c r="B600" s="17"/>
      <c r="C600" s="19" t="s">
        <v>190</v>
      </c>
      <c r="D600" s="18" t="s">
        <v>36</v>
      </c>
      <c r="E600" s="19" t="s">
        <v>726</v>
      </c>
      <c r="F600" s="17" t="s">
        <v>727</v>
      </c>
      <c r="G600" s="21" t="s">
        <v>728</v>
      </c>
      <c r="H600" s="19"/>
      <c r="I600" s="21" t="s">
        <v>5</v>
      </c>
    </row>
    <row r="601" spans="1:9" x14ac:dyDescent="0.35">
      <c r="A601" s="17" t="s">
        <v>191</v>
      </c>
      <c r="B601" s="17" t="s">
        <v>636</v>
      </c>
      <c r="C601" s="19" t="s">
        <v>227</v>
      </c>
      <c r="D601" s="18" t="s">
        <v>162</v>
      </c>
      <c r="E601" s="19" t="s">
        <v>729</v>
      </c>
      <c r="F601" s="17" t="s">
        <v>730</v>
      </c>
      <c r="G601" s="21" t="s">
        <v>731</v>
      </c>
      <c r="H601" s="19"/>
      <c r="I601" s="21" t="s">
        <v>17</v>
      </c>
    </row>
    <row r="602" spans="1:9" x14ac:dyDescent="0.35">
      <c r="A602" s="17" t="s">
        <v>191</v>
      </c>
      <c r="B602" s="17" t="s">
        <v>381</v>
      </c>
      <c r="C602" s="19" t="s">
        <v>23</v>
      </c>
      <c r="D602" s="18" t="s">
        <v>87</v>
      </c>
      <c r="E602" s="19" t="s">
        <v>732</v>
      </c>
      <c r="F602" s="17" t="s">
        <v>735</v>
      </c>
      <c r="G602" s="21" t="s">
        <v>736</v>
      </c>
      <c r="H602" s="19">
        <v>1</v>
      </c>
      <c r="I602" s="21" t="s">
        <v>9</v>
      </c>
    </row>
    <row r="603" spans="1:9" x14ac:dyDescent="0.35">
      <c r="A603" s="17" t="s">
        <v>191</v>
      </c>
      <c r="B603" s="17" t="s">
        <v>351</v>
      </c>
      <c r="C603" s="19" t="s">
        <v>23</v>
      </c>
      <c r="D603" s="18" t="s">
        <v>85</v>
      </c>
      <c r="E603" s="19" t="s">
        <v>732</v>
      </c>
      <c r="F603" s="17" t="s">
        <v>735</v>
      </c>
      <c r="G603" s="21" t="s">
        <v>736</v>
      </c>
      <c r="H603" s="19">
        <v>1</v>
      </c>
      <c r="I603" s="21" t="s">
        <v>9</v>
      </c>
    </row>
    <row r="604" spans="1:9" x14ac:dyDescent="0.35">
      <c r="A604" s="17" t="s">
        <v>576</v>
      </c>
      <c r="B604" s="17" t="s">
        <v>618</v>
      </c>
      <c r="C604" s="19" t="s">
        <v>190</v>
      </c>
      <c r="D604" s="18" t="s">
        <v>257</v>
      </c>
      <c r="E604" s="19" t="s">
        <v>729</v>
      </c>
      <c r="F604" s="17" t="s">
        <v>730</v>
      </c>
      <c r="G604" s="21" t="s">
        <v>731</v>
      </c>
      <c r="H604" s="19"/>
      <c r="I604" s="21" t="s">
        <v>17</v>
      </c>
    </row>
    <row r="605" spans="1:9" x14ac:dyDescent="0.35">
      <c r="A605" s="17" t="s">
        <v>576</v>
      </c>
      <c r="B605" s="17">
        <v>75</v>
      </c>
      <c r="C605" s="19" t="s">
        <v>145</v>
      </c>
      <c r="D605" s="18" t="s">
        <v>183</v>
      </c>
      <c r="E605" s="19" t="s">
        <v>729</v>
      </c>
      <c r="F605" s="17" t="s">
        <v>730</v>
      </c>
      <c r="G605" s="21" t="s">
        <v>731</v>
      </c>
      <c r="H605" s="19"/>
      <c r="I605" s="21" t="s">
        <v>17</v>
      </c>
    </row>
    <row r="606" spans="1:9" x14ac:dyDescent="0.35">
      <c r="A606" s="17" t="s">
        <v>639</v>
      </c>
      <c r="B606" s="17" t="s">
        <v>640</v>
      </c>
      <c r="C606" s="19" t="s">
        <v>227</v>
      </c>
      <c r="D606" s="18" t="s">
        <v>305</v>
      </c>
      <c r="E606" s="19" t="s">
        <v>729</v>
      </c>
      <c r="F606" s="17" t="s">
        <v>730</v>
      </c>
      <c r="G606" s="21" t="s">
        <v>731</v>
      </c>
      <c r="H606" s="19"/>
      <c r="I606" s="21" t="s">
        <v>17</v>
      </c>
    </row>
    <row r="607" spans="1:9" x14ac:dyDescent="0.35">
      <c r="A607" s="17" t="s">
        <v>230</v>
      </c>
      <c r="B607" s="17"/>
      <c r="C607" s="19" t="s">
        <v>227</v>
      </c>
      <c r="D607" s="18" t="s">
        <v>41</v>
      </c>
      <c r="E607" s="19" t="s">
        <v>726</v>
      </c>
      <c r="F607" s="17" t="s">
        <v>727</v>
      </c>
      <c r="G607" s="21" t="s">
        <v>728</v>
      </c>
      <c r="H607" s="19"/>
      <c r="I607" s="21" t="s">
        <v>5</v>
      </c>
    </row>
    <row r="608" spans="1:9" x14ac:dyDescent="0.35">
      <c r="A608" s="17" t="s">
        <v>400</v>
      </c>
      <c r="B608" s="20">
        <v>169167</v>
      </c>
      <c r="C608" s="19" t="s">
        <v>145</v>
      </c>
      <c r="D608" s="18" t="s">
        <v>158</v>
      </c>
      <c r="E608" s="19" t="s">
        <v>729</v>
      </c>
      <c r="F608" s="17" t="s">
        <v>730</v>
      </c>
      <c r="G608" s="21" t="s">
        <v>731</v>
      </c>
      <c r="H608" s="19"/>
      <c r="I608" s="21" t="s">
        <v>17</v>
      </c>
    </row>
    <row r="609" spans="1:9" x14ac:dyDescent="0.35">
      <c r="A609" s="17" t="s">
        <v>400</v>
      </c>
      <c r="B609" s="17" t="s">
        <v>521</v>
      </c>
      <c r="C609" s="19" t="s">
        <v>96</v>
      </c>
      <c r="D609" s="18" t="s">
        <v>246</v>
      </c>
      <c r="E609" s="19" t="s">
        <v>729</v>
      </c>
      <c r="F609" s="17" t="s">
        <v>730</v>
      </c>
      <c r="G609" s="21" t="s">
        <v>731</v>
      </c>
      <c r="H609" s="19"/>
      <c r="I609" s="21" t="s">
        <v>17</v>
      </c>
    </row>
    <row r="610" spans="1:9" x14ac:dyDescent="0.35">
      <c r="A610" s="17" t="s">
        <v>400</v>
      </c>
      <c r="B610" s="17" t="s">
        <v>415</v>
      </c>
      <c r="C610" s="19" t="s">
        <v>23</v>
      </c>
      <c r="D610" s="18" t="s">
        <v>139</v>
      </c>
      <c r="E610" s="19" t="s">
        <v>748</v>
      </c>
      <c r="F610" s="17" t="s">
        <v>749</v>
      </c>
      <c r="G610" s="21" t="s">
        <v>750</v>
      </c>
      <c r="H610" s="19">
        <v>5</v>
      </c>
      <c r="I610" s="21" t="s">
        <v>13</v>
      </c>
    </row>
    <row r="611" spans="1:9" x14ac:dyDescent="0.35">
      <c r="A611" s="17" t="s">
        <v>400</v>
      </c>
      <c r="B611" s="17" t="s">
        <v>415</v>
      </c>
      <c r="C611" s="19" t="s">
        <v>96</v>
      </c>
      <c r="D611" s="18" t="s">
        <v>139</v>
      </c>
      <c r="E611" s="19" t="s">
        <v>748</v>
      </c>
      <c r="F611" s="17" t="s">
        <v>749</v>
      </c>
      <c r="G611" s="21" t="s">
        <v>750</v>
      </c>
      <c r="H611" s="19">
        <v>4</v>
      </c>
      <c r="I611" s="21" t="s">
        <v>13</v>
      </c>
    </row>
    <row r="612" spans="1:9" x14ac:dyDescent="0.35">
      <c r="A612" s="17" t="s">
        <v>400</v>
      </c>
      <c r="B612" s="17" t="s">
        <v>415</v>
      </c>
      <c r="C612" s="19" t="s">
        <v>145</v>
      </c>
      <c r="D612" s="18" t="s">
        <v>408</v>
      </c>
      <c r="E612" s="19" t="s">
        <v>748</v>
      </c>
      <c r="F612" s="17" t="s">
        <v>743</v>
      </c>
      <c r="G612" s="21" t="s">
        <v>744</v>
      </c>
      <c r="H612" s="19">
        <v>5</v>
      </c>
      <c r="I612" s="21" t="s">
        <v>19</v>
      </c>
    </row>
    <row r="613" spans="1:9" x14ac:dyDescent="0.35">
      <c r="A613" s="17" t="s">
        <v>400</v>
      </c>
      <c r="B613" s="17" t="s">
        <v>415</v>
      </c>
      <c r="C613" s="19" t="s">
        <v>190</v>
      </c>
      <c r="D613" s="18" t="s">
        <v>183</v>
      </c>
      <c r="E613" s="19" t="s">
        <v>748</v>
      </c>
      <c r="F613" s="17" t="s">
        <v>749</v>
      </c>
      <c r="G613" s="21" t="s">
        <v>750</v>
      </c>
      <c r="H613" s="19">
        <v>5</v>
      </c>
      <c r="I613" s="21" t="s">
        <v>13</v>
      </c>
    </row>
    <row r="614" spans="1:9" x14ac:dyDescent="0.35">
      <c r="A614" s="17" t="s">
        <v>400</v>
      </c>
      <c r="B614" s="17" t="s">
        <v>415</v>
      </c>
      <c r="C614" s="19" t="s">
        <v>227</v>
      </c>
      <c r="D614" s="18" t="s">
        <v>139</v>
      </c>
      <c r="E614" s="19" t="s">
        <v>748</v>
      </c>
      <c r="F614" s="17" t="s">
        <v>749</v>
      </c>
      <c r="G614" s="21" t="s">
        <v>750</v>
      </c>
      <c r="H614" s="19">
        <v>5</v>
      </c>
      <c r="I614" s="21" t="s">
        <v>13</v>
      </c>
    </row>
    <row r="615" spans="1:9" x14ac:dyDescent="0.35">
      <c r="A615" s="17" t="s">
        <v>400</v>
      </c>
      <c r="B615" s="17" t="s">
        <v>415</v>
      </c>
      <c r="C615" s="19" t="s">
        <v>308</v>
      </c>
      <c r="D615" s="18" t="s">
        <v>408</v>
      </c>
      <c r="E615" s="19" t="s">
        <v>748</v>
      </c>
      <c r="F615" s="17" t="s">
        <v>743</v>
      </c>
      <c r="G615" s="21" t="s">
        <v>744</v>
      </c>
      <c r="H615" s="19">
        <v>5</v>
      </c>
      <c r="I615" s="21" t="s">
        <v>19</v>
      </c>
    </row>
    <row r="616" spans="1:9" x14ac:dyDescent="0.35">
      <c r="A616" s="17" t="s">
        <v>400</v>
      </c>
      <c r="B616" s="17" t="s">
        <v>415</v>
      </c>
      <c r="C616" s="19" t="s">
        <v>432</v>
      </c>
      <c r="D616" s="18" t="s">
        <v>139</v>
      </c>
      <c r="E616" s="19" t="s">
        <v>748</v>
      </c>
      <c r="F616" s="17" t="s">
        <v>749</v>
      </c>
      <c r="G616" s="21" t="s">
        <v>750</v>
      </c>
      <c r="H616" s="19">
        <v>4</v>
      </c>
      <c r="I616" s="21" t="s">
        <v>13</v>
      </c>
    </row>
    <row r="617" spans="1:9" x14ac:dyDescent="0.35">
      <c r="A617" s="17" t="s">
        <v>400</v>
      </c>
      <c r="B617" s="17" t="s">
        <v>401</v>
      </c>
      <c r="C617" s="19" t="s">
        <v>23</v>
      </c>
      <c r="D617" s="18" t="s">
        <v>38</v>
      </c>
      <c r="E617" s="19" t="s">
        <v>748</v>
      </c>
      <c r="F617" s="17" t="s">
        <v>749</v>
      </c>
      <c r="G617" s="21" t="s">
        <v>750</v>
      </c>
      <c r="H617" s="19">
        <v>3</v>
      </c>
      <c r="I617" s="21" t="s">
        <v>13</v>
      </c>
    </row>
    <row r="618" spans="1:9" x14ac:dyDescent="0.35">
      <c r="A618" s="17" t="s">
        <v>400</v>
      </c>
      <c r="B618" s="17" t="s">
        <v>401</v>
      </c>
      <c r="C618" s="19" t="s">
        <v>96</v>
      </c>
      <c r="D618" s="18" t="s">
        <v>38</v>
      </c>
      <c r="E618" s="19" t="s">
        <v>748</v>
      </c>
      <c r="F618" s="17" t="s">
        <v>749</v>
      </c>
      <c r="G618" s="21" t="s">
        <v>750</v>
      </c>
      <c r="H618" s="19">
        <v>3</v>
      </c>
      <c r="I618" s="21" t="s">
        <v>13</v>
      </c>
    </row>
    <row r="619" spans="1:9" x14ac:dyDescent="0.35">
      <c r="A619" s="17" t="s">
        <v>400</v>
      </c>
      <c r="B619" s="17" t="s">
        <v>401</v>
      </c>
      <c r="C619" s="19" t="s">
        <v>96</v>
      </c>
      <c r="D619" s="18" t="s">
        <v>94</v>
      </c>
      <c r="E619" s="19" t="s">
        <v>748</v>
      </c>
      <c r="F619" s="17" t="s">
        <v>749</v>
      </c>
      <c r="G619" s="21" t="s">
        <v>750</v>
      </c>
      <c r="H619" s="19">
        <v>3</v>
      </c>
      <c r="I619" s="21" t="s">
        <v>13</v>
      </c>
    </row>
    <row r="620" spans="1:9" x14ac:dyDescent="0.35">
      <c r="A620" s="17" t="s">
        <v>400</v>
      </c>
      <c r="B620" s="17" t="s">
        <v>401</v>
      </c>
      <c r="C620" s="19" t="s">
        <v>145</v>
      </c>
      <c r="D620" s="18" t="s">
        <v>39</v>
      </c>
      <c r="E620" s="19" t="s">
        <v>748</v>
      </c>
      <c r="F620" s="17" t="s">
        <v>743</v>
      </c>
      <c r="G620" s="21" t="s">
        <v>744</v>
      </c>
      <c r="H620" s="19">
        <v>3</v>
      </c>
      <c r="I620" s="21" t="s">
        <v>19</v>
      </c>
    </row>
    <row r="621" spans="1:9" x14ac:dyDescent="0.35">
      <c r="A621" s="17" t="s">
        <v>400</v>
      </c>
      <c r="B621" s="17" t="s">
        <v>401</v>
      </c>
      <c r="C621" s="19" t="s">
        <v>190</v>
      </c>
      <c r="D621" s="18" t="s">
        <v>38</v>
      </c>
      <c r="E621" s="19" t="s">
        <v>748</v>
      </c>
      <c r="F621" s="17" t="s">
        <v>749</v>
      </c>
      <c r="G621" s="21" t="s">
        <v>750</v>
      </c>
      <c r="H621" s="19">
        <v>3</v>
      </c>
      <c r="I621" s="21" t="s">
        <v>13</v>
      </c>
    </row>
    <row r="622" spans="1:9" x14ac:dyDescent="0.35">
      <c r="A622" s="17" t="s">
        <v>400</v>
      </c>
      <c r="B622" s="17" t="s">
        <v>401</v>
      </c>
      <c r="C622" s="19" t="s">
        <v>227</v>
      </c>
      <c r="D622" s="18" t="s">
        <v>38</v>
      </c>
      <c r="E622" s="19" t="s">
        <v>748</v>
      </c>
      <c r="F622" s="17" t="s">
        <v>749</v>
      </c>
      <c r="G622" s="21" t="s">
        <v>750</v>
      </c>
      <c r="H622" s="19">
        <v>3</v>
      </c>
      <c r="I622" s="21" t="s">
        <v>13</v>
      </c>
    </row>
    <row r="623" spans="1:9" x14ac:dyDescent="0.35">
      <c r="A623" s="17" t="s">
        <v>400</v>
      </c>
      <c r="B623" s="17" t="s">
        <v>401</v>
      </c>
      <c r="C623" s="19" t="s">
        <v>308</v>
      </c>
      <c r="D623" s="18" t="s">
        <v>39</v>
      </c>
      <c r="E623" s="19" t="s">
        <v>748</v>
      </c>
      <c r="F623" s="17" t="s">
        <v>743</v>
      </c>
      <c r="G623" s="21" t="s">
        <v>744</v>
      </c>
      <c r="H623" s="19">
        <v>3</v>
      </c>
      <c r="I623" s="21" t="s">
        <v>19</v>
      </c>
    </row>
    <row r="624" spans="1:9" x14ac:dyDescent="0.35">
      <c r="A624" s="17" t="s">
        <v>400</v>
      </c>
      <c r="B624" s="17" t="s">
        <v>401</v>
      </c>
      <c r="C624" s="19" t="s">
        <v>432</v>
      </c>
      <c r="D624" s="18" t="s">
        <v>38</v>
      </c>
      <c r="E624" s="19" t="s">
        <v>748</v>
      </c>
      <c r="F624" s="17" t="s">
        <v>749</v>
      </c>
      <c r="G624" s="21" t="s">
        <v>750</v>
      </c>
      <c r="H624" s="19">
        <v>3</v>
      </c>
      <c r="I624" s="21" t="s">
        <v>13</v>
      </c>
    </row>
    <row r="625" spans="1:9" x14ac:dyDescent="0.35">
      <c r="A625" s="17" t="s">
        <v>400</v>
      </c>
      <c r="B625" s="17" t="s">
        <v>401</v>
      </c>
      <c r="C625" s="19" t="s">
        <v>432</v>
      </c>
      <c r="D625" s="18" t="s">
        <v>188</v>
      </c>
      <c r="E625" s="19" t="s">
        <v>748</v>
      </c>
      <c r="F625" s="17" t="s">
        <v>749</v>
      </c>
      <c r="G625" s="21" t="s">
        <v>750</v>
      </c>
      <c r="H625" s="19">
        <v>3</v>
      </c>
      <c r="I625" s="21" t="s">
        <v>13</v>
      </c>
    </row>
    <row r="626" spans="1:9" x14ac:dyDescent="0.35">
      <c r="A626" s="17" t="s">
        <v>400</v>
      </c>
      <c r="B626" s="17" t="s">
        <v>698</v>
      </c>
      <c r="C626" s="19" t="s">
        <v>23</v>
      </c>
      <c r="D626" s="18" t="s">
        <v>408</v>
      </c>
      <c r="E626" s="19" t="s">
        <v>737</v>
      </c>
      <c r="F626" s="17" t="s">
        <v>738</v>
      </c>
      <c r="G626" s="21" t="s">
        <v>739</v>
      </c>
      <c r="H626" s="19">
        <v>1</v>
      </c>
      <c r="I626" s="21" t="s">
        <v>21</v>
      </c>
    </row>
    <row r="627" spans="1:9" x14ac:dyDescent="0.35">
      <c r="A627" s="17" t="s">
        <v>400</v>
      </c>
      <c r="B627" s="17" t="s">
        <v>698</v>
      </c>
      <c r="C627" s="19" t="s">
        <v>96</v>
      </c>
      <c r="D627" s="18" t="s">
        <v>408</v>
      </c>
      <c r="E627" s="19" t="s">
        <v>737</v>
      </c>
      <c r="F627" s="17" t="s">
        <v>738</v>
      </c>
      <c r="G627" s="21" t="s">
        <v>739</v>
      </c>
      <c r="H627" s="19">
        <v>1</v>
      </c>
      <c r="I627" s="21" t="s">
        <v>21</v>
      </c>
    </row>
    <row r="628" spans="1:9" x14ac:dyDescent="0.35">
      <c r="A628" s="17" t="s">
        <v>400</v>
      </c>
      <c r="B628" s="17" t="s">
        <v>698</v>
      </c>
      <c r="C628" s="19" t="s">
        <v>190</v>
      </c>
      <c r="D628" s="18" t="s">
        <v>346</v>
      </c>
      <c r="E628" s="19" t="s">
        <v>737</v>
      </c>
      <c r="F628" s="17" t="s">
        <v>738</v>
      </c>
      <c r="G628" s="21" t="s">
        <v>739</v>
      </c>
      <c r="H628" s="19">
        <v>1</v>
      </c>
      <c r="I628" s="21" t="s">
        <v>21</v>
      </c>
    </row>
    <row r="629" spans="1:9" x14ac:dyDescent="0.35">
      <c r="A629" s="17" t="s">
        <v>400</v>
      </c>
      <c r="B629" s="17" t="s">
        <v>698</v>
      </c>
      <c r="C629" s="19" t="s">
        <v>227</v>
      </c>
      <c r="D629" s="18" t="s">
        <v>408</v>
      </c>
      <c r="E629" s="19" t="s">
        <v>737</v>
      </c>
      <c r="F629" s="17" t="s">
        <v>738</v>
      </c>
      <c r="G629" s="21" t="s">
        <v>739</v>
      </c>
      <c r="H629" s="19">
        <v>2</v>
      </c>
      <c r="I629" s="21" t="s">
        <v>21</v>
      </c>
    </row>
    <row r="630" spans="1:9" x14ac:dyDescent="0.35">
      <c r="A630" s="17" t="s">
        <v>478</v>
      </c>
      <c r="B630" s="17" t="s">
        <v>479</v>
      </c>
      <c r="C630" s="19" t="s">
        <v>23</v>
      </c>
      <c r="D630" s="18" t="s">
        <v>67</v>
      </c>
      <c r="E630" s="19" t="s">
        <v>729</v>
      </c>
      <c r="F630" s="17" t="s">
        <v>730</v>
      </c>
      <c r="G630" s="21" t="s">
        <v>731</v>
      </c>
      <c r="H630" s="19"/>
      <c r="I630" s="21" t="s">
        <v>17</v>
      </c>
    </row>
    <row r="631" spans="1:9" x14ac:dyDescent="0.35">
      <c r="A631" s="17" t="s">
        <v>478</v>
      </c>
      <c r="B631" s="17" t="s">
        <v>593</v>
      </c>
      <c r="C631" s="19" t="s">
        <v>190</v>
      </c>
      <c r="D631" s="18" t="s">
        <v>47</v>
      </c>
      <c r="E631" s="19" t="s">
        <v>729</v>
      </c>
      <c r="F631" s="17" t="s">
        <v>730</v>
      </c>
      <c r="G631" s="21" t="s">
        <v>731</v>
      </c>
      <c r="H631" s="19"/>
      <c r="I631" s="21" t="s">
        <v>17</v>
      </c>
    </row>
    <row r="632" spans="1:9" x14ac:dyDescent="0.35">
      <c r="A632" s="17" t="s">
        <v>112</v>
      </c>
      <c r="B632" s="17"/>
      <c r="C632" s="19" t="s">
        <v>96</v>
      </c>
      <c r="D632" s="18" t="s">
        <v>59</v>
      </c>
      <c r="E632" s="19" t="s">
        <v>726</v>
      </c>
      <c r="F632" s="17" t="s">
        <v>727</v>
      </c>
      <c r="G632" s="21" t="s">
        <v>728</v>
      </c>
      <c r="H632" s="19"/>
      <c r="I632" s="21" t="s">
        <v>5</v>
      </c>
    </row>
    <row r="633" spans="1:9" x14ac:dyDescent="0.35">
      <c r="A633" s="17" t="s">
        <v>52</v>
      </c>
      <c r="B633" s="17"/>
      <c r="C633" s="19" t="s">
        <v>23</v>
      </c>
      <c r="D633" s="18" t="s">
        <v>53</v>
      </c>
      <c r="E633" s="19" t="s">
        <v>726</v>
      </c>
      <c r="F633" s="17" t="s">
        <v>727</v>
      </c>
      <c r="G633" s="21" t="s">
        <v>728</v>
      </c>
      <c r="H633" s="19"/>
      <c r="I633" s="21" t="s">
        <v>5</v>
      </c>
    </row>
    <row r="634" spans="1:9" x14ac:dyDescent="0.35">
      <c r="A634" s="17" t="s">
        <v>155</v>
      </c>
      <c r="B634" s="17"/>
      <c r="C634" s="19" t="s">
        <v>145</v>
      </c>
      <c r="D634" s="18" t="s">
        <v>43</v>
      </c>
      <c r="E634" s="19" t="s">
        <v>726</v>
      </c>
      <c r="F634" s="17" t="s">
        <v>727</v>
      </c>
      <c r="G634" s="21" t="s">
        <v>728</v>
      </c>
      <c r="H634" s="19"/>
      <c r="I634" s="21" t="s">
        <v>5</v>
      </c>
    </row>
    <row r="635" spans="1:9" x14ac:dyDescent="0.35">
      <c r="A635" s="17" t="s">
        <v>136</v>
      </c>
      <c r="B635" s="17"/>
      <c r="C635" s="19" t="s">
        <v>96</v>
      </c>
      <c r="D635" s="18" t="s">
        <v>85</v>
      </c>
      <c r="E635" s="19" t="s">
        <v>726</v>
      </c>
      <c r="F635" s="17" t="s">
        <v>727</v>
      </c>
      <c r="G635" s="21" t="s">
        <v>728</v>
      </c>
      <c r="H635" s="19"/>
      <c r="I635" s="21" t="s">
        <v>5</v>
      </c>
    </row>
    <row r="636" spans="1:9" x14ac:dyDescent="0.35">
      <c r="A636" s="17" t="s">
        <v>136</v>
      </c>
      <c r="B636" s="17"/>
      <c r="C636" s="19" t="s">
        <v>227</v>
      </c>
      <c r="D636" s="18" t="s">
        <v>49</v>
      </c>
      <c r="E636" s="19" t="s">
        <v>726</v>
      </c>
      <c r="F636" s="17" t="s">
        <v>727</v>
      </c>
      <c r="G636" s="21" t="s">
        <v>728</v>
      </c>
      <c r="H636" s="19"/>
      <c r="I636" s="21" t="s">
        <v>5</v>
      </c>
    </row>
    <row r="637" spans="1:9" x14ac:dyDescent="0.35">
      <c r="A637" s="17" t="s">
        <v>136</v>
      </c>
      <c r="B637" s="17" t="s">
        <v>275</v>
      </c>
      <c r="C637" s="19" t="s">
        <v>23</v>
      </c>
      <c r="D637" s="18" t="s">
        <v>106</v>
      </c>
      <c r="E637" s="19" t="s">
        <v>740</v>
      </c>
      <c r="F637" s="17" t="s">
        <v>741</v>
      </c>
      <c r="G637" s="21" t="s">
        <v>742</v>
      </c>
      <c r="H637" s="19">
        <v>2</v>
      </c>
      <c r="I637" s="21" t="s">
        <v>7</v>
      </c>
    </row>
    <row r="638" spans="1:9" x14ac:dyDescent="0.35">
      <c r="A638" s="17" t="s">
        <v>136</v>
      </c>
      <c r="B638" s="17" t="s">
        <v>275</v>
      </c>
      <c r="C638" s="19" t="s">
        <v>96</v>
      </c>
      <c r="D638" s="18" t="s">
        <v>106</v>
      </c>
      <c r="E638" s="19" t="s">
        <v>740</v>
      </c>
      <c r="F638" s="17" t="s">
        <v>741</v>
      </c>
      <c r="G638" s="21" t="s">
        <v>742</v>
      </c>
      <c r="H638" s="19">
        <v>2</v>
      </c>
      <c r="I638" s="21" t="s">
        <v>7</v>
      </c>
    </row>
    <row r="639" spans="1:9" x14ac:dyDescent="0.35">
      <c r="A639" s="17" t="s">
        <v>136</v>
      </c>
      <c r="B639" s="17" t="s">
        <v>275</v>
      </c>
      <c r="C639" s="19" t="s">
        <v>145</v>
      </c>
      <c r="D639" s="18" t="s">
        <v>106</v>
      </c>
      <c r="E639" s="19" t="s">
        <v>740</v>
      </c>
      <c r="F639" s="17" t="s">
        <v>741</v>
      </c>
      <c r="G639" s="21" t="s">
        <v>742</v>
      </c>
      <c r="H639" s="19">
        <v>2</v>
      </c>
      <c r="I639" s="21" t="s">
        <v>7</v>
      </c>
    </row>
    <row r="640" spans="1:9" x14ac:dyDescent="0.35">
      <c r="A640" s="17" t="s">
        <v>136</v>
      </c>
      <c r="B640" s="17" t="s">
        <v>275</v>
      </c>
      <c r="C640" s="19" t="s">
        <v>190</v>
      </c>
      <c r="D640" s="18" t="s">
        <v>116</v>
      </c>
      <c r="E640" s="19" t="s">
        <v>740</v>
      </c>
      <c r="F640" s="17" t="s">
        <v>743</v>
      </c>
      <c r="G640" s="21" t="s">
        <v>744</v>
      </c>
      <c r="H640" s="19">
        <v>2</v>
      </c>
      <c r="I640" s="21" t="s">
        <v>19</v>
      </c>
    </row>
    <row r="641" spans="1:9" x14ac:dyDescent="0.35">
      <c r="A641" s="17" t="s">
        <v>136</v>
      </c>
      <c r="B641" s="17" t="s">
        <v>275</v>
      </c>
      <c r="C641" s="19" t="s">
        <v>227</v>
      </c>
      <c r="D641" s="18" t="s">
        <v>106</v>
      </c>
      <c r="E641" s="19" t="s">
        <v>740</v>
      </c>
      <c r="F641" s="17" t="s">
        <v>741</v>
      </c>
      <c r="G641" s="21" t="s">
        <v>742</v>
      </c>
      <c r="H641" s="19">
        <v>2</v>
      </c>
      <c r="I641" s="21" t="s">
        <v>7</v>
      </c>
    </row>
    <row r="642" spans="1:9" x14ac:dyDescent="0.35">
      <c r="A642" s="17" t="s">
        <v>136</v>
      </c>
      <c r="B642" s="17" t="s">
        <v>275</v>
      </c>
      <c r="C642" s="19" t="s">
        <v>308</v>
      </c>
      <c r="D642" s="18" t="s">
        <v>106</v>
      </c>
      <c r="E642" s="19" t="s">
        <v>740</v>
      </c>
      <c r="F642" s="17" t="s">
        <v>741</v>
      </c>
      <c r="G642" s="21" t="s">
        <v>742</v>
      </c>
      <c r="H642" s="19">
        <v>2</v>
      </c>
      <c r="I642" s="21" t="s">
        <v>7</v>
      </c>
    </row>
    <row r="643" spans="1:9" x14ac:dyDescent="0.35">
      <c r="A643" s="17" t="s">
        <v>136</v>
      </c>
      <c r="B643" s="17" t="s">
        <v>275</v>
      </c>
      <c r="C643" s="19" t="s">
        <v>432</v>
      </c>
      <c r="D643" s="18" t="s">
        <v>116</v>
      </c>
      <c r="E643" s="19" t="s">
        <v>740</v>
      </c>
      <c r="F643" s="17" t="s">
        <v>743</v>
      </c>
      <c r="G643" s="21" t="s">
        <v>744</v>
      </c>
      <c r="H643" s="19">
        <v>2</v>
      </c>
      <c r="I643" s="21" t="s">
        <v>19</v>
      </c>
    </row>
    <row r="644" spans="1:9" x14ac:dyDescent="0.35">
      <c r="A644" s="17" t="s">
        <v>100</v>
      </c>
      <c r="B644" s="17"/>
      <c r="C644" s="19" t="s">
        <v>96</v>
      </c>
      <c r="D644" s="18" t="s">
        <v>38</v>
      </c>
      <c r="E644" s="19" t="s">
        <v>726</v>
      </c>
      <c r="F644" s="17" t="s">
        <v>727</v>
      </c>
      <c r="G644" s="21" t="s">
        <v>728</v>
      </c>
      <c r="H644" s="19"/>
      <c r="I644" s="21" t="s">
        <v>5</v>
      </c>
    </row>
    <row r="645" spans="1:9" x14ac:dyDescent="0.35">
      <c r="A645" s="17" t="s">
        <v>637</v>
      </c>
      <c r="B645" s="17" t="s">
        <v>638</v>
      </c>
      <c r="C645" s="19" t="s">
        <v>227</v>
      </c>
      <c r="D645" s="18" t="s">
        <v>238</v>
      </c>
      <c r="E645" s="19" t="s">
        <v>729</v>
      </c>
      <c r="F645" s="17" t="s">
        <v>730</v>
      </c>
      <c r="G645" s="21" t="s">
        <v>731</v>
      </c>
      <c r="H645" s="19"/>
      <c r="I645" s="21" t="s">
        <v>17</v>
      </c>
    </row>
    <row r="646" spans="1:9" x14ac:dyDescent="0.35">
      <c r="A646" s="17" t="s">
        <v>64</v>
      </c>
      <c r="B646" s="17"/>
      <c r="C646" s="19" t="s">
        <v>23</v>
      </c>
      <c r="D646" s="18" t="s">
        <v>65</v>
      </c>
      <c r="E646" s="19" t="s">
        <v>726</v>
      </c>
      <c r="F646" s="17" t="s">
        <v>727</v>
      </c>
      <c r="G646" s="21" t="s">
        <v>728</v>
      </c>
      <c r="H646" s="19"/>
      <c r="I646" s="21" t="s">
        <v>5</v>
      </c>
    </row>
    <row r="647" spans="1:9" x14ac:dyDescent="0.35">
      <c r="A647" s="17" t="s">
        <v>222</v>
      </c>
      <c r="B647" s="17"/>
      <c r="C647" s="19" t="s">
        <v>190</v>
      </c>
      <c r="D647" s="18" t="s">
        <v>181</v>
      </c>
      <c r="E647" s="19" t="s">
        <v>726</v>
      </c>
      <c r="F647" s="17" t="s">
        <v>727</v>
      </c>
      <c r="G647" s="21" t="s">
        <v>728</v>
      </c>
      <c r="H647" s="19"/>
      <c r="I647" s="21" t="s">
        <v>5</v>
      </c>
    </row>
    <row r="648" spans="1:9" x14ac:dyDescent="0.35">
      <c r="A648" s="17" t="s">
        <v>484</v>
      </c>
      <c r="B648" s="17" t="s">
        <v>485</v>
      </c>
      <c r="C648" s="19" t="s">
        <v>23</v>
      </c>
      <c r="D648" s="18" t="s">
        <v>246</v>
      </c>
      <c r="E648" s="19" t="s">
        <v>729</v>
      </c>
      <c r="F648" s="17" t="s">
        <v>730</v>
      </c>
      <c r="G648" s="21" t="s">
        <v>731</v>
      </c>
      <c r="H648" s="19"/>
      <c r="I648" s="21" t="s">
        <v>17</v>
      </c>
    </row>
    <row r="649" spans="1:9" x14ac:dyDescent="0.35">
      <c r="A649" s="17" t="s">
        <v>221</v>
      </c>
      <c r="B649" s="17"/>
      <c r="C649" s="19" t="s">
        <v>190</v>
      </c>
      <c r="D649" s="18" t="s">
        <v>87</v>
      </c>
      <c r="E649" s="19" t="s">
        <v>726</v>
      </c>
      <c r="F649" s="17" t="s">
        <v>727</v>
      </c>
      <c r="G649" s="21" t="s">
        <v>728</v>
      </c>
      <c r="H649" s="19"/>
      <c r="I649" s="21" t="s">
        <v>5</v>
      </c>
    </row>
    <row r="650" spans="1:9" x14ac:dyDescent="0.35">
      <c r="A650" s="17" t="s">
        <v>459</v>
      </c>
      <c r="B650" s="17" t="s">
        <v>631</v>
      </c>
      <c r="C650" s="19" t="s">
        <v>227</v>
      </c>
      <c r="D650" s="18" t="s">
        <v>43</v>
      </c>
      <c r="E650" s="19" t="s">
        <v>729</v>
      </c>
      <c r="F650" s="17" t="s">
        <v>730</v>
      </c>
      <c r="G650" s="21" t="s">
        <v>731</v>
      </c>
      <c r="H650" s="19"/>
      <c r="I650" s="21" t="s">
        <v>17</v>
      </c>
    </row>
    <row r="651" spans="1:9" x14ac:dyDescent="0.35">
      <c r="A651" s="17" t="s">
        <v>459</v>
      </c>
      <c r="B651" s="17" t="s">
        <v>591</v>
      </c>
      <c r="C651" s="19" t="s">
        <v>190</v>
      </c>
      <c r="D651" s="18" t="s">
        <v>43</v>
      </c>
      <c r="E651" s="19" t="s">
        <v>729</v>
      </c>
      <c r="F651" s="17" t="s">
        <v>730</v>
      </c>
      <c r="G651" s="21" t="s">
        <v>731</v>
      </c>
      <c r="H651" s="19"/>
      <c r="I651" s="21" t="s">
        <v>17</v>
      </c>
    </row>
    <row r="652" spans="1:9" x14ac:dyDescent="0.35">
      <c r="A652" s="17" t="s">
        <v>459</v>
      </c>
      <c r="B652" s="17" t="s">
        <v>543</v>
      </c>
      <c r="C652" s="19" t="s">
        <v>145</v>
      </c>
      <c r="D652" s="18" t="s">
        <v>38</v>
      </c>
      <c r="E652" s="19" t="s">
        <v>729</v>
      </c>
      <c r="F652" s="17" t="s">
        <v>730</v>
      </c>
      <c r="G652" s="21" t="s">
        <v>731</v>
      </c>
      <c r="H652" s="19"/>
      <c r="I652" s="21" t="s">
        <v>17</v>
      </c>
    </row>
    <row r="653" spans="1:9" x14ac:dyDescent="0.35">
      <c r="A653" s="17" t="s">
        <v>459</v>
      </c>
      <c r="B653" s="17" t="s">
        <v>629</v>
      </c>
      <c r="C653" s="19" t="s">
        <v>227</v>
      </c>
      <c r="D653" s="18" t="s">
        <v>38</v>
      </c>
      <c r="E653" s="19" t="s">
        <v>729</v>
      </c>
      <c r="F653" s="17" t="s">
        <v>730</v>
      </c>
      <c r="G653" s="21" t="s">
        <v>731</v>
      </c>
      <c r="H653" s="19"/>
      <c r="I653" s="21" t="s">
        <v>17</v>
      </c>
    </row>
    <row r="654" spans="1:9" x14ac:dyDescent="0.35">
      <c r="A654" s="17" t="s">
        <v>459</v>
      </c>
      <c r="B654" s="17" t="s">
        <v>460</v>
      </c>
      <c r="C654" s="19" t="s">
        <v>23</v>
      </c>
      <c r="D654" s="18" t="s">
        <v>45</v>
      </c>
      <c r="E654" s="19" t="s">
        <v>729</v>
      </c>
      <c r="F654" s="17" t="s">
        <v>730</v>
      </c>
      <c r="G654" s="21" t="s">
        <v>731</v>
      </c>
      <c r="H654" s="19"/>
      <c r="I654" s="21" t="s">
        <v>17</v>
      </c>
    </row>
    <row r="655" spans="1:9" x14ac:dyDescent="0.35">
      <c r="A655" s="17" t="s">
        <v>224</v>
      </c>
      <c r="B655" s="17"/>
      <c r="C655" s="19" t="s">
        <v>190</v>
      </c>
      <c r="D655" s="18" t="s">
        <v>141</v>
      </c>
      <c r="E655" s="19" t="s">
        <v>726</v>
      </c>
      <c r="F655" s="17" t="s">
        <v>727</v>
      </c>
      <c r="G655" s="21" t="s">
        <v>728</v>
      </c>
      <c r="H655" s="19"/>
      <c r="I655" s="21" t="s">
        <v>5</v>
      </c>
    </row>
    <row r="656" spans="1:9" x14ac:dyDescent="0.35">
      <c r="A656" s="17" t="s">
        <v>476</v>
      </c>
      <c r="B656" s="17" t="s">
        <v>632</v>
      </c>
      <c r="C656" s="19" t="s">
        <v>227</v>
      </c>
      <c r="D656" s="18" t="s">
        <v>49</v>
      </c>
      <c r="E656" s="19" t="s">
        <v>729</v>
      </c>
      <c r="F656" s="17" t="s">
        <v>730</v>
      </c>
      <c r="G656" s="21" t="s">
        <v>731</v>
      </c>
      <c r="H656" s="19"/>
      <c r="I656" s="21" t="s">
        <v>17</v>
      </c>
    </row>
    <row r="657" spans="1:9" x14ac:dyDescent="0.35">
      <c r="A657" s="17" t="s">
        <v>476</v>
      </c>
      <c r="B657" s="17">
        <v>24</v>
      </c>
      <c r="C657" s="19" t="s">
        <v>23</v>
      </c>
      <c r="D657" s="18" t="s">
        <v>118</v>
      </c>
      <c r="E657" s="19" t="s">
        <v>729</v>
      </c>
      <c r="F657" s="17" t="s">
        <v>730</v>
      </c>
      <c r="G657" s="21" t="s">
        <v>731</v>
      </c>
      <c r="H657" s="19"/>
      <c r="I657" s="21" t="s">
        <v>17</v>
      </c>
    </row>
    <row r="658" spans="1:9" x14ac:dyDescent="0.35">
      <c r="A658" s="17" t="s">
        <v>476</v>
      </c>
      <c r="B658" s="17">
        <v>58</v>
      </c>
      <c r="C658" s="19" t="s">
        <v>145</v>
      </c>
      <c r="D658" s="18" t="s">
        <v>45</v>
      </c>
      <c r="E658" s="19" t="s">
        <v>729</v>
      </c>
      <c r="F658" s="17" t="s">
        <v>730</v>
      </c>
      <c r="G658" s="21" t="s">
        <v>731</v>
      </c>
      <c r="H658" s="19"/>
      <c r="I658" s="21" t="s">
        <v>17</v>
      </c>
    </row>
    <row r="659" spans="1:9" x14ac:dyDescent="0.35">
      <c r="A659" s="17" t="s">
        <v>425</v>
      </c>
      <c r="B659" s="17" t="s">
        <v>426</v>
      </c>
      <c r="C659" s="19" t="s">
        <v>190</v>
      </c>
      <c r="D659" s="18" t="s">
        <v>333</v>
      </c>
      <c r="E659" s="19" t="s">
        <v>748</v>
      </c>
      <c r="F659" s="17" t="s">
        <v>749</v>
      </c>
      <c r="G659" s="21" t="s">
        <v>750</v>
      </c>
      <c r="H659" s="19">
        <v>1</v>
      </c>
      <c r="I659" s="21" t="s">
        <v>13</v>
      </c>
    </row>
    <row r="660" spans="1:9" x14ac:dyDescent="0.35">
      <c r="A660" s="17" t="s">
        <v>165</v>
      </c>
      <c r="B660" s="17"/>
      <c r="C660" s="19" t="s">
        <v>145</v>
      </c>
      <c r="D660" s="18" t="s">
        <v>166</v>
      </c>
      <c r="E660" s="19" t="s">
        <v>726</v>
      </c>
      <c r="F660" s="17" t="s">
        <v>727</v>
      </c>
      <c r="G660" s="21" t="s">
        <v>728</v>
      </c>
      <c r="H660" s="19"/>
      <c r="I660" s="21" t="s">
        <v>5</v>
      </c>
    </row>
    <row r="661" spans="1:9" x14ac:dyDescent="0.35">
      <c r="A661" s="17" t="s">
        <v>156</v>
      </c>
      <c r="B661" s="17"/>
      <c r="C661" s="19" t="s">
        <v>145</v>
      </c>
      <c r="D661" s="18" t="s">
        <v>49</v>
      </c>
      <c r="E661" s="19" t="s">
        <v>726</v>
      </c>
      <c r="F661" s="17" t="s">
        <v>727</v>
      </c>
      <c r="G661" s="21" t="s">
        <v>728</v>
      </c>
      <c r="H661" s="19"/>
      <c r="I661" s="21" t="s">
        <v>5</v>
      </c>
    </row>
    <row r="662" spans="1:9" x14ac:dyDescent="0.35">
      <c r="A662" s="17" t="s">
        <v>84</v>
      </c>
      <c r="B662" s="17"/>
      <c r="C662" s="19" t="s">
        <v>23</v>
      </c>
      <c r="D662" s="18" t="s">
        <v>170</v>
      </c>
      <c r="E662" s="19" t="s">
        <v>732</v>
      </c>
      <c r="F662" s="17" t="s">
        <v>733</v>
      </c>
      <c r="G662" s="21" t="s">
        <v>734</v>
      </c>
      <c r="H662" s="19">
        <v>3</v>
      </c>
      <c r="I662" s="21" t="s">
        <v>15</v>
      </c>
    </row>
    <row r="663" spans="1:9" x14ac:dyDescent="0.35">
      <c r="A663" s="17" t="s">
        <v>84</v>
      </c>
      <c r="B663" s="17"/>
      <c r="C663" s="19" t="s">
        <v>23</v>
      </c>
      <c r="D663" s="18" t="s">
        <v>85</v>
      </c>
      <c r="E663" s="19" t="s">
        <v>726</v>
      </c>
      <c r="F663" s="17" t="s">
        <v>727</v>
      </c>
      <c r="G663" s="21" t="s">
        <v>728</v>
      </c>
      <c r="H663" s="19"/>
      <c r="I663" s="21" t="s">
        <v>5</v>
      </c>
    </row>
    <row r="664" spans="1:9" x14ac:dyDescent="0.35">
      <c r="A664" s="17" t="s">
        <v>84</v>
      </c>
      <c r="B664" s="17"/>
      <c r="C664" s="19" t="s">
        <v>96</v>
      </c>
      <c r="D664" s="18" t="s">
        <v>139</v>
      </c>
      <c r="E664" s="19" t="s">
        <v>732</v>
      </c>
      <c r="F664" s="17" t="s">
        <v>733</v>
      </c>
      <c r="G664" s="21" t="s">
        <v>734</v>
      </c>
      <c r="H664" s="19">
        <v>4</v>
      </c>
      <c r="I664" s="21" t="s">
        <v>15</v>
      </c>
    </row>
    <row r="665" spans="1:9" x14ac:dyDescent="0.35">
      <c r="A665" s="17" t="s">
        <v>84</v>
      </c>
      <c r="B665" s="17"/>
      <c r="C665" s="19" t="s">
        <v>96</v>
      </c>
      <c r="D665" s="18" t="s">
        <v>144</v>
      </c>
      <c r="E665" s="19" t="s">
        <v>726</v>
      </c>
      <c r="F665" s="17" t="s">
        <v>727</v>
      </c>
      <c r="G665" s="21" t="s">
        <v>728</v>
      </c>
      <c r="H665" s="19"/>
      <c r="I665" s="21" t="s">
        <v>5</v>
      </c>
    </row>
    <row r="666" spans="1:9" x14ac:dyDescent="0.35">
      <c r="A666" s="17" t="s">
        <v>84</v>
      </c>
      <c r="B666" s="17"/>
      <c r="C666" s="19" t="s">
        <v>145</v>
      </c>
      <c r="D666" s="18" t="s">
        <v>212</v>
      </c>
      <c r="E666" s="19" t="s">
        <v>732</v>
      </c>
      <c r="F666" s="17" t="s">
        <v>733</v>
      </c>
      <c r="G666" s="21" t="s">
        <v>734</v>
      </c>
      <c r="H666" s="19">
        <v>3</v>
      </c>
      <c r="I666" s="21" t="s">
        <v>15</v>
      </c>
    </row>
    <row r="667" spans="1:9" x14ac:dyDescent="0.35">
      <c r="A667" s="17" t="s">
        <v>84</v>
      </c>
      <c r="B667" s="17"/>
      <c r="C667" s="19" t="s">
        <v>190</v>
      </c>
      <c r="D667" s="18" t="s">
        <v>328</v>
      </c>
      <c r="E667" s="19" t="s">
        <v>732</v>
      </c>
      <c r="F667" s="17" t="s">
        <v>735</v>
      </c>
      <c r="G667" s="21" t="s">
        <v>736</v>
      </c>
      <c r="H667" s="19">
        <v>3</v>
      </c>
      <c r="I667" s="21" t="s">
        <v>9</v>
      </c>
    </row>
    <row r="668" spans="1:9" x14ac:dyDescent="0.35">
      <c r="A668" s="17" t="s">
        <v>84</v>
      </c>
      <c r="B668" s="17"/>
      <c r="C668" s="19" t="s">
        <v>227</v>
      </c>
      <c r="D668" s="18" t="s">
        <v>170</v>
      </c>
      <c r="E668" s="19" t="s">
        <v>732</v>
      </c>
      <c r="F668" s="17" t="s">
        <v>733</v>
      </c>
      <c r="G668" s="21" t="s">
        <v>734</v>
      </c>
      <c r="H668" s="19">
        <v>3</v>
      </c>
      <c r="I668" s="21" t="s">
        <v>15</v>
      </c>
    </row>
    <row r="669" spans="1:9" x14ac:dyDescent="0.35">
      <c r="A669" s="17" t="s">
        <v>84</v>
      </c>
      <c r="B669" s="17"/>
      <c r="C669" s="19" t="s">
        <v>308</v>
      </c>
      <c r="D669" s="18" t="s">
        <v>85</v>
      </c>
      <c r="E669" s="19" t="s">
        <v>732</v>
      </c>
      <c r="F669" s="17" t="s">
        <v>733</v>
      </c>
      <c r="G669" s="21" t="s">
        <v>734</v>
      </c>
      <c r="H669" s="19">
        <v>4</v>
      </c>
      <c r="I669" s="21" t="s">
        <v>15</v>
      </c>
    </row>
    <row r="670" spans="1:9" x14ac:dyDescent="0.35">
      <c r="A670" s="17" t="s">
        <v>84</v>
      </c>
      <c r="B670" s="17"/>
      <c r="C670" s="19" t="s">
        <v>432</v>
      </c>
      <c r="D670" s="18" t="s">
        <v>328</v>
      </c>
      <c r="E670" s="19" t="s">
        <v>732</v>
      </c>
      <c r="F670" s="17" t="s">
        <v>735</v>
      </c>
      <c r="G670" s="21" t="s">
        <v>736</v>
      </c>
      <c r="H670" s="19">
        <v>3</v>
      </c>
      <c r="I670" s="21" t="s">
        <v>9</v>
      </c>
    </row>
    <row r="671" spans="1:9" x14ac:dyDescent="0.35">
      <c r="A671" s="17" t="s">
        <v>84</v>
      </c>
      <c r="B671" s="17" t="s">
        <v>700</v>
      </c>
      <c r="C671" s="19" t="s">
        <v>23</v>
      </c>
      <c r="D671" s="18" t="s">
        <v>202</v>
      </c>
      <c r="E671" s="19" t="s">
        <v>737</v>
      </c>
      <c r="F671" s="17" t="s">
        <v>738</v>
      </c>
      <c r="G671" s="21" t="s">
        <v>739</v>
      </c>
      <c r="H671" s="19">
        <v>2</v>
      </c>
      <c r="I671" s="21" t="s">
        <v>21</v>
      </c>
    </row>
    <row r="672" spans="1:9" x14ac:dyDescent="0.35">
      <c r="A672" s="17" t="s">
        <v>409</v>
      </c>
      <c r="B672" s="17" t="s">
        <v>595</v>
      </c>
      <c r="C672" s="19" t="s">
        <v>190</v>
      </c>
      <c r="D672" s="18" t="s">
        <v>158</v>
      </c>
      <c r="E672" s="19" t="s">
        <v>729</v>
      </c>
      <c r="F672" s="17" t="s">
        <v>730</v>
      </c>
      <c r="G672" s="21" t="s">
        <v>731</v>
      </c>
      <c r="H672" s="19"/>
      <c r="I672" s="21" t="s">
        <v>17</v>
      </c>
    </row>
    <row r="673" spans="1:9" x14ac:dyDescent="0.35">
      <c r="A673" s="17" t="s">
        <v>409</v>
      </c>
      <c r="B673" s="17" t="s">
        <v>410</v>
      </c>
      <c r="C673" s="19" t="s">
        <v>23</v>
      </c>
      <c r="D673" s="18" t="s">
        <v>162</v>
      </c>
      <c r="E673" s="19" t="s">
        <v>748</v>
      </c>
      <c r="F673" s="17" t="s">
        <v>749</v>
      </c>
      <c r="G673" s="21" t="s">
        <v>750</v>
      </c>
      <c r="H673" s="19">
        <v>3</v>
      </c>
      <c r="I673" s="21" t="s">
        <v>13</v>
      </c>
    </row>
    <row r="674" spans="1:9" x14ac:dyDescent="0.35">
      <c r="A674" s="17" t="s">
        <v>409</v>
      </c>
      <c r="B674" s="17" t="s">
        <v>410</v>
      </c>
      <c r="C674" s="19" t="s">
        <v>96</v>
      </c>
      <c r="D674" s="18" t="s">
        <v>162</v>
      </c>
      <c r="E674" s="19" t="s">
        <v>748</v>
      </c>
      <c r="F674" s="17" t="s">
        <v>749</v>
      </c>
      <c r="G674" s="21" t="s">
        <v>750</v>
      </c>
      <c r="H674" s="19">
        <v>3</v>
      </c>
      <c r="I674" s="21" t="s">
        <v>13</v>
      </c>
    </row>
    <row r="675" spans="1:9" x14ac:dyDescent="0.35">
      <c r="A675" s="17" t="s">
        <v>409</v>
      </c>
      <c r="B675" s="17" t="s">
        <v>410</v>
      </c>
      <c r="C675" s="19" t="s">
        <v>145</v>
      </c>
      <c r="D675" s="18" t="s">
        <v>202</v>
      </c>
      <c r="E675" s="19" t="s">
        <v>748</v>
      </c>
      <c r="F675" s="17" t="s">
        <v>743</v>
      </c>
      <c r="G675" s="21" t="s">
        <v>744</v>
      </c>
      <c r="H675" s="19">
        <v>3</v>
      </c>
      <c r="I675" s="21" t="s">
        <v>19</v>
      </c>
    </row>
    <row r="676" spans="1:9" x14ac:dyDescent="0.35">
      <c r="A676" s="17" t="s">
        <v>409</v>
      </c>
      <c r="B676" s="17" t="s">
        <v>410</v>
      </c>
      <c r="C676" s="19" t="s">
        <v>190</v>
      </c>
      <c r="D676" s="18" t="s">
        <v>162</v>
      </c>
      <c r="E676" s="19" t="s">
        <v>748</v>
      </c>
      <c r="F676" s="17" t="s">
        <v>749</v>
      </c>
      <c r="G676" s="21" t="s">
        <v>750</v>
      </c>
      <c r="H676" s="19">
        <v>3</v>
      </c>
      <c r="I676" s="21" t="s">
        <v>13</v>
      </c>
    </row>
    <row r="677" spans="1:9" x14ac:dyDescent="0.35">
      <c r="A677" s="17" t="s">
        <v>409</v>
      </c>
      <c r="B677" s="17" t="s">
        <v>410</v>
      </c>
      <c r="C677" s="19" t="s">
        <v>227</v>
      </c>
      <c r="D677" s="18" t="s">
        <v>162</v>
      </c>
      <c r="E677" s="19" t="s">
        <v>748</v>
      </c>
      <c r="F677" s="17" t="s">
        <v>749</v>
      </c>
      <c r="G677" s="21" t="s">
        <v>750</v>
      </c>
      <c r="H677" s="19">
        <v>3</v>
      </c>
      <c r="I677" s="21" t="s">
        <v>13</v>
      </c>
    </row>
    <row r="678" spans="1:9" x14ac:dyDescent="0.35">
      <c r="A678" s="17" t="s">
        <v>409</v>
      </c>
      <c r="B678" s="17" t="s">
        <v>410</v>
      </c>
      <c r="C678" s="19" t="s">
        <v>308</v>
      </c>
      <c r="D678" s="18" t="s">
        <v>202</v>
      </c>
      <c r="E678" s="19" t="s">
        <v>748</v>
      </c>
      <c r="F678" s="17" t="s">
        <v>743</v>
      </c>
      <c r="G678" s="21" t="s">
        <v>744</v>
      </c>
      <c r="H678" s="19">
        <v>3</v>
      </c>
      <c r="I678" s="21" t="s">
        <v>19</v>
      </c>
    </row>
    <row r="679" spans="1:9" x14ac:dyDescent="0.35">
      <c r="A679" s="17" t="s">
        <v>409</v>
      </c>
      <c r="B679" s="17" t="s">
        <v>410</v>
      </c>
      <c r="C679" s="19" t="s">
        <v>432</v>
      </c>
      <c r="D679" s="18" t="s">
        <v>162</v>
      </c>
      <c r="E679" s="19" t="s">
        <v>748</v>
      </c>
      <c r="F679" s="17" t="s">
        <v>749</v>
      </c>
      <c r="G679" s="21" t="s">
        <v>750</v>
      </c>
      <c r="H679" s="19">
        <v>3</v>
      </c>
      <c r="I679" s="21" t="s">
        <v>13</v>
      </c>
    </row>
    <row r="680" spans="1:9" x14ac:dyDescent="0.35">
      <c r="A680" s="17" t="s">
        <v>409</v>
      </c>
      <c r="B680" s="17" t="s">
        <v>417</v>
      </c>
      <c r="C680" s="19" t="s">
        <v>23</v>
      </c>
      <c r="D680" s="18" t="s">
        <v>418</v>
      </c>
      <c r="E680" s="19" t="s">
        <v>748</v>
      </c>
      <c r="F680" s="17" t="s">
        <v>749</v>
      </c>
      <c r="G680" s="21" t="s">
        <v>750</v>
      </c>
      <c r="H680" s="19">
        <v>2</v>
      </c>
      <c r="I680" s="21" t="s">
        <v>13</v>
      </c>
    </row>
    <row r="681" spans="1:9" x14ac:dyDescent="0.35">
      <c r="A681" s="17" t="s">
        <v>409</v>
      </c>
      <c r="B681" s="17" t="s">
        <v>416</v>
      </c>
      <c r="C681" s="19" t="s">
        <v>23</v>
      </c>
      <c r="D681" s="18" t="s">
        <v>91</v>
      </c>
      <c r="E681" s="19" t="s">
        <v>748</v>
      </c>
      <c r="F681" s="17" t="s">
        <v>749</v>
      </c>
      <c r="G681" s="21" t="s">
        <v>750</v>
      </c>
      <c r="H681" s="19">
        <v>5</v>
      </c>
      <c r="I681" s="21" t="s">
        <v>13</v>
      </c>
    </row>
    <row r="682" spans="1:9" x14ac:dyDescent="0.35">
      <c r="A682" s="17" t="s">
        <v>409</v>
      </c>
      <c r="B682" s="17" t="s">
        <v>416</v>
      </c>
      <c r="C682" s="19" t="s">
        <v>227</v>
      </c>
      <c r="D682" s="18" t="s">
        <v>91</v>
      </c>
      <c r="E682" s="19" t="s">
        <v>748</v>
      </c>
      <c r="F682" s="17" t="s">
        <v>749</v>
      </c>
      <c r="G682" s="21" t="s">
        <v>750</v>
      </c>
      <c r="H682" s="19">
        <v>5</v>
      </c>
      <c r="I682" s="21" t="s">
        <v>13</v>
      </c>
    </row>
    <row r="683" spans="1:9" x14ac:dyDescent="0.35">
      <c r="A683" s="17" t="s">
        <v>133</v>
      </c>
      <c r="B683" s="17"/>
      <c r="C683" s="19" t="s">
        <v>96</v>
      </c>
      <c r="D683" s="18" t="s">
        <v>134</v>
      </c>
      <c r="E683" s="19" t="s">
        <v>726</v>
      </c>
      <c r="F683" s="17" t="s">
        <v>727</v>
      </c>
      <c r="G683" s="21" t="s">
        <v>728</v>
      </c>
      <c r="H683" s="19"/>
      <c r="I683" s="21" t="s">
        <v>5</v>
      </c>
    </row>
    <row r="684" spans="1:9" x14ac:dyDescent="0.35">
      <c r="A684" s="17" t="s">
        <v>135</v>
      </c>
      <c r="B684" s="17"/>
      <c r="C684" s="19" t="s">
        <v>96</v>
      </c>
      <c r="D684" s="18" t="s">
        <v>83</v>
      </c>
      <c r="E684" s="19" t="s">
        <v>726</v>
      </c>
      <c r="F684" s="17" t="s">
        <v>727</v>
      </c>
      <c r="G684" s="21" t="s">
        <v>728</v>
      </c>
      <c r="H684" s="19"/>
      <c r="I684" s="21" t="s">
        <v>5</v>
      </c>
    </row>
    <row r="685" spans="1:9" x14ac:dyDescent="0.35">
      <c r="A685" s="17" t="s">
        <v>128</v>
      </c>
      <c r="B685" s="17"/>
      <c r="C685" s="19" t="s">
        <v>96</v>
      </c>
      <c r="D685" s="18" t="s">
        <v>77</v>
      </c>
      <c r="E685" s="19" t="s">
        <v>726</v>
      </c>
      <c r="F685" s="17" t="s">
        <v>727</v>
      </c>
      <c r="G685" s="21" t="s">
        <v>728</v>
      </c>
      <c r="H685" s="19"/>
      <c r="I685" s="21" t="s">
        <v>5</v>
      </c>
    </row>
    <row r="686" spans="1:9" x14ac:dyDescent="0.35">
      <c r="A686" s="17" t="s">
        <v>225</v>
      </c>
      <c r="B686" s="17"/>
      <c r="C686" s="19" t="s">
        <v>190</v>
      </c>
      <c r="D686" s="18" t="s">
        <v>143</v>
      </c>
      <c r="E686" s="19" t="s">
        <v>726</v>
      </c>
      <c r="F686" s="17" t="s">
        <v>727</v>
      </c>
      <c r="G686" s="21" t="s">
        <v>728</v>
      </c>
      <c r="H686" s="19"/>
      <c r="I686" s="21" t="s">
        <v>5</v>
      </c>
    </row>
    <row r="687" spans="1:9" x14ac:dyDescent="0.35">
      <c r="A687" s="17" t="s">
        <v>58</v>
      </c>
      <c r="B687" s="17"/>
      <c r="C687" s="19" t="s">
        <v>23</v>
      </c>
      <c r="D687" s="18" t="s">
        <v>59</v>
      </c>
      <c r="E687" s="19" t="s">
        <v>726</v>
      </c>
      <c r="F687" s="17" t="s">
        <v>727</v>
      </c>
      <c r="G687" s="21" t="s">
        <v>728</v>
      </c>
      <c r="H687" s="19"/>
      <c r="I687" s="21" t="s">
        <v>5</v>
      </c>
    </row>
    <row r="688" spans="1:9" x14ac:dyDescent="0.35">
      <c r="A688" s="17" t="s">
        <v>58</v>
      </c>
      <c r="B688" s="17"/>
      <c r="C688" s="19" t="s">
        <v>227</v>
      </c>
      <c r="D688" s="18" t="s">
        <v>166</v>
      </c>
      <c r="E688" s="19" t="s">
        <v>726</v>
      </c>
      <c r="F688" s="17" t="s">
        <v>727</v>
      </c>
      <c r="G688" s="21" t="s">
        <v>728</v>
      </c>
      <c r="H688" s="19"/>
      <c r="I688" s="21" t="s">
        <v>5</v>
      </c>
    </row>
    <row r="689" spans="1:9" x14ac:dyDescent="0.35">
      <c r="A689" s="17" t="s">
        <v>652</v>
      </c>
      <c r="B689" s="17"/>
      <c r="C689" s="19" t="s">
        <v>227</v>
      </c>
      <c r="D689" s="18" t="s">
        <v>220</v>
      </c>
      <c r="E689" s="19" t="s">
        <v>729</v>
      </c>
      <c r="F689" s="17" t="s">
        <v>730</v>
      </c>
      <c r="G689" s="21" t="s">
        <v>731</v>
      </c>
      <c r="H689" s="19"/>
      <c r="I689" s="21" t="s">
        <v>17</v>
      </c>
    </row>
    <row r="690" spans="1:9" x14ac:dyDescent="0.35">
      <c r="A690" s="17" t="s">
        <v>508</v>
      </c>
      <c r="B690" s="17" t="s">
        <v>509</v>
      </c>
      <c r="C690" s="19" t="s">
        <v>96</v>
      </c>
      <c r="D690" s="18" t="s">
        <v>346</v>
      </c>
      <c r="E690" s="19" t="s">
        <v>729</v>
      </c>
      <c r="F690" s="17" t="s">
        <v>730</v>
      </c>
      <c r="G690" s="21" t="s">
        <v>731</v>
      </c>
      <c r="H690" s="19"/>
      <c r="I690" s="21" t="s">
        <v>17</v>
      </c>
    </row>
    <row r="691" spans="1:9" x14ac:dyDescent="0.35">
      <c r="A691" s="17" t="s">
        <v>241</v>
      </c>
      <c r="B691" s="17"/>
      <c r="C691" s="19" t="s">
        <v>227</v>
      </c>
      <c r="D691" s="18" t="s">
        <v>204</v>
      </c>
      <c r="E691" s="19" t="s">
        <v>726</v>
      </c>
      <c r="F691" s="17" t="s">
        <v>727</v>
      </c>
      <c r="G691" s="21" t="s">
        <v>728</v>
      </c>
      <c r="H691" s="19"/>
      <c r="I691" s="21" t="s">
        <v>5</v>
      </c>
    </row>
    <row r="692" spans="1:9" x14ac:dyDescent="0.35">
      <c r="A692" s="17" t="s">
        <v>146</v>
      </c>
      <c r="B692" s="17"/>
      <c r="C692" s="19" t="s">
        <v>145</v>
      </c>
      <c r="D692" s="18" t="s">
        <v>32</v>
      </c>
      <c r="E692" s="19" t="s">
        <v>726</v>
      </c>
      <c r="F692" s="17" t="s">
        <v>727</v>
      </c>
      <c r="G692" s="21" t="s">
        <v>728</v>
      </c>
      <c r="H692" s="19"/>
      <c r="I692" s="21" t="s">
        <v>5</v>
      </c>
    </row>
    <row r="693" spans="1:9" x14ac:dyDescent="0.35">
      <c r="A693" s="17" t="s">
        <v>108</v>
      </c>
      <c r="B693" s="17"/>
      <c r="C693" s="19" t="s">
        <v>96</v>
      </c>
      <c r="D693" s="18" t="s">
        <v>109</v>
      </c>
      <c r="E693" s="19" t="s">
        <v>726</v>
      </c>
      <c r="F693" s="17" t="s">
        <v>727</v>
      </c>
      <c r="G693" s="21" t="s">
        <v>728</v>
      </c>
      <c r="H693" s="19"/>
      <c r="I693" s="21" t="s">
        <v>5</v>
      </c>
    </row>
    <row r="694" spans="1:9" x14ac:dyDescent="0.35">
      <c r="A694" s="17" t="s">
        <v>173</v>
      </c>
      <c r="B694" s="17"/>
      <c r="C694" s="19" t="s">
        <v>145</v>
      </c>
      <c r="D694" s="18" t="s">
        <v>174</v>
      </c>
      <c r="E694" s="19" t="s">
        <v>726</v>
      </c>
      <c r="F694" s="17" t="s">
        <v>727</v>
      </c>
      <c r="G694" s="21" t="s">
        <v>728</v>
      </c>
      <c r="H694" s="19"/>
      <c r="I694" s="21" t="s">
        <v>5</v>
      </c>
    </row>
    <row r="695" spans="1:9" x14ac:dyDescent="0.35">
      <c r="A695" s="17" t="s">
        <v>173</v>
      </c>
      <c r="B695" s="17" t="s">
        <v>272</v>
      </c>
      <c r="C695" s="19" t="s">
        <v>23</v>
      </c>
      <c r="D695" s="18" t="s">
        <v>273</v>
      </c>
      <c r="E695" s="19" t="s">
        <v>740</v>
      </c>
      <c r="F695" s="17" t="s">
        <v>741</v>
      </c>
      <c r="G695" s="21" t="s">
        <v>742</v>
      </c>
      <c r="H695" s="19">
        <v>2</v>
      </c>
      <c r="I695" s="21" t="s">
        <v>7</v>
      </c>
    </row>
    <row r="696" spans="1:9" x14ac:dyDescent="0.35">
      <c r="A696" s="17" t="s">
        <v>173</v>
      </c>
      <c r="B696" s="17" t="s">
        <v>272</v>
      </c>
      <c r="C696" s="19" t="s">
        <v>96</v>
      </c>
      <c r="D696" s="18" t="s">
        <v>273</v>
      </c>
      <c r="E696" s="19" t="s">
        <v>740</v>
      </c>
      <c r="F696" s="17" t="s">
        <v>741</v>
      </c>
      <c r="G696" s="21" t="s">
        <v>742</v>
      </c>
      <c r="H696" s="19">
        <v>2</v>
      </c>
      <c r="I696" s="21" t="s">
        <v>7</v>
      </c>
    </row>
    <row r="697" spans="1:9" x14ac:dyDescent="0.35">
      <c r="A697" s="17" t="s">
        <v>173</v>
      </c>
      <c r="B697" s="17" t="s">
        <v>272</v>
      </c>
      <c r="C697" s="19" t="s">
        <v>145</v>
      </c>
      <c r="D697" s="18" t="s">
        <v>273</v>
      </c>
      <c r="E697" s="19" t="s">
        <v>740</v>
      </c>
      <c r="F697" s="17" t="s">
        <v>741</v>
      </c>
      <c r="G697" s="21" t="s">
        <v>742</v>
      </c>
      <c r="H697" s="19">
        <v>2</v>
      </c>
      <c r="I697" s="21" t="s">
        <v>7</v>
      </c>
    </row>
    <row r="698" spans="1:9" x14ac:dyDescent="0.35">
      <c r="A698" s="17" t="s">
        <v>173</v>
      </c>
      <c r="B698" s="17" t="s">
        <v>272</v>
      </c>
      <c r="C698" s="19" t="s">
        <v>227</v>
      </c>
      <c r="D698" s="18" t="s">
        <v>273</v>
      </c>
      <c r="E698" s="19" t="s">
        <v>740</v>
      </c>
      <c r="F698" s="17" t="s">
        <v>741</v>
      </c>
      <c r="G698" s="21" t="s">
        <v>742</v>
      </c>
      <c r="H698" s="19">
        <v>2</v>
      </c>
      <c r="I698" s="21" t="s">
        <v>7</v>
      </c>
    </row>
    <row r="699" spans="1:9" x14ac:dyDescent="0.35">
      <c r="A699" s="17" t="s">
        <v>173</v>
      </c>
      <c r="B699" s="17" t="s">
        <v>272</v>
      </c>
      <c r="C699" s="19" t="s">
        <v>308</v>
      </c>
      <c r="D699" s="18" t="s">
        <v>273</v>
      </c>
      <c r="E699" s="19" t="s">
        <v>740</v>
      </c>
      <c r="F699" s="17" t="s">
        <v>741</v>
      </c>
      <c r="G699" s="21" t="s">
        <v>742</v>
      </c>
      <c r="H699" s="19">
        <v>2</v>
      </c>
      <c r="I699" s="21" t="s">
        <v>7</v>
      </c>
    </row>
    <row r="700" spans="1:9" x14ac:dyDescent="0.35">
      <c r="A700" s="17" t="s">
        <v>584</v>
      </c>
      <c r="B700" s="17" t="s">
        <v>585</v>
      </c>
      <c r="C700" s="19" t="s">
        <v>145</v>
      </c>
      <c r="D700" s="18" t="s">
        <v>259</v>
      </c>
      <c r="E700" s="19" t="s">
        <v>729</v>
      </c>
      <c r="F700" s="17" t="s">
        <v>730</v>
      </c>
      <c r="G700" s="21" t="s">
        <v>731</v>
      </c>
      <c r="H700" s="19"/>
      <c r="I700" s="21" t="s">
        <v>17</v>
      </c>
    </row>
    <row r="701" spans="1:9" x14ac:dyDescent="0.35">
      <c r="A701" s="17" t="s">
        <v>110</v>
      </c>
      <c r="B701" s="17"/>
      <c r="C701" s="19" t="s">
        <v>96</v>
      </c>
      <c r="D701" s="18" t="s">
        <v>111</v>
      </c>
      <c r="E701" s="19" t="s">
        <v>726</v>
      </c>
      <c r="F701" s="17" t="s">
        <v>727</v>
      </c>
      <c r="G701" s="21" t="s">
        <v>728</v>
      </c>
      <c r="H701" s="19"/>
      <c r="I701" s="21" t="s">
        <v>5</v>
      </c>
    </row>
    <row r="702" spans="1:9" x14ac:dyDescent="0.35">
      <c r="A702" s="17" t="s">
        <v>110</v>
      </c>
      <c r="B702" s="17" t="s">
        <v>386</v>
      </c>
      <c r="C702" s="19" t="s">
        <v>23</v>
      </c>
      <c r="D702" s="18" t="s">
        <v>143</v>
      </c>
      <c r="E702" s="19" t="s">
        <v>732</v>
      </c>
      <c r="F702" s="17" t="s">
        <v>735</v>
      </c>
      <c r="G702" s="21" t="s">
        <v>736</v>
      </c>
      <c r="H702" s="19">
        <v>2</v>
      </c>
      <c r="I702" s="21" t="s">
        <v>9</v>
      </c>
    </row>
    <row r="703" spans="1:9" x14ac:dyDescent="0.35">
      <c r="A703" s="17" t="s">
        <v>110</v>
      </c>
      <c r="B703" s="17" t="s">
        <v>490</v>
      </c>
      <c r="C703" s="19" t="s">
        <v>23</v>
      </c>
      <c r="D703" s="18" t="s">
        <v>328</v>
      </c>
      <c r="E703" s="19" t="s">
        <v>729</v>
      </c>
      <c r="F703" s="17" t="s">
        <v>730</v>
      </c>
      <c r="G703" s="21" t="s">
        <v>731</v>
      </c>
      <c r="H703" s="19"/>
      <c r="I703" s="21" t="s">
        <v>17</v>
      </c>
    </row>
    <row r="704" spans="1:9" x14ac:dyDescent="0.35">
      <c r="A704" s="17" t="s">
        <v>110</v>
      </c>
      <c r="B704" s="17">
        <v>180</v>
      </c>
      <c r="C704" s="19" t="s">
        <v>23</v>
      </c>
      <c r="D704" s="18" t="s">
        <v>354</v>
      </c>
      <c r="E704" s="19" t="s">
        <v>732</v>
      </c>
      <c r="F704" s="17" t="s">
        <v>733</v>
      </c>
      <c r="G704" s="21" t="s">
        <v>734</v>
      </c>
      <c r="H704" s="19">
        <v>3</v>
      </c>
      <c r="I704" s="21" t="s">
        <v>15</v>
      </c>
    </row>
    <row r="705" spans="1:9" x14ac:dyDescent="0.35">
      <c r="A705" s="17" t="s">
        <v>110</v>
      </c>
      <c r="B705" s="17">
        <v>180</v>
      </c>
      <c r="C705" s="19" t="s">
        <v>96</v>
      </c>
      <c r="D705" s="18" t="s">
        <v>49</v>
      </c>
      <c r="E705" s="19" t="s">
        <v>732</v>
      </c>
      <c r="F705" s="17" t="s">
        <v>733</v>
      </c>
      <c r="G705" s="21" t="s">
        <v>734</v>
      </c>
      <c r="H705" s="19">
        <v>3</v>
      </c>
      <c r="I705" s="21" t="s">
        <v>15</v>
      </c>
    </row>
    <row r="706" spans="1:9" x14ac:dyDescent="0.35">
      <c r="A706" s="17" t="s">
        <v>110</v>
      </c>
      <c r="B706" s="17">
        <v>180</v>
      </c>
      <c r="C706" s="19" t="s">
        <v>145</v>
      </c>
      <c r="D706" s="18" t="s">
        <v>354</v>
      </c>
      <c r="E706" s="19" t="s">
        <v>732</v>
      </c>
      <c r="F706" s="17" t="s">
        <v>733</v>
      </c>
      <c r="G706" s="21" t="s">
        <v>734</v>
      </c>
      <c r="H706" s="19">
        <v>3</v>
      </c>
      <c r="I706" s="21" t="s">
        <v>15</v>
      </c>
    </row>
    <row r="707" spans="1:9" x14ac:dyDescent="0.35">
      <c r="A707" s="17" t="s">
        <v>110</v>
      </c>
      <c r="B707" s="17">
        <v>180</v>
      </c>
      <c r="C707" s="19" t="s">
        <v>227</v>
      </c>
      <c r="D707" s="18" t="s">
        <v>212</v>
      </c>
      <c r="E707" s="19" t="s">
        <v>732</v>
      </c>
      <c r="F707" s="17" t="s">
        <v>733</v>
      </c>
      <c r="G707" s="21" t="s">
        <v>734</v>
      </c>
      <c r="H707" s="19">
        <v>3</v>
      </c>
      <c r="I707" s="21" t="s">
        <v>15</v>
      </c>
    </row>
    <row r="708" spans="1:9" x14ac:dyDescent="0.35">
      <c r="A708" s="17" t="s">
        <v>110</v>
      </c>
      <c r="B708" s="17">
        <v>180</v>
      </c>
      <c r="C708" s="19" t="s">
        <v>308</v>
      </c>
      <c r="D708" s="18" t="s">
        <v>49</v>
      </c>
      <c r="E708" s="19" t="s">
        <v>732</v>
      </c>
      <c r="F708" s="17" t="s">
        <v>733</v>
      </c>
      <c r="G708" s="21" t="s">
        <v>734</v>
      </c>
      <c r="H708" s="19">
        <v>3</v>
      </c>
      <c r="I708" s="21" t="s">
        <v>15</v>
      </c>
    </row>
    <row r="709" spans="1:9" x14ac:dyDescent="0.35">
      <c r="A709" s="17" t="s">
        <v>110</v>
      </c>
      <c r="B709" s="17" t="s">
        <v>607</v>
      </c>
      <c r="C709" s="19" t="s">
        <v>190</v>
      </c>
      <c r="D709" s="18" t="s">
        <v>75</v>
      </c>
      <c r="E709" s="19" t="s">
        <v>729</v>
      </c>
      <c r="F709" s="17" t="s">
        <v>730</v>
      </c>
      <c r="G709" s="21" t="s">
        <v>731</v>
      </c>
      <c r="H709" s="19"/>
      <c r="I709" s="21" t="s">
        <v>17</v>
      </c>
    </row>
    <row r="710" spans="1:9" x14ac:dyDescent="0.35">
      <c r="A710" s="17" t="s">
        <v>110</v>
      </c>
      <c r="B710" s="17" t="s">
        <v>712</v>
      </c>
      <c r="C710" s="19" t="s">
        <v>190</v>
      </c>
      <c r="D710" s="18" t="s">
        <v>202</v>
      </c>
      <c r="E710" s="19" t="s">
        <v>737</v>
      </c>
      <c r="F710" s="17" t="s">
        <v>738</v>
      </c>
      <c r="G710" s="21" t="s">
        <v>739</v>
      </c>
      <c r="H710" s="19">
        <v>3</v>
      </c>
      <c r="I710" s="21" t="s">
        <v>21</v>
      </c>
    </row>
    <row r="711" spans="1:9" x14ac:dyDescent="0.35">
      <c r="A711" s="17" t="s">
        <v>286</v>
      </c>
      <c r="B711" s="17">
        <v>3</v>
      </c>
      <c r="C711" s="19" t="s">
        <v>23</v>
      </c>
      <c r="D711" s="18" t="s">
        <v>152</v>
      </c>
      <c r="E711" s="19" t="s">
        <v>732</v>
      </c>
      <c r="F711" s="17" t="s">
        <v>733</v>
      </c>
      <c r="G711" s="21" t="s">
        <v>734</v>
      </c>
      <c r="H711" s="19">
        <v>3</v>
      </c>
      <c r="I711" s="21" t="s">
        <v>15</v>
      </c>
    </row>
    <row r="712" spans="1:9" x14ac:dyDescent="0.35">
      <c r="A712" s="17" t="s">
        <v>286</v>
      </c>
      <c r="B712" s="17">
        <v>3</v>
      </c>
      <c r="C712" s="19" t="s">
        <v>23</v>
      </c>
      <c r="D712" s="18" t="s">
        <v>188</v>
      </c>
      <c r="E712" s="19" t="s">
        <v>732</v>
      </c>
      <c r="F712" s="17" t="s">
        <v>733</v>
      </c>
      <c r="G712" s="21" t="s">
        <v>734</v>
      </c>
      <c r="H712" s="19">
        <v>3</v>
      </c>
      <c r="I712" s="21" t="s">
        <v>15</v>
      </c>
    </row>
    <row r="713" spans="1:9" x14ac:dyDescent="0.35">
      <c r="A713" s="17" t="s">
        <v>286</v>
      </c>
      <c r="B713" s="17">
        <v>3</v>
      </c>
      <c r="C713" s="19" t="s">
        <v>96</v>
      </c>
      <c r="D713" s="18" t="s">
        <v>39</v>
      </c>
      <c r="E713" s="19" t="s">
        <v>732</v>
      </c>
      <c r="F713" s="17" t="s">
        <v>733</v>
      </c>
      <c r="G713" s="21" t="s">
        <v>734</v>
      </c>
      <c r="H713" s="19">
        <v>3</v>
      </c>
      <c r="I713" s="21" t="s">
        <v>15</v>
      </c>
    </row>
    <row r="714" spans="1:9" x14ac:dyDescent="0.35">
      <c r="A714" s="17" t="s">
        <v>286</v>
      </c>
      <c r="B714" s="17">
        <v>3</v>
      </c>
      <c r="C714" s="19" t="s">
        <v>145</v>
      </c>
      <c r="D714" s="18" t="s">
        <v>39</v>
      </c>
      <c r="E714" s="19" t="s">
        <v>732</v>
      </c>
      <c r="F714" s="17" t="s">
        <v>733</v>
      </c>
      <c r="G714" s="21" t="s">
        <v>734</v>
      </c>
      <c r="H714" s="19">
        <v>3</v>
      </c>
      <c r="I714" s="21" t="s">
        <v>15</v>
      </c>
    </row>
    <row r="715" spans="1:9" x14ac:dyDescent="0.35">
      <c r="A715" s="17" t="s">
        <v>286</v>
      </c>
      <c r="B715" s="17">
        <v>3</v>
      </c>
      <c r="C715" s="19" t="s">
        <v>145</v>
      </c>
      <c r="D715" s="18" t="s">
        <v>188</v>
      </c>
      <c r="E715" s="19" t="s">
        <v>732</v>
      </c>
      <c r="F715" s="17" t="s">
        <v>733</v>
      </c>
      <c r="G715" s="21" t="s">
        <v>734</v>
      </c>
      <c r="H715" s="19">
        <v>3</v>
      </c>
      <c r="I715" s="21" t="s">
        <v>15</v>
      </c>
    </row>
    <row r="716" spans="1:9" x14ac:dyDescent="0.35">
      <c r="A716" s="17" t="s">
        <v>286</v>
      </c>
      <c r="B716" s="17">
        <v>3</v>
      </c>
      <c r="C716" s="19" t="s">
        <v>190</v>
      </c>
      <c r="D716" s="18" t="s">
        <v>154</v>
      </c>
      <c r="E716" s="19" t="s">
        <v>732</v>
      </c>
      <c r="F716" s="17" t="s">
        <v>735</v>
      </c>
      <c r="G716" s="21" t="s">
        <v>736</v>
      </c>
      <c r="H716" s="19">
        <v>2</v>
      </c>
      <c r="I716" s="21" t="s">
        <v>9</v>
      </c>
    </row>
    <row r="717" spans="1:9" x14ac:dyDescent="0.35">
      <c r="A717" s="17" t="s">
        <v>286</v>
      </c>
      <c r="B717" s="17">
        <v>3</v>
      </c>
      <c r="C717" s="19" t="s">
        <v>190</v>
      </c>
      <c r="D717" s="18" t="s">
        <v>329</v>
      </c>
      <c r="E717" s="19" t="s">
        <v>732</v>
      </c>
      <c r="F717" s="17" t="s">
        <v>735</v>
      </c>
      <c r="G717" s="21" t="s">
        <v>736</v>
      </c>
      <c r="H717" s="19">
        <v>2</v>
      </c>
      <c r="I717" s="21" t="s">
        <v>9</v>
      </c>
    </row>
    <row r="718" spans="1:9" x14ac:dyDescent="0.35">
      <c r="A718" s="17" t="s">
        <v>286</v>
      </c>
      <c r="B718" s="17">
        <v>3</v>
      </c>
      <c r="C718" s="19" t="s">
        <v>227</v>
      </c>
      <c r="D718" s="18" t="s">
        <v>41</v>
      </c>
      <c r="E718" s="19" t="s">
        <v>732</v>
      </c>
      <c r="F718" s="17" t="s">
        <v>733</v>
      </c>
      <c r="G718" s="21" t="s">
        <v>734</v>
      </c>
      <c r="H718" s="19">
        <v>3</v>
      </c>
      <c r="I718" s="21" t="s">
        <v>15</v>
      </c>
    </row>
    <row r="719" spans="1:9" x14ac:dyDescent="0.35">
      <c r="A719" s="17" t="s">
        <v>286</v>
      </c>
      <c r="B719" s="17">
        <v>3</v>
      </c>
      <c r="C719" s="19" t="s">
        <v>227</v>
      </c>
      <c r="D719" s="18" t="s">
        <v>93</v>
      </c>
      <c r="E719" s="19" t="s">
        <v>732</v>
      </c>
      <c r="F719" s="17" t="s">
        <v>733</v>
      </c>
      <c r="G719" s="21" t="s">
        <v>734</v>
      </c>
      <c r="H719" s="19">
        <v>3</v>
      </c>
      <c r="I719" s="21" t="s">
        <v>15</v>
      </c>
    </row>
    <row r="720" spans="1:9" x14ac:dyDescent="0.35">
      <c r="A720" s="17" t="s">
        <v>286</v>
      </c>
      <c r="B720" s="17">
        <v>3</v>
      </c>
      <c r="C720" s="19" t="s">
        <v>308</v>
      </c>
      <c r="D720" s="18" t="s">
        <v>38</v>
      </c>
      <c r="E720" s="19" t="s">
        <v>732</v>
      </c>
      <c r="F720" s="17" t="s">
        <v>733</v>
      </c>
      <c r="G720" s="21" t="s">
        <v>734</v>
      </c>
      <c r="H720" s="19">
        <v>3</v>
      </c>
      <c r="I720" s="21" t="s">
        <v>15</v>
      </c>
    </row>
    <row r="721" spans="1:9" x14ac:dyDescent="0.35">
      <c r="A721" s="17" t="s">
        <v>286</v>
      </c>
      <c r="B721" s="17">
        <v>3</v>
      </c>
      <c r="C721" s="19" t="s">
        <v>432</v>
      </c>
      <c r="D721" s="18" t="s">
        <v>154</v>
      </c>
      <c r="E721" s="19" t="s">
        <v>732</v>
      </c>
      <c r="F721" s="17" t="s">
        <v>735</v>
      </c>
      <c r="G721" s="21" t="s">
        <v>736</v>
      </c>
      <c r="H721" s="19">
        <v>2</v>
      </c>
      <c r="I721" s="21" t="s">
        <v>9</v>
      </c>
    </row>
    <row r="722" spans="1:9" x14ac:dyDescent="0.35">
      <c r="A722" s="17" t="s">
        <v>286</v>
      </c>
      <c r="B722" s="17">
        <v>3</v>
      </c>
      <c r="C722" s="19" t="s">
        <v>432</v>
      </c>
      <c r="D722" s="18" t="s">
        <v>329</v>
      </c>
      <c r="E722" s="19" t="s">
        <v>732</v>
      </c>
      <c r="F722" s="17" t="s">
        <v>735</v>
      </c>
      <c r="G722" s="21" t="s">
        <v>736</v>
      </c>
      <c r="H722" s="19">
        <v>2</v>
      </c>
      <c r="I722" s="21" t="s">
        <v>9</v>
      </c>
    </row>
    <row r="723" spans="1:9" x14ac:dyDescent="0.35">
      <c r="A723" s="17" t="s">
        <v>286</v>
      </c>
      <c r="B723" s="17" t="s">
        <v>299</v>
      </c>
      <c r="C723" s="19" t="s">
        <v>96</v>
      </c>
      <c r="D723" s="18" t="s">
        <v>59</v>
      </c>
      <c r="E723" s="19" t="s">
        <v>740</v>
      </c>
      <c r="F723" s="17" t="s">
        <v>741</v>
      </c>
      <c r="G723" s="21" t="s">
        <v>742</v>
      </c>
      <c r="H723" s="19">
        <v>5</v>
      </c>
      <c r="I723" s="21" t="s">
        <v>7</v>
      </c>
    </row>
    <row r="724" spans="1:9" x14ac:dyDescent="0.35">
      <c r="A724" s="17" t="s">
        <v>286</v>
      </c>
      <c r="B724" s="17" t="s">
        <v>299</v>
      </c>
      <c r="C724" s="19" t="s">
        <v>190</v>
      </c>
      <c r="D724" s="18" t="s">
        <v>270</v>
      </c>
      <c r="E724" s="19" t="s">
        <v>740</v>
      </c>
      <c r="F724" s="17" t="s">
        <v>743</v>
      </c>
      <c r="G724" s="21" t="s">
        <v>744</v>
      </c>
      <c r="H724" s="19">
        <v>6</v>
      </c>
      <c r="I724" s="21" t="s">
        <v>19</v>
      </c>
    </row>
    <row r="725" spans="1:9" x14ac:dyDescent="0.35">
      <c r="A725" s="17" t="s">
        <v>286</v>
      </c>
      <c r="B725" s="17" t="s">
        <v>299</v>
      </c>
      <c r="C725" s="19" t="s">
        <v>308</v>
      </c>
      <c r="D725" s="18" t="s">
        <v>59</v>
      </c>
      <c r="E725" s="19" t="s">
        <v>740</v>
      </c>
      <c r="F725" s="17" t="s">
        <v>741</v>
      </c>
      <c r="G725" s="21" t="s">
        <v>742</v>
      </c>
      <c r="H725" s="19">
        <v>4</v>
      </c>
      <c r="I725" s="21" t="s">
        <v>7</v>
      </c>
    </row>
    <row r="726" spans="1:9" x14ac:dyDescent="0.35">
      <c r="A726" s="17" t="s">
        <v>286</v>
      </c>
      <c r="B726" s="17" t="s">
        <v>299</v>
      </c>
      <c r="C726" s="19" t="s">
        <v>432</v>
      </c>
      <c r="D726" s="18" t="s">
        <v>270</v>
      </c>
      <c r="E726" s="19" t="s">
        <v>740</v>
      </c>
      <c r="F726" s="17" t="s">
        <v>743</v>
      </c>
      <c r="G726" s="21" t="s">
        <v>744</v>
      </c>
      <c r="H726" s="19">
        <v>6</v>
      </c>
      <c r="I726" s="21" t="s">
        <v>19</v>
      </c>
    </row>
    <row r="727" spans="1:9" x14ac:dyDescent="0.35">
      <c r="A727" s="17" t="s">
        <v>286</v>
      </c>
      <c r="B727" s="17" t="s">
        <v>304</v>
      </c>
      <c r="C727" s="19" t="s">
        <v>227</v>
      </c>
      <c r="D727" s="18" t="s">
        <v>305</v>
      </c>
      <c r="E727" s="19" t="s">
        <v>740</v>
      </c>
      <c r="F727" s="17" t="s">
        <v>741</v>
      </c>
      <c r="G727" s="21" t="s">
        <v>742</v>
      </c>
      <c r="H727" s="19">
        <v>5</v>
      </c>
      <c r="I727" s="21" t="s">
        <v>7</v>
      </c>
    </row>
    <row r="728" spans="1:9" x14ac:dyDescent="0.35">
      <c r="A728" s="17" t="s">
        <v>286</v>
      </c>
      <c r="B728" s="17" t="s">
        <v>369</v>
      </c>
      <c r="C728" s="19" t="s">
        <v>23</v>
      </c>
      <c r="D728" s="18" t="s">
        <v>196</v>
      </c>
      <c r="E728" s="19" t="s">
        <v>732</v>
      </c>
      <c r="F728" s="17" t="s">
        <v>735</v>
      </c>
      <c r="G728" s="21" t="s">
        <v>736</v>
      </c>
      <c r="H728" s="19">
        <v>4</v>
      </c>
      <c r="I728" s="21" t="s">
        <v>9</v>
      </c>
    </row>
    <row r="729" spans="1:9" x14ac:dyDescent="0.35">
      <c r="A729" s="17" t="s">
        <v>286</v>
      </c>
      <c r="B729" s="17" t="s">
        <v>670</v>
      </c>
      <c r="C729" s="19" t="s">
        <v>23</v>
      </c>
      <c r="D729" s="18" t="s">
        <v>127</v>
      </c>
      <c r="E729" s="19" t="s">
        <v>740</v>
      </c>
      <c r="F729" s="17" t="s">
        <v>743</v>
      </c>
      <c r="G729" s="21" t="s">
        <v>744</v>
      </c>
      <c r="H729" s="19">
        <v>2</v>
      </c>
      <c r="I729" s="21" t="s">
        <v>19</v>
      </c>
    </row>
    <row r="730" spans="1:9" x14ac:dyDescent="0.35">
      <c r="A730" s="17" t="s">
        <v>286</v>
      </c>
      <c r="B730" s="17" t="s">
        <v>664</v>
      </c>
      <c r="C730" s="19" t="s">
        <v>23</v>
      </c>
      <c r="D730" s="18" t="s">
        <v>49</v>
      </c>
      <c r="E730" s="19" t="s">
        <v>740</v>
      </c>
      <c r="F730" s="17" t="s">
        <v>743</v>
      </c>
      <c r="G730" s="21" t="s">
        <v>744</v>
      </c>
      <c r="H730" s="19">
        <v>1</v>
      </c>
      <c r="I730" s="21" t="s">
        <v>19</v>
      </c>
    </row>
    <row r="731" spans="1:9" x14ac:dyDescent="0.35">
      <c r="A731" s="17" t="s">
        <v>286</v>
      </c>
      <c r="B731" s="17" t="s">
        <v>671</v>
      </c>
      <c r="C731" s="19" t="s">
        <v>23</v>
      </c>
      <c r="D731" s="18" t="s">
        <v>215</v>
      </c>
      <c r="E731" s="19" t="s">
        <v>740</v>
      </c>
      <c r="F731" s="17" t="s">
        <v>743</v>
      </c>
      <c r="G731" s="21" t="s">
        <v>744</v>
      </c>
      <c r="H731" s="19">
        <v>1</v>
      </c>
      <c r="I731" s="21" t="s">
        <v>19</v>
      </c>
    </row>
    <row r="732" spans="1:9" x14ac:dyDescent="0.35">
      <c r="A732" s="17" t="s">
        <v>286</v>
      </c>
      <c r="B732" s="17" t="s">
        <v>287</v>
      </c>
      <c r="C732" s="19" t="s">
        <v>23</v>
      </c>
      <c r="D732" s="18" t="s">
        <v>238</v>
      </c>
      <c r="E732" s="19" t="s">
        <v>740</v>
      </c>
      <c r="F732" s="17" t="s">
        <v>741</v>
      </c>
      <c r="G732" s="21" t="s">
        <v>742</v>
      </c>
      <c r="H732" s="19">
        <v>3</v>
      </c>
      <c r="I732" s="21" t="s">
        <v>7</v>
      </c>
    </row>
    <row r="733" spans="1:9" x14ac:dyDescent="0.35">
      <c r="A733" s="17" t="s">
        <v>286</v>
      </c>
      <c r="B733" s="17" t="s">
        <v>287</v>
      </c>
      <c r="C733" s="19" t="s">
        <v>145</v>
      </c>
      <c r="D733" s="18" t="s">
        <v>59</v>
      </c>
      <c r="E733" s="19" t="s">
        <v>740</v>
      </c>
      <c r="F733" s="17" t="s">
        <v>741</v>
      </c>
      <c r="G733" s="21" t="s">
        <v>742</v>
      </c>
      <c r="H733" s="19">
        <v>3</v>
      </c>
      <c r="I733" s="21" t="s">
        <v>7</v>
      </c>
    </row>
    <row r="734" spans="1:9" x14ac:dyDescent="0.35">
      <c r="A734" s="17" t="s">
        <v>286</v>
      </c>
      <c r="B734" s="17" t="s">
        <v>287</v>
      </c>
      <c r="C734" s="19" t="s">
        <v>190</v>
      </c>
      <c r="D734" s="18" t="s">
        <v>75</v>
      </c>
      <c r="E734" s="19" t="s">
        <v>740</v>
      </c>
      <c r="F734" s="17" t="s">
        <v>743</v>
      </c>
      <c r="G734" s="21" t="s">
        <v>744</v>
      </c>
      <c r="H734" s="19">
        <v>4</v>
      </c>
      <c r="I734" s="21" t="s">
        <v>19</v>
      </c>
    </row>
    <row r="735" spans="1:9" x14ac:dyDescent="0.35">
      <c r="A735" s="17" t="s">
        <v>286</v>
      </c>
      <c r="B735" s="17" t="s">
        <v>287</v>
      </c>
      <c r="C735" s="19" t="s">
        <v>227</v>
      </c>
      <c r="D735" s="18" t="s">
        <v>59</v>
      </c>
      <c r="E735" s="19" t="s">
        <v>740</v>
      </c>
      <c r="F735" s="17" t="s">
        <v>741</v>
      </c>
      <c r="G735" s="21" t="s">
        <v>742</v>
      </c>
      <c r="H735" s="19">
        <v>3</v>
      </c>
      <c r="I735" s="21" t="s">
        <v>7</v>
      </c>
    </row>
    <row r="736" spans="1:9" x14ac:dyDescent="0.35">
      <c r="A736" s="17" t="s">
        <v>286</v>
      </c>
      <c r="B736" s="17" t="s">
        <v>287</v>
      </c>
      <c r="C736" s="19" t="s">
        <v>432</v>
      </c>
      <c r="D736" s="18" t="s">
        <v>204</v>
      </c>
      <c r="E736" s="19" t="s">
        <v>740</v>
      </c>
      <c r="F736" s="17" t="s">
        <v>743</v>
      </c>
      <c r="G736" s="21" t="s">
        <v>744</v>
      </c>
      <c r="H736" s="19">
        <v>4</v>
      </c>
      <c r="I736" s="21" t="s">
        <v>19</v>
      </c>
    </row>
    <row r="737" spans="1:9" x14ac:dyDescent="0.35">
      <c r="A737" s="17" t="s">
        <v>286</v>
      </c>
      <c r="B737" s="17" t="s">
        <v>411</v>
      </c>
      <c r="C737" s="19" t="s">
        <v>23</v>
      </c>
      <c r="D737" s="18" t="s">
        <v>61</v>
      </c>
      <c r="E737" s="19" t="s">
        <v>748</v>
      </c>
      <c r="F737" s="17" t="s">
        <v>749</v>
      </c>
      <c r="G737" s="21" t="s">
        <v>750</v>
      </c>
      <c r="H737" s="19">
        <v>3</v>
      </c>
      <c r="I737" s="21" t="s">
        <v>13</v>
      </c>
    </row>
    <row r="738" spans="1:9" x14ac:dyDescent="0.35">
      <c r="A738" s="17" t="s">
        <v>286</v>
      </c>
      <c r="B738" s="17" t="s">
        <v>411</v>
      </c>
      <c r="C738" s="19" t="s">
        <v>96</v>
      </c>
      <c r="D738" s="18" t="s">
        <v>61</v>
      </c>
      <c r="E738" s="19" t="s">
        <v>748</v>
      </c>
      <c r="F738" s="17" t="s">
        <v>749</v>
      </c>
      <c r="G738" s="21" t="s">
        <v>750</v>
      </c>
      <c r="H738" s="19">
        <v>3</v>
      </c>
      <c r="I738" s="21" t="s">
        <v>13</v>
      </c>
    </row>
    <row r="739" spans="1:9" x14ac:dyDescent="0.35">
      <c r="A739" s="17" t="s">
        <v>286</v>
      </c>
      <c r="B739" s="17" t="s">
        <v>411</v>
      </c>
      <c r="C739" s="19" t="s">
        <v>96</v>
      </c>
      <c r="D739" s="18" t="s">
        <v>186</v>
      </c>
      <c r="E739" s="19" t="s">
        <v>748</v>
      </c>
      <c r="F739" s="17" t="s">
        <v>749</v>
      </c>
      <c r="G739" s="21" t="s">
        <v>750</v>
      </c>
      <c r="H739" s="19">
        <v>3</v>
      </c>
      <c r="I739" s="21" t="s">
        <v>13</v>
      </c>
    </row>
    <row r="740" spans="1:9" x14ac:dyDescent="0.35">
      <c r="A740" s="17" t="s">
        <v>286</v>
      </c>
      <c r="B740" s="17" t="s">
        <v>411</v>
      </c>
      <c r="C740" s="19" t="s">
        <v>145</v>
      </c>
      <c r="D740" s="18" t="s">
        <v>49</v>
      </c>
      <c r="E740" s="19" t="s">
        <v>748</v>
      </c>
      <c r="F740" s="17" t="s">
        <v>743</v>
      </c>
      <c r="G740" s="21" t="s">
        <v>744</v>
      </c>
      <c r="H740" s="19">
        <v>3</v>
      </c>
      <c r="I740" s="21" t="s">
        <v>19</v>
      </c>
    </row>
    <row r="741" spans="1:9" x14ac:dyDescent="0.35">
      <c r="A741" s="17" t="s">
        <v>286</v>
      </c>
      <c r="B741" s="17" t="s">
        <v>411</v>
      </c>
      <c r="C741" s="19" t="s">
        <v>190</v>
      </c>
      <c r="D741" s="18" t="s">
        <v>61</v>
      </c>
      <c r="E741" s="19" t="s">
        <v>748</v>
      </c>
      <c r="F741" s="17" t="s">
        <v>749</v>
      </c>
      <c r="G741" s="21" t="s">
        <v>750</v>
      </c>
      <c r="H741" s="19">
        <v>3</v>
      </c>
      <c r="I741" s="21" t="s">
        <v>13</v>
      </c>
    </row>
    <row r="742" spans="1:9" x14ac:dyDescent="0.35">
      <c r="A742" s="17" t="s">
        <v>286</v>
      </c>
      <c r="B742" s="17" t="s">
        <v>411</v>
      </c>
      <c r="C742" s="19" t="s">
        <v>227</v>
      </c>
      <c r="D742" s="18" t="s">
        <v>61</v>
      </c>
      <c r="E742" s="19" t="s">
        <v>748</v>
      </c>
      <c r="F742" s="17" t="s">
        <v>749</v>
      </c>
      <c r="G742" s="21" t="s">
        <v>750</v>
      </c>
      <c r="H742" s="19">
        <v>3</v>
      </c>
      <c r="I742" s="21" t="s">
        <v>13</v>
      </c>
    </row>
    <row r="743" spans="1:9" x14ac:dyDescent="0.35">
      <c r="A743" s="17" t="s">
        <v>286</v>
      </c>
      <c r="B743" s="17" t="s">
        <v>411</v>
      </c>
      <c r="C743" s="19" t="s">
        <v>308</v>
      </c>
      <c r="D743" s="18" t="s">
        <v>49</v>
      </c>
      <c r="E743" s="19" t="s">
        <v>748</v>
      </c>
      <c r="F743" s="17" t="s">
        <v>743</v>
      </c>
      <c r="G743" s="21" t="s">
        <v>744</v>
      </c>
      <c r="H743" s="19">
        <v>3</v>
      </c>
      <c r="I743" s="21" t="s">
        <v>19</v>
      </c>
    </row>
    <row r="744" spans="1:9" x14ac:dyDescent="0.35">
      <c r="A744" s="17" t="s">
        <v>286</v>
      </c>
      <c r="B744" s="17" t="s">
        <v>411</v>
      </c>
      <c r="C744" s="19" t="s">
        <v>432</v>
      </c>
      <c r="D744" s="18" t="s">
        <v>61</v>
      </c>
      <c r="E744" s="19" t="s">
        <v>748</v>
      </c>
      <c r="F744" s="17" t="s">
        <v>749</v>
      </c>
      <c r="G744" s="21" t="s">
        <v>750</v>
      </c>
      <c r="H744" s="19">
        <v>3</v>
      </c>
      <c r="I744" s="21" t="s">
        <v>13</v>
      </c>
    </row>
    <row r="745" spans="1:9" x14ac:dyDescent="0.35">
      <c r="A745" s="17" t="s">
        <v>286</v>
      </c>
      <c r="B745" s="17" t="s">
        <v>411</v>
      </c>
      <c r="C745" s="19" t="s">
        <v>432</v>
      </c>
      <c r="D745" s="18" t="s">
        <v>183</v>
      </c>
      <c r="E745" s="19" t="s">
        <v>748</v>
      </c>
      <c r="F745" s="17" t="s">
        <v>749</v>
      </c>
      <c r="G745" s="21" t="s">
        <v>750</v>
      </c>
      <c r="H745" s="19">
        <v>3</v>
      </c>
      <c r="I745" s="21" t="s">
        <v>13</v>
      </c>
    </row>
    <row r="746" spans="1:9" x14ac:dyDescent="0.35">
      <c r="A746" s="17" t="s">
        <v>286</v>
      </c>
      <c r="B746" s="17" t="s">
        <v>691</v>
      </c>
      <c r="C746" s="19" t="s">
        <v>190</v>
      </c>
      <c r="D746" s="18" t="s">
        <v>181</v>
      </c>
      <c r="E746" s="19" t="s">
        <v>740</v>
      </c>
      <c r="F746" s="17" t="s">
        <v>743</v>
      </c>
      <c r="G746" s="21" t="s">
        <v>744</v>
      </c>
      <c r="H746" s="19">
        <v>4</v>
      </c>
      <c r="I746" s="21" t="s">
        <v>19</v>
      </c>
    </row>
    <row r="747" spans="1:9" x14ac:dyDescent="0.35">
      <c r="A747" s="17" t="s">
        <v>286</v>
      </c>
      <c r="B747" s="17" t="s">
        <v>691</v>
      </c>
      <c r="C747" s="19" t="s">
        <v>432</v>
      </c>
      <c r="D747" s="18" t="s">
        <v>181</v>
      </c>
      <c r="E747" s="19" t="s">
        <v>740</v>
      </c>
      <c r="F747" s="17" t="s">
        <v>743</v>
      </c>
      <c r="G747" s="21" t="s">
        <v>744</v>
      </c>
      <c r="H747" s="19">
        <v>4</v>
      </c>
      <c r="I747" s="21" t="s">
        <v>19</v>
      </c>
    </row>
    <row r="748" spans="1:9" x14ac:dyDescent="0.35">
      <c r="A748" s="17" t="s">
        <v>474</v>
      </c>
      <c r="B748" s="17" t="s">
        <v>475</v>
      </c>
      <c r="C748" s="19" t="s">
        <v>23</v>
      </c>
      <c r="D748" s="18" t="s">
        <v>204</v>
      </c>
      <c r="E748" s="19" t="s">
        <v>729</v>
      </c>
      <c r="F748" s="17" t="s">
        <v>730</v>
      </c>
      <c r="G748" s="21" t="s">
        <v>731</v>
      </c>
      <c r="H748" s="19"/>
      <c r="I748" s="21" t="s">
        <v>17</v>
      </c>
    </row>
    <row r="749" spans="1:9" x14ac:dyDescent="0.35">
      <c r="A749" s="17" t="s">
        <v>192</v>
      </c>
      <c r="B749" s="17"/>
      <c r="C749" s="19" t="s">
        <v>190</v>
      </c>
      <c r="D749" s="18" t="s">
        <v>150</v>
      </c>
      <c r="E749" s="19" t="s">
        <v>726</v>
      </c>
      <c r="F749" s="17" t="s">
        <v>727</v>
      </c>
      <c r="G749" s="21" t="s">
        <v>728</v>
      </c>
      <c r="H749" s="19"/>
      <c r="I749" s="21" t="s">
        <v>5</v>
      </c>
    </row>
    <row r="750" spans="1:9" x14ac:dyDescent="0.35">
      <c r="A750" s="17" t="s">
        <v>192</v>
      </c>
      <c r="B750" s="17">
        <v>115</v>
      </c>
      <c r="C750" s="19" t="s">
        <v>23</v>
      </c>
      <c r="D750" s="18" t="s">
        <v>164</v>
      </c>
      <c r="E750" s="19" t="s">
        <v>737</v>
      </c>
      <c r="F750" s="17" t="s">
        <v>738</v>
      </c>
      <c r="G750" s="21" t="s">
        <v>739</v>
      </c>
      <c r="H750" s="19">
        <v>1</v>
      </c>
      <c r="I750" s="21" t="s">
        <v>21</v>
      </c>
    </row>
    <row r="751" spans="1:9" x14ac:dyDescent="0.35">
      <c r="A751" s="17" t="s">
        <v>192</v>
      </c>
      <c r="B751" s="17">
        <v>115</v>
      </c>
      <c r="C751" s="19" t="s">
        <v>227</v>
      </c>
      <c r="D751" s="18" t="s">
        <v>290</v>
      </c>
      <c r="E751" s="19" t="s">
        <v>737</v>
      </c>
      <c r="F751" s="17" t="s">
        <v>738</v>
      </c>
      <c r="G751" s="21" t="s">
        <v>739</v>
      </c>
      <c r="H751" s="19">
        <v>1</v>
      </c>
      <c r="I751" s="21" t="s">
        <v>21</v>
      </c>
    </row>
    <row r="752" spans="1:9" x14ac:dyDescent="0.35">
      <c r="A752" s="17" t="s">
        <v>192</v>
      </c>
      <c r="B752" s="17">
        <v>14</v>
      </c>
      <c r="C752" s="19" t="s">
        <v>23</v>
      </c>
      <c r="D752" s="18" t="s">
        <v>188</v>
      </c>
      <c r="E752" s="19" t="s">
        <v>740</v>
      </c>
      <c r="F752" s="17" t="s">
        <v>743</v>
      </c>
      <c r="G752" s="21" t="s">
        <v>744</v>
      </c>
      <c r="H752" s="19">
        <v>3</v>
      </c>
      <c r="I752" s="21" t="s">
        <v>19</v>
      </c>
    </row>
    <row r="753" spans="1:9" x14ac:dyDescent="0.35">
      <c r="A753" s="17" t="s">
        <v>192</v>
      </c>
      <c r="B753" s="17">
        <v>2</v>
      </c>
      <c r="C753" s="19" t="s">
        <v>23</v>
      </c>
      <c r="D753" s="18" t="s">
        <v>144</v>
      </c>
      <c r="E753" s="19" t="s">
        <v>740</v>
      </c>
      <c r="F753" s="17" t="s">
        <v>743</v>
      </c>
      <c r="G753" s="21" t="s">
        <v>744</v>
      </c>
      <c r="H753" s="19">
        <v>2</v>
      </c>
      <c r="I753" s="21" t="s">
        <v>19</v>
      </c>
    </row>
    <row r="754" spans="1:9" x14ac:dyDescent="0.35">
      <c r="A754" s="17" t="s">
        <v>192</v>
      </c>
      <c r="B754" s="17">
        <v>98</v>
      </c>
      <c r="C754" s="19" t="s">
        <v>23</v>
      </c>
      <c r="D754" s="18" t="s">
        <v>297</v>
      </c>
      <c r="E754" s="19" t="s">
        <v>740</v>
      </c>
      <c r="F754" s="17" t="s">
        <v>743</v>
      </c>
      <c r="G754" s="21" t="s">
        <v>744</v>
      </c>
      <c r="H754" s="19">
        <v>1</v>
      </c>
      <c r="I754" s="21" t="s">
        <v>19</v>
      </c>
    </row>
    <row r="755" spans="1:9" x14ac:dyDescent="0.35">
      <c r="A755" s="17" t="s">
        <v>192</v>
      </c>
      <c r="B755" s="17" t="s">
        <v>684</v>
      </c>
      <c r="C755" s="19" t="s">
        <v>23</v>
      </c>
      <c r="D755" s="18" t="s">
        <v>359</v>
      </c>
      <c r="E755" s="19" t="s">
        <v>740</v>
      </c>
      <c r="F755" s="17" t="s">
        <v>743</v>
      </c>
      <c r="G755" s="21" t="s">
        <v>744</v>
      </c>
      <c r="H755" s="19">
        <v>2</v>
      </c>
      <c r="I755" s="21" t="s">
        <v>19</v>
      </c>
    </row>
    <row r="756" spans="1:9" x14ac:dyDescent="0.35">
      <c r="A756" s="17" t="s">
        <v>192</v>
      </c>
      <c r="B756" s="17" t="s">
        <v>707</v>
      </c>
      <c r="C756" s="19" t="s">
        <v>96</v>
      </c>
      <c r="D756" s="18" t="s">
        <v>36</v>
      </c>
      <c r="E756" s="19" t="s">
        <v>737</v>
      </c>
      <c r="F756" s="17" t="s">
        <v>738</v>
      </c>
      <c r="G756" s="21" t="s">
        <v>739</v>
      </c>
      <c r="H756" s="19">
        <v>2</v>
      </c>
      <c r="I756" s="21" t="s">
        <v>21</v>
      </c>
    </row>
    <row r="757" spans="1:9" x14ac:dyDescent="0.35">
      <c r="A757" s="17" t="s">
        <v>192</v>
      </c>
      <c r="B757" s="17" t="s">
        <v>707</v>
      </c>
      <c r="C757" s="19" t="s">
        <v>190</v>
      </c>
      <c r="D757" s="18" t="s">
        <v>111</v>
      </c>
      <c r="E757" s="19" t="s">
        <v>737</v>
      </c>
      <c r="F757" s="17" t="s">
        <v>738</v>
      </c>
      <c r="G757" s="21" t="s">
        <v>739</v>
      </c>
      <c r="H757" s="19">
        <v>2</v>
      </c>
      <c r="I757" s="21" t="s">
        <v>21</v>
      </c>
    </row>
    <row r="758" spans="1:9" x14ac:dyDescent="0.35">
      <c r="A758" s="17" t="s">
        <v>192</v>
      </c>
      <c r="B758" s="17" t="s">
        <v>707</v>
      </c>
      <c r="C758" s="19" t="s">
        <v>432</v>
      </c>
      <c r="D758" s="18" t="s">
        <v>202</v>
      </c>
      <c r="E758" s="19" t="s">
        <v>737</v>
      </c>
      <c r="F758" s="17" t="s">
        <v>738</v>
      </c>
      <c r="G758" s="21" t="s">
        <v>739</v>
      </c>
      <c r="H758" s="19">
        <v>2</v>
      </c>
      <c r="I758" s="21" t="s">
        <v>21</v>
      </c>
    </row>
    <row r="759" spans="1:9" x14ac:dyDescent="0.35">
      <c r="A759" s="17" t="s">
        <v>192</v>
      </c>
      <c r="B759" s="17" t="s">
        <v>683</v>
      </c>
      <c r="C759" s="19" t="s">
        <v>23</v>
      </c>
      <c r="D759" s="18" t="s">
        <v>94</v>
      </c>
      <c r="E759" s="19" t="s">
        <v>740</v>
      </c>
      <c r="F759" s="17" t="s">
        <v>743</v>
      </c>
      <c r="G759" s="21" t="s">
        <v>744</v>
      </c>
      <c r="H759" s="19">
        <v>1</v>
      </c>
      <c r="I759" s="21" t="s">
        <v>19</v>
      </c>
    </row>
    <row r="760" spans="1:9" x14ac:dyDescent="0.35">
      <c r="A760" s="17" t="s">
        <v>192</v>
      </c>
      <c r="B760" s="17" t="s">
        <v>280</v>
      </c>
      <c r="C760" s="19" t="s">
        <v>23</v>
      </c>
      <c r="D760" s="18" t="s">
        <v>158</v>
      </c>
      <c r="E760" s="19" t="s">
        <v>740</v>
      </c>
      <c r="F760" s="17" t="s">
        <v>741</v>
      </c>
      <c r="G760" s="21" t="s">
        <v>742</v>
      </c>
      <c r="H760" s="19">
        <v>3</v>
      </c>
      <c r="I760" s="21" t="s">
        <v>7</v>
      </c>
    </row>
    <row r="761" spans="1:9" x14ac:dyDescent="0.35">
      <c r="A761" s="17" t="s">
        <v>192</v>
      </c>
      <c r="B761" s="17" t="s">
        <v>280</v>
      </c>
      <c r="C761" s="19" t="s">
        <v>23</v>
      </c>
      <c r="D761" s="18" t="s">
        <v>73</v>
      </c>
      <c r="E761" s="19" t="s">
        <v>740</v>
      </c>
      <c r="F761" s="17" t="s">
        <v>741</v>
      </c>
      <c r="G761" s="21" t="s">
        <v>742</v>
      </c>
      <c r="H761" s="19">
        <v>3</v>
      </c>
      <c r="I761" s="21" t="s">
        <v>7</v>
      </c>
    </row>
    <row r="762" spans="1:9" x14ac:dyDescent="0.35">
      <c r="A762" s="17" t="s">
        <v>192</v>
      </c>
      <c r="B762" s="17" t="s">
        <v>280</v>
      </c>
      <c r="C762" s="19" t="s">
        <v>96</v>
      </c>
      <c r="D762" s="18" t="s">
        <v>158</v>
      </c>
      <c r="E762" s="19" t="s">
        <v>740</v>
      </c>
      <c r="F762" s="17" t="s">
        <v>741</v>
      </c>
      <c r="G762" s="21" t="s">
        <v>742</v>
      </c>
      <c r="H762" s="19">
        <v>3</v>
      </c>
      <c r="I762" s="21" t="s">
        <v>7</v>
      </c>
    </row>
    <row r="763" spans="1:9" x14ac:dyDescent="0.35">
      <c r="A763" s="17" t="s">
        <v>192</v>
      </c>
      <c r="B763" s="17" t="s">
        <v>280</v>
      </c>
      <c r="C763" s="19" t="s">
        <v>96</v>
      </c>
      <c r="D763" s="18" t="s">
        <v>302</v>
      </c>
      <c r="E763" s="19" t="s">
        <v>740</v>
      </c>
      <c r="F763" s="17" t="s">
        <v>741</v>
      </c>
      <c r="G763" s="21" t="s">
        <v>742</v>
      </c>
      <c r="H763" s="19">
        <v>3</v>
      </c>
      <c r="I763" s="21" t="s">
        <v>7</v>
      </c>
    </row>
    <row r="764" spans="1:9" x14ac:dyDescent="0.35">
      <c r="A764" s="17" t="s">
        <v>192</v>
      </c>
      <c r="B764" s="17" t="s">
        <v>280</v>
      </c>
      <c r="C764" s="19" t="s">
        <v>145</v>
      </c>
      <c r="D764" s="18" t="s">
        <v>158</v>
      </c>
      <c r="E764" s="19" t="s">
        <v>740</v>
      </c>
      <c r="F764" s="17" t="s">
        <v>741</v>
      </c>
      <c r="G764" s="21" t="s">
        <v>742</v>
      </c>
      <c r="H764" s="19">
        <v>3</v>
      </c>
      <c r="I764" s="21" t="s">
        <v>7</v>
      </c>
    </row>
    <row r="765" spans="1:9" x14ac:dyDescent="0.35">
      <c r="A765" s="17" t="s">
        <v>192</v>
      </c>
      <c r="B765" s="17" t="s">
        <v>280</v>
      </c>
      <c r="C765" s="19" t="s">
        <v>145</v>
      </c>
      <c r="D765" s="18" t="s">
        <v>111</v>
      </c>
      <c r="E765" s="19" t="s">
        <v>740</v>
      </c>
      <c r="F765" s="17" t="s">
        <v>741</v>
      </c>
      <c r="G765" s="21" t="s">
        <v>742</v>
      </c>
      <c r="H765" s="19">
        <v>3</v>
      </c>
      <c r="I765" s="21" t="s">
        <v>7</v>
      </c>
    </row>
    <row r="766" spans="1:9" x14ac:dyDescent="0.35">
      <c r="A766" s="17" t="s">
        <v>192</v>
      </c>
      <c r="B766" s="17" t="s">
        <v>280</v>
      </c>
      <c r="C766" s="19" t="s">
        <v>190</v>
      </c>
      <c r="D766" s="18" t="s">
        <v>162</v>
      </c>
      <c r="E766" s="19" t="s">
        <v>740</v>
      </c>
      <c r="F766" s="17" t="s">
        <v>743</v>
      </c>
      <c r="G766" s="21" t="s">
        <v>744</v>
      </c>
      <c r="H766" s="19">
        <v>3</v>
      </c>
      <c r="I766" s="21" t="s">
        <v>19</v>
      </c>
    </row>
    <row r="767" spans="1:9" x14ac:dyDescent="0.35">
      <c r="A767" s="17" t="s">
        <v>192</v>
      </c>
      <c r="B767" s="17" t="s">
        <v>280</v>
      </c>
      <c r="C767" s="19" t="s">
        <v>227</v>
      </c>
      <c r="D767" s="18" t="s">
        <v>158</v>
      </c>
      <c r="E767" s="19" t="s">
        <v>740</v>
      </c>
      <c r="F767" s="17" t="s">
        <v>741</v>
      </c>
      <c r="G767" s="21" t="s">
        <v>742</v>
      </c>
      <c r="H767" s="19">
        <v>3</v>
      </c>
      <c r="I767" s="21" t="s">
        <v>7</v>
      </c>
    </row>
    <row r="768" spans="1:9" x14ac:dyDescent="0.35">
      <c r="A768" s="17" t="s">
        <v>192</v>
      </c>
      <c r="B768" s="17" t="s">
        <v>280</v>
      </c>
      <c r="C768" s="19" t="s">
        <v>308</v>
      </c>
      <c r="D768" s="18" t="s">
        <v>158</v>
      </c>
      <c r="E768" s="19" t="s">
        <v>740</v>
      </c>
      <c r="F768" s="17" t="s">
        <v>741</v>
      </c>
      <c r="G768" s="21" t="s">
        <v>742</v>
      </c>
      <c r="H768" s="19">
        <v>3</v>
      </c>
      <c r="I768" s="21" t="s">
        <v>7</v>
      </c>
    </row>
    <row r="769" spans="1:9" x14ac:dyDescent="0.35">
      <c r="A769" s="17" t="s">
        <v>192</v>
      </c>
      <c r="B769" s="17" t="s">
        <v>280</v>
      </c>
      <c r="C769" s="19" t="s">
        <v>308</v>
      </c>
      <c r="D769" s="18" t="s">
        <v>302</v>
      </c>
      <c r="E769" s="19" t="s">
        <v>740</v>
      </c>
      <c r="F769" s="17" t="s">
        <v>741</v>
      </c>
      <c r="G769" s="21" t="s">
        <v>742</v>
      </c>
      <c r="H769" s="19">
        <v>3</v>
      </c>
      <c r="I769" s="21" t="s">
        <v>7</v>
      </c>
    </row>
    <row r="770" spans="1:9" x14ac:dyDescent="0.35">
      <c r="A770" s="17" t="s">
        <v>192</v>
      </c>
      <c r="B770" s="17" t="s">
        <v>280</v>
      </c>
      <c r="C770" s="19" t="s">
        <v>432</v>
      </c>
      <c r="D770" s="18" t="s">
        <v>162</v>
      </c>
      <c r="E770" s="19" t="s">
        <v>740</v>
      </c>
      <c r="F770" s="17" t="s">
        <v>743</v>
      </c>
      <c r="G770" s="21" t="s">
        <v>744</v>
      </c>
      <c r="H770" s="19">
        <v>3</v>
      </c>
      <c r="I770" s="21" t="s">
        <v>19</v>
      </c>
    </row>
    <row r="771" spans="1:9" x14ac:dyDescent="0.35">
      <c r="A771" s="17" t="s">
        <v>192</v>
      </c>
      <c r="B771" s="17" t="s">
        <v>702</v>
      </c>
      <c r="C771" s="19" t="s">
        <v>23</v>
      </c>
      <c r="D771" s="18" t="s">
        <v>166</v>
      </c>
      <c r="E771" s="19" t="s">
        <v>737</v>
      </c>
      <c r="F771" s="17" t="s">
        <v>738</v>
      </c>
      <c r="G771" s="21" t="s">
        <v>739</v>
      </c>
      <c r="H771" s="19">
        <v>2</v>
      </c>
      <c r="I771" s="21" t="s">
        <v>21</v>
      </c>
    </row>
    <row r="772" spans="1:9" x14ac:dyDescent="0.35">
      <c r="A772" s="17" t="s">
        <v>192</v>
      </c>
      <c r="B772" s="17" t="s">
        <v>702</v>
      </c>
      <c r="C772" s="19" t="s">
        <v>227</v>
      </c>
      <c r="D772" s="18" t="s">
        <v>166</v>
      </c>
      <c r="E772" s="19" t="s">
        <v>737</v>
      </c>
      <c r="F772" s="17" t="s">
        <v>738</v>
      </c>
      <c r="G772" s="21" t="s">
        <v>739</v>
      </c>
      <c r="H772" s="19">
        <v>2</v>
      </c>
      <c r="I772" s="21" t="s">
        <v>21</v>
      </c>
    </row>
    <row r="773" spans="1:9" x14ac:dyDescent="0.35">
      <c r="A773" s="17" t="s">
        <v>657</v>
      </c>
      <c r="B773" s="17"/>
      <c r="C773" s="19" t="s">
        <v>227</v>
      </c>
      <c r="D773" s="18" t="s">
        <v>226</v>
      </c>
      <c r="E773" s="19" t="s">
        <v>729</v>
      </c>
      <c r="F773" s="17" t="s">
        <v>730</v>
      </c>
      <c r="G773" s="21" t="s">
        <v>731</v>
      </c>
      <c r="H773" s="19"/>
      <c r="I773" s="21" t="s">
        <v>17</v>
      </c>
    </row>
    <row r="774" spans="1:9" x14ac:dyDescent="0.35">
      <c r="A774" s="17" t="s">
        <v>252</v>
      </c>
      <c r="B774" s="17"/>
      <c r="C774" s="19" t="s">
        <v>227</v>
      </c>
      <c r="D774" s="18" t="s">
        <v>253</v>
      </c>
      <c r="E774" s="19" t="s">
        <v>726</v>
      </c>
      <c r="F774" s="17" t="s">
        <v>727</v>
      </c>
      <c r="G774" s="21" t="s">
        <v>728</v>
      </c>
      <c r="H774" s="19"/>
      <c r="I774" s="21" t="s">
        <v>5</v>
      </c>
    </row>
    <row r="775" spans="1:9" x14ac:dyDescent="0.35">
      <c r="A775" s="17" t="s">
        <v>247</v>
      </c>
      <c r="B775" s="17"/>
      <c r="C775" s="19" t="s">
        <v>227</v>
      </c>
      <c r="D775" s="18" t="s">
        <v>168</v>
      </c>
      <c r="E775" s="19" t="s">
        <v>726</v>
      </c>
      <c r="F775" s="17" t="s">
        <v>727</v>
      </c>
      <c r="G775" s="21" t="s">
        <v>728</v>
      </c>
      <c r="H775" s="19"/>
      <c r="I775" s="21" t="s">
        <v>5</v>
      </c>
    </row>
    <row r="776" spans="1:9" x14ac:dyDescent="0.35">
      <c r="A776" s="17" t="s">
        <v>247</v>
      </c>
      <c r="B776" s="17"/>
      <c r="C776" s="19" t="s">
        <v>227</v>
      </c>
      <c r="D776" s="18" t="s">
        <v>170</v>
      </c>
      <c r="E776" s="19" t="s">
        <v>726</v>
      </c>
      <c r="F776" s="17" t="s">
        <v>727</v>
      </c>
      <c r="G776" s="21" t="s">
        <v>728</v>
      </c>
      <c r="H776" s="19"/>
      <c r="I776" s="21" t="s">
        <v>5</v>
      </c>
    </row>
    <row r="777" spans="1:9" x14ac:dyDescent="0.35">
      <c r="A777" s="17" t="s">
        <v>247</v>
      </c>
      <c r="B777" s="17"/>
      <c r="C777" s="19" t="s">
        <v>227</v>
      </c>
      <c r="D777" s="18" t="s">
        <v>83</v>
      </c>
      <c r="E777" s="19" t="s">
        <v>726</v>
      </c>
      <c r="F777" s="17" t="s">
        <v>727</v>
      </c>
      <c r="G777" s="21" t="s">
        <v>728</v>
      </c>
      <c r="H777" s="19"/>
      <c r="I777" s="21" t="s">
        <v>5</v>
      </c>
    </row>
    <row r="778" spans="1:9" x14ac:dyDescent="0.35">
      <c r="A778" s="17" t="s">
        <v>247</v>
      </c>
      <c r="B778" s="17" t="s">
        <v>679</v>
      </c>
      <c r="C778" s="19" t="s">
        <v>23</v>
      </c>
      <c r="D778" s="18" t="s">
        <v>183</v>
      </c>
      <c r="E778" s="19" t="s">
        <v>740</v>
      </c>
      <c r="F778" s="17" t="s">
        <v>743</v>
      </c>
      <c r="G778" s="21" t="s">
        <v>744</v>
      </c>
      <c r="H778" s="19">
        <v>1</v>
      </c>
      <c r="I778" s="21" t="s">
        <v>19</v>
      </c>
    </row>
    <row r="779" spans="1:9" x14ac:dyDescent="0.35">
      <c r="A779" s="17" t="s">
        <v>247</v>
      </c>
      <c r="B779" s="17">
        <v>110</v>
      </c>
      <c r="C779" s="19" t="s">
        <v>23</v>
      </c>
      <c r="D779" s="18" t="s">
        <v>290</v>
      </c>
      <c r="E779" s="19" t="s">
        <v>737</v>
      </c>
      <c r="F779" s="17" t="s">
        <v>738</v>
      </c>
      <c r="G779" s="21" t="s">
        <v>739</v>
      </c>
      <c r="H779" s="19">
        <v>4</v>
      </c>
      <c r="I779" s="21" t="s">
        <v>21</v>
      </c>
    </row>
    <row r="780" spans="1:9" x14ac:dyDescent="0.35">
      <c r="A780" s="17" t="s">
        <v>247</v>
      </c>
      <c r="B780" s="17">
        <v>110</v>
      </c>
      <c r="C780" s="19" t="s">
        <v>96</v>
      </c>
      <c r="D780" s="18" t="s">
        <v>290</v>
      </c>
      <c r="E780" s="19" t="s">
        <v>737</v>
      </c>
      <c r="F780" s="17" t="s">
        <v>738</v>
      </c>
      <c r="G780" s="21" t="s">
        <v>739</v>
      </c>
      <c r="H780" s="19">
        <v>4</v>
      </c>
      <c r="I780" s="21" t="s">
        <v>21</v>
      </c>
    </row>
    <row r="781" spans="1:9" x14ac:dyDescent="0.35">
      <c r="A781" s="17" t="s">
        <v>247</v>
      </c>
      <c r="B781" s="17">
        <v>110</v>
      </c>
      <c r="C781" s="19" t="s">
        <v>145</v>
      </c>
      <c r="D781" s="18" t="s">
        <v>199</v>
      </c>
      <c r="E781" s="19" t="s">
        <v>737</v>
      </c>
      <c r="F781" s="17" t="s">
        <v>735</v>
      </c>
      <c r="G781" s="21" t="s">
        <v>736</v>
      </c>
      <c r="H781" s="19">
        <v>2</v>
      </c>
      <c r="I781" s="21" t="s">
        <v>9</v>
      </c>
    </row>
    <row r="782" spans="1:9" x14ac:dyDescent="0.35">
      <c r="A782" s="17" t="s">
        <v>247</v>
      </c>
      <c r="B782" s="17">
        <v>110</v>
      </c>
      <c r="C782" s="19" t="s">
        <v>190</v>
      </c>
      <c r="D782" s="18" t="s">
        <v>290</v>
      </c>
      <c r="E782" s="19" t="s">
        <v>737</v>
      </c>
      <c r="F782" s="17" t="s">
        <v>738</v>
      </c>
      <c r="G782" s="21" t="s">
        <v>739</v>
      </c>
      <c r="H782" s="19">
        <v>4</v>
      </c>
      <c r="I782" s="21" t="s">
        <v>21</v>
      </c>
    </row>
    <row r="783" spans="1:9" x14ac:dyDescent="0.35">
      <c r="A783" s="17" t="s">
        <v>247</v>
      </c>
      <c r="B783" s="17">
        <v>110</v>
      </c>
      <c r="C783" s="19" t="s">
        <v>227</v>
      </c>
      <c r="D783" s="18" t="s">
        <v>164</v>
      </c>
      <c r="E783" s="19" t="s">
        <v>737</v>
      </c>
      <c r="F783" s="17" t="s">
        <v>738</v>
      </c>
      <c r="G783" s="21" t="s">
        <v>739</v>
      </c>
      <c r="H783" s="19">
        <v>4</v>
      </c>
      <c r="I783" s="21" t="s">
        <v>21</v>
      </c>
    </row>
    <row r="784" spans="1:9" x14ac:dyDescent="0.35">
      <c r="A784" s="17" t="s">
        <v>247</v>
      </c>
      <c r="B784" s="17">
        <v>110</v>
      </c>
      <c r="C784" s="19" t="s">
        <v>308</v>
      </c>
      <c r="D784" s="18" t="s">
        <v>199</v>
      </c>
      <c r="E784" s="19" t="s">
        <v>737</v>
      </c>
      <c r="F784" s="17" t="s">
        <v>735</v>
      </c>
      <c r="G784" s="21" t="s">
        <v>736</v>
      </c>
      <c r="H784" s="19">
        <v>3</v>
      </c>
      <c r="I784" s="21" t="s">
        <v>9</v>
      </c>
    </row>
    <row r="785" spans="1:9" x14ac:dyDescent="0.35">
      <c r="A785" s="17" t="s">
        <v>247</v>
      </c>
      <c r="B785" s="17">
        <v>110</v>
      </c>
      <c r="C785" s="19" t="s">
        <v>432</v>
      </c>
      <c r="D785" s="18" t="s">
        <v>290</v>
      </c>
      <c r="E785" s="19" t="s">
        <v>737</v>
      </c>
      <c r="F785" s="17" t="s">
        <v>738</v>
      </c>
      <c r="G785" s="21" t="s">
        <v>739</v>
      </c>
      <c r="H785" s="19">
        <v>4</v>
      </c>
      <c r="I785" s="21" t="s">
        <v>21</v>
      </c>
    </row>
    <row r="786" spans="1:9" x14ac:dyDescent="0.35">
      <c r="A786" s="17" t="s">
        <v>247</v>
      </c>
      <c r="B786" s="17" t="s">
        <v>281</v>
      </c>
      <c r="C786" s="19" t="s">
        <v>23</v>
      </c>
      <c r="D786" s="18" t="s">
        <v>57</v>
      </c>
      <c r="E786" s="19" t="s">
        <v>740</v>
      </c>
      <c r="F786" s="17" t="s">
        <v>741</v>
      </c>
      <c r="G786" s="21" t="s">
        <v>742</v>
      </c>
      <c r="H786" s="19">
        <v>4</v>
      </c>
      <c r="I786" s="21" t="s">
        <v>7</v>
      </c>
    </row>
    <row r="787" spans="1:9" x14ac:dyDescent="0.35">
      <c r="A787" s="17" t="s">
        <v>247</v>
      </c>
      <c r="B787" s="17" t="s">
        <v>281</v>
      </c>
      <c r="C787" s="19" t="s">
        <v>96</v>
      </c>
      <c r="D787" s="18" t="s">
        <v>73</v>
      </c>
      <c r="E787" s="19" t="s">
        <v>740</v>
      </c>
      <c r="F787" s="17" t="s">
        <v>741</v>
      </c>
      <c r="G787" s="21" t="s">
        <v>742</v>
      </c>
      <c r="H787" s="19">
        <v>4</v>
      </c>
      <c r="I787" s="21" t="s">
        <v>7</v>
      </c>
    </row>
    <row r="788" spans="1:9" x14ac:dyDescent="0.35">
      <c r="A788" s="17" t="s">
        <v>247</v>
      </c>
      <c r="B788" s="17" t="s">
        <v>281</v>
      </c>
      <c r="C788" s="19" t="s">
        <v>145</v>
      </c>
      <c r="D788" s="18" t="s">
        <v>208</v>
      </c>
      <c r="E788" s="19" t="s">
        <v>740</v>
      </c>
      <c r="F788" s="17" t="s">
        <v>741</v>
      </c>
      <c r="G788" s="21" t="s">
        <v>742</v>
      </c>
      <c r="H788" s="19">
        <v>5</v>
      </c>
      <c r="I788" s="21" t="s">
        <v>7</v>
      </c>
    </row>
    <row r="789" spans="1:9" x14ac:dyDescent="0.35">
      <c r="A789" s="17" t="s">
        <v>247</v>
      </c>
      <c r="B789" s="17" t="s">
        <v>281</v>
      </c>
      <c r="C789" s="19" t="s">
        <v>190</v>
      </c>
      <c r="D789" s="18" t="s">
        <v>168</v>
      </c>
      <c r="E789" s="19" t="s">
        <v>740</v>
      </c>
      <c r="F789" s="17" t="s">
        <v>743</v>
      </c>
      <c r="G789" s="21" t="s">
        <v>744</v>
      </c>
      <c r="H789" s="19">
        <v>5</v>
      </c>
      <c r="I789" s="21" t="s">
        <v>19</v>
      </c>
    </row>
    <row r="790" spans="1:9" x14ac:dyDescent="0.35">
      <c r="A790" s="17" t="s">
        <v>247</v>
      </c>
      <c r="B790" s="17" t="s">
        <v>281</v>
      </c>
      <c r="C790" s="19" t="s">
        <v>227</v>
      </c>
      <c r="D790" s="18" t="s">
        <v>123</v>
      </c>
      <c r="E790" s="19" t="s">
        <v>740</v>
      </c>
      <c r="F790" s="17" t="s">
        <v>741</v>
      </c>
      <c r="G790" s="21" t="s">
        <v>742</v>
      </c>
      <c r="H790" s="19">
        <v>4</v>
      </c>
      <c r="I790" s="21" t="s">
        <v>7</v>
      </c>
    </row>
    <row r="791" spans="1:9" x14ac:dyDescent="0.35">
      <c r="A791" s="17" t="s">
        <v>247</v>
      </c>
      <c r="B791" s="17" t="s">
        <v>281</v>
      </c>
      <c r="C791" s="19" t="s">
        <v>308</v>
      </c>
      <c r="D791" s="18" t="s">
        <v>73</v>
      </c>
      <c r="E791" s="19" t="s">
        <v>740</v>
      </c>
      <c r="F791" s="17" t="s">
        <v>741</v>
      </c>
      <c r="G791" s="21" t="s">
        <v>742</v>
      </c>
      <c r="H791" s="19">
        <v>5</v>
      </c>
      <c r="I791" s="21" t="s">
        <v>7</v>
      </c>
    </row>
    <row r="792" spans="1:9" x14ac:dyDescent="0.35">
      <c r="A792" s="17" t="s">
        <v>247</v>
      </c>
      <c r="B792" s="17" t="s">
        <v>281</v>
      </c>
      <c r="C792" s="19" t="s">
        <v>432</v>
      </c>
      <c r="D792" s="18" t="s">
        <v>168</v>
      </c>
      <c r="E792" s="19" t="s">
        <v>740</v>
      </c>
      <c r="F792" s="17" t="s">
        <v>743</v>
      </c>
      <c r="G792" s="21" t="s">
        <v>744</v>
      </c>
      <c r="H792" s="19">
        <v>5</v>
      </c>
      <c r="I792" s="21" t="s">
        <v>19</v>
      </c>
    </row>
    <row r="793" spans="1:9" x14ac:dyDescent="0.35">
      <c r="A793" s="17" t="s">
        <v>62</v>
      </c>
      <c r="B793" s="17"/>
      <c r="C793" s="19" t="s">
        <v>23</v>
      </c>
      <c r="D793" s="18" t="s">
        <v>63</v>
      </c>
      <c r="E793" s="19" t="s">
        <v>726</v>
      </c>
      <c r="F793" s="17" t="s">
        <v>727</v>
      </c>
      <c r="G793" s="21" t="s">
        <v>728</v>
      </c>
      <c r="H793" s="19"/>
      <c r="I793" s="21" t="s">
        <v>5</v>
      </c>
    </row>
    <row r="794" spans="1:9" x14ac:dyDescent="0.35">
      <c r="A794" s="17" t="s">
        <v>454</v>
      </c>
      <c r="B794" s="17" t="s">
        <v>455</v>
      </c>
      <c r="C794" s="19" t="s">
        <v>23</v>
      </c>
      <c r="D794" s="18" t="s">
        <v>38</v>
      </c>
      <c r="E794" s="19" t="s">
        <v>729</v>
      </c>
      <c r="F794" s="17" t="s">
        <v>730</v>
      </c>
      <c r="G794" s="21" t="s">
        <v>731</v>
      </c>
      <c r="H794" s="19"/>
      <c r="I794" s="21" t="s">
        <v>17</v>
      </c>
    </row>
    <row r="795" spans="1:9" x14ac:dyDescent="0.35">
      <c r="A795" s="17" t="s">
        <v>694</v>
      </c>
      <c r="B795" s="17">
        <v>2</v>
      </c>
      <c r="C795" s="19" t="s">
        <v>23</v>
      </c>
      <c r="D795" s="18" t="s">
        <v>36</v>
      </c>
      <c r="E795" s="19" t="s">
        <v>737</v>
      </c>
      <c r="F795" s="17" t="s">
        <v>738</v>
      </c>
      <c r="G795" s="21" t="s">
        <v>739</v>
      </c>
      <c r="H795" s="19">
        <v>4</v>
      </c>
      <c r="I795" s="21" t="s">
        <v>21</v>
      </c>
    </row>
    <row r="796" spans="1:9" x14ac:dyDescent="0.35">
      <c r="A796" s="17" t="s">
        <v>694</v>
      </c>
      <c r="B796" s="17">
        <v>2</v>
      </c>
      <c r="C796" s="19" t="s">
        <v>96</v>
      </c>
      <c r="D796" s="18" t="s">
        <v>154</v>
      </c>
      <c r="E796" s="19" t="s">
        <v>737</v>
      </c>
      <c r="F796" s="17" t="s">
        <v>738</v>
      </c>
      <c r="G796" s="21" t="s">
        <v>739</v>
      </c>
      <c r="H796" s="19">
        <v>5</v>
      </c>
      <c r="I796" s="21" t="s">
        <v>21</v>
      </c>
    </row>
    <row r="797" spans="1:9" x14ac:dyDescent="0.35">
      <c r="A797" s="17" t="s">
        <v>694</v>
      </c>
      <c r="B797" s="17">
        <v>2</v>
      </c>
      <c r="C797" s="19" t="s">
        <v>190</v>
      </c>
      <c r="D797" s="18" t="s">
        <v>36</v>
      </c>
      <c r="E797" s="19" t="s">
        <v>737</v>
      </c>
      <c r="F797" s="17" t="s">
        <v>738</v>
      </c>
      <c r="G797" s="21" t="s">
        <v>739</v>
      </c>
      <c r="H797" s="19">
        <v>4</v>
      </c>
      <c r="I797" s="21" t="s">
        <v>21</v>
      </c>
    </row>
    <row r="798" spans="1:9" x14ac:dyDescent="0.35">
      <c r="A798" s="17" t="s">
        <v>694</v>
      </c>
      <c r="B798" s="17">
        <v>2</v>
      </c>
      <c r="C798" s="19" t="s">
        <v>227</v>
      </c>
      <c r="D798" s="18" t="s">
        <v>36</v>
      </c>
      <c r="E798" s="19" t="s">
        <v>737</v>
      </c>
      <c r="F798" s="17" t="s">
        <v>738</v>
      </c>
      <c r="G798" s="21" t="s">
        <v>739</v>
      </c>
      <c r="H798" s="19">
        <v>4</v>
      </c>
      <c r="I798" s="21" t="s">
        <v>21</v>
      </c>
    </row>
    <row r="799" spans="1:9" x14ac:dyDescent="0.35">
      <c r="A799" s="17" t="s">
        <v>694</v>
      </c>
      <c r="B799" s="17">
        <v>2</v>
      </c>
      <c r="C799" s="19" t="s">
        <v>432</v>
      </c>
      <c r="D799" s="18" t="s">
        <v>154</v>
      </c>
      <c r="E799" s="19" t="s">
        <v>737</v>
      </c>
      <c r="F799" s="17" t="s">
        <v>738</v>
      </c>
      <c r="G799" s="21" t="s">
        <v>739</v>
      </c>
      <c r="H799" s="19">
        <v>4</v>
      </c>
      <c r="I799" s="21" t="s">
        <v>21</v>
      </c>
    </row>
    <row r="800" spans="1:9" x14ac:dyDescent="0.35">
      <c r="A800" s="17" t="s">
        <v>650</v>
      </c>
      <c r="B800" s="17"/>
      <c r="C800" s="19" t="s">
        <v>227</v>
      </c>
      <c r="D800" s="18" t="s">
        <v>172</v>
      </c>
      <c r="E800" s="19" t="s">
        <v>729</v>
      </c>
      <c r="F800" s="17" t="s">
        <v>730</v>
      </c>
      <c r="G800" s="21" t="s">
        <v>731</v>
      </c>
      <c r="H800" s="19"/>
      <c r="I800" s="21" t="s">
        <v>17</v>
      </c>
    </row>
    <row r="801" spans="1:9" x14ac:dyDescent="0.35">
      <c r="A801" s="17" t="s">
        <v>470</v>
      </c>
      <c r="B801" s="17" t="s">
        <v>471</v>
      </c>
      <c r="C801" s="19" t="s">
        <v>23</v>
      </c>
      <c r="D801" s="18" t="s">
        <v>61</v>
      </c>
      <c r="E801" s="19" t="s">
        <v>729</v>
      </c>
      <c r="F801" s="17" t="s">
        <v>730</v>
      </c>
      <c r="G801" s="21" t="s">
        <v>731</v>
      </c>
      <c r="H801" s="19"/>
      <c r="I801" s="21" t="s">
        <v>17</v>
      </c>
    </row>
    <row r="802" spans="1:9" x14ac:dyDescent="0.35">
      <c r="A802" s="17" t="s">
        <v>201</v>
      </c>
      <c r="B802" s="17"/>
      <c r="C802" s="19" t="s">
        <v>190</v>
      </c>
      <c r="D802" s="18" t="s">
        <v>202</v>
      </c>
      <c r="E802" s="19" t="s">
        <v>726</v>
      </c>
      <c r="F802" s="17" t="s">
        <v>727</v>
      </c>
      <c r="G802" s="21" t="s">
        <v>728</v>
      </c>
      <c r="H802" s="19"/>
      <c r="I802" s="21" t="s">
        <v>5</v>
      </c>
    </row>
    <row r="803" spans="1:9" x14ac:dyDescent="0.35">
      <c r="A803" s="17" t="s">
        <v>218</v>
      </c>
      <c r="B803" s="17"/>
      <c r="C803" s="19" t="s">
        <v>190</v>
      </c>
      <c r="D803" s="18" t="s">
        <v>132</v>
      </c>
      <c r="E803" s="19" t="s">
        <v>726</v>
      </c>
      <c r="F803" s="17" t="s">
        <v>727</v>
      </c>
      <c r="G803" s="21" t="s">
        <v>728</v>
      </c>
      <c r="H803" s="19"/>
      <c r="I803" s="21" t="s">
        <v>5</v>
      </c>
    </row>
    <row r="804" spans="1:9" x14ac:dyDescent="0.35">
      <c r="A804" s="17" t="s">
        <v>715</v>
      </c>
      <c r="B804" s="17" t="s">
        <v>700</v>
      </c>
      <c r="C804" s="19" t="s">
        <v>227</v>
      </c>
      <c r="D804" s="18" t="s">
        <v>202</v>
      </c>
      <c r="E804" s="19" t="s">
        <v>737</v>
      </c>
      <c r="F804" s="17" t="s">
        <v>738</v>
      </c>
      <c r="G804" s="21" t="s">
        <v>739</v>
      </c>
      <c r="H804" s="19">
        <v>2</v>
      </c>
      <c r="I804" s="21" t="s">
        <v>21</v>
      </c>
    </row>
    <row r="805" spans="1:9" x14ac:dyDescent="0.35">
      <c r="A805" s="17" t="s">
        <v>284</v>
      </c>
      <c r="B805" s="17" t="s">
        <v>608</v>
      </c>
      <c r="C805" s="19" t="s">
        <v>190</v>
      </c>
      <c r="D805" s="18" t="s">
        <v>125</v>
      </c>
      <c r="E805" s="19" t="s">
        <v>729</v>
      </c>
      <c r="F805" s="17" t="s">
        <v>730</v>
      </c>
      <c r="G805" s="21" t="s">
        <v>731</v>
      </c>
      <c r="H805" s="19"/>
      <c r="I805" s="21" t="s">
        <v>17</v>
      </c>
    </row>
    <row r="806" spans="1:9" x14ac:dyDescent="0.35">
      <c r="A806" s="17" t="s">
        <v>284</v>
      </c>
      <c r="B806" s="17">
        <v>64</v>
      </c>
      <c r="C806" s="19" t="s">
        <v>23</v>
      </c>
      <c r="D806" s="18" t="s">
        <v>130</v>
      </c>
      <c r="E806" s="19" t="s">
        <v>748</v>
      </c>
      <c r="F806" s="17" t="s">
        <v>749</v>
      </c>
      <c r="G806" s="21" t="s">
        <v>750</v>
      </c>
      <c r="H806" s="19">
        <v>4</v>
      </c>
      <c r="I806" s="21" t="s">
        <v>13</v>
      </c>
    </row>
    <row r="807" spans="1:9" x14ac:dyDescent="0.35">
      <c r="A807" s="17" t="s">
        <v>284</v>
      </c>
      <c r="B807" s="17">
        <v>64</v>
      </c>
      <c r="C807" s="19" t="s">
        <v>96</v>
      </c>
      <c r="D807" s="18" t="s">
        <v>130</v>
      </c>
      <c r="E807" s="19" t="s">
        <v>748</v>
      </c>
      <c r="F807" s="17" t="s">
        <v>749</v>
      </c>
      <c r="G807" s="21" t="s">
        <v>750</v>
      </c>
      <c r="H807" s="19">
        <v>3</v>
      </c>
      <c r="I807" s="21" t="s">
        <v>13</v>
      </c>
    </row>
    <row r="808" spans="1:9" x14ac:dyDescent="0.35">
      <c r="A808" s="17" t="s">
        <v>284</v>
      </c>
      <c r="B808" s="17">
        <v>64</v>
      </c>
      <c r="C808" s="19" t="s">
        <v>145</v>
      </c>
      <c r="D808" s="18" t="s">
        <v>332</v>
      </c>
      <c r="E808" s="19" t="s">
        <v>748</v>
      </c>
      <c r="F808" s="17" t="s">
        <v>743</v>
      </c>
      <c r="G808" s="21" t="s">
        <v>744</v>
      </c>
      <c r="H808" s="19">
        <v>3</v>
      </c>
      <c r="I808" s="21" t="s">
        <v>19</v>
      </c>
    </row>
    <row r="809" spans="1:9" x14ac:dyDescent="0.35">
      <c r="A809" s="17" t="s">
        <v>284</v>
      </c>
      <c r="B809" s="17">
        <v>64</v>
      </c>
      <c r="C809" s="19" t="s">
        <v>190</v>
      </c>
      <c r="D809" s="18" t="s">
        <v>130</v>
      </c>
      <c r="E809" s="19" t="s">
        <v>748</v>
      </c>
      <c r="F809" s="17" t="s">
        <v>749</v>
      </c>
      <c r="G809" s="21" t="s">
        <v>750</v>
      </c>
      <c r="H809" s="19">
        <v>3</v>
      </c>
      <c r="I809" s="21" t="s">
        <v>13</v>
      </c>
    </row>
    <row r="810" spans="1:9" x14ac:dyDescent="0.35">
      <c r="A810" s="17" t="s">
        <v>284</v>
      </c>
      <c r="B810" s="17">
        <v>64</v>
      </c>
      <c r="C810" s="19" t="s">
        <v>227</v>
      </c>
      <c r="D810" s="18" t="s">
        <v>130</v>
      </c>
      <c r="E810" s="19" t="s">
        <v>748</v>
      </c>
      <c r="F810" s="17" t="s">
        <v>749</v>
      </c>
      <c r="G810" s="21" t="s">
        <v>750</v>
      </c>
      <c r="H810" s="19">
        <v>3</v>
      </c>
      <c r="I810" s="21" t="s">
        <v>13</v>
      </c>
    </row>
    <row r="811" spans="1:9" x14ac:dyDescent="0.35">
      <c r="A811" s="17" t="s">
        <v>284</v>
      </c>
      <c r="B811" s="17">
        <v>64</v>
      </c>
      <c r="C811" s="19" t="s">
        <v>308</v>
      </c>
      <c r="D811" s="18" t="s">
        <v>332</v>
      </c>
      <c r="E811" s="19" t="s">
        <v>748</v>
      </c>
      <c r="F811" s="17" t="s">
        <v>743</v>
      </c>
      <c r="G811" s="21" t="s">
        <v>744</v>
      </c>
      <c r="H811" s="19">
        <v>3</v>
      </c>
      <c r="I811" s="21" t="s">
        <v>19</v>
      </c>
    </row>
    <row r="812" spans="1:9" x14ac:dyDescent="0.35">
      <c r="A812" s="17" t="s">
        <v>284</v>
      </c>
      <c r="B812" s="17">
        <v>64</v>
      </c>
      <c r="C812" s="19" t="s">
        <v>432</v>
      </c>
      <c r="D812" s="18" t="s">
        <v>130</v>
      </c>
      <c r="E812" s="19" t="s">
        <v>748</v>
      </c>
      <c r="F812" s="17" t="s">
        <v>749</v>
      </c>
      <c r="G812" s="21" t="s">
        <v>750</v>
      </c>
      <c r="H812" s="19">
        <v>3</v>
      </c>
      <c r="I812" s="21" t="s">
        <v>13</v>
      </c>
    </row>
    <row r="813" spans="1:9" x14ac:dyDescent="0.35">
      <c r="A813" s="17" t="s">
        <v>284</v>
      </c>
      <c r="B813" s="17" t="s">
        <v>402</v>
      </c>
      <c r="C813" s="19" t="s">
        <v>23</v>
      </c>
      <c r="D813" s="18" t="s">
        <v>154</v>
      </c>
      <c r="E813" s="19" t="s">
        <v>748</v>
      </c>
      <c r="F813" s="17" t="s">
        <v>749</v>
      </c>
      <c r="G813" s="21" t="s">
        <v>750</v>
      </c>
      <c r="H813" s="19">
        <v>2</v>
      </c>
      <c r="I813" s="21" t="s">
        <v>13</v>
      </c>
    </row>
    <row r="814" spans="1:9" x14ac:dyDescent="0.35">
      <c r="A814" s="17" t="s">
        <v>284</v>
      </c>
      <c r="B814" s="17" t="s">
        <v>402</v>
      </c>
      <c r="C814" s="19" t="s">
        <v>96</v>
      </c>
      <c r="D814" s="18" t="s">
        <v>154</v>
      </c>
      <c r="E814" s="19" t="s">
        <v>748</v>
      </c>
      <c r="F814" s="17" t="s">
        <v>749</v>
      </c>
      <c r="G814" s="21" t="s">
        <v>750</v>
      </c>
      <c r="H814" s="19">
        <v>2</v>
      </c>
      <c r="I814" s="21" t="s">
        <v>13</v>
      </c>
    </row>
    <row r="815" spans="1:9" x14ac:dyDescent="0.35">
      <c r="A815" s="17" t="s">
        <v>284</v>
      </c>
      <c r="B815" s="17" t="s">
        <v>402</v>
      </c>
      <c r="C815" s="19" t="s">
        <v>96</v>
      </c>
      <c r="D815" s="18" t="s">
        <v>188</v>
      </c>
      <c r="E815" s="19" t="s">
        <v>748</v>
      </c>
      <c r="F815" s="17" t="s">
        <v>749</v>
      </c>
      <c r="G815" s="21" t="s">
        <v>750</v>
      </c>
      <c r="H815" s="19">
        <v>1</v>
      </c>
      <c r="I815" s="21" t="s">
        <v>13</v>
      </c>
    </row>
    <row r="816" spans="1:9" x14ac:dyDescent="0.35">
      <c r="A816" s="17" t="s">
        <v>284</v>
      </c>
      <c r="B816" s="17" t="s">
        <v>402</v>
      </c>
      <c r="C816" s="19" t="s">
        <v>145</v>
      </c>
      <c r="D816" s="18" t="s">
        <v>43</v>
      </c>
      <c r="E816" s="19" t="s">
        <v>748</v>
      </c>
      <c r="F816" s="17" t="s">
        <v>743</v>
      </c>
      <c r="G816" s="21" t="s">
        <v>744</v>
      </c>
      <c r="H816" s="19">
        <v>2</v>
      </c>
      <c r="I816" s="21" t="s">
        <v>19</v>
      </c>
    </row>
    <row r="817" spans="1:9" x14ac:dyDescent="0.35">
      <c r="A817" s="17" t="s">
        <v>284</v>
      </c>
      <c r="B817" s="17" t="s">
        <v>402</v>
      </c>
      <c r="C817" s="19" t="s">
        <v>145</v>
      </c>
      <c r="D817" s="18" t="s">
        <v>181</v>
      </c>
      <c r="E817" s="19" t="s">
        <v>748</v>
      </c>
      <c r="F817" s="17" t="s">
        <v>743</v>
      </c>
      <c r="G817" s="21" t="s">
        <v>744</v>
      </c>
      <c r="H817" s="19">
        <v>3</v>
      </c>
      <c r="I817" s="21" t="s">
        <v>19</v>
      </c>
    </row>
    <row r="818" spans="1:9" x14ac:dyDescent="0.35">
      <c r="A818" s="17" t="s">
        <v>284</v>
      </c>
      <c r="B818" s="17" t="s">
        <v>402</v>
      </c>
      <c r="C818" s="19" t="s">
        <v>190</v>
      </c>
      <c r="D818" s="18" t="s">
        <v>154</v>
      </c>
      <c r="E818" s="19" t="s">
        <v>748</v>
      </c>
      <c r="F818" s="17" t="s">
        <v>749</v>
      </c>
      <c r="G818" s="21" t="s">
        <v>750</v>
      </c>
      <c r="H818" s="19">
        <v>2</v>
      </c>
      <c r="I818" s="21" t="s">
        <v>13</v>
      </c>
    </row>
    <row r="819" spans="1:9" x14ac:dyDescent="0.35">
      <c r="A819" s="17" t="s">
        <v>284</v>
      </c>
      <c r="B819" s="17" t="s">
        <v>402</v>
      </c>
      <c r="C819" s="19" t="s">
        <v>227</v>
      </c>
      <c r="D819" s="18" t="s">
        <v>154</v>
      </c>
      <c r="E819" s="19" t="s">
        <v>748</v>
      </c>
      <c r="F819" s="17" t="s">
        <v>749</v>
      </c>
      <c r="G819" s="21" t="s">
        <v>750</v>
      </c>
      <c r="H819" s="19">
        <v>2</v>
      </c>
      <c r="I819" s="21" t="s">
        <v>13</v>
      </c>
    </row>
    <row r="820" spans="1:9" x14ac:dyDescent="0.35">
      <c r="A820" s="17" t="s">
        <v>284</v>
      </c>
      <c r="B820" s="17" t="s">
        <v>402</v>
      </c>
      <c r="C820" s="19" t="s">
        <v>308</v>
      </c>
      <c r="D820" s="18" t="s">
        <v>43</v>
      </c>
      <c r="E820" s="19" t="s">
        <v>748</v>
      </c>
      <c r="F820" s="17" t="s">
        <v>743</v>
      </c>
      <c r="G820" s="21" t="s">
        <v>744</v>
      </c>
      <c r="H820" s="19">
        <v>2</v>
      </c>
      <c r="I820" s="21" t="s">
        <v>19</v>
      </c>
    </row>
    <row r="821" spans="1:9" x14ac:dyDescent="0.35">
      <c r="A821" s="17" t="s">
        <v>284</v>
      </c>
      <c r="B821" s="17" t="s">
        <v>402</v>
      </c>
      <c r="C821" s="19" t="s">
        <v>308</v>
      </c>
      <c r="D821" s="18" t="s">
        <v>181</v>
      </c>
      <c r="E821" s="19" t="s">
        <v>748</v>
      </c>
      <c r="F821" s="17" t="s">
        <v>743</v>
      </c>
      <c r="G821" s="21" t="s">
        <v>744</v>
      </c>
      <c r="H821" s="19">
        <v>3</v>
      </c>
      <c r="I821" s="21" t="s">
        <v>19</v>
      </c>
    </row>
    <row r="822" spans="1:9" x14ac:dyDescent="0.35">
      <c r="A822" s="17" t="s">
        <v>284</v>
      </c>
      <c r="B822" s="17" t="s">
        <v>402</v>
      </c>
      <c r="C822" s="19" t="s">
        <v>432</v>
      </c>
      <c r="D822" s="18" t="s">
        <v>154</v>
      </c>
      <c r="E822" s="19" t="s">
        <v>748</v>
      </c>
      <c r="F822" s="17" t="s">
        <v>749</v>
      </c>
      <c r="G822" s="21" t="s">
        <v>750</v>
      </c>
      <c r="H822" s="19">
        <v>2</v>
      </c>
      <c r="I822" s="21" t="s">
        <v>13</v>
      </c>
    </row>
    <row r="823" spans="1:9" x14ac:dyDescent="0.35">
      <c r="A823" s="17" t="s">
        <v>284</v>
      </c>
      <c r="B823" s="17" t="s">
        <v>402</v>
      </c>
      <c r="C823" s="19" t="s">
        <v>432</v>
      </c>
      <c r="D823" s="18" t="s">
        <v>143</v>
      </c>
      <c r="E823" s="19" t="s">
        <v>748</v>
      </c>
      <c r="F823" s="17" t="s">
        <v>749</v>
      </c>
      <c r="G823" s="21" t="s">
        <v>750</v>
      </c>
      <c r="H823" s="19">
        <v>2</v>
      </c>
      <c r="I823" s="21" t="s">
        <v>13</v>
      </c>
    </row>
    <row r="824" spans="1:9" x14ac:dyDescent="0.35">
      <c r="A824" s="17" t="s">
        <v>284</v>
      </c>
      <c r="B824" s="17" t="s">
        <v>672</v>
      </c>
      <c r="C824" s="19" t="s">
        <v>23</v>
      </c>
      <c r="D824" s="18" t="s">
        <v>170</v>
      </c>
      <c r="E824" s="19" t="s">
        <v>740</v>
      </c>
      <c r="F824" s="17" t="s">
        <v>743</v>
      </c>
      <c r="G824" s="21" t="s">
        <v>744</v>
      </c>
      <c r="H824" s="19">
        <v>1</v>
      </c>
      <c r="I824" s="21" t="s">
        <v>19</v>
      </c>
    </row>
    <row r="825" spans="1:9" x14ac:dyDescent="0.35">
      <c r="A825" s="17" t="s">
        <v>284</v>
      </c>
      <c r="B825" s="17" t="s">
        <v>285</v>
      </c>
      <c r="C825" s="19" t="s">
        <v>23</v>
      </c>
      <c r="D825" s="18" t="s">
        <v>59</v>
      </c>
      <c r="E825" s="19" t="s">
        <v>740</v>
      </c>
      <c r="F825" s="17" t="s">
        <v>741</v>
      </c>
      <c r="G825" s="21" t="s">
        <v>742</v>
      </c>
      <c r="H825" s="19">
        <v>1</v>
      </c>
      <c r="I825" s="21" t="s">
        <v>7</v>
      </c>
    </row>
    <row r="826" spans="1:9" x14ac:dyDescent="0.35">
      <c r="A826" s="17" t="s">
        <v>284</v>
      </c>
      <c r="B826" s="17" t="s">
        <v>285</v>
      </c>
      <c r="C826" s="19" t="s">
        <v>227</v>
      </c>
      <c r="D826" s="18" t="s">
        <v>298</v>
      </c>
      <c r="E826" s="19" t="s">
        <v>740</v>
      </c>
      <c r="F826" s="17" t="s">
        <v>741</v>
      </c>
      <c r="G826" s="21" t="s">
        <v>742</v>
      </c>
      <c r="H826" s="19">
        <v>1</v>
      </c>
      <c r="I826" s="21" t="s">
        <v>7</v>
      </c>
    </row>
    <row r="827" spans="1:9" x14ac:dyDescent="0.35">
      <c r="A827" s="17" t="s">
        <v>294</v>
      </c>
      <c r="B827" s="17">
        <v>1</v>
      </c>
      <c r="C827" s="19" t="s">
        <v>145</v>
      </c>
      <c r="D827" s="18" t="s">
        <v>150</v>
      </c>
      <c r="E827" s="19" t="s">
        <v>737</v>
      </c>
      <c r="F827" s="17" t="s">
        <v>735</v>
      </c>
      <c r="G827" s="21" t="s">
        <v>736</v>
      </c>
      <c r="H827" s="19">
        <v>3</v>
      </c>
      <c r="I827" s="21" t="s">
        <v>9</v>
      </c>
    </row>
    <row r="828" spans="1:9" x14ac:dyDescent="0.35">
      <c r="A828" s="17" t="s">
        <v>294</v>
      </c>
      <c r="B828" s="17">
        <v>1</v>
      </c>
      <c r="C828" s="19" t="s">
        <v>308</v>
      </c>
      <c r="D828" s="18" t="s">
        <v>150</v>
      </c>
      <c r="E828" s="19" t="s">
        <v>737</v>
      </c>
      <c r="F828" s="17" t="s">
        <v>735</v>
      </c>
      <c r="G828" s="21" t="s">
        <v>736</v>
      </c>
      <c r="H828" s="19">
        <v>3</v>
      </c>
      <c r="I828" s="21" t="s">
        <v>9</v>
      </c>
    </row>
    <row r="829" spans="1:9" x14ac:dyDescent="0.35">
      <c r="A829" s="17" t="s">
        <v>294</v>
      </c>
      <c r="B829" s="17">
        <v>20</v>
      </c>
      <c r="C829" s="19" t="s">
        <v>23</v>
      </c>
      <c r="D829" s="18" t="s">
        <v>119</v>
      </c>
      <c r="E829" s="19" t="s">
        <v>740</v>
      </c>
      <c r="F829" s="17" t="s">
        <v>741</v>
      </c>
      <c r="G829" s="21" t="s">
        <v>742</v>
      </c>
      <c r="H829" s="19">
        <v>5</v>
      </c>
      <c r="I829" s="21" t="s">
        <v>7</v>
      </c>
    </row>
    <row r="830" spans="1:9" x14ac:dyDescent="0.35">
      <c r="A830" s="17" t="s">
        <v>294</v>
      </c>
      <c r="B830" s="17">
        <v>20</v>
      </c>
      <c r="C830" s="19" t="s">
        <v>96</v>
      </c>
      <c r="D830" s="18" t="s">
        <v>298</v>
      </c>
      <c r="E830" s="19" t="s">
        <v>740</v>
      </c>
      <c r="F830" s="17" t="s">
        <v>741</v>
      </c>
      <c r="G830" s="21" t="s">
        <v>742</v>
      </c>
      <c r="H830" s="19">
        <v>5</v>
      </c>
      <c r="I830" s="21" t="s">
        <v>7</v>
      </c>
    </row>
    <row r="831" spans="1:9" x14ac:dyDescent="0.35">
      <c r="A831" s="17" t="s">
        <v>294</v>
      </c>
      <c r="B831" s="17">
        <v>20</v>
      </c>
      <c r="C831" s="19" t="s">
        <v>145</v>
      </c>
      <c r="D831" s="18" t="s">
        <v>238</v>
      </c>
      <c r="E831" s="19" t="s">
        <v>740</v>
      </c>
      <c r="F831" s="17" t="s">
        <v>741</v>
      </c>
      <c r="G831" s="21" t="s">
        <v>742</v>
      </c>
      <c r="H831" s="19">
        <v>5</v>
      </c>
      <c r="I831" s="21" t="s">
        <v>7</v>
      </c>
    </row>
    <row r="832" spans="1:9" x14ac:dyDescent="0.35">
      <c r="A832" s="17" t="s">
        <v>294</v>
      </c>
      <c r="B832" s="17">
        <v>20</v>
      </c>
      <c r="C832" s="19" t="s">
        <v>190</v>
      </c>
      <c r="D832" s="18" t="s">
        <v>335</v>
      </c>
      <c r="E832" s="19" t="s">
        <v>740</v>
      </c>
      <c r="F832" s="17" t="s">
        <v>743</v>
      </c>
      <c r="G832" s="21" t="s">
        <v>744</v>
      </c>
      <c r="H832" s="19">
        <v>6</v>
      </c>
      <c r="I832" s="21" t="s">
        <v>19</v>
      </c>
    </row>
    <row r="833" spans="1:9" x14ac:dyDescent="0.35">
      <c r="A833" s="17" t="s">
        <v>294</v>
      </c>
      <c r="B833" s="17">
        <v>20</v>
      </c>
      <c r="C833" s="19" t="s">
        <v>227</v>
      </c>
      <c r="D833" s="18" t="s">
        <v>204</v>
      </c>
      <c r="E833" s="19" t="s">
        <v>740</v>
      </c>
      <c r="F833" s="17" t="s">
        <v>741</v>
      </c>
      <c r="G833" s="21" t="s">
        <v>742</v>
      </c>
      <c r="H833" s="19">
        <v>5</v>
      </c>
      <c r="I833" s="21" t="s">
        <v>7</v>
      </c>
    </row>
    <row r="834" spans="1:9" x14ac:dyDescent="0.35">
      <c r="A834" s="17" t="s">
        <v>294</v>
      </c>
      <c r="B834" s="17">
        <v>20</v>
      </c>
      <c r="C834" s="19" t="s">
        <v>308</v>
      </c>
      <c r="D834" s="18" t="s">
        <v>298</v>
      </c>
      <c r="E834" s="19" t="s">
        <v>740</v>
      </c>
      <c r="F834" s="17" t="s">
        <v>741</v>
      </c>
      <c r="G834" s="21" t="s">
        <v>742</v>
      </c>
      <c r="H834" s="19">
        <v>5</v>
      </c>
      <c r="I834" s="21" t="s">
        <v>7</v>
      </c>
    </row>
    <row r="835" spans="1:9" x14ac:dyDescent="0.35">
      <c r="A835" s="17" t="s">
        <v>294</v>
      </c>
      <c r="B835" s="17">
        <v>20</v>
      </c>
      <c r="C835" s="19" t="s">
        <v>432</v>
      </c>
      <c r="D835" s="18" t="s">
        <v>335</v>
      </c>
      <c r="E835" s="19" t="s">
        <v>740</v>
      </c>
      <c r="F835" s="17" t="s">
        <v>743</v>
      </c>
      <c r="G835" s="21" t="s">
        <v>744</v>
      </c>
      <c r="H835" s="19">
        <v>6</v>
      </c>
      <c r="I835" s="21" t="s">
        <v>19</v>
      </c>
    </row>
    <row r="836" spans="1:9" x14ac:dyDescent="0.35">
      <c r="A836" s="17" t="s">
        <v>294</v>
      </c>
      <c r="B836" s="17">
        <v>52</v>
      </c>
      <c r="C836" s="19" t="s">
        <v>96</v>
      </c>
      <c r="D836" s="18" t="s">
        <v>759</v>
      </c>
      <c r="E836" s="19" t="s">
        <v>745</v>
      </c>
      <c r="F836" s="17" t="s">
        <v>746</v>
      </c>
      <c r="G836" s="21" t="s">
        <v>747</v>
      </c>
      <c r="H836" s="19"/>
      <c r="I836" s="21" t="s">
        <v>11</v>
      </c>
    </row>
    <row r="837" spans="1:9" x14ac:dyDescent="0.35">
      <c r="A837" s="17" t="s">
        <v>102</v>
      </c>
      <c r="B837" s="17"/>
      <c r="C837" s="19" t="s">
        <v>96</v>
      </c>
      <c r="D837" s="18" t="s">
        <v>41</v>
      </c>
      <c r="E837" s="19" t="s">
        <v>726</v>
      </c>
      <c r="F837" s="17" t="s">
        <v>727</v>
      </c>
      <c r="G837" s="21" t="s">
        <v>728</v>
      </c>
      <c r="H837" s="19"/>
      <c r="I837" s="21" t="s">
        <v>5</v>
      </c>
    </row>
    <row r="838" spans="1:9" x14ac:dyDescent="0.35">
      <c r="A838" s="17" t="s">
        <v>180</v>
      </c>
      <c r="B838" s="17"/>
      <c r="C838" s="19" t="s">
        <v>145</v>
      </c>
      <c r="D838" s="18" t="s">
        <v>181</v>
      </c>
      <c r="E838" s="19" t="s">
        <v>726</v>
      </c>
      <c r="F838" s="17" t="s">
        <v>727</v>
      </c>
      <c r="G838" s="21" t="s">
        <v>728</v>
      </c>
      <c r="H838" s="19"/>
      <c r="I838" s="21" t="s">
        <v>5</v>
      </c>
    </row>
    <row r="839" spans="1:9" x14ac:dyDescent="0.35">
      <c r="A839" s="17" t="s">
        <v>140</v>
      </c>
      <c r="B839" s="17"/>
      <c r="C839" s="19" t="s">
        <v>96</v>
      </c>
      <c r="D839" s="18" t="s">
        <v>141</v>
      </c>
      <c r="E839" s="19" t="s">
        <v>726</v>
      </c>
      <c r="F839" s="17" t="s">
        <v>727</v>
      </c>
      <c r="G839" s="21" t="s">
        <v>728</v>
      </c>
      <c r="H839" s="19"/>
      <c r="I839" s="21" t="s">
        <v>5</v>
      </c>
    </row>
    <row r="840" spans="1:9" x14ac:dyDescent="0.35">
      <c r="A840" s="17" t="s">
        <v>140</v>
      </c>
      <c r="B840" s="17"/>
      <c r="C840" s="19" t="s">
        <v>145</v>
      </c>
      <c r="D840" s="18" t="s">
        <v>123</v>
      </c>
      <c r="E840" s="19" t="s">
        <v>726</v>
      </c>
      <c r="F840" s="17" t="s">
        <v>727</v>
      </c>
      <c r="G840" s="21" t="s">
        <v>728</v>
      </c>
      <c r="H840" s="19"/>
      <c r="I840" s="21" t="s">
        <v>5</v>
      </c>
    </row>
    <row r="841" spans="1:9" x14ac:dyDescent="0.35">
      <c r="A841" s="17" t="s">
        <v>140</v>
      </c>
      <c r="B841" s="17">
        <v>108</v>
      </c>
      <c r="C841" s="19" t="s">
        <v>23</v>
      </c>
      <c r="D841" s="18" t="s">
        <v>41</v>
      </c>
      <c r="E841" s="19" t="s">
        <v>732</v>
      </c>
      <c r="F841" s="17" t="s">
        <v>733</v>
      </c>
      <c r="G841" s="21" t="s">
        <v>734</v>
      </c>
      <c r="H841" s="19">
        <v>4</v>
      </c>
      <c r="I841" s="21" t="s">
        <v>15</v>
      </c>
    </row>
    <row r="842" spans="1:9" x14ac:dyDescent="0.35">
      <c r="A842" s="17" t="s">
        <v>140</v>
      </c>
      <c r="B842" s="17">
        <v>108</v>
      </c>
      <c r="C842" s="19" t="s">
        <v>96</v>
      </c>
      <c r="D842" s="18" t="s">
        <v>43</v>
      </c>
      <c r="E842" s="19" t="s">
        <v>732</v>
      </c>
      <c r="F842" s="17" t="s">
        <v>733</v>
      </c>
      <c r="G842" s="21" t="s">
        <v>734</v>
      </c>
      <c r="H842" s="19">
        <v>4</v>
      </c>
      <c r="I842" s="21" t="s">
        <v>15</v>
      </c>
    </row>
    <row r="843" spans="1:9" x14ac:dyDescent="0.35">
      <c r="A843" s="17" t="s">
        <v>140</v>
      </c>
      <c r="B843" s="17">
        <v>108</v>
      </c>
      <c r="C843" s="19" t="s">
        <v>145</v>
      </c>
      <c r="D843" s="18" t="s">
        <v>43</v>
      </c>
      <c r="E843" s="19" t="s">
        <v>732</v>
      </c>
      <c r="F843" s="17" t="s">
        <v>733</v>
      </c>
      <c r="G843" s="21" t="s">
        <v>734</v>
      </c>
      <c r="H843" s="19">
        <v>4</v>
      </c>
      <c r="I843" s="21" t="s">
        <v>15</v>
      </c>
    </row>
    <row r="844" spans="1:9" x14ac:dyDescent="0.35">
      <c r="A844" s="17" t="s">
        <v>140</v>
      </c>
      <c r="B844" s="17">
        <v>108</v>
      </c>
      <c r="C844" s="19" t="s">
        <v>145</v>
      </c>
      <c r="D844" s="18" t="s">
        <v>179</v>
      </c>
      <c r="E844" s="19" t="s">
        <v>732</v>
      </c>
      <c r="F844" s="17" t="s">
        <v>733</v>
      </c>
      <c r="G844" s="21" t="s">
        <v>734</v>
      </c>
      <c r="H844" s="19">
        <v>4</v>
      </c>
      <c r="I844" s="21" t="s">
        <v>15</v>
      </c>
    </row>
    <row r="845" spans="1:9" x14ac:dyDescent="0.35">
      <c r="A845" s="17" t="s">
        <v>140</v>
      </c>
      <c r="B845" s="17">
        <v>108</v>
      </c>
      <c r="C845" s="19" t="s">
        <v>190</v>
      </c>
      <c r="D845" s="18" t="s">
        <v>270</v>
      </c>
      <c r="E845" s="19" t="s">
        <v>732</v>
      </c>
      <c r="F845" s="17" t="s">
        <v>735</v>
      </c>
      <c r="G845" s="21" t="s">
        <v>736</v>
      </c>
      <c r="H845" s="19">
        <v>3</v>
      </c>
      <c r="I845" s="21" t="s">
        <v>9</v>
      </c>
    </row>
    <row r="846" spans="1:9" x14ac:dyDescent="0.35">
      <c r="A846" s="17" t="s">
        <v>140</v>
      </c>
      <c r="B846" s="17">
        <v>108</v>
      </c>
      <c r="C846" s="19" t="s">
        <v>190</v>
      </c>
      <c r="D846" s="18" t="s">
        <v>188</v>
      </c>
      <c r="E846" s="19" t="s">
        <v>732</v>
      </c>
      <c r="F846" s="17" t="s">
        <v>735</v>
      </c>
      <c r="G846" s="21" t="s">
        <v>736</v>
      </c>
      <c r="H846" s="19">
        <v>2</v>
      </c>
      <c r="I846" s="21" t="s">
        <v>9</v>
      </c>
    </row>
    <row r="847" spans="1:9" x14ac:dyDescent="0.35">
      <c r="A847" s="17" t="s">
        <v>140</v>
      </c>
      <c r="B847" s="17">
        <v>108</v>
      </c>
      <c r="C847" s="19" t="s">
        <v>227</v>
      </c>
      <c r="D847" s="18" t="s">
        <v>194</v>
      </c>
      <c r="E847" s="19" t="s">
        <v>732</v>
      </c>
      <c r="F847" s="17" t="s">
        <v>733</v>
      </c>
      <c r="G847" s="21" t="s">
        <v>734</v>
      </c>
      <c r="H847" s="19">
        <v>4</v>
      </c>
      <c r="I847" s="21" t="s">
        <v>15</v>
      </c>
    </row>
    <row r="848" spans="1:9" x14ac:dyDescent="0.35">
      <c r="A848" s="17" t="s">
        <v>140</v>
      </c>
      <c r="B848" s="17">
        <v>108</v>
      </c>
      <c r="C848" s="19" t="s">
        <v>227</v>
      </c>
      <c r="D848" s="18" t="s">
        <v>179</v>
      </c>
      <c r="E848" s="19" t="s">
        <v>732</v>
      </c>
      <c r="F848" s="17" t="s">
        <v>733</v>
      </c>
      <c r="G848" s="21" t="s">
        <v>734</v>
      </c>
      <c r="H848" s="19">
        <v>4</v>
      </c>
      <c r="I848" s="21" t="s">
        <v>15</v>
      </c>
    </row>
    <row r="849" spans="1:9" x14ac:dyDescent="0.35">
      <c r="A849" s="17" t="s">
        <v>140</v>
      </c>
      <c r="B849" s="17">
        <v>108</v>
      </c>
      <c r="C849" s="19" t="s">
        <v>308</v>
      </c>
      <c r="D849" s="18" t="s">
        <v>39</v>
      </c>
      <c r="E849" s="19" t="s">
        <v>732</v>
      </c>
      <c r="F849" s="17" t="s">
        <v>733</v>
      </c>
      <c r="G849" s="21" t="s">
        <v>734</v>
      </c>
      <c r="H849" s="19">
        <v>4</v>
      </c>
      <c r="I849" s="21" t="s">
        <v>15</v>
      </c>
    </row>
    <row r="850" spans="1:9" x14ac:dyDescent="0.35">
      <c r="A850" s="17" t="s">
        <v>140</v>
      </c>
      <c r="B850" s="17">
        <v>108</v>
      </c>
      <c r="C850" s="19" t="s">
        <v>432</v>
      </c>
      <c r="D850" s="18" t="s">
        <v>270</v>
      </c>
      <c r="E850" s="19" t="s">
        <v>732</v>
      </c>
      <c r="F850" s="17" t="s">
        <v>735</v>
      </c>
      <c r="G850" s="21" t="s">
        <v>736</v>
      </c>
      <c r="H850" s="19">
        <v>3</v>
      </c>
      <c r="I850" s="21" t="s">
        <v>9</v>
      </c>
    </row>
    <row r="851" spans="1:9" x14ac:dyDescent="0.35">
      <c r="A851" s="17" t="s">
        <v>140</v>
      </c>
      <c r="B851" s="20">
        <v>108</v>
      </c>
      <c r="C851" s="19" t="s">
        <v>432</v>
      </c>
      <c r="D851" s="18" t="s">
        <v>188</v>
      </c>
      <c r="E851" s="19" t="s">
        <v>732</v>
      </c>
      <c r="F851" s="17" t="s">
        <v>735</v>
      </c>
      <c r="G851" s="21" t="s">
        <v>736</v>
      </c>
      <c r="H851" s="19">
        <v>2</v>
      </c>
      <c r="I851" s="21" t="s">
        <v>9</v>
      </c>
    </row>
    <row r="852" spans="1:9" x14ac:dyDescent="0.35">
      <c r="A852" s="17" t="s">
        <v>347</v>
      </c>
      <c r="B852" s="17" t="s">
        <v>431</v>
      </c>
      <c r="C852" s="19" t="s">
        <v>227</v>
      </c>
      <c r="D852" s="18" t="s">
        <v>226</v>
      </c>
      <c r="E852" s="19" t="s">
        <v>748</v>
      </c>
      <c r="F852" s="17" t="s">
        <v>749</v>
      </c>
      <c r="G852" s="21" t="s">
        <v>750</v>
      </c>
      <c r="H852" s="19">
        <v>2</v>
      </c>
      <c r="I852" s="21" t="s">
        <v>13</v>
      </c>
    </row>
    <row r="853" spans="1:9" x14ac:dyDescent="0.35">
      <c r="A853" s="17" t="s">
        <v>347</v>
      </c>
      <c r="B853" s="17">
        <v>125</v>
      </c>
      <c r="C853" s="19" t="s">
        <v>23</v>
      </c>
      <c r="D853" s="18" t="s">
        <v>49</v>
      </c>
      <c r="E853" s="19" t="s">
        <v>737</v>
      </c>
      <c r="F853" s="17" t="s">
        <v>738</v>
      </c>
      <c r="G853" s="21" t="s">
        <v>739</v>
      </c>
      <c r="H853" s="19">
        <v>4</v>
      </c>
      <c r="I853" s="21" t="s">
        <v>21</v>
      </c>
    </row>
    <row r="854" spans="1:9" x14ac:dyDescent="0.35">
      <c r="A854" s="17" t="s">
        <v>347</v>
      </c>
      <c r="B854" s="17">
        <v>125</v>
      </c>
      <c r="C854" s="19" t="s">
        <v>96</v>
      </c>
      <c r="D854" s="18" t="s">
        <v>202</v>
      </c>
      <c r="E854" s="19" t="s">
        <v>737</v>
      </c>
      <c r="F854" s="17" t="s">
        <v>738</v>
      </c>
      <c r="G854" s="21" t="s">
        <v>739</v>
      </c>
      <c r="H854" s="19">
        <v>4</v>
      </c>
      <c r="I854" s="21" t="s">
        <v>21</v>
      </c>
    </row>
    <row r="855" spans="1:9" x14ac:dyDescent="0.35">
      <c r="A855" s="17" t="s">
        <v>347</v>
      </c>
      <c r="B855" s="17">
        <v>125</v>
      </c>
      <c r="C855" s="19" t="s">
        <v>145</v>
      </c>
      <c r="D855" s="18" t="s">
        <v>298</v>
      </c>
      <c r="E855" s="19" t="s">
        <v>737</v>
      </c>
      <c r="F855" s="17" t="s">
        <v>735</v>
      </c>
      <c r="G855" s="21" t="s">
        <v>736</v>
      </c>
      <c r="H855" s="19">
        <v>4</v>
      </c>
      <c r="I855" s="21" t="s">
        <v>9</v>
      </c>
    </row>
    <row r="856" spans="1:9" x14ac:dyDescent="0.35">
      <c r="A856" s="17" t="s">
        <v>347</v>
      </c>
      <c r="B856" s="17">
        <v>125</v>
      </c>
      <c r="C856" s="19" t="s">
        <v>190</v>
      </c>
      <c r="D856" s="18" t="s">
        <v>196</v>
      </c>
      <c r="E856" s="19" t="s">
        <v>737</v>
      </c>
      <c r="F856" s="17" t="s">
        <v>738</v>
      </c>
      <c r="G856" s="21" t="s">
        <v>739</v>
      </c>
      <c r="H856" s="19">
        <v>4</v>
      </c>
      <c r="I856" s="21" t="s">
        <v>21</v>
      </c>
    </row>
    <row r="857" spans="1:9" x14ac:dyDescent="0.35">
      <c r="A857" s="17" t="s">
        <v>347</v>
      </c>
      <c r="B857" s="17">
        <v>125</v>
      </c>
      <c r="C857" s="19" t="s">
        <v>227</v>
      </c>
      <c r="D857" s="18" t="s">
        <v>49</v>
      </c>
      <c r="E857" s="19" t="s">
        <v>737</v>
      </c>
      <c r="F857" s="17" t="s">
        <v>738</v>
      </c>
      <c r="G857" s="21" t="s">
        <v>739</v>
      </c>
      <c r="H857" s="19">
        <v>4</v>
      </c>
      <c r="I857" s="21" t="s">
        <v>21</v>
      </c>
    </row>
    <row r="858" spans="1:9" x14ac:dyDescent="0.35">
      <c r="A858" s="17" t="s">
        <v>347</v>
      </c>
      <c r="B858" s="17">
        <v>125</v>
      </c>
      <c r="C858" s="19" t="s">
        <v>308</v>
      </c>
      <c r="D858" s="18" t="s">
        <v>298</v>
      </c>
      <c r="E858" s="19" t="s">
        <v>737</v>
      </c>
      <c r="F858" s="17" t="s">
        <v>735</v>
      </c>
      <c r="G858" s="21" t="s">
        <v>736</v>
      </c>
      <c r="H858" s="19">
        <v>3</v>
      </c>
      <c r="I858" s="21" t="s">
        <v>9</v>
      </c>
    </row>
    <row r="859" spans="1:9" x14ac:dyDescent="0.35">
      <c r="A859" s="17" t="s">
        <v>347</v>
      </c>
      <c r="B859" s="17">
        <v>125</v>
      </c>
      <c r="C859" s="19" t="s">
        <v>432</v>
      </c>
      <c r="D859" s="18" t="s">
        <v>346</v>
      </c>
      <c r="E859" s="19" t="s">
        <v>737</v>
      </c>
      <c r="F859" s="17" t="s">
        <v>738</v>
      </c>
      <c r="G859" s="21" t="s">
        <v>739</v>
      </c>
      <c r="H859" s="19">
        <v>4</v>
      </c>
      <c r="I859" s="21" t="s">
        <v>21</v>
      </c>
    </row>
    <row r="860" spans="1:9" x14ac:dyDescent="0.35">
      <c r="A860" s="17" t="s">
        <v>347</v>
      </c>
      <c r="B860" s="20">
        <v>161157145</v>
      </c>
      <c r="C860" s="19" t="s">
        <v>23</v>
      </c>
      <c r="D860" s="18" t="s">
        <v>329</v>
      </c>
      <c r="E860" s="19" t="s">
        <v>729</v>
      </c>
      <c r="F860" s="17" t="s">
        <v>730</v>
      </c>
      <c r="G860" s="21" t="s">
        <v>731</v>
      </c>
      <c r="H860" s="19"/>
      <c r="I860" s="21" t="s">
        <v>17</v>
      </c>
    </row>
    <row r="861" spans="1:9" x14ac:dyDescent="0.35">
      <c r="A861" s="17" t="s">
        <v>347</v>
      </c>
      <c r="B861" s="17" t="s">
        <v>562</v>
      </c>
      <c r="C861" s="19" t="s">
        <v>145</v>
      </c>
      <c r="D861" s="18" t="s">
        <v>245</v>
      </c>
      <c r="E861" s="19" t="s">
        <v>729</v>
      </c>
      <c r="F861" s="17" t="s">
        <v>730</v>
      </c>
      <c r="G861" s="21" t="s">
        <v>731</v>
      </c>
      <c r="H861" s="19"/>
      <c r="I861" s="21" t="s">
        <v>17</v>
      </c>
    </row>
    <row r="862" spans="1:9" x14ac:dyDescent="0.35">
      <c r="A862" s="17" t="s">
        <v>347</v>
      </c>
      <c r="B862" s="17" t="s">
        <v>514</v>
      </c>
      <c r="C862" s="19" t="s">
        <v>96</v>
      </c>
      <c r="D862" s="18" t="s">
        <v>164</v>
      </c>
      <c r="E862" s="19" t="s">
        <v>729</v>
      </c>
      <c r="F862" s="17" t="s">
        <v>730</v>
      </c>
      <c r="G862" s="21" t="s">
        <v>731</v>
      </c>
      <c r="H862" s="19"/>
      <c r="I862" s="21" t="s">
        <v>17</v>
      </c>
    </row>
    <row r="863" spans="1:9" x14ac:dyDescent="0.35">
      <c r="A863" s="17" t="s">
        <v>347</v>
      </c>
      <c r="B863" s="17" t="s">
        <v>587</v>
      </c>
      <c r="C863" s="19" t="s">
        <v>23</v>
      </c>
      <c r="D863" s="18" t="s">
        <v>132</v>
      </c>
      <c r="E863" s="19" t="s">
        <v>740</v>
      </c>
      <c r="F863" s="17" t="s">
        <v>743</v>
      </c>
      <c r="G863" s="21" t="s">
        <v>744</v>
      </c>
      <c r="H863" s="19">
        <v>1</v>
      </c>
      <c r="I863" s="21" t="s">
        <v>19</v>
      </c>
    </row>
    <row r="864" spans="1:9" x14ac:dyDescent="0.35">
      <c r="A864" s="17" t="s">
        <v>362</v>
      </c>
      <c r="B864" s="17" t="s">
        <v>589</v>
      </c>
      <c r="C864" s="19" t="s">
        <v>190</v>
      </c>
      <c r="D864" s="18" t="s">
        <v>38</v>
      </c>
      <c r="E864" s="19" t="s">
        <v>729</v>
      </c>
      <c r="F864" s="17" t="s">
        <v>730</v>
      </c>
      <c r="G864" s="21" t="s">
        <v>731</v>
      </c>
      <c r="H864" s="19"/>
      <c r="I864" s="21" t="s">
        <v>17</v>
      </c>
    </row>
    <row r="865" spans="1:9" x14ac:dyDescent="0.35">
      <c r="A865" s="17" t="s">
        <v>362</v>
      </c>
      <c r="B865" s="17">
        <v>4</v>
      </c>
      <c r="C865" s="19" t="s">
        <v>145</v>
      </c>
      <c r="D865" s="18" t="s">
        <v>32</v>
      </c>
      <c r="E865" s="19" t="s">
        <v>729</v>
      </c>
      <c r="F865" s="17" t="s">
        <v>730</v>
      </c>
      <c r="G865" s="21" t="s">
        <v>731</v>
      </c>
      <c r="H865" s="19"/>
      <c r="I865" s="21" t="s">
        <v>17</v>
      </c>
    </row>
    <row r="866" spans="1:9" x14ac:dyDescent="0.35">
      <c r="A866" s="17" t="s">
        <v>362</v>
      </c>
      <c r="B866" s="17">
        <v>5</v>
      </c>
      <c r="C866" s="19" t="s">
        <v>23</v>
      </c>
      <c r="D866" s="18" t="s">
        <v>154</v>
      </c>
      <c r="E866" s="19" t="s">
        <v>729</v>
      </c>
      <c r="F866" s="17" t="s">
        <v>730</v>
      </c>
      <c r="G866" s="21" t="s">
        <v>731</v>
      </c>
      <c r="H866" s="19"/>
      <c r="I866" s="21" t="s">
        <v>17</v>
      </c>
    </row>
    <row r="867" spans="1:9" x14ac:dyDescent="0.35">
      <c r="A867" s="17" t="s">
        <v>362</v>
      </c>
      <c r="B867" s="17" t="s">
        <v>502</v>
      </c>
      <c r="C867" s="19" t="s">
        <v>96</v>
      </c>
      <c r="D867" s="18" t="s">
        <v>32</v>
      </c>
      <c r="E867" s="19" t="s">
        <v>729</v>
      </c>
      <c r="F867" s="17" t="s">
        <v>730</v>
      </c>
      <c r="G867" s="21" t="s">
        <v>731</v>
      </c>
      <c r="H867" s="19"/>
      <c r="I867" s="21" t="s">
        <v>17</v>
      </c>
    </row>
    <row r="868" spans="1:9" x14ac:dyDescent="0.35">
      <c r="A868" s="17" t="s">
        <v>362</v>
      </c>
      <c r="B868" s="17" t="s">
        <v>423</v>
      </c>
      <c r="C868" s="19" t="s">
        <v>96</v>
      </c>
      <c r="D868" s="18" t="s">
        <v>418</v>
      </c>
      <c r="E868" s="19" t="s">
        <v>748</v>
      </c>
      <c r="F868" s="17" t="s">
        <v>749</v>
      </c>
      <c r="G868" s="21" t="s">
        <v>750</v>
      </c>
      <c r="H868" s="19">
        <v>1</v>
      </c>
      <c r="I868" s="21" t="s">
        <v>13</v>
      </c>
    </row>
    <row r="869" spans="1:9" x14ac:dyDescent="0.35">
      <c r="A869" s="17" t="s">
        <v>362</v>
      </c>
      <c r="B869" s="17" t="s">
        <v>363</v>
      </c>
      <c r="C869" s="19" t="s">
        <v>23</v>
      </c>
      <c r="D869" s="18" t="s">
        <v>150</v>
      </c>
      <c r="E869" s="19" t="s">
        <v>732</v>
      </c>
      <c r="F869" s="17" t="s">
        <v>735</v>
      </c>
      <c r="G869" s="21" t="s">
        <v>736</v>
      </c>
      <c r="H869" s="19">
        <v>3</v>
      </c>
      <c r="I869" s="21" t="s">
        <v>9</v>
      </c>
    </row>
    <row r="870" spans="1:9" x14ac:dyDescent="0.35">
      <c r="A870" s="17" t="s">
        <v>619</v>
      </c>
      <c r="B870" s="17" t="s">
        <v>620</v>
      </c>
      <c r="C870" s="19" t="s">
        <v>190</v>
      </c>
      <c r="D870" s="18" t="s">
        <v>335</v>
      </c>
      <c r="E870" s="19" t="s">
        <v>729</v>
      </c>
      <c r="F870" s="17" t="s">
        <v>730</v>
      </c>
      <c r="G870" s="21" t="s">
        <v>731</v>
      </c>
      <c r="H870" s="19"/>
      <c r="I870" s="21" t="s">
        <v>17</v>
      </c>
    </row>
    <row r="871" spans="1:9" x14ac:dyDescent="0.35">
      <c r="A871" s="17" t="s">
        <v>98</v>
      </c>
      <c r="B871" s="17"/>
      <c r="C871" s="19" t="s">
        <v>96</v>
      </c>
      <c r="D871" s="18" t="s">
        <v>34</v>
      </c>
      <c r="E871" s="19" t="s">
        <v>726</v>
      </c>
      <c r="F871" s="17" t="s">
        <v>727</v>
      </c>
      <c r="G871" s="21" t="s">
        <v>728</v>
      </c>
      <c r="H871" s="19"/>
      <c r="I871" s="21" t="s">
        <v>5</v>
      </c>
    </row>
    <row r="872" spans="1:9" x14ac:dyDescent="0.35">
      <c r="A872" s="17" t="s">
        <v>129</v>
      </c>
      <c r="B872" s="17"/>
      <c r="C872" s="19" t="s">
        <v>96</v>
      </c>
      <c r="D872" s="18" t="s">
        <v>130</v>
      </c>
      <c r="E872" s="19" t="s">
        <v>726</v>
      </c>
      <c r="F872" s="17" t="s">
        <v>727</v>
      </c>
      <c r="G872" s="21" t="s">
        <v>728</v>
      </c>
      <c r="H872" s="19"/>
      <c r="I872" s="21" t="s">
        <v>5</v>
      </c>
    </row>
    <row r="873" spans="1:9" x14ac:dyDescent="0.35">
      <c r="A873" s="17" t="s">
        <v>129</v>
      </c>
      <c r="B873" s="17"/>
      <c r="C873" s="19" t="s">
        <v>227</v>
      </c>
      <c r="D873" s="18" t="s">
        <v>196</v>
      </c>
      <c r="E873" s="19" t="s">
        <v>726</v>
      </c>
      <c r="F873" s="17" t="s">
        <v>727</v>
      </c>
      <c r="G873" s="21" t="s">
        <v>728</v>
      </c>
      <c r="H873" s="19"/>
      <c r="I873" s="21" t="s">
        <v>5</v>
      </c>
    </row>
    <row r="874" spans="1:9" x14ac:dyDescent="0.35">
      <c r="A874" s="17" t="s">
        <v>461</v>
      </c>
      <c r="B874" s="17" t="s">
        <v>469</v>
      </c>
      <c r="C874" s="19" t="s">
        <v>23</v>
      </c>
      <c r="D874" s="18" t="s">
        <v>202</v>
      </c>
      <c r="E874" s="19" t="s">
        <v>729</v>
      </c>
      <c r="F874" s="17" t="s">
        <v>730</v>
      </c>
      <c r="G874" s="21" t="s">
        <v>731</v>
      </c>
      <c r="H874" s="19"/>
      <c r="I874" s="21" t="s">
        <v>17</v>
      </c>
    </row>
    <row r="875" spans="1:9" x14ac:dyDescent="0.35">
      <c r="A875" s="17" t="s">
        <v>461</v>
      </c>
      <c r="B875" s="17" t="s">
        <v>544</v>
      </c>
      <c r="C875" s="19" t="s">
        <v>145</v>
      </c>
      <c r="D875" s="18" t="s">
        <v>154</v>
      </c>
      <c r="E875" s="19" t="s">
        <v>729</v>
      </c>
      <c r="F875" s="17" t="s">
        <v>730</v>
      </c>
      <c r="G875" s="21" t="s">
        <v>731</v>
      </c>
      <c r="H875" s="19"/>
      <c r="I875" s="21" t="s">
        <v>17</v>
      </c>
    </row>
    <row r="876" spans="1:9" x14ac:dyDescent="0.35">
      <c r="A876" s="17" t="s">
        <v>461</v>
      </c>
      <c r="B876" s="17" t="s">
        <v>462</v>
      </c>
      <c r="C876" s="19" t="s">
        <v>23</v>
      </c>
      <c r="D876" s="18" t="s">
        <v>47</v>
      </c>
      <c r="E876" s="19" t="s">
        <v>729</v>
      </c>
      <c r="F876" s="17" t="s">
        <v>730</v>
      </c>
      <c r="G876" s="21" t="s">
        <v>731</v>
      </c>
      <c r="H876" s="19"/>
      <c r="I876" s="21" t="s">
        <v>17</v>
      </c>
    </row>
    <row r="877" spans="1:9" x14ac:dyDescent="0.35">
      <c r="A877" s="17" t="s">
        <v>461</v>
      </c>
      <c r="B877" s="17" t="s">
        <v>594</v>
      </c>
      <c r="C877" s="19" t="s">
        <v>190</v>
      </c>
      <c r="D877" s="18" t="s">
        <v>199</v>
      </c>
      <c r="E877" s="19" t="s">
        <v>729</v>
      </c>
      <c r="F877" s="17" t="s">
        <v>730</v>
      </c>
      <c r="G877" s="21" t="s">
        <v>731</v>
      </c>
      <c r="H877" s="19"/>
      <c r="I877" s="21" t="s">
        <v>17</v>
      </c>
    </row>
    <row r="878" spans="1:9" x14ac:dyDescent="0.35">
      <c r="A878" s="17" t="s">
        <v>461</v>
      </c>
      <c r="B878" s="17" t="s">
        <v>594</v>
      </c>
      <c r="C878" s="19" t="s">
        <v>227</v>
      </c>
      <c r="D878" s="18" t="s">
        <v>273</v>
      </c>
      <c r="E878" s="19" t="s">
        <v>729</v>
      </c>
      <c r="F878" s="17" t="s">
        <v>730</v>
      </c>
      <c r="G878" s="21" t="s">
        <v>731</v>
      </c>
      <c r="H878" s="19"/>
      <c r="I878" s="21" t="s">
        <v>17</v>
      </c>
    </row>
    <row r="879" spans="1:9" x14ac:dyDescent="0.35">
      <c r="A879" s="17" t="s">
        <v>184</v>
      </c>
      <c r="B879" s="17"/>
      <c r="C879" s="19" t="s">
        <v>145</v>
      </c>
      <c r="D879" s="18" t="s">
        <v>141</v>
      </c>
      <c r="E879" s="19" t="s">
        <v>726</v>
      </c>
      <c r="F879" s="17" t="s">
        <v>727</v>
      </c>
      <c r="G879" s="21" t="s">
        <v>728</v>
      </c>
      <c r="H879" s="19"/>
      <c r="I879" s="21" t="s">
        <v>5</v>
      </c>
    </row>
    <row r="880" spans="1:9" x14ac:dyDescent="0.35">
      <c r="A880" s="17" t="s">
        <v>350</v>
      </c>
      <c r="B880" s="17" t="s">
        <v>351</v>
      </c>
      <c r="C880" s="19" t="s">
        <v>23</v>
      </c>
      <c r="D880" s="18" t="s">
        <v>81</v>
      </c>
      <c r="E880" s="19" t="s">
        <v>737</v>
      </c>
      <c r="F880" s="17" t="s">
        <v>738</v>
      </c>
      <c r="G880" s="21" t="s">
        <v>739</v>
      </c>
      <c r="H880" s="19">
        <v>2</v>
      </c>
      <c r="I880" s="21" t="s">
        <v>21</v>
      </c>
    </row>
    <row r="881" spans="1:9" x14ac:dyDescent="0.35">
      <c r="A881" s="17" t="s">
        <v>350</v>
      </c>
      <c r="B881" s="17" t="s">
        <v>351</v>
      </c>
      <c r="C881" s="19" t="s">
        <v>96</v>
      </c>
      <c r="D881" s="18" t="s">
        <v>130</v>
      </c>
      <c r="E881" s="19" t="s">
        <v>737</v>
      </c>
      <c r="F881" s="17" t="s">
        <v>738</v>
      </c>
      <c r="G881" s="21" t="s">
        <v>739</v>
      </c>
      <c r="H881" s="19">
        <v>2</v>
      </c>
      <c r="I881" s="21" t="s">
        <v>21</v>
      </c>
    </row>
    <row r="882" spans="1:9" x14ac:dyDescent="0.35">
      <c r="A882" s="17" t="s">
        <v>350</v>
      </c>
      <c r="B882" s="17" t="s">
        <v>351</v>
      </c>
      <c r="C882" s="19" t="s">
        <v>145</v>
      </c>
      <c r="D882" s="18" t="s">
        <v>204</v>
      </c>
      <c r="E882" s="19" t="s">
        <v>737</v>
      </c>
      <c r="F882" s="17" t="s">
        <v>735</v>
      </c>
      <c r="G882" s="21" t="s">
        <v>736</v>
      </c>
      <c r="H882" s="19">
        <v>1</v>
      </c>
      <c r="I882" s="21" t="s">
        <v>9</v>
      </c>
    </row>
    <row r="883" spans="1:9" x14ac:dyDescent="0.35">
      <c r="A883" s="17" t="s">
        <v>350</v>
      </c>
      <c r="B883" s="17" t="s">
        <v>351</v>
      </c>
      <c r="C883" s="19" t="s">
        <v>190</v>
      </c>
      <c r="D883" s="18" t="s">
        <v>130</v>
      </c>
      <c r="E883" s="19" t="s">
        <v>737</v>
      </c>
      <c r="F883" s="17" t="s">
        <v>738</v>
      </c>
      <c r="G883" s="21" t="s">
        <v>739</v>
      </c>
      <c r="H883" s="19">
        <v>2</v>
      </c>
      <c r="I883" s="21" t="s">
        <v>21</v>
      </c>
    </row>
    <row r="884" spans="1:9" x14ac:dyDescent="0.35">
      <c r="A884" s="17" t="s">
        <v>350</v>
      </c>
      <c r="B884" s="17" t="s">
        <v>351</v>
      </c>
      <c r="C884" s="19" t="s">
        <v>227</v>
      </c>
      <c r="D884" s="18" t="s">
        <v>81</v>
      </c>
      <c r="E884" s="19" t="s">
        <v>737</v>
      </c>
      <c r="F884" s="17" t="s">
        <v>738</v>
      </c>
      <c r="G884" s="21" t="s">
        <v>739</v>
      </c>
      <c r="H884" s="19">
        <v>2</v>
      </c>
      <c r="I884" s="21" t="s">
        <v>21</v>
      </c>
    </row>
    <row r="885" spans="1:9" x14ac:dyDescent="0.35">
      <c r="A885" s="17" t="s">
        <v>350</v>
      </c>
      <c r="B885" s="17" t="s">
        <v>351</v>
      </c>
      <c r="C885" s="19" t="s">
        <v>308</v>
      </c>
      <c r="D885" s="18" t="s">
        <v>204</v>
      </c>
      <c r="E885" s="19" t="s">
        <v>737</v>
      </c>
      <c r="F885" s="17" t="s">
        <v>735</v>
      </c>
      <c r="G885" s="21" t="s">
        <v>736</v>
      </c>
      <c r="H885" s="19">
        <v>2</v>
      </c>
      <c r="I885" s="21" t="s">
        <v>9</v>
      </c>
    </row>
    <row r="886" spans="1:9" x14ac:dyDescent="0.35">
      <c r="A886" s="17" t="s">
        <v>350</v>
      </c>
      <c r="B886" s="17" t="s">
        <v>351</v>
      </c>
      <c r="C886" s="19" t="s">
        <v>432</v>
      </c>
      <c r="D886" s="18" t="s">
        <v>328</v>
      </c>
      <c r="E886" s="19" t="s">
        <v>737</v>
      </c>
      <c r="F886" s="17" t="s">
        <v>738</v>
      </c>
      <c r="G886" s="21" t="s">
        <v>739</v>
      </c>
      <c r="H886" s="19">
        <v>2</v>
      </c>
      <c r="I886" s="21" t="s">
        <v>21</v>
      </c>
    </row>
    <row r="887" spans="1:9" x14ac:dyDescent="0.35">
      <c r="A887" s="17" t="s">
        <v>370</v>
      </c>
      <c r="B887" s="17">
        <v>133</v>
      </c>
      <c r="C887" s="19" t="s">
        <v>23</v>
      </c>
      <c r="D887" s="18" t="s">
        <v>335</v>
      </c>
      <c r="E887" s="19" t="s">
        <v>740</v>
      </c>
      <c r="F887" s="17" t="s">
        <v>743</v>
      </c>
      <c r="G887" s="21" t="s">
        <v>744</v>
      </c>
      <c r="H887" s="19">
        <v>3</v>
      </c>
      <c r="I887" s="21" t="s">
        <v>19</v>
      </c>
    </row>
    <row r="888" spans="1:9" x14ac:dyDescent="0.35">
      <c r="A888" s="17" t="s">
        <v>370</v>
      </c>
      <c r="B888" s="17" t="s">
        <v>371</v>
      </c>
      <c r="C888" s="19" t="s">
        <v>23</v>
      </c>
      <c r="D888" s="18" t="s">
        <v>53</v>
      </c>
      <c r="E888" s="19" t="s">
        <v>732</v>
      </c>
      <c r="F888" s="17" t="s">
        <v>735</v>
      </c>
      <c r="G888" s="21" t="s">
        <v>736</v>
      </c>
      <c r="H888" s="19">
        <v>2</v>
      </c>
      <c r="I888" s="21" t="s">
        <v>9</v>
      </c>
    </row>
    <row r="889" spans="1:9" x14ac:dyDescent="0.35">
      <c r="A889" s="17" t="s">
        <v>527</v>
      </c>
      <c r="B889" s="17" t="s">
        <v>528</v>
      </c>
      <c r="C889" s="19" t="s">
        <v>96</v>
      </c>
      <c r="D889" s="18" t="s">
        <v>332</v>
      </c>
      <c r="E889" s="19" t="s">
        <v>729</v>
      </c>
      <c r="F889" s="17" t="s">
        <v>730</v>
      </c>
      <c r="G889" s="21" t="s">
        <v>731</v>
      </c>
      <c r="H889" s="19"/>
      <c r="I889" s="21" t="s">
        <v>17</v>
      </c>
    </row>
    <row r="890" spans="1:9" x14ac:dyDescent="0.35">
      <c r="A890" s="17" t="s">
        <v>322</v>
      </c>
      <c r="B890" s="17" t="s">
        <v>609</v>
      </c>
      <c r="C890" s="19" t="s">
        <v>190</v>
      </c>
      <c r="D890" s="18" t="s">
        <v>215</v>
      </c>
      <c r="E890" s="19" t="s">
        <v>729</v>
      </c>
      <c r="F890" s="17" t="s">
        <v>730</v>
      </c>
      <c r="G890" s="21" t="s">
        <v>731</v>
      </c>
      <c r="H890" s="19"/>
      <c r="I890" s="21" t="s">
        <v>17</v>
      </c>
    </row>
    <row r="891" spans="1:9" x14ac:dyDescent="0.35">
      <c r="A891" s="17" t="s">
        <v>322</v>
      </c>
      <c r="B891" s="17">
        <v>107</v>
      </c>
      <c r="C891" s="19" t="s">
        <v>227</v>
      </c>
      <c r="D891" s="18" t="s">
        <v>759</v>
      </c>
      <c r="E891" s="19" t="s">
        <v>745</v>
      </c>
      <c r="F891" s="17" t="s">
        <v>746</v>
      </c>
      <c r="G891" s="21" t="s">
        <v>747</v>
      </c>
      <c r="H891" s="19"/>
      <c r="I891" s="21" t="s">
        <v>11</v>
      </c>
    </row>
    <row r="892" spans="1:9" x14ac:dyDescent="0.35">
      <c r="A892" s="17" t="s">
        <v>322</v>
      </c>
      <c r="B892" s="17" t="s">
        <v>494</v>
      </c>
      <c r="C892" s="19" t="s">
        <v>23</v>
      </c>
      <c r="D892" s="18" t="s">
        <v>91</v>
      </c>
      <c r="E892" s="19" t="s">
        <v>729</v>
      </c>
      <c r="F892" s="17" t="s">
        <v>730</v>
      </c>
      <c r="G892" s="21" t="s">
        <v>731</v>
      </c>
      <c r="H892" s="19"/>
      <c r="I892" s="21" t="s">
        <v>17</v>
      </c>
    </row>
    <row r="893" spans="1:9" x14ac:dyDescent="0.35">
      <c r="A893" s="17" t="s">
        <v>322</v>
      </c>
      <c r="B893" s="17" t="s">
        <v>513</v>
      </c>
      <c r="C893" s="19" t="s">
        <v>96</v>
      </c>
      <c r="D893" s="18" t="s">
        <v>290</v>
      </c>
      <c r="E893" s="19" t="s">
        <v>729</v>
      </c>
      <c r="F893" s="17" t="s">
        <v>730</v>
      </c>
      <c r="G893" s="21" t="s">
        <v>731</v>
      </c>
      <c r="H893" s="19"/>
      <c r="I893" s="21" t="s">
        <v>17</v>
      </c>
    </row>
    <row r="894" spans="1:9" x14ac:dyDescent="0.35">
      <c r="A894" s="17" t="s">
        <v>322</v>
      </c>
      <c r="B894" s="17" t="s">
        <v>323</v>
      </c>
      <c r="C894" s="19" t="s">
        <v>23</v>
      </c>
      <c r="D894" s="18" t="s">
        <v>87</v>
      </c>
      <c r="E894" s="19" t="s">
        <v>732</v>
      </c>
      <c r="F894" s="17" t="s">
        <v>733</v>
      </c>
      <c r="G894" s="21" t="s">
        <v>734</v>
      </c>
      <c r="H894" s="19">
        <v>3</v>
      </c>
      <c r="I894" s="21" t="s">
        <v>15</v>
      </c>
    </row>
    <row r="895" spans="1:9" x14ac:dyDescent="0.35">
      <c r="A895" s="17" t="s">
        <v>322</v>
      </c>
      <c r="B895" s="17" t="s">
        <v>323</v>
      </c>
      <c r="C895" s="19" t="s">
        <v>96</v>
      </c>
      <c r="D895" s="18" t="s">
        <v>204</v>
      </c>
      <c r="E895" s="19" t="s">
        <v>732</v>
      </c>
      <c r="F895" s="17" t="s">
        <v>733</v>
      </c>
      <c r="G895" s="21" t="s">
        <v>734</v>
      </c>
      <c r="H895" s="19">
        <v>3</v>
      </c>
      <c r="I895" s="21" t="s">
        <v>15</v>
      </c>
    </row>
    <row r="896" spans="1:9" x14ac:dyDescent="0.35">
      <c r="A896" s="17" t="s">
        <v>322</v>
      </c>
      <c r="B896" s="17" t="s">
        <v>323</v>
      </c>
      <c r="C896" s="19" t="s">
        <v>145</v>
      </c>
      <c r="D896" s="18" t="s">
        <v>81</v>
      </c>
      <c r="E896" s="19" t="s">
        <v>732</v>
      </c>
      <c r="F896" s="17" t="s">
        <v>733</v>
      </c>
      <c r="G896" s="21" t="s">
        <v>734</v>
      </c>
      <c r="H896" s="19">
        <v>3</v>
      </c>
      <c r="I896" s="21" t="s">
        <v>15</v>
      </c>
    </row>
    <row r="897" spans="1:9" x14ac:dyDescent="0.35">
      <c r="A897" s="17" t="s">
        <v>322</v>
      </c>
      <c r="B897" s="17" t="s">
        <v>323</v>
      </c>
      <c r="C897" s="19" t="s">
        <v>190</v>
      </c>
      <c r="D897" s="18" t="s">
        <v>61</v>
      </c>
      <c r="E897" s="19" t="s">
        <v>732</v>
      </c>
      <c r="F897" s="17" t="s">
        <v>735</v>
      </c>
      <c r="G897" s="21" t="s">
        <v>736</v>
      </c>
      <c r="H897" s="19">
        <v>2</v>
      </c>
      <c r="I897" s="21" t="s">
        <v>9</v>
      </c>
    </row>
    <row r="898" spans="1:9" x14ac:dyDescent="0.35">
      <c r="A898" s="17" t="s">
        <v>322</v>
      </c>
      <c r="B898" s="17" t="s">
        <v>323</v>
      </c>
      <c r="C898" s="19" t="s">
        <v>227</v>
      </c>
      <c r="D898" s="18" t="s">
        <v>162</v>
      </c>
      <c r="E898" s="19" t="s">
        <v>732</v>
      </c>
      <c r="F898" s="17" t="s">
        <v>733</v>
      </c>
      <c r="G898" s="21" t="s">
        <v>734</v>
      </c>
      <c r="H898" s="19">
        <v>3</v>
      </c>
      <c r="I898" s="21" t="s">
        <v>15</v>
      </c>
    </row>
    <row r="899" spans="1:9" x14ac:dyDescent="0.35">
      <c r="A899" s="17" t="s">
        <v>322</v>
      </c>
      <c r="B899" s="17" t="s">
        <v>323</v>
      </c>
      <c r="C899" s="19" t="s">
        <v>308</v>
      </c>
      <c r="D899" s="18" t="s">
        <v>204</v>
      </c>
      <c r="E899" s="19" t="s">
        <v>732</v>
      </c>
      <c r="F899" s="17" t="s">
        <v>733</v>
      </c>
      <c r="G899" s="21" t="s">
        <v>734</v>
      </c>
      <c r="H899" s="19">
        <v>3</v>
      </c>
      <c r="I899" s="21" t="s">
        <v>15</v>
      </c>
    </row>
    <row r="900" spans="1:9" x14ac:dyDescent="0.35">
      <c r="A900" s="17" t="s">
        <v>322</v>
      </c>
      <c r="B900" s="17" t="s">
        <v>323</v>
      </c>
      <c r="C900" s="19" t="s">
        <v>432</v>
      </c>
      <c r="D900" s="18" t="s">
        <v>61</v>
      </c>
      <c r="E900" s="19" t="s">
        <v>732</v>
      </c>
      <c r="F900" s="17" t="s">
        <v>735</v>
      </c>
      <c r="G900" s="21" t="s">
        <v>736</v>
      </c>
      <c r="H900" s="19">
        <v>3</v>
      </c>
      <c r="I900" s="21" t="s">
        <v>9</v>
      </c>
    </row>
    <row r="901" spans="1:9" x14ac:dyDescent="0.35">
      <c r="A901" s="17" t="s">
        <v>175</v>
      </c>
      <c r="B901" s="17"/>
      <c r="C901" s="19" t="s">
        <v>145</v>
      </c>
      <c r="D901" s="18" t="s">
        <v>83</v>
      </c>
      <c r="E901" s="19" t="s">
        <v>726</v>
      </c>
      <c r="F901" s="17" t="s">
        <v>727</v>
      </c>
      <c r="G901" s="21" t="s">
        <v>728</v>
      </c>
      <c r="H901" s="19"/>
      <c r="I901" s="21" t="s">
        <v>5</v>
      </c>
    </row>
    <row r="902" spans="1:9" x14ac:dyDescent="0.35">
      <c r="A902" s="17" t="s">
        <v>339</v>
      </c>
      <c r="B902" s="17">
        <v>2</v>
      </c>
      <c r="C902" s="19" t="s">
        <v>432</v>
      </c>
      <c r="D902" s="18" t="s">
        <v>204</v>
      </c>
      <c r="E902" s="19" t="s">
        <v>732</v>
      </c>
      <c r="F902" s="17" t="s">
        <v>735</v>
      </c>
      <c r="G902" s="21" t="s">
        <v>736</v>
      </c>
      <c r="H902" s="19">
        <v>1</v>
      </c>
      <c r="I902" s="21" t="s">
        <v>9</v>
      </c>
    </row>
    <row r="903" spans="1:9" x14ac:dyDescent="0.35">
      <c r="A903" s="17" t="s">
        <v>339</v>
      </c>
      <c r="B903" s="17" t="s">
        <v>633</v>
      </c>
      <c r="C903" s="19" t="s">
        <v>227</v>
      </c>
      <c r="D903" s="18" t="s">
        <v>109</v>
      </c>
      <c r="E903" s="19" t="s">
        <v>729</v>
      </c>
      <c r="F903" s="17" t="s">
        <v>730</v>
      </c>
      <c r="G903" s="21" t="s">
        <v>731</v>
      </c>
      <c r="H903" s="19"/>
      <c r="I903" s="21" t="s">
        <v>17</v>
      </c>
    </row>
    <row r="904" spans="1:9" x14ac:dyDescent="0.35">
      <c r="A904" s="17" t="s">
        <v>157</v>
      </c>
      <c r="B904" s="17"/>
      <c r="C904" s="19" t="s">
        <v>145</v>
      </c>
      <c r="D904" s="18" t="s">
        <v>158</v>
      </c>
      <c r="E904" s="19" t="s">
        <v>726</v>
      </c>
      <c r="F904" s="17" t="s">
        <v>727</v>
      </c>
      <c r="G904" s="21" t="s">
        <v>728</v>
      </c>
      <c r="H904" s="19"/>
      <c r="I904" s="21" t="s">
        <v>5</v>
      </c>
    </row>
    <row r="905" spans="1:9" x14ac:dyDescent="0.35">
      <c r="A905" s="17" t="s">
        <v>278</v>
      </c>
      <c r="B905" s="17">
        <v>30</v>
      </c>
      <c r="C905" s="19" t="s">
        <v>23</v>
      </c>
      <c r="D905" s="18" t="s">
        <v>759</v>
      </c>
      <c r="E905" s="19" t="s">
        <v>745</v>
      </c>
      <c r="F905" s="17" t="s">
        <v>746</v>
      </c>
      <c r="G905" s="21" t="s">
        <v>747</v>
      </c>
      <c r="H905" s="19"/>
      <c r="I905" s="21" t="s">
        <v>11</v>
      </c>
    </row>
    <row r="906" spans="1:9" x14ac:dyDescent="0.35">
      <c r="A906" s="17" t="s">
        <v>278</v>
      </c>
      <c r="B906" s="17" t="s">
        <v>303</v>
      </c>
      <c r="C906" s="19" t="s">
        <v>23</v>
      </c>
      <c r="D906" s="18" t="s">
        <v>305</v>
      </c>
      <c r="E906" s="19" t="s">
        <v>740</v>
      </c>
      <c r="F906" s="17" t="s">
        <v>743</v>
      </c>
      <c r="G906" s="21" t="s">
        <v>744</v>
      </c>
      <c r="H906" s="19">
        <v>1</v>
      </c>
      <c r="I906" s="21" t="s">
        <v>19</v>
      </c>
    </row>
    <row r="907" spans="1:9" x14ac:dyDescent="0.35">
      <c r="A907" s="17" t="s">
        <v>278</v>
      </c>
      <c r="B907" s="17" t="s">
        <v>349</v>
      </c>
      <c r="C907" s="19" t="s">
        <v>23</v>
      </c>
      <c r="D907" s="18" t="s">
        <v>130</v>
      </c>
      <c r="E907" s="19" t="s">
        <v>737</v>
      </c>
      <c r="F907" s="17" t="s">
        <v>738</v>
      </c>
      <c r="G907" s="21" t="s">
        <v>739</v>
      </c>
      <c r="H907" s="19">
        <v>4</v>
      </c>
      <c r="I907" s="21" t="s">
        <v>21</v>
      </c>
    </row>
    <row r="908" spans="1:9" x14ac:dyDescent="0.35">
      <c r="A908" s="17" t="s">
        <v>278</v>
      </c>
      <c r="B908" s="17" t="s">
        <v>349</v>
      </c>
      <c r="C908" s="19" t="s">
        <v>96</v>
      </c>
      <c r="D908" s="18" t="s">
        <v>212</v>
      </c>
      <c r="E908" s="19" t="s">
        <v>737</v>
      </c>
      <c r="F908" s="17" t="s">
        <v>738</v>
      </c>
      <c r="G908" s="21" t="s">
        <v>739</v>
      </c>
      <c r="H908" s="19">
        <v>4</v>
      </c>
      <c r="I908" s="21" t="s">
        <v>21</v>
      </c>
    </row>
    <row r="909" spans="1:9" x14ac:dyDescent="0.35">
      <c r="A909" s="17" t="s">
        <v>278</v>
      </c>
      <c r="B909" s="17" t="s">
        <v>349</v>
      </c>
      <c r="C909" s="19" t="s">
        <v>145</v>
      </c>
      <c r="D909" s="18" t="s">
        <v>305</v>
      </c>
      <c r="E909" s="19" t="s">
        <v>737</v>
      </c>
      <c r="F909" s="17" t="s">
        <v>735</v>
      </c>
      <c r="G909" s="21" t="s">
        <v>736</v>
      </c>
      <c r="H909" s="19">
        <v>2</v>
      </c>
      <c r="I909" s="21" t="s">
        <v>9</v>
      </c>
    </row>
    <row r="910" spans="1:9" x14ac:dyDescent="0.35">
      <c r="A910" s="17" t="s">
        <v>278</v>
      </c>
      <c r="B910" s="17" t="s">
        <v>349</v>
      </c>
      <c r="C910" s="19" t="s">
        <v>190</v>
      </c>
      <c r="D910" s="18" t="s">
        <v>215</v>
      </c>
      <c r="E910" s="19" t="s">
        <v>737</v>
      </c>
      <c r="F910" s="17" t="s">
        <v>738</v>
      </c>
      <c r="G910" s="21" t="s">
        <v>739</v>
      </c>
      <c r="H910" s="19">
        <v>4</v>
      </c>
      <c r="I910" s="21" t="s">
        <v>21</v>
      </c>
    </row>
    <row r="911" spans="1:9" x14ac:dyDescent="0.35">
      <c r="A911" s="17" t="s">
        <v>278</v>
      </c>
      <c r="B911" s="17" t="s">
        <v>349</v>
      </c>
      <c r="C911" s="19" t="s">
        <v>227</v>
      </c>
      <c r="D911" s="18" t="s">
        <v>130</v>
      </c>
      <c r="E911" s="19" t="s">
        <v>737</v>
      </c>
      <c r="F911" s="17" t="s">
        <v>738</v>
      </c>
      <c r="G911" s="21" t="s">
        <v>739</v>
      </c>
      <c r="H911" s="19">
        <v>4</v>
      </c>
      <c r="I911" s="21" t="s">
        <v>21</v>
      </c>
    </row>
    <row r="912" spans="1:9" x14ac:dyDescent="0.35">
      <c r="A912" s="17" t="s">
        <v>278</v>
      </c>
      <c r="B912" s="17" t="s">
        <v>349</v>
      </c>
      <c r="C912" s="19" t="s">
        <v>308</v>
      </c>
      <c r="D912" s="18" t="s">
        <v>305</v>
      </c>
      <c r="E912" s="19" t="s">
        <v>737</v>
      </c>
      <c r="F912" s="17" t="s">
        <v>735</v>
      </c>
      <c r="G912" s="21" t="s">
        <v>736</v>
      </c>
      <c r="H912" s="19">
        <v>2</v>
      </c>
      <c r="I912" s="21" t="s">
        <v>9</v>
      </c>
    </row>
    <row r="913" spans="1:9" x14ac:dyDescent="0.35">
      <c r="A913" s="17" t="s">
        <v>278</v>
      </c>
      <c r="B913" s="17" t="s">
        <v>349</v>
      </c>
      <c r="C913" s="19" t="s">
        <v>432</v>
      </c>
      <c r="D913" s="18" t="s">
        <v>81</v>
      </c>
      <c r="E913" s="19" t="s">
        <v>737</v>
      </c>
      <c r="F913" s="17" t="s">
        <v>738</v>
      </c>
      <c r="G913" s="21" t="s">
        <v>739</v>
      </c>
      <c r="H913" s="19">
        <v>4</v>
      </c>
      <c r="I913" s="21" t="s">
        <v>21</v>
      </c>
    </row>
    <row r="914" spans="1:9" x14ac:dyDescent="0.35">
      <c r="A914" s="17" t="s">
        <v>278</v>
      </c>
      <c r="B914" s="17" t="s">
        <v>279</v>
      </c>
      <c r="C914" s="19" t="s">
        <v>23</v>
      </c>
      <c r="D914" s="18" t="s">
        <v>199</v>
      </c>
      <c r="E914" s="19" t="s">
        <v>740</v>
      </c>
      <c r="F914" s="17" t="s">
        <v>741</v>
      </c>
      <c r="G914" s="21" t="s">
        <v>742</v>
      </c>
      <c r="H914" s="19">
        <v>1</v>
      </c>
      <c r="I914" s="21" t="s">
        <v>7</v>
      </c>
    </row>
    <row r="915" spans="1:9" x14ac:dyDescent="0.35">
      <c r="A915" s="17" t="s">
        <v>278</v>
      </c>
      <c r="B915" s="17" t="s">
        <v>279</v>
      </c>
      <c r="C915" s="19" t="s">
        <v>96</v>
      </c>
      <c r="D915" s="18" t="s">
        <v>199</v>
      </c>
      <c r="E915" s="19" t="s">
        <v>740</v>
      </c>
      <c r="F915" s="17" t="s">
        <v>741</v>
      </c>
      <c r="G915" s="21" t="s">
        <v>742</v>
      </c>
      <c r="H915" s="19">
        <v>1</v>
      </c>
      <c r="I915" s="21" t="s">
        <v>7</v>
      </c>
    </row>
    <row r="916" spans="1:9" x14ac:dyDescent="0.35">
      <c r="A916" s="17" t="s">
        <v>278</v>
      </c>
      <c r="B916" s="17" t="s">
        <v>279</v>
      </c>
      <c r="C916" s="19" t="s">
        <v>145</v>
      </c>
      <c r="D916" s="18" t="s">
        <v>199</v>
      </c>
      <c r="E916" s="19" t="s">
        <v>740</v>
      </c>
      <c r="F916" s="17" t="s">
        <v>741</v>
      </c>
      <c r="G916" s="21" t="s">
        <v>742</v>
      </c>
      <c r="H916" s="19">
        <v>1</v>
      </c>
      <c r="I916" s="21" t="s">
        <v>7</v>
      </c>
    </row>
    <row r="917" spans="1:9" x14ac:dyDescent="0.35">
      <c r="A917" s="17" t="s">
        <v>278</v>
      </c>
      <c r="B917" s="17" t="s">
        <v>279</v>
      </c>
      <c r="C917" s="19" t="s">
        <v>190</v>
      </c>
      <c r="D917" s="18" t="s">
        <v>332</v>
      </c>
      <c r="E917" s="19" t="s">
        <v>740</v>
      </c>
      <c r="F917" s="17" t="s">
        <v>743</v>
      </c>
      <c r="G917" s="21" t="s">
        <v>744</v>
      </c>
      <c r="H917" s="19">
        <v>1</v>
      </c>
      <c r="I917" s="21" t="s">
        <v>19</v>
      </c>
    </row>
    <row r="918" spans="1:9" x14ac:dyDescent="0.35">
      <c r="A918" s="17" t="s">
        <v>278</v>
      </c>
      <c r="B918" s="17" t="s">
        <v>279</v>
      </c>
      <c r="C918" s="19" t="s">
        <v>227</v>
      </c>
      <c r="D918" s="18" t="s">
        <v>199</v>
      </c>
      <c r="E918" s="19" t="s">
        <v>740</v>
      </c>
      <c r="F918" s="17" t="s">
        <v>741</v>
      </c>
      <c r="G918" s="21" t="s">
        <v>742</v>
      </c>
      <c r="H918" s="19">
        <v>1</v>
      </c>
      <c r="I918" s="21" t="s">
        <v>7</v>
      </c>
    </row>
    <row r="919" spans="1:9" x14ac:dyDescent="0.35">
      <c r="A919" s="17" t="s">
        <v>278</v>
      </c>
      <c r="B919" s="17" t="s">
        <v>279</v>
      </c>
      <c r="C919" s="19" t="s">
        <v>308</v>
      </c>
      <c r="D919" s="18" t="s">
        <v>199</v>
      </c>
      <c r="E919" s="19" t="s">
        <v>740</v>
      </c>
      <c r="F919" s="17" t="s">
        <v>741</v>
      </c>
      <c r="G919" s="21" t="s">
        <v>742</v>
      </c>
      <c r="H919" s="19">
        <v>1</v>
      </c>
      <c r="I919" s="21" t="s">
        <v>7</v>
      </c>
    </row>
    <row r="920" spans="1:9" x14ac:dyDescent="0.35">
      <c r="A920" s="17" t="s">
        <v>278</v>
      </c>
      <c r="B920" s="17" t="s">
        <v>279</v>
      </c>
      <c r="C920" s="19" t="s">
        <v>432</v>
      </c>
      <c r="D920" s="18" t="s">
        <v>332</v>
      </c>
      <c r="E920" s="19" t="s">
        <v>740</v>
      </c>
      <c r="F920" s="17" t="s">
        <v>743</v>
      </c>
      <c r="G920" s="21" t="s">
        <v>744</v>
      </c>
      <c r="H920" s="19">
        <v>1</v>
      </c>
      <c r="I920" s="21" t="s">
        <v>19</v>
      </c>
    </row>
    <row r="921" spans="1:9" x14ac:dyDescent="0.35">
      <c r="A921" s="17" t="s">
        <v>153</v>
      </c>
      <c r="B921" s="17"/>
      <c r="C921" s="19" t="s">
        <v>145</v>
      </c>
      <c r="D921" s="18" t="s">
        <v>154</v>
      </c>
      <c r="E921" s="19" t="s">
        <v>726</v>
      </c>
      <c r="F921" s="17" t="s">
        <v>727</v>
      </c>
      <c r="G921" s="21" t="s">
        <v>728</v>
      </c>
      <c r="H921" s="19"/>
      <c r="I921" s="21" t="s">
        <v>5</v>
      </c>
    </row>
    <row r="922" spans="1:9" x14ac:dyDescent="0.35">
      <c r="A922" s="17" t="s">
        <v>187</v>
      </c>
      <c r="B922" s="17"/>
      <c r="C922" s="19" t="s">
        <v>145</v>
      </c>
      <c r="D922" s="18" t="s">
        <v>188</v>
      </c>
      <c r="E922" s="19" t="s">
        <v>726</v>
      </c>
      <c r="F922" s="17" t="s">
        <v>727</v>
      </c>
      <c r="G922" s="21" t="s">
        <v>728</v>
      </c>
      <c r="H922" s="19"/>
      <c r="I922" s="21" t="s">
        <v>5</v>
      </c>
    </row>
    <row r="923" spans="1:9" x14ac:dyDescent="0.35">
      <c r="A923" s="17" t="s">
        <v>187</v>
      </c>
      <c r="B923" s="17">
        <v>114</v>
      </c>
      <c r="C923" s="19" t="s">
        <v>96</v>
      </c>
      <c r="D923" s="18" t="s">
        <v>759</v>
      </c>
      <c r="E923" s="19" t="s">
        <v>745</v>
      </c>
      <c r="F923" s="17" t="s">
        <v>746</v>
      </c>
      <c r="G923" s="21" t="s">
        <v>747</v>
      </c>
      <c r="H923" s="19"/>
      <c r="I923" s="21" t="s">
        <v>11</v>
      </c>
    </row>
    <row r="924" spans="1:9" x14ac:dyDescent="0.35">
      <c r="A924" s="17" t="s">
        <v>187</v>
      </c>
      <c r="B924" s="17" t="s">
        <v>397</v>
      </c>
      <c r="C924" s="19" t="s">
        <v>227</v>
      </c>
      <c r="D924" s="18" t="s">
        <v>759</v>
      </c>
      <c r="E924" s="19" t="s">
        <v>745</v>
      </c>
      <c r="F924" s="17" t="s">
        <v>746</v>
      </c>
      <c r="G924" s="21" t="s">
        <v>747</v>
      </c>
      <c r="H924" s="19"/>
      <c r="I924" s="21" t="s">
        <v>11</v>
      </c>
    </row>
    <row r="925" spans="1:9" x14ac:dyDescent="0.35">
      <c r="A925" s="17" t="s">
        <v>187</v>
      </c>
      <c r="B925" s="17">
        <v>47</v>
      </c>
      <c r="C925" s="19" t="s">
        <v>23</v>
      </c>
      <c r="D925" s="18" t="s">
        <v>55</v>
      </c>
      <c r="E925" s="19" t="s">
        <v>732</v>
      </c>
      <c r="F925" s="17" t="s">
        <v>733</v>
      </c>
      <c r="G925" s="21" t="s">
        <v>734</v>
      </c>
      <c r="H925" s="19">
        <v>4</v>
      </c>
      <c r="I925" s="21" t="s">
        <v>15</v>
      </c>
    </row>
    <row r="926" spans="1:9" x14ac:dyDescent="0.35">
      <c r="A926" s="17" t="s">
        <v>187</v>
      </c>
      <c r="B926" s="17">
        <v>47</v>
      </c>
      <c r="C926" s="19" t="s">
        <v>96</v>
      </c>
      <c r="D926" s="18" t="s">
        <v>59</v>
      </c>
      <c r="E926" s="19" t="s">
        <v>732</v>
      </c>
      <c r="F926" s="17" t="s">
        <v>733</v>
      </c>
      <c r="G926" s="21" t="s">
        <v>734</v>
      </c>
      <c r="H926" s="19">
        <v>4</v>
      </c>
      <c r="I926" s="21" t="s">
        <v>15</v>
      </c>
    </row>
    <row r="927" spans="1:9" x14ac:dyDescent="0.35">
      <c r="A927" s="17" t="s">
        <v>187</v>
      </c>
      <c r="B927" s="17">
        <v>47</v>
      </c>
      <c r="C927" s="19" t="s">
        <v>145</v>
      </c>
      <c r="D927" s="18" t="s">
        <v>61</v>
      </c>
      <c r="E927" s="19" t="s">
        <v>732</v>
      </c>
      <c r="F927" s="17" t="s">
        <v>733</v>
      </c>
      <c r="G927" s="21" t="s">
        <v>734</v>
      </c>
      <c r="H927" s="19">
        <v>4</v>
      </c>
      <c r="I927" s="21" t="s">
        <v>15</v>
      </c>
    </row>
    <row r="928" spans="1:9" x14ac:dyDescent="0.35">
      <c r="A928" s="17" t="s">
        <v>187</v>
      </c>
      <c r="B928" s="17">
        <v>47</v>
      </c>
      <c r="C928" s="19" t="s">
        <v>190</v>
      </c>
      <c r="D928" s="18" t="s">
        <v>57</v>
      </c>
      <c r="E928" s="19" t="s">
        <v>732</v>
      </c>
      <c r="F928" s="17" t="s">
        <v>735</v>
      </c>
      <c r="G928" s="21" t="s">
        <v>736</v>
      </c>
      <c r="H928" s="19">
        <v>3</v>
      </c>
      <c r="I928" s="21" t="s">
        <v>9</v>
      </c>
    </row>
    <row r="929" spans="1:9" x14ac:dyDescent="0.35">
      <c r="A929" s="17" t="s">
        <v>187</v>
      </c>
      <c r="B929" s="17">
        <v>47</v>
      </c>
      <c r="C929" s="19" t="s">
        <v>227</v>
      </c>
      <c r="D929" s="18" t="s">
        <v>55</v>
      </c>
      <c r="E929" s="19" t="s">
        <v>732</v>
      </c>
      <c r="F929" s="17" t="s">
        <v>733</v>
      </c>
      <c r="G929" s="21" t="s">
        <v>734</v>
      </c>
      <c r="H929" s="19">
        <v>4</v>
      </c>
      <c r="I929" s="21" t="s">
        <v>15</v>
      </c>
    </row>
    <row r="930" spans="1:9" x14ac:dyDescent="0.35">
      <c r="A930" s="17" t="s">
        <v>187</v>
      </c>
      <c r="B930" s="17">
        <v>47</v>
      </c>
      <c r="C930" s="19" t="s">
        <v>308</v>
      </c>
      <c r="D930" s="18" t="s">
        <v>59</v>
      </c>
      <c r="E930" s="19" t="s">
        <v>732</v>
      </c>
      <c r="F930" s="17" t="s">
        <v>733</v>
      </c>
      <c r="G930" s="21" t="s">
        <v>734</v>
      </c>
      <c r="H930" s="19">
        <v>4</v>
      </c>
      <c r="I930" s="21" t="s">
        <v>15</v>
      </c>
    </row>
    <row r="931" spans="1:9" x14ac:dyDescent="0.35">
      <c r="A931" s="17" t="s">
        <v>187</v>
      </c>
      <c r="B931" s="17">
        <v>47</v>
      </c>
      <c r="C931" s="19" t="s">
        <v>432</v>
      </c>
      <c r="D931" s="18" t="s">
        <v>57</v>
      </c>
      <c r="E931" s="19" t="s">
        <v>732</v>
      </c>
      <c r="F931" s="17" t="s">
        <v>735</v>
      </c>
      <c r="G931" s="21" t="s">
        <v>736</v>
      </c>
      <c r="H931" s="19">
        <v>3</v>
      </c>
      <c r="I931" s="21" t="s">
        <v>9</v>
      </c>
    </row>
    <row r="932" spans="1:9" x14ac:dyDescent="0.35">
      <c r="A932" s="17" t="s">
        <v>187</v>
      </c>
      <c r="B932" s="17" t="s">
        <v>399</v>
      </c>
      <c r="C932" s="19" t="s">
        <v>23</v>
      </c>
      <c r="D932" s="18" t="s">
        <v>34</v>
      </c>
      <c r="E932" s="19" t="s">
        <v>748</v>
      </c>
      <c r="F932" s="17" t="s">
        <v>749</v>
      </c>
      <c r="G932" s="21" t="s">
        <v>750</v>
      </c>
      <c r="H932" s="19">
        <v>5</v>
      </c>
      <c r="I932" s="21" t="s">
        <v>13</v>
      </c>
    </row>
    <row r="933" spans="1:9" x14ac:dyDescent="0.35">
      <c r="A933" s="17" t="s">
        <v>187</v>
      </c>
      <c r="B933" s="17" t="s">
        <v>399</v>
      </c>
      <c r="C933" s="19" t="s">
        <v>96</v>
      </c>
      <c r="D933" s="18" t="s">
        <v>34</v>
      </c>
      <c r="E933" s="19" t="s">
        <v>748</v>
      </c>
      <c r="F933" s="17" t="s">
        <v>749</v>
      </c>
      <c r="G933" s="21" t="s">
        <v>750</v>
      </c>
      <c r="H933" s="19">
        <v>5</v>
      </c>
      <c r="I933" s="21" t="s">
        <v>13</v>
      </c>
    </row>
    <row r="934" spans="1:9" x14ac:dyDescent="0.35">
      <c r="A934" s="17" t="s">
        <v>187</v>
      </c>
      <c r="B934" s="17" t="s">
        <v>399</v>
      </c>
      <c r="C934" s="19" t="s">
        <v>145</v>
      </c>
      <c r="D934" s="18" t="s">
        <v>148</v>
      </c>
      <c r="E934" s="19" t="s">
        <v>748</v>
      </c>
      <c r="F934" s="17" t="s">
        <v>743</v>
      </c>
      <c r="G934" s="21" t="s">
        <v>744</v>
      </c>
      <c r="H934" s="19">
        <v>5</v>
      </c>
      <c r="I934" s="21" t="s">
        <v>19</v>
      </c>
    </row>
    <row r="935" spans="1:9" x14ac:dyDescent="0.35">
      <c r="A935" s="17" t="s">
        <v>187</v>
      </c>
      <c r="B935" s="17" t="s">
        <v>399</v>
      </c>
      <c r="C935" s="19" t="s">
        <v>145</v>
      </c>
      <c r="D935" s="18" t="s">
        <v>257</v>
      </c>
      <c r="E935" s="19" t="s">
        <v>748</v>
      </c>
      <c r="F935" s="17" t="s">
        <v>743</v>
      </c>
      <c r="G935" s="21" t="s">
        <v>744</v>
      </c>
      <c r="H935" s="19">
        <v>5</v>
      </c>
      <c r="I935" s="21" t="s">
        <v>19</v>
      </c>
    </row>
    <row r="936" spans="1:9" x14ac:dyDescent="0.35">
      <c r="A936" s="17" t="s">
        <v>187</v>
      </c>
      <c r="B936" s="17" t="s">
        <v>399</v>
      </c>
      <c r="C936" s="19" t="s">
        <v>190</v>
      </c>
      <c r="D936" s="18" t="s">
        <v>34</v>
      </c>
      <c r="E936" s="19" t="s">
        <v>748</v>
      </c>
      <c r="F936" s="17" t="s">
        <v>749</v>
      </c>
      <c r="G936" s="21" t="s">
        <v>750</v>
      </c>
      <c r="H936" s="19">
        <v>5</v>
      </c>
      <c r="I936" s="21" t="s">
        <v>13</v>
      </c>
    </row>
    <row r="937" spans="1:9" x14ac:dyDescent="0.35">
      <c r="A937" s="17" t="s">
        <v>187</v>
      </c>
      <c r="B937" s="17" t="s">
        <v>399</v>
      </c>
      <c r="C937" s="19" t="s">
        <v>227</v>
      </c>
      <c r="D937" s="18" t="s">
        <v>34</v>
      </c>
      <c r="E937" s="19" t="s">
        <v>748</v>
      </c>
      <c r="F937" s="17" t="s">
        <v>749</v>
      </c>
      <c r="G937" s="21" t="s">
        <v>750</v>
      </c>
      <c r="H937" s="19">
        <v>5</v>
      </c>
      <c r="I937" s="21" t="s">
        <v>13</v>
      </c>
    </row>
    <row r="938" spans="1:9" x14ac:dyDescent="0.35">
      <c r="A938" s="17" t="s">
        <v>187</v>
      </c>
      <c r="B938" s="17" t="s">
        <v>399</v>
      </c>
      <c r="C938" s="19" t="s">
        <v>308</v>
      </c>
      <c r="D938" s="18" t="s">
        <v>148</v>
      </c>
      <c r="E938" s="19" t="s">
        <v>748</v>
      </c>
      <c r="F938" s="17" t="s">
        <v>743</v>
      </c>
      <c r="G938" s="21" t="s">
        <v>744</v>
      </c>
      <c r="H938" s="19">
        <v>5</v>
      </c>
      <c r="I938" s="21" t="s">
        <v>19</v>
      </c>
    </row>
    <row r="939" spans="1:9" x14ac:dyDescent="0.35">
      <c r="A939" s="17" t="s">
        <v>187</v>
      </c>
      <c r="B939" s="17" t="s">
        <v>399</v>
      </c>
      <c r="C939" s="19" t="s">
        <v>308</v>
      </c>
      <c r="D939" s="18" t="s">
        <v>257</v>
      </c>
      <c r="E939" s="19" t="s">
        <v>748</v>
      </c>
      <c r="F939" s="17" t="s">
        <v>743</v>
      </c>
      <c r="G939" s="21" t="s">
        <v>744</v>
      </c>
      <c r="H939" s="19">
        <v>5</v>
      </c>
      <c r="I939" s="21" t="s">
        <v>19</v>
      </c>
    </row>
    <row r="940" spans="1:9" x14ac:dyDescent="0.35">
      <c r="A940" s="17" t="s">
        <v>187</v>
      </c>
      <c r="B940" s="17" t="s">
        <v>399</v>
      </c>
      <c r="C940" s="19" t="s">
        <v>432</v>
      </c>
      <c r="D940" s="18" t="s">
        <v>34</v>
      </c>
      <c r="E940" s="19" t="s">
        <v>748</v>
      </c>
      <c r="F940" s="17" t="s">
        <v>749</v>
      </c>
      <c r="G940" s="21" t="s">
        <v>750</v>
      </c>
      <c r="H940" s="19">
        <v>5</v>
      </c>
      <c r="I940" s="21" t="s">
        <v>13</v>
      </c>
    </row>
    <row r="941" spans="1:9" x14ac:dyDescent="0.35">
      <c r="A941" s="17" t="s">
        <v>187</v>
      </c>
      <c r="B941" s="17" t="s">
        <v>301</v>
      </c>
      <c r="C941" s="19" t="s">
        <v>23</v>
      </c>
      <c r="D941" s="18" t="s">
        <v>127</v>
      </c>
      <c r="E941" s="19" t="s">
        <v>748</v>
      </c>
      <c r="F941" s="17" t="s">
        <v>749</v>
      </c>
      <c r="G941" s="21" t="s">
        <v>750</v>
      </c>
      <c r="H941" s="19">
        <v>4</v>
      </c>
      <c r="I941" s="21" t="s">
        <v>13</v>
      </c>
    </row>
    <row r="942" spans="1:9" x14ac:dyDescent="0.35">
      <c r="A942" s="17" t="s">
        <v>187</v>
      </c>
      <c r="B942" s="17" t="s">
        <v>301</v>
      </c>
      <c r="C942" s="19" t="s">
        <v>96</v>
      </c>
      <c r="D942" s="18" t="s">
        <v>127</v>
      </c>
      <c r="E942" s="19" t="s">
        <v>748</v>
      </c>
      <c r="F942" s="17" t="s">
        <v>749</v>
      </c>
      <c r="G942" s="21" t="s">
        <v>750</v>
      </c>
      <c r="H942" s="19">
        <v>4</v>
      </c>
      <c r="I942" s="21" t="s">
        <v>13</v>
      </c>
    </row>
    <row r="943" spans="1:9" x14ac:dyDescent="0.35">
      <c r="A943" s="17" t="s">
        <v>187</v>
      </c>
      <c r="B943" s="17" t="s">
        <v>301</v>
      </c>
      <c r="C943" s="19" t="s">
        <v>145</v>
      </c>
      <c r="D943" s="18" t="s">
        <v>290</v>
      </c>
      <c r="E943" s="19" t="s">
        <v>748</v>
      </c>
      <c r="F943" s="17" t="s">
        <v>743</v>
      </c>
      <c r="G943" s="21" t="s">
        <v>744</v>
      </c>
      <c r="H943" s="19">
        <v>3</v>
      </c>
      <c r="I943" s="21" t="s">
        <v>19</v>
      </c>
    </row>
    <row r="944" spans="1:9" x14ac:dyDescent="0.35">
      <c r="A944" s="17" t="s">
        <v>187</v>
      </c>
      <c r="B944" s="17" t="s">
        <v>301</v>
      </c>
      <c r="C944" s="19" t="s">
        <v>190</v>
      </c>
      <c r="D944" s="18" t="s">
        <v>127</v>
      </c>
      <c r="E944" s="19" t="s">
        <v>748</v>
      </c>
      <c r="F944" s="17" t="s">
        <v>749</v>
      </c>
      <c r="G944" s="21" t="s">
        <v>750</v>
      </c>
      <c r="H944" s="19">
        <v>4</v>
      </c>
      <c r="I944" s="21" t="s">
        <v>13</v>
      </c>
    </row>
    <row r="945" spans="1:9" x14ac:dyDescent="0.35">
      <c r="A945" s="17" t="s">
        <v>187</v>
      </c>
      <c r="B945" s="17" t="s">
        <v>301</v>
      </c>
      <c r="C945" s="19" t="s">
        <v>227</v>
      </c>
      <c r="D945" s="18" t="s">
        <v>127</v>
      </c>
      <c r="E945" s="19" t="s">
        <v>748</v>
      </c>
      <c r="F945" s="17" t="s">
        <v>749</v>
      </c>
      <c r="G945" s="21" t="s">
        <v>750</v>
      </c>
      <c r="H945" s="19">
        <v>4</v>
      </c>
      <c r="I945" s="21" t="s">
        <v>13</v>
      </c>
    </row>
    <row r="946" spans="1:9" x14ac:dyDescent="0.35">
      <c r="A946" s="17" t="s">
        <v>187</v>
      </c>
      <c r="B946" s="17" t="s">
        <v>301</v>
      </c>
      <c r="C946" s="19" t="s">
        <v>308</v>
      </c>
      <c r="D946" s="18" t="s">
        <v>290</v>
      </c>
      <c r="E946" s="19" t="s">
        <v>748</v>
      </c>
      <c r="F946" s="17" t="s">
        <v>743</v>
      </c>
      <c r="G946" s="21" t="s">
        <v>744</v>
      </c>
      <c r="H946" s="19">
        <v>3</v>
      </c>
      <c r="I946" s="21" t="s">
        <v>19</v>
      </c>
    </row>
    <row r="947" spans="1:9" x14ac:dyDescent="0.35">
      <c r="A947" s="17" t="s">
        <v>187</v>
      </c>
      <c r="B947" s="17" t="s">
        <v>301</v>
      </c>
      <c r="C947" s="19" t="s">
        <v>432</v>
      </c>
      <c r="D947" s="18" t="s">
        <v>127</v>
      </c>
      <c r="E947" s="19" t="s">
        <v>748</v>
      </c>
      <c r="F947" s="17" t="s">
        <v>749</v>
      </c>
      <c r="G947" s="21" t="s">
        <v>750</v>
      </c>
      <c r="H947" s="19">
        <v>4</v>
      </c>
      <c r="I947" s="21" t="s">
        <v>13</v>
      </c>
    </row>
    <row r="948" spans="1:9" x14ac:dyDescent="0.35">
      <c r="A948" s="17" t="s">
        <v>187</v>
      </c>
      <c r="B948" s="17" t="s">
        <v>716</v>
      </c>
      <c r="C948" s="19" t="s">
        <v>227</v>
      </c>
      <c r="D948" s="18" t="s">
        <v>259</v>
      </c>
      <c r="E948" s="19" t="s">
        <v>737</v>
      </c>
      <c r="F948" s="17" t="s">
        <v>738</v>
      </c>
      <c r="G948" s="21" t="s">
        <v>739</v>
      </c>
      <c r="H948" s="19">
        <v>2</v>
      </c>
      <c r="I948" s="21" t="s">
        <v>21</v>
      </c>
    </row>
    <row r="949" spans="1:9" x14ac:dyDescent="0.35">
      <c r="A949" s="17" t="s">
        <v>187</v>
      </c>
      <c r="B949" s="17" t="s">
        <v>676</v>
      </c>
      <c r="C949" s="19" t="s">
        <v>23</v>
      </c>
      <c r="D949" s="18" t="s">
        <v>329</v>
      </c>
      <c r="E949" s="19" t="s">
        <v>740</v>
      </c>
      <c r="F949" s="17" t="s">
        <v>743</v>
      </c>
      <c r="G949" s="21" t="s">
        <v>744</v>
      </c>
      <c r="H949" s="19">
        <v>1</v>
      </c>
      <c r="I949" s="21" t="s">
        <v>19</v>
      </c>
    </row>
    <row r="950" spans="1:9" x14ac:dyDescent="0.35">
      <c r="A950" s="17" t="s">
        <v>187</v>
      </c>
      <c r="B950" s="17" t="s">
        <v>325</v>
      </c>
      <c r="C950" s="19" t="s">
        <v>23</v>
      </c>
      <c r="D950" s="18" t="s">
        <v>63</v>
      </c>
      <c r="E950" s="19" t="s">
        <v>748</v>
      </c>
      <c r="F950" s="17" t="s">
        <v>749</v>
      </c>
      <c r="G950" s="21" t="s">
        <v>750</v>
      </c>
      <c r="H950" s="19">
        <v>5</v>
      </c>
      <c r="I950" s="21" t="s">
        <v>13</v>
      </c>
    </row>
    <row r="951" spans="1:9" x14ac:dyDescent="0.35">
      <c r="A951" s="17" t="s">
        <v>187</v>
      </c>
      <c r="B951" s="17" t="s">
        <v>325</v>
      </c>
      <c r="C951" s="19" t="s">
        <v>23</v>
      </c>
      <c r="D951" s="18" t="s">
        <v>189</v>
      </c>
      <c r="E951" s="19" t="s">
        <v>729</v>
      </c>
      <c r="F951" s="17" t="s">
        <v>730</v>
      </c>
      <c r="G951" s="21" t="s">
        <v>731</v>
      </c>
      <c r="H951" s="19"/>
      <c r="I951" s="21" t="s">
        <v>17</v>
      </c>
    </row>
    <row r="952" spans="1:9" x14ac:dyDescent="0.35">
      <c r="A952" s="17" t="s">
        <v>187</v>
      </c>
      <c r="B952" s="17" t="s">
        <v>325</v>
      </c>
      <c r="C952" s="19" t="s">
        <v>96</v>
      </c>
      <c r="D952" s="18" t="s">
        <v>63</v>
      </c>
      <c r="E952" s="19" t="s">
        <v>748</v>
      </c>
      <c r="F952" s="17" t="s">
        <v>749</v>
      </c>
      <c r="G952" s="21" t="s">
        <v>750</v>
      </c>
      <c r="H952" s="19">
        <v>5</v>
      </c>
      <c r="I952" s="21" t="s">
        <v>13</v>
      </c>
    </row>
    <row r="953" spans="1:9" x14ac:dyDescent="0.35">
      <c r="A953" s="17" t="s">
        <v>187</v>
      </c>
      <c r="B953" s="17" t="s">
        <v>325</v>
      </c>
      <c r="C953" s="19" t="s">
        <v>145</v>
      </c>
      <c r="D953" s="18" t="s">
        <v>212</v>
      </c>
      <c r="E953" s="19" t="s">
        <v>748</v>
      </c>
      <c r="F953" s="17" t="s">
        <v>743</v>
      </c>
      <c r="G953" s="21" t="s">
        <v>744</v>
      </c>
      <c r="H953" s="19">
        <v>6</v>
      </c>
      <c r="I953" s="21" t="s">
        <v>19</v>
      </c>
    </row>
    <row r="954" spans="1:9" x14ac:dyDescent="0.35">
      <c r="A954" s="17" t="s">
        <v>187</v>
      </c>
      <c r="B954" s="17" t="s">
        <v>325</v>
      </c>
      <c r="C954" s="19" t="s">
        <v>190</v>
      </c>
      <c r="D954" s="18" t="s">
        <v>63</v>
      </c>
      <c r="E954" s="19" t="s">
        <v>748</v>
      </c>
      <c r="F954" s="17" t="s">
        <v>749</v>
      </c>
      <c r="G954" s="21" t="s">
        <v>750</v>
      </c>
      <c r="H954" s="19">
        <v>5</v>
      </c>
      <c r="I954" s="21" t="s">
        <v>13</v>
      </c>
    </row>
    <row r="955" spans="1:9" x14ac:dyDescent="0.35">
      <c r="A955" s="17" t="s">
        <v>187</v>
      </c>
      <c r="B955" s="17" t="s">
        <v>325</v>
      </c>
      <c r="C955" s="19" t="s">
        <v>227</v>
      </c>
      <c r="D955" s="18" t="s">
        <v>63</v>
      </c>
      <c r="E955" s="19" t="s">
        <v>748</v>
      </c>
      <c r="F955" s="17" t="s">
        <v>749</v>
      </c>
      <c r="G955" s="21" t="s">
        <v>750</v>
      </c>
      <c r="H955" s="19">
        <v>5</v>
      </c>
      <c r="I955" s="21" t="s">
        <v>13</v>
      </c>
    </row>
    <row r="956" spans="1:9" x14ac:dyDescent="0.35">
      <c r="A956" s="17" t="s">
        <v>187</v>
      </c>
      <c r="B956" s="17" t="s">
        <v>325</v>
      </c>
      <c r="C956" s="19" t="s">
        <v>308</v>
      </c>
      <c r="D956" s="18" t="s">
        <v>212</v>
      </c>
      <c r="E956" s="19" t="s">
        <v>748</v>
      </c>
      <c r="F956" s="17" t="s">
        <v>743</v>
      </c>
      <c r="G956" s="21" t="s">
        <v>744</v>
      </c>
      <c r="H956" s="19">
        <v>6</v>
      </c>
      <c r="I956" s="21" t="s">
        <v>19</v>
      </c>
    </row>
    <row r="957" spans="1:9" x14ac:dyDescent="0.35">
      <c r="A957" s="17" t="s">
        <v>187</v>
      </c>
      <c r="B957" s="17" t="s">
        <v>325</v>
      </c>
      <c r="C957" s="19" t="s">
        <v>432</v>
      </c>
      <c r="D957" s="18" t="s">
        <v>63</v>
      </c>
      <c r="E957" s="19" t="s">
        <v>748</v>
      </c>
      <c r="F957" s="17" t="s">
        <v>749</v>
      </c>
      <c r="G957" s="21" t="s">
        <v>750</v>
      </c>
      <c r="H957" s="19">
        <v>5</v>
      </c>
      <c r="I957" s="21" t="s">
        <v>13</v>
      </c>
    </row>
    <row r="958" spans="1:9" x14ac:dyDescent="0.35">
      <c r="A958" s="17" t="s">
        <v>187</v>
      </c>
      <c r="B958" s="17" t="s">
        <v>697</v>
      </c>
      <c r="C958" s="19" t="s">
        <v>23</v>
      </c>
      <c r="D958" s="18" t="s">
        <v>346</v>
      </c>
      <c r="E958" s="19" t="s">
        <v>737</v>
      </c>
      <c r="F958" s="17" t="s">
        <v>738</v>
      </c>
      <c r="G958" s="21" t="s">
        <v>739</v>
      </c>
      <c r="H958" s="19">
        <v>4</v>
      </c>
      <c r="I958" s="21" t="s">
        <v>21</v>
      </c>
    </row>
    <row r="959" spans="1:9" x14ac:dyDescent="0.35">
      <c r="A959" s="17" t="s">
        <v>187</v>
      </c>
      <c r="B959" s="17" t="s">
        <v>697</v>
      </c>
      <c r="C959" s="19" t="s">
        <v>96</v>
      </c>
      <c r="D959" s="18" t="s">
        <v>111</v>
      </c>
      <c r="E959" s="19" t="s">
        <v>737</v>
      </c>
      <c r="F959" s="17" t="s">
        <v>738</v>
      </c>
      <c r="G959" s="21" t="s">
        <v>739</v>
      </c>
      <c r="H959" s="19">
        <v>4</v>
      </c>
      <c r="I959" s="21" t="s">
        <v>21</v>
      </c>
    </row>
    <row r="960" spans="1:9" x14ac:dyDescent="0.35">
      <c r="A960" s="17" t="s">
        <v>187</v>
      </c>
      <c r="B960" s="17" t="s">
        <v>697</v>
      </c>
      <c r="C960" s="19" t="s">
        <v>190</v>
      </c>
      <c r="D960" s="18" t="s">
        <v>49</v>
      </c>
      <c r="E960" s="19" t="s">
        <v>737</v>
      </c>
      <c r="F960" s="17" t="s">
        <v>738</v>
      </c>
      <c r="G960" s="21" t="s">
        <v>739</v>
      </c>
      <c r="H960" s="19">
        <v>4</v>
      </c>
      <c r="I960" s="21" t="s">
        <v>21</v>
      </c>
    </row>
    <row r="961" spans="1:9" x14ac:dyDescent="0.35">
      <c r="A961" s="17" t="s">
        <v>187</v>
      </c>
      <c r="B961" s="17" t="s">
        <v>697</v>
      </c>
      <c r="C961" s="19" t="s">
        <v>227</v>
      </c>
      <c r="D961" s="18" t="s">
        <v>346</v>
      </c>
      <c r="E961" s="19" t="s">
        <v>737</v>
      </c>
      <c r="F961" s="17" t="s">
        <v>738</v>
      </c>
      <c r="G961" s="21" t="s">
        <v>739</v>
      </c>
      <c r="H961" s="19">
        <v>4</v>
      </c>
      <c r="I961" s="21" t="s">
        <v>21</v>
      </c>
    </row>
    <row r="962" spans="1:9" x14ac:dyDescent="0.35">
      <c r="A962" s="17" t="s">
        <v>187</v>
      </c>
      <c r="B962" s="17" t="s">
        <v>697</v>
      </c>
      <c r="C962" s="19" t="s">
        <v>432</v>
      </c>
      <c r="D962" s="18" t="s">
        <v>408</v>
      </c>
      <c r="E962" s="19" t="s">
        <v>737</v>
      </c>
      <c r="F962" s="17" t="s">
        <v>738</v>
      </c>
      <c r="G962" s="21" t="s">
        <v>739</v>
      </c>
      <c r="H962" s="19">
        <v>4</v>
      </c>
      <c r="I962" s="21" t="s">
        <v>21</v>
      </c>
    </row>
    <row r="963" spans="1:9" x14ac:dyDescent="0.35">
      <c r="A963" s="17" t="s">
        <v>649</v>
      </c>
      <c r="B963" s="17"/>
      <c r="C963" s="19" t="s">
        <v>227</v>
      </c>
      <c r="D963" s="18" t="s">
        <v>170</v>
      </c>
      <c r="E963" s="19" t="s">
        <v>729</v>
      </c>
      <c r="F963" s="17" t="s">
        <v>730</v>
      </c>
      <c r="G963" s="21" t="s">
        <v>731</v>
      </c>
      <c r="H963" s="19"/>
      <c r="I963" s="21" t="s">
        <v>17</v>
      </c>
    </row>
    <row r="964" spans="1:9" ht="25" x14ac:dyDescent="0.35">
      <c r="A964" s="17" t="s">
        <v>315</v>
      </c>
      <c r="B964" s="17"/>
      <c r="C964" s="19" t="s">
        <v>23</v>
      </c>
      <c r="D964" s="18" t="s">
        <v>333</v>
      </c>
      <c r="E964" s="19" t="s">
        <v>732</v>
      </c>
      <c r="F964" s="17" t="s">
        <v>733</v>
      </c>
      <c r="G964" s="21" t="s">
        <v>734</v>
      </c>
      <c r="H964" s="19">
        <v>3</v>
      </c>
      <c r="I964" s="21" t="s">
        <v>15</v>
      </c>
    </row>
    <row r="965" spans="1:9" ht="25" x14ac:dyDescent="0.35">
      <c r="A965" s="17" t="s">
        <v>315</v>
      </c>
      <c r="B965" s="17"/>
      <c r="C965" s="19" t="s">
        <v>145</v>
      </c>
      <c r="D965" s="18" t="s">
        <v>196</v>
      </c>
      <c r="E965" s="19" t="s">
        <v>732</v>
      </c>
      <c r="F965" s="17" t="s">
        <v>733</v>
      </c>
      <c r="G965" s="21" t="s">
        <v>734</v>
      </c>
      <c r="H965" s="19">
        <v>3</v>
      </c>
      <c r="I965" s="21" t="s">
        <v>15</v>
      </c>
    </row>
    <row r="966" spans="1:9" ht="25" x14ac:dyDescent="0.35">
      <c r="A966" s="17" t="s">
        <v>315</v>
      </c>
      <c r="B966" s="17"/>
      <c r="C966" s="19" t="s">
        <v>145</v>
      </c>
      <c r="D966" s="18" t="s">
        <v>333</v>
      </c>
      <c r="E966" s="19" t="s">
        <v>732</v>
      </c>
      <c r="F966" s="17" t="s">
        <v>733</v>
      </c>
      <c r="G966" s="21" t="s">
        <v>734</v>
      </c>
      <c r="H966" s="19">
        <v>3</v>
      </c>
      <c r="I966" s="21" t="s">
        <v>15</v>
      </c>
    </row>
    <row r="967" spans="1:9" ht="25" x14ac:dyDescent="0.35">
      <c r="A967" s="17" t="s">
        <v>315</v>
      </c>
      <c r="B967" s="17"/>
      <c r="C967" s="19" t="s">
        <v>190</v>
      </c>
      <c r="D967" s="18" t="s">
        <v>43</v>
      </c>
      <c r="E967" s="19" t="s">
        <v>732</v>
      </c>
      <c r="F967" s="17" t="s">
        <v>735</v>
      </c>
      <c r="G967" s="21" t="s">
        <v>736</v>
      </c>
      <c r="H967" s="19">
        <v>2</v>
      </c>
      <c r="I967" s="21" t="s">
        <v>9</v>
      </c>
    </row>
    <row r="968" spans="1:9" ht="25" x14ac:dyDescent="0.35">
      <c r="A968" s="17" t="s">
        <v>315</v>
      </c>
      <c r="B968" s="17"/>
      <c r="C968" s="19" t="s">
        <v>190</v>
      </c>
      <c r="D968" s="18" t="s">
        <v>94</v>
      </c>
      <c r="E968" s="19" t="s">
        <v>732</v>
      </c>
      <c r="F968" s="17" t="s">
        <v>735</v>
      </c>
      <c r="G968" s="21" t="s">
        <v>736</v>
      </c>
      <c r="H968" s="19">
        <v>3</v>
      </c>
      <c r="I968" s="21" t="s">
        <v>9</v>
      </c>
    </row>
    <row r="969" spans="1:9" ht="25" x14ac:dyDescent="0.35">
      <c r="A969" s="17" t="s">
        <v>315</v>
      </c>
      <c r="B969" s="17"/>
      <c r="C969" s="19" t="s">
        <v>227</v>
      </c>
      <c r="D969" s="18" t="s">
        <v>273</v>
      </c>
      <c r="E969" s="19" t="s">
        <v>732</v>
      </c>
      <c r="F969" s="17" t="s">
        <v>733</v>
      </c>
      <c r="G969" s="21" t="s">
        <v>734</v>
      </c>
      <c r="H969" s="19">
        <v>3</v>
      </c>
      <c r="I969" s="21" t="s">
        <v>15</v>
      </c>
    </row>
    <row r="970" spans="1:9" ht="25" x14ac:dyDescent="0.35">
      <c r="A970" s="17" t="s">
        <v>315</v>
      </c>
      <c r="B970" s="17"/>
      <c r="C970" s="19" t="s">
        <v>227</v>
      </c>
      <c r="D970" s="18" t="s">
        <v>333</v>
      </c>
      <c r="E970" s="19" t="s">
        <v>732</v>
      </c>
      <c r="F970" s="17" t="s">
        <v>733</v>
      </c>
      <c r="G970" s="21" t="s">
        <v>734</v>
      </c>
      <c r="H970" s="19">
        <v>3</v>
      </c>
      <c r="I970" s="21" t="s">
        <v>15</v>
      </c>
    </row>
    <row r="971" spans="1:9" ht="25" x14ac:dyDescent="0.35">
      <c r="A971" s="17" t="s">
        <v>315</v>
      </c>
      <c r="B971" s="17"/>
      <c r="C971" s="19" t="s">
        <v>308</v>
      </c>
      <c r="D971" s="18" t="s">
        <v>43</v>
      </c>
      <c r="E971" s="19" t="s">
        <v>732</v>
      </c>
      <c r="F971" s="17" t="s">
        <v>733</v>
      </c>
      <c r="G971" s="21" t="s">
        <v>734</v>
      </c>
      <c r="H971" s="19">
        <v>3</v>
      </c>
      <c r="I971" s="21" t="s">
        <v>15</v>
      </c>
    </row>
    <row r="972" spans="1:9" ht="25" x14ac:dyDescent="0.35">
      <c r="A972" s="17" t="s">
        <v>315</v>
      </c>
      <c r="B972" s="17"/>
      <c r="C972" s="19" t="s">
        <v>432</v>
      </c>
      <c r="D972" s="18" t="s">
        <v>43</v>
      </c>
      <c r="E972" s="19" t="s">
        <v>732</v>
      </c>
      <c r="F972" s="17" t="s">
        <v>735</v>
      </c>
      <c r="G972" s="21" t="s">
        <v>736</v>
      </c>
      <c r="H972" s="19">
        <v>2</v>
      </c>
      <c r="I972" s="21" t="s">
        <v>9</v>
      </c>
    </row>
    <row r="973" spans="1:9" ht="25" x14ac:dyDescent="0.35">
      <c r="A973" s="17" t="s">
        <v>315</v>
      </c>
      <c r="B973" s="17"/>
      <c r="C973" s="19" t="s">
        <v>432</v>
      </c>
      <c r="D973" s="18" t="s">
        <v>94</v>
      </c>
      <c r="E973" s="19" t="s">
        <v>732</v>
      </c>
      <c r="F973" s="17" t="s">
        <v>735</v>
      </c>
      <c r="G973" s="21" t="s">
        <v>736</v>
      </c>
      <c r="H973" s="19">
        <v>3</v>
      </c>
      <c r="I973" s="21" t="s">
        <v>9</v>
      </c>
    </row>
    <row r="974" spans="1:9" ht="25" x14ac:dyDescent="0.35">
      <c r="A974" s="17" t="s">
        <v>445</v>
      </c>
      <c r="B974" s="17" t="s">
        <v>436</v>
      </c>
      <c r="C974" s="19" t="s">
        <v>145</v>
      </c>
      <c r="D974" s="18" t="s">
        <v>49</v>
      </c>
      <c r="E974" s="19" t="s">
        <v>732</v>
      </c>
      <c r="F974" s="17" t="s">
        <v>733</v>
      </c>
      <c r="G974" s="21" t="s">
        <v>734</v>
      </c>
      <c r="H974" s="19">
        <v>1</v>
      </c>
      <c r="I974" s="21" t="s">
        <v>15</v>
      </c>
    </row>
    <row r="975" spans="1:9" ht="25" x14ac:dyDescent="0.35">
      <c r="A975" s="17" t="s">
        <v>445</v>
      </c>
      <c r="B975" s="17" t="s">
        <v>436</v>
      </c>
      <c r="C975" s="19" t="s">
        <v>227</v>
      </c>
      <c r="D975" s="18" t="s">
        <v>196</v>
      </c>
      <c r="E975" s="19" t="s">
        <v>732</v>
      </c>
      <c r="F975" s="17" t="s">
        <v>733</v>
      </c>
      <c r="G975" s="21" t="s">
        <v>734</v>
      </c>
      <c r="H975" s="19">
        <v>1</v>
      </c>
      <c r="I975" s="21" t="s">
        <v>15</v>
      </c>
    </row>
    <row r="976" spans="1:9" ht="25" x14ac:dyDescent="0.35">
      <c r="A976" s="17" t="s">
        <v>445</v>
      </c>
      <c r="B976" s="17" t="s">
        <v>436</v>
      </c>
      <c r="C976" s="19" t="s">
        <v>308</v>
      </c>
      <c r="D976" s="18" t="s">
        <v>196</v>
      </c>
      <c r="E976" s="19" t="s">
        <v>732</v>
      </c>
      <c r="F976" s="17" t="s">
        <v>733</v>
      </c>
      <c r="G976" s="21" t="s">
        <v>734</v>
      </c>
      <c r="H976" s="19">
        <v>1</v>
      </c>
      <c r="I976" s="21" t="s">
        <v>15</v>
      </c>
    </row>
    <row r="977" spans="1:9" x14ac:dyDescent="0.35">
      <c r="A977" s="17" t="s">
        <v>105</v>
      </c>
      <c r="B977" s="17"/>
      <c r="C977" s="19" t="s">
        <v>96</v>
      </c>
      <c r="D977" s="18" t="s">
        <v>106</v>
      </c>
      <c r="E977" s="19" t="s">
        <v>726</v>
      </c>
      <c r="F977" s="17" t="s">
        <v>727</v>
      </c>
      <c r="G977" s="21" t="s">
        <v>728</v>
      </c>
      <c r="H977" s="19"/>
      <c r="I977" s="21" t="s">
        <v>5</v>
      </c>
    </row>
    <row r="978" spans="1:9" x14ac:dyDescent="0.35">
      <c r="A978" s="17" t="s">
        <v>239</v>
      </c>
      <c r="B978" s="17"/>
      <c r="C978" s="19" t="s">
        <v>227</v>
      </c>
      <c r="D978" s="18" t="s">
        <v>61</v>
      </c>
      <c r="E978" s="19" t="s">
        <v>726</v>
      </c>
      <c r="F978" s="17" t="s">
        <v>727</v>
      </c>
      <c r="G978" s="21" t="s">
        <v>728</v>
      </c>
      <c r="H978" s="19"/>
      <c r="I978" s="21" t="s">
        <v>5</v>
      </c>
    </row>
    <row r="979" spans="1:9" x14ac:dyDescent="0.35">
      <c r="A979" s="17" t="s">
        <v>564</v>
      </c>
      <c r="B979" s="17" t="s">
        <v>565</v>
      </c>
      <c r="C979" s="19" t="s">
        <v>145</v>
      </c>
      <c r="D979" s="18" t="s">
        <v>212</v>
      </c>
      <c r="E979" s="19" t="s">
        <v>729</v>
      </c>
      <c r="F979" s="17" t="s">
        <v>730</v>
      </c>
      <c r="G979" s="21" t="s">
        <v>731</v>
      </c>
      <c r="H979" s="19"/>
      <c r="I979" s="21" t="s">
        <v>17</v>
      </c>
    </row>
    <row r="980" spans="1:9" x14ac:dyDescent="0.35">
      <c r="A980" s="17" t="s">
        <v>86</v>
      </c>
      <c r="B980" s="17"/>
      <c r="C980" s="19" t="s">
        <v>23</v>
      </c>
      <c r="D980" s="18" t="s">
        <v>87</v>
      </c>
      <c r="E980" s="19" t="s">
        <v>726</v>
      </c>
      <c r="F980" s="17" t="s">
        <v>727</v>
      </c>
      <c r="G980" s="21" t="s">
        <v>728</v>
      </c>
      <c r="H980" s="19"/>
      <c r="I980" s="21" t="s">
        <v>5</v>
      </c>
    </row>
    <row r="981" spans="1:9" x14ac:dyDescent="0.35">
      <c r="A981" s="17" t="s">
        <v>506</v>
      </c>
      <c r="B981" s="17" t="s">
        <v>507</v>
      </c>
      <c r="C981" s="19" t="s">
        <v>96</v>
      </c>
      <c r="D981" s="18" t="s">
        <v>51</v>
      </c>
      <c r="E981" s="19" t="s">
        <v>729</v>
      </c>
      <c r="F981" s="17" t="s">
        <v>730</v>
      </c>
      <c r="G981" s="21" t="s">
        <v>731</v>
      </c>
      <c r="H981" s="19"/>
      <c r="I981" s="21" t="s">
        <v>17</v>
      </c>
    </row>
    <row r="982" spans="1:9" x14ac:dyDescent="0.35">
      <c r="A982" s="17" t="s">
        <v>628</v>
      </c>
      <c r="B982" s="17"/>
      <c r="C982" s="19" t="s">
        <v>227</v>
      </c>
      <c r="D982" s="18" t="s">
        <v>32</v>
      </c>
      <c r="E982" s="19" t="s">
        <v>729</v>
      </c>
      <c r="F982" s="17" t="s">
        <v>730</v>
      </c>
      <c r="G982" s="21" t="s">
        <v>731</v>
      </c>
      <c r="H982" s="19"/>
      <c r="I982" s="21" t="s">
        <v>17</v>
      </c>
    </row>
    <row r="983" spans="1:9" x14ac:dyDescent="0.35">
      <c r="A983" s="17" t="s">
        <v>236</v>
      </c>
      <c r="B983" s="17"/>
      <c r="C983" s="19" t="s">
        <v>227</v>
      </c>
      <c r="D983" s="18" t="s">
        <v>55</v>
      </c>
      <c r="E983" s="19" t="s">
        <v>726</v>
      </c>
      <c r="F983" s="17" t="s">
        <v>727</v>
      </c>
      <c r="G983" s="21" t="s">
        <v>728</v>
      </c>
      <c r="H983" s="19"/>
      <c r="I983" s="21" t="s">
        <v>5</v>
      </c>
    </row>
    <row r="984" spans="1:9" x14ac:dyDescent="0.35">
      <c r="A984" s="17" t="s">
        <v>149</v>
      </c>
      <c r="B984" s="17"/>
      <c r="C984" s="19" t="s">
        <v>145</v>
      </c>
      <c r="D984" s="18" t="s">
        <v>150</v>
      </c>
      <c r="E984" s="19" t="s">
        <v>726</v>
      </c>
      <c r="F984" s="17" t="s">
        <v>727</v>
      </c>
      <c r="G984" s="21" t="s">
        <v>728</v>
      </c>
      <c r="H984" s="19"/>
      <c r="I984" s="21" t="s">
        <v>5</v>
      </c>
    </row>
    <row r="985" spans="1:9" x14ac:dyDescent="0.35">
      <c r="A985" s="17" t="s">
        <v>99</v>
      </c>
      <c r="B985" s="17"/>
      <c r="C985" s="19" t="s">
        <v>96</v>
      </c>
      <c r="D985" s="18" t="s">
        <v>36</v>
      </c>
      <c r="E985" s="19" t="s">
        <v>726</v>
      </c>
      <c r="F985" s="17" t="s">
        <v>727</v>
      </c>
      <c r="G985" s="21" t="s">
        <v>728</v>
      </c>
      <c r="H985" s="19"/>
      <c r="I985" s="21" t="s">
        <v>5</v>
      </c>
    </row>
    <row r="986" spans="1:9" x14ac:dyDescent="0.35">
      <c r="A986" s="17" t="s">
        <v>117</v>
      </c>
      <c r="B986" s="17"/>
      <c r="C986" s="19" t="s">
        <v>96</v>
      </c>
      <c r="D986" s="18" t="s">
        <v>118</v>
      </c>
      <c r="E986" s="19" t="s">
        <v>726</v>
      </c>
      <c r="F986" s="17" t="s">
        <v>727</v>
      </c>
      <c r="G986" s="21" t="s">
        <v>728</v>
      </c>
      <c r="H986" s="19"/>
      <c r="I986" s="21" t="s">
        <v>5</v>
      </c>
    </row>
    <row r="987" spans="1:9" x14ac:dyDescent="0.35">
      <c r="A987" s="17" t="s">
        <v>519</v>
      </c>
      <c r="B987" s="17" t="s">
        <v>520</v>
      </c>
      <c r="C987" s="19" t="s">
        <v>96</v>
      </c>
      <c r="D987" s="18" t="s">
        <v>71</v>
      </c>
      <c r="E987" s="19" t="s">
        <v>729</v>
      </c>
      <c r="F987" s="17" t="s">
        <v>730</v>
      </c>
      <c r="G987" s="21" t="s">
        <v>731</v>
      </c>
      <c r="H987" s="19"/>
      <c r="I987" s="21" t="s">
        <v>17</v>
      </c>
    </row>
    <row r="988" spans="1:9" x14ac:dyDescent="0.35">
      <c r="A988" s="17" t="s">
        <v>103</v>
      </c>
      <c r="B988" s="17"/>
      <c r="C988" s="19" t="s">
        <v>96</v>
      </c>
      <c r="D988" s="18" t="s">
        <v>43</v>
      </c>
      <c r="E988" s="19" t="s">
        <v>726</v>
      </c>
      <c r="F988" s="17" t="s">
        <v>727</v>
      </c>
      <c r="G988" s="21" t="s">
        <v>728</v>
      </c>
      <c r="H988" s="19"/>
      <c r="I988" s="21" t="s">
        <v>5</v>
      </c>
    </row>
    <row r="989" spans="1:9" x14ac:dyDescent="0.35">
      <c r="A989" s="17" t="s">
        <v>551</v>
      </c>
      <c r="B989" s="17">
        <v>17</v>
      </c>
      <c r="C989" s="19" t="s">
        <v>145</v>
      </c>
      <c r="D989" s="18" t="s">
        <v>109</v>
      </c>
      <c r="E989" s="19" t="s">
        <v>729</v>
      </c>
      <c r="F989" s="17" t="s">
        <v>730</v>
      </c>
      <c r="G989" s="21" t="s">
        <v>731</v>
      </c>
      <c r="H989" s="19"/>
      <c r="I989" s="21" t="s">
        <v>17</v>
      </c>
    </row>
    <row r="990" spans="1:9" x14ac:dyDescent="0.35">
      <c r="A990" s="17" t="s">
        <v>480</v>
      </c>
      <c r="B990" s="17" t="s">
        <v>481</v>
      </c>
      <c r="C990" s="19" t="s">
        <v>23</v>
      </c>
      <c r="D990" s="18" t="s">
        <v>69</v>
      </c>
      <c r="E990" s="19" t="s">
        <v>729</v>
      </c>
      <c r="F990" s="17" t="s">
        <v>730</v>
      </c>
      <c r="G990" s="21" t="s">
        <v>731</v>
      </c>
      <c r="H990" s="19"/>
      <c r="I990" s="21" t="s">
        <v>17</v>
      </c>
    </row>
    <row r="991" spans="1:9" x14ac:dyDescent="0.35">
      <c r="A991" s="17" t="s">
        <v>160</v>
      </c>
      <c r="B991" s="17"/>
      <c r="C991" s="19" t="s">
        <v>145</v>
      </c>
      <c r="D991" s="18" t="s">
        <v>57</v>
      </c>
      <c r="E991" s="19" t="s">
        <v>726</v>
      </c>
      <c r="F991" s="17" t="s">
        <v>727</v>
      </c>
      <c r="G991" s="21" t="s">
        <v>728</v>
      </c>
      <c r="H991" s="19"/>
      <c r="I991" s="21" t="s">
        <v>5</v>
      </c>
    </row>
    <row r="992" spans="1:9" x14ac:dyDescent="0.35">
      <c r="A992" s="17" t="s">
        <v>233</v>
      </c>
      <c r="B992" s="17"/>
      <c r="C992" s="19" t="s">
        <v>227</v>
      </c>
      <c r="D992" s="18" t="s">
        <v>53</v>
      </c>
      <c r="E992" s="19" t="s">
        <v>726</v>
      </c>
      <c r="F992" s="17" t="s">
        <v>727</v>
      </c>
      <c r="G992" s="21" t="s">
        <v>728</v>
      </c>
      <c r="H992" s="19"/>
      <c r="I992" s="21" t="s">
        <v>5</v>
      </c>
    </row>
    <row r="993" spans="1:9" x14ac:dyDescent="0.35">
      <c r="A993" s="17" t="s">
        <v>234</v>
      </c>
      <c r="B993" s="17"/>
      <c r="C993" s="19" t="s">
        <v>227</v>
      </c>
      <c r="D993" s="18" t="s">
        <v>235</v>
      </c>
      <c r="E993" s="19" t="s">
        <v>726</v>
      </c>
      <c r="F993" s="17" t="s">
        <v>727</v>
      </c>
      <c r="G993" s="21" t="s">
        <v>728</v>
      </c>
      <c r="H993" s="19"/>
      <c r="I993" s="21" t="s">
        <v>5</v>
      </c>
    </row>
    <row r="994" spans="1:9" x14ac:dyDescent="0.35">
      <c r="A994" s="17" t="s">
        <v>242</v>
      </c>
      <c r="B994" s="17"/>
      <c r="C994" s="19" t="s">
        <v>227</v>
      </c>
      <c r="D994" s="18" t="s">
        <v>118</v>
      </c>
      <c r="E994" s="19" t="s">
        <v>726</v>
      </c>
      <c r="F994" s="17" t="s">
        <v>727</v>
      </c>
      <c r="G994" s="21" t="s">
        <v>728</v>
      </c>
      <c r="H994" s="19"/>
      <c r="I994" s="21" t="s">
        <v>5</v>
      </c>
    </row>
    <row r="995" spans="1:9" x14ac:dyDescent="0.35">
      <c r="A995" s="17" t="s">
        <v>147</v>
      </c>
      <c r="B995" s="17"/>
      <c r="C995" s="19" t="s">
        <v>145</v>
      </c>
      <c r="D995" s="18" t="s">
        <v>148</v>
      </c>
      <c r="E995" s="19" t="s">
        <v>726</v>
      </c>
      <c r="F995" s="17" t="s">
        <v>727</v>
      </c>
      <c r="G995" s="21" t="s">
        <v>728</v>
      </c>
      <c r="H995" s="19"/>
      <c r="I995" s="21" t="s">
        <v>5</v>
      </c>
    </row>
    <row r="996" spans="1:9" x14ac:dyDescent="0.35">
      <c r="A996" s="17" t="s">
        <v>177</v>
      </c>
      <c r="B996" s="17"/>
      <c r="C996" s="19" t="s">
        <v>145</v>
      </c>
      <c r="D996" s="18" t="s">
        <v>87</v>
      </c>
      <c r="E996" s="19" t="s">
        <v>726</v>
      </c>
      <c r="F996" s="17" t="s">
        <v>727</v>
      </c>
      <c r="G996" s="21" t="s">
        <v>728</v>
      </c>
      <c r="H996" s="19"/>
      <c r="I996" s="21" t="s">
        <v>5</v>
      </c>
    </row>
    <row r="997" spans="1:9" x14ac:dyDescent="0.35">
      <c r="A997" s="17" t="s">
        <v>553</v>
      </c>
      <c r="B997" s="17" t="s">
        <v>554</v>
      </c>
      <c r="C997" s="19" t="s">
        <v>145</v>
      </c>
      <c r="D997" s="18" t="s">
        <v>238</v>
      </c>
      <c r="E997" s="19" t="s">
        <v>729</v>
      </c>
      <c r="F997" s="17" t="s">
        <v>730</v>
      </c>
      <c r="G997" s="21" t="s">
        <v>731</v>
      </c>
      <c r="H997" s="19"/>
      <c r="I997" s="21" t="s">
        <v>17</v>
      </c>
    </row>
    <row r="998" spans="1:9" x14ac:dyDescent="0.35">
      <c r="A998" s="17" t="s">
        <v>251</v>
      </c>
      <c r="B998" s="17"/>
      <c r="C998" s="19" t="s">
        <v>227</v>
      </c>
      <c r="D998" s="18" t="s">
        <v>85</v>
      </c>
      <c r="E998" s="19" t="s">
        <v>726</v>
      </c>
      <c r="F998" s="17" t="s">
        <v>727</v>
      </c>
      <c r="G998" s="21" t="s">
        <v>728</v>
      </c>
      <c r="H998" s="19"/>
      <c r="I998" s="21" t="s">
        <v>5</v>
      </c>
    </row>
    <row r="999" spans="1:9" x14ac:dyDescent="0.35">
      <c r="A999" s="17" t="s">
        <v>197</v>
      </c>
      <c r="B999" s="17"/>
      <c r="C999" s="19" t="s">
        <v>190</v>
      </c>
      <c r="D999" s="18" t="s">
        <v>106</v>
      </c>
      <c r="E999" s="19" t="s">
        <v>726</v>
      </c>
      <c r="F999" s="17" t="s">
        <v>727</v>
      </c>
      <c r="G999" s="21" t="s">
        <v>728</v>
      </c>
      <c r="H999" s="19"/>
      <c r="I999" s="21" t="s">
        <v>5</v>
      </c>
    </row>
    <row r="1000" spans="1:9" x14ac:dyDescent="0.35">
      <c r="A1000" s="17" t="s">
        <v>536</v>
      </c>
      <c r="B1000" s="17" t="s">
        <v>547</v>
      </c>
      <c r="C1000" s="19" t="s">
        <v>145</v>
      </c>
      <c r="D1000" s="18" t="s">
        <v>47</v>
      </c>
      <c r="E1000" s="19" t="s">
        <v>729</v>
      </c>
      <c r="F1000" s="17" t="s">
        <v>730</v>
      </c>
      <c r="G1000" s="21" t="s">
        <v>731</v>
      </c>
      <c r="H1000" s="19"/>
      <c r="I1000" s="21" t="s">
        <v>17</v>
      </c>
    </row>
    <row r="1001" spans="1:9" x14ac:dyDescent="0.35">
      <c r="A1001" s="17" t="s">
        <v>536</v>
      </c>
      <c r="B1001" s="17" t="s">
        <v>537</v>
      </c>
      <c r="C1001" s="19" t="s">
        <v>96</v>
      </c>
      <c r="D1001" s="18" t="s">
        <v>188</v>
      </c>
      <c r="E1001" s="19" t="s">
        <v>729</v>
      </c>
      <c r="F1001" s="17" t="s">
        <v>730</v>
      </c>
      <c r="G1001" s="21" t="s">
        <v>731</v>
      </c>
      <c r="H1001" s="19"/>
      <c r="I1001" s="21" t="s">
        <v>17</v>
      </c>
    </row>
    <row r="1002" spans="1:9" x14ac:dyDescent="0.35">
      <c r="A1002" s="17" t="s">
        <v>256</v>
      </c>
      <c r="B1002" s="17"/>
      <c r="C1002" s="19" t="s">
        <v>227</v>
      </c>
      <c r="D1002" s="18" t="s">
        <v>257</v>
      </c>
      <c r="E1002" s="19" t="s">
        <v>726</v>
      </c>
      <c r="F1002" s="17" t="s">
        <v>727</v>
      </c>
      <c r="G1002" s="21" t="s">
        <v>728</v>
      </c>
      <c r="H1002" s="19"/>
      <c r="I1002" s="21" t="s">
        <v>5</v>
      </c>
    </row>
    <row r="1003" spans="1:9" x14ac:dyDescent="0.35">
      <c r="A1003" s="17" t="s">
        <v>256</v>
      </c>
      <c r="B1003" s="17" t="s">
        <v>512</v>
      </c>
      <c r="C1003" s="19" t="s">
        <v>96</v>
      </c>
      <c r="D1003" s="18" t="s">
        <v>298</v>
      </c>
      <c r="E1003" s="19" t="s">
        <v>729</v>
      </c>
      <c r="F1003" s="17" t="s">
        <v>730</v>
      </c>
      <c r="G1003" s="21" t="s">
        <v>731</v>
      </c>
      <c r="H1003" s="19"/>
      <c r="I1003" s="21" t="s">
        <v>17</v>
      </c>
    </row>
    <row r="1004" spans="1:9" x14ac:dyDescent="0.35">
      <c r="A1004" s="17" t="s">
        <v>131</v>
      </c>
      <c r="B1004" s="17"/>
      <c r="C1004" s="19" t="s">
        <v>96</v>
      </c>
      <c r="D1004" s="18" t="s">
        <v>132</v>
      </c>
      <c r="E1004" s="19" t="s">
        <v>726</v>
      </c>
      <c r="F1004" s="17" t="s">
        <v>727</v>
      </c>
      <c r="G1004" s="21" t="s">
        <v>728</v>
      </c>
      <c r="H1004" s="19"/>
      <c r="I1004" s="21" t="s">
        <v>5</v>
      </c>
    </row>
    <row r="1005" spans="1:9" x14ac:dyDescent="0.35">
      <c r="A1005" s="17" t="s">
        <v>645</v>
      </c>
      <c r="B1005" s="17" t="s">
        <v>646</v>
      </c>
      <c r="C1005" s="19" t="s">
        <v>227</v>
      </c>
      <c r="D1005" s="18" t="s">
        <v>119</v>
      </c>
      <c r="E1005" s="19" t="s">
        <v>729</v>
      </c>
      <c r="F1005" s="17" t="s">
        <v>730</v>
      </c>
      <c r="G1005" s="21" t="s">
        <v>731</v>
      </c>
      <c r="H1005" s="19"/>
      <c r="I1005" s="21" t="s">
        <v>17</v>
      </c>
    </row>
    <row r="1006" spans="1:9" x14ac:dyDescent="0.35">
      <c r="A1006" s="17" t="s">
        <v>472</v>
      </c>
      <c r="B1006" s="17" t="s">
        <v>473</v>
      </c>
      <c r="C1006" s="19" t="s">
        <v>23</v>
      </c>
      <c r="D1006" s="18" t="s">
        <v>116</v>
      </c>
      <c r="E1006" s="19" t="s">
        <v>729</v>
      </c>
      <c r="F1006" s="17" t="s">
        <v>730</v>
      </c>
      <c r="G1006" s="21" t="s">
        <v>731</v>
      </c>
      <c r="H1006" s="19"/>
      <c r="I1006" s="21" t="s">
        <v>17</v>
      </c>
    </row>
    <row r="1007" spans="1:9" x14ac:dyDescent="0.35">
      <c r="A1007" s="17" t="s">
        <v>548</v>
      </c>
      <c r="B1007" s="17" t="s">
        <v>549</v>
      </c>
      <c r="C1007" s="19" t="s">
        <v>145</v>
      </c>
      <c r="D1007" s="18" t="s">
        <v>199</v>
      </c>
      <c r="E1007" s="19" t="s">
        <v>729</v>
      </c>
      <c r="F1007" s="17" t="s">
        <v>730</v>
      </c>
      <c r="G1007" s="21" t="s">
        <v>731</v>
      </c>
      <c r="H1007" s="19"/>
      <c r="I1007" s="21" t="s">
        <v>17</v>
      </c>
    </row>
    <row r="1008" spans="1:9" x14ac:dyDescent="0.35">
      <c r="A1008" s="17" t="s">
        <v>548</v>
      </c>
      <c r="B1008" s="17" t="s">
        <v>714</v>
      </c>
      <c r="C1008" s="19" t="s">
        <v>190</v>
      </c>
      <c r="D1008" s="18" t="s">
        <v>259</v>
      </c>
      <c r="E1008" s="19" t="s">
        <v>737</v>
      </c>
      <c r="F1008" s="17" t="s">
        <v>738</v>
      </c>
      <c r="G1008" s="21" t="s">
        <v>739</v>
      </c>
      <c r="H1008" s="19">
        <v>2</v>
      </c>
      <c r="I1008" s="21" t="s">
        <v>21</v>
      </c>
    </row>
    <row r="1009" spans="1:9" x14ac:dyDescent="0.35">
      <c r="A1009" s="17" t="s">
        <v>492</v>
      </c>
      <c r="B1009" s="17" t="s">
        <v>493</v>
      </c>
      <c r="C1009" s="19" t="s">
        <v>23</v>
      </c>
      <c r="D1009" s="18" t="s">
        <v>89</v>
      </c>
      <c r="E1009" s="19" t="s">
        <v>729</v>
      </c>
      <c r="F1009" s="17" t="s">
        <v>730</v>
      </c>
      <c r="G1009" s="21" t="s">
        <v>731</v>
      </c>
      <c r="H1009" s="19"/>
      <c r="I1009" s="21" t="s">
        <v>17</v>
      </c>
    </row>
    <row r="1010" spans="1:9" x14ac:dyDescent="0.35">
      <c r="A1010" s="17" t="s">
        <v>159</v>
      </c>
      <c r="B1010" s="17"/>
      <c r="C1010" s="19" t="s">
        <v>145</v>
      </c>
      <c r="D1010" s="18" t="s">
        <v>55</v>
      </c>
      <c r="E1010" s="19" t="s">
        <v>726</v>
      </c>
      <c r="F1010" s="17" t="s">
        <v>727</v>
      </c>
      <c r="G1010" s="21" t="s">
        <v>728</v>
      </c>
      <c r="H1010" s="19"/>
      <c r="I1010" s="21" t="s">
        <v>5</v>
      </c>
    </row>
    <row r="1011" spans="1:9" x14ac:dyDescent="0.35">
      <c r="A1011" s="17" t="s">
        <v>570</v>
      </c>
      <c r="B1011" s="17" t="s">
        <v>571</v>
      </c>
      <c r="C1011" s="19" t="s">
        <v>145</v>
      </c>
      <c r="D1011" s="18" t="s">
        <v>220</v>
      </c>
      <c r="E1011" s="19" t="s">
        <v>729</v>
      </c>
      <c r="F1011" s="17" t="s">
        <v>730</v>
      </c>
      <c r="G1011" s="21" t="s">
        <v>731</v>
      </c>
      <c r="H1011" s="19"/>
      <c r="I1011" s="21" t="s">
        <v>17</v>
      </c>
    </row>
    <row r="1012" spans="1:9" x14ac:dyDescent="0.35">
      <c r="A1012" s="17" t="s">
        <v>42</v>
      </c>
      <c r="B1012" s="17"/>
      <c r="C1012" s="19" t="s">
        <v>23</v>
      </c>
      <c r="D1012" s="18" t="s">
        <v>43</v>
      </c>
      <c r="E1012" s="19" t="s">
        <v>726</v>
      </c>
      <c r="F1012" s="17" t="s">
        <v>727</v>
      </c>
      <c r="G1012" s="21" t="s">
        <v>728</v>
      </c>
      <c r="H1012" s="19"/>
      <c r="I1012" s="21" t="s">
        <v>5</v>
      </c>
    </row>
  </sheetData>
  <autoFilter ref="A3:I1012" xr:uid="{0346B05B-92FE-4191-8478-826CE272DC82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0"/>
  <sheetViews>
    <sheetView showGridLines="0" workbookViewId="0">
      <pane ySplit="3" topLeftCell="A4" activePane="bottomLeft" state="frozen"/>
      <selection activeCell="H25" sqref="H25:H26"/>
      <selection pane="bottomLeft" activeCell="H25" sqref="H25:H26"/>
    </sheetView>
  </sheetViews>
  <sheetFormatPr defaultRowHeight="14.5" x14ac:dyDescent="0.35"/>
  <cols>
    <col min="1" max="1" width="5" customWidth="1"/>
    <col min="2" max="2" width="30" customWidth="1"/>
    <col min="3" max="3" width="24" customWidth="1"/>
    <col min="4" max="4" width="8" customWidth="1"/>
    <col min="5" max="6" width="7" customWidth="1"/>
  </cols>
  <sheetData>
    <row r="1" spans="1:6" ht="20" customHeight="1" x14ac:dyDescent="0.35">
      <c r="A1" s="77" t="s">
        <v>6</v>
      </c>
      <c r="B1" s="72"/>
      <c r="C1" s="72"/>
      <c r="D1" s="72"/>
      <c r="E1" s="72"/>
      <c r="F1" s="72"/>
    </row>
    <row r="3" spans="1:6" x14ac:dyDescent="0.35">
      <c r="A3" s="74" t="s">
        <v>23</v>
      </c>
      <c r="B3" s="75"/>
      <c r="C3" s="75"/>
      <c r="D3" s="75"/>
      <c r="E3" s="75"/>
      <c r="F3" s="76"/>
    </row>
    <row r="4" spans="1:6" x14ac:dyDescent="0.35">
      <c r="A4" s="7" t="s">
        <v>2</v>
      </c>
      <c r="B4" s="7" t="s">
        <v>24</v>
      </c>
      <c r="C4" s="7" t="s">
        <v>25</v>
      </c>
      <c r="D4" s="7" t="s">
        <v>26</v>
      </c>
      <c r="E4" s="7" t="s">
        <v>27</v>
      </c>
      <c r="F4" s="7" t="s">
        <v>28</v>
      </c>
    </row>
    <row r="5" spans="1:6" x14ac:dyDescent="0.35">
      <c r="A5" s="8"/>
      <c r="B5" s="9" t="s">
        <v>29</v>
      </c>
      <c r="C5" s="9"/>
      <c r="D5" s="9" t="s">
        <v>30</v>
      </c>
      <c r="E5" s="8"/>
      <c r="F5" s="8"/>
    </row>
    <row r="6" spans="1:6" x14ac:dyDescent="0.35">
      <c r="A6" s="10">
        <v>1</v>
      </c>
      <c r="B6" s="6" t="s">
        <v>31</v>
      </c>
      <c r="C6" s="6"/>
      <c r="D6" s="31">
        <v>0.29166666666666669</v>
      </c>
      <c r="E6" s="10"/>
      <c r="F6" s="10"/>
    </row>
    <row r="7" spans="1:6" x14ac:dyDescent="0.35">
      <c r="A7" s="10">
        <v>2</v>
      </c>
      <c r="B7" s="6" t="s">
        <v>33</v>
      </c>
      <c r="C7" s="6"/>
      <c r="D7" s="6" t="s">
        <v>34</v>
      </c>
      <c r="E7" s="10"/>
      <c r="F7" s="10"/>
    </row>
    <row r="8" spans="1:6" x14ac:dyDescent="0.35">
      <c r="A8" s="10">
        <v>3</v>
      </c>
      <c r="B8" s="6" t="s">
        <v>35</v>
      </c>
      <c r="C8" s="6"/>
      <c r="D8" s="6" t="s">
        <v>36</v>
      </c>
      <c r="E8" s="10"/>
      <c r="F8" s="10"/>
    </row>
    <row r="9" spans="1:6" x14ac:dyDescent="0.35">
      <c r="A9" s="10">
        <v>4</v>
      </c>
      <c r="B9" s="6" t="s">
        <v>37</v>
      </c>
      <c r="C9" s="6"/>
      <c r="D9" s="6" t="s">
        <v>38</v>
      </c>
      <c r="E9" s="10"/>
      <c r="F9" s="10"/>
    </row>
    <row r="10" spans="1:6" x14ac:dyDescent="0.35">
      <c r="A10" s="10">
        <v>5</v>
      </c>
      <c r="B10" s="6" t="s">
        <v>35</v>
      </c>
      <c r="C10" s="6"/>
      <c r="D10" s="6" t="s">
        <v>39</v>
      </c>
      <c r="E10" s="10"/>
      <c r="F10" s="10"/>
    </row>
    <row r="11" spans="1:6" x14ac:dyDescent="0.35">
      <c r="A11" s="10">
        <v>6</v>
      </c>
      <c r="B11" s="6" t="s">
        <v>40</v>
      </c>
      <c r="C11" s="6"/>
      <c r="D11" s="6" t="s">
        <v>41</v>
      </c>
      <c r="E11" s="10"/>
      <c r="F11" s="10"/>
    </row>
    <row r="12" spans="1:6" x14ac:dyDescent="0.35">
      <c r="A12" s="10">
        <v>7</v>
      </c>
      <c r="B12" s="6" t="s">
        <v>42</v>
      </c>
      <c r="C12" s="6"/>
      <c r="D12" s="6" t="s">
        <v>43</v>
      </c>
      <c r="E12" s="10"/>
      <c r="F12" s="10"/>
    </row>
    <row r="13" spans="1:6" x14ac:dyDescent="0.35">
      <c r="A13" s="10">
        <v>8</v>
      </c>
      <c r="B13" s="6" t="s">
        <v>44</v>
      </c>
      <c r="C13" s="6"/>
      <c r="D13" s="6" t="s">
        <v>45</v>
      </c>
      <c r="E13" s="10"/>
      <c r="F13" s="10"/>
    </row>
    <row r="14" spans="1:6" x14ac:dyDescent="0.35">
      <c r="A14" s="10">
        <v>9</v>
      </c>
      <c r="B14" s="6" t="s">
        <v>46</v>
      </c>
      <c r="C14" s="6"/>
      <c r="D14" s="6" t="s">
        <v>47</v>
      </c>
      <c r="E14" s="10"/>
      <c r="F14" s="10"/>
    </row>
    <row r="15" spans="1:6" x14ac:dyDescent="0.35">
      <c r="A15" s="10">
        <v>10</v>
      </c>
      <c r="B15" s="6" t="s">
        <v>48</v>
      </c>
      <c r="C15" s="6"/>
      <c r="D15" s="6" t="s">
        <v>49</v>
      </c>
      <c r="E15" s="10"/>
      <c r="F15" s="10"/>
    </row>
    <row r="16" spans="1:6" x14ac:dyDescent="0.35">
      <c r="A16" s="10">
        <v>11</v>
      </c>
      <c r="B16" s="6" t="s">
        <v>50</v>
      </c>
      <c r="C16" s="6"/>
      <c r="D16" s="6" t="s">
        <v>51</v>
      </c>
      <c r="E16" s="10"/>
      <c r="F16" s="10"/>
    </row>
    <row r="17" spans="1:6" x14ac:dyDescent="0.35">
      <c r="A17" s="10">
        <v>12</v>
      </c>
      <c r="B17" s="6" t="s">
        <v>52</v>
      </c>
      <c r="C17" s="6"/>
      <c r="D17" s="6" t="s">
        <v>53</v>
      </c>
      <c r="E17" s="10"/>
      <c r="F17" s="10"/>
    </row>
    <row r="18" spans="1:6" x14ac:dyDescent="0.35">
      <c r="A18" s="10">
        <v>13</v>
      </c>
      <c r="B18" s="6" t="s">
        <v>54</v>
      </c>
      <c r="C18" s="6"/>
      <c r="D18" s="6" t="s">
        <v>55</v>
      </c>
      <c r="E18" s="10"/>
      <c r="F18" s="10"/>
    </row>
    <row r="19" spans="1:6" x14ac:dyDescent="0.35">
      <c r="A19" s="10">
        <v>14</v>
      </c>
      <c r="B19" s="6" t="s">
        <v>56</v>
      </c>
      <c r="C19" s="6"/>
      <c r="D19" s="6" t="s">
        <v>57</v>
      </c>
      <c r="E19" s="10"/>
      <c r="F19" s="10"/>
    </row>
    <row r="20" spans="1:6" x14ac:dyDescent="0.35">
      <c r="A20" s="10">
        <v>15</v>
      </c>
      <c r="B20" s="6" t="s">
        <v>58</v>
      </c>
      <c r="C20" s="6"/>
      <c r="D20" s="6" t="s">
        <v>59</v>
      </c>
      <c r="E20" s="10"/>
      <c r="F20" s="10"/>
    </row>
    <row r="21" spans="1:6" x14ac:dyDescent="0.35">
      <c r="A21" s="10">
        <v>16</v>
      </c>
      <c r="B21" s="6" t="s">
        <v>60</v>
      </c>
      <c r="C21" s="6"/>
      <c r="D21" s="6" t="s">
        <v>61</v>
      </c>
      <c r="E21" s="10"/>
      <c r="F21" s="10"/>
    </row>
    <row r="22" spans="1:6" x14ac:dyDescent="0.35">
      <c r="A22" s="10">
        <v>17</v>
      </c>
      <c r="B22" s="6" t="s">
        <v>62</v>
      </c>
      <c r="C22" s="6"/>
      <c r="D22" s="6" t="s">
        <v>63</v>
      </c>
      <c r="E22" s="10"/>
      <c r="F22" s="10"/>
    </row>
    <row r="23" spans="1:6" x14ac:dyDescent="0.35">
      <c r="A23" s="10">
        <v>18</v>
      </c>
      <c r="B23" s="6" t="s">
        <v>64</v>
      </c>
      <c r="C23" s="6"/>
      <c r="D23" s="6" t="s">
        <v>65</v>
      </c>
      <c r="E23" s="10"/>
      <c r="F23" s="10"/>
    </row>
    <row r="24" spans="1:6" x14ac:dyDescent="0.35">
      <c r="A24" s="10">
        <v>19</v>
      </c>
      <c r="B24" s="6" t="s">
        <v>66</v>
      </c>
      <c r="C24" s="6"/>
      <c r="D24" s="6" t="s">
        <v>67</v>
      </c>
      <c r="E24" s="10"/>
      <c r="F24" s="10"/>
    </row>
    <row r="25" spans="1:6" x14ac:dyDescent="0.35">
      <c r="A25" s="10">
        <v>20</v>
      </c>
      <c r="B25" s="6" t="s">
        <v>68</v>
      </c>
      <c r="C25" s="6"/>
      <c r="D25" s="6" t="s">
        <v>69</v>
      </c>
      <c r="E25" s="10"/>
      <c r="F25" s="10"/>
    </row>
    <row r="26" spans="1:6" x14ac:dyDescent="0.35">
      <c r="A26" s="10">
        <v>21</v>
      </c>
      <c r="B26" s="6" t="s">
        <v>70</v>
      </c>
      <c r="C26" s="6"/>
      <c r="D26" s="6" t="s">
        <v>71</v>
      </c>
      <c r="E26" s="10"/>
      <c r="F26" s="10"/>
    </row>
    <row r="27" spans="1:6" x14ac:dyDescent="0.35">
      <c r="A27" s="10">
        <v>22</v>
      </c>
      <c r="B27" s="6" t="s">
        <v>72</v>
      </c>
      <c r="C27" s="6"/>
      <c r="D27" s="6" t="s">
        <v>73</v>
      </c>
      <c r="E27" s="10"/>
      <c r="F27" s="10"/>
    </row>
    <row r="28" spans="1:6" x14ac:dyDescent="0.35">
      <c r="A28" s="8"/>
      <c r="B28" s="9" t="s">
        <v>74</v>
      </c>
      <c r="C28" s="9"/>
      <c r="D28" s="9" t="s">
        <v>75</v>
      </c>
      <c r="E28" s="8">
        <v>29</v>
      </c>
      <c r="F28" s="8">
        <v>20</v>
      </c>
    </row>
    <row r="29" spans="1:6" x14ac:dyDescent="0.35">
      <c r="A29" s="10">
        <v>1</v>
      </c>
      <c r="B29" s="6" t="s">
        <v>76</v>
      </c>
      <c r="C29" s="6"/>
      <c r="D29" s="6" t="s">
        <v>77</v>
      </c>
      <c r="E29" s="10"/>
      <c r="F29" s="10"/>
    </row>
    <row r="30" spans="1:6" x14ac:dyDescent="0.35">
      <c r="A30" s="10">
        <v>2</v>
      </c>
      <c r="B30" s="6" t="s">
        <v>78</v>
      </c>
      <c r="C30" s="6"/>
      <c r="D30" s="6" t="s">
        <v>79</v>
      </c>
      <c r="E30" s="10"/>
      <c r="F30" s="10"/>
    </row>
    <row r="31" spans="1:6" x14ac:dyDescent="0.35">
      <c r="A31" s="10">
        <v>3</v>
      </c>
      <c r="B31" s="6" t="s">
        <v>80</v>
      </c>
      <c r="C31" s="6"/>
      <c r="D31" s="6" t="s">
        <v>81</v>
      </c>
      <c r="E31" s="10"/>
      <c r="F31" s="10"/>
    </row>
    <row r="32" spans="1:6" x14ac:dyDescent="0.35">
      <c r="A32" s="10">
        <v>4</v>
      </c>
      <c r="B32" s="6" t="s">
        <v>82</v>
      </c>
      <c r="C32" s="6"/>
      <c r="D32" s="6" t="s">
        <v>83</v>
      </c>
      <c r="E32" s="10"/>
      <c r="F32" s="10"/>
    </row>
    <row r="33" spans="1:6" x14ac:dyDescent="0.35">
      <c r="A33" s="10">
        <v>5</v>
      </c>
      <c r="B33" s="6" t="s">
        <v>84</v>
      </c>
      <c r="C33" s="6"/>
      <c r="D33" s="6" t="s">
        <v>85</v>
      </c>
      <c r="E33" s="10"/>
      <c r="F33" s="10"/>
    </row>
    <row r="34" spans="1:6" x14ac:dyDescent="0.35">
      <c r="A34" s="10">
        <v>6</v>
      </c>
      <c r="B34" s="6" t="s">
        <v>86</v>
      </c>
      <c r="C34" s="6"/>
      <c r="D34" s="6" t="s">
        <v>87</v>
      </c>
      <c r="E34" s="10"/>
      <c r="F34" s="10"/>
    </row>
    <row r="35" spans="1:6" x14ac:dyDescent="0.35">
      <c r="A35" s="10">
        <v>7</v>
      </c>
      <c r="B35" s="6" t="s">
        <v>88</v>
      </c>
      <c r="C35" s="6"/>
      <c r="D35" s="6" t="s">
        <v>89</v>
      </c>
      <c r="E35" s="10"/>
      <c r="F35" s="10"/>
    </row>
    <row r="36" spans="1:6" x14ac:dyDescent="0.35">
      <c r="A36" s="10">
        <v>8</v>
      </c>
      <c r="B36" s="6" t="s">
        <v>90</v>
      </c>
      <c r="C36" s="6"/>
      <c r="D36" s="6" t="s">
        <v>91</v>
      </c>
      <c r="E36" s="10"/>
      <c r="F36" s="10"/>
    </row>
    <row r="37" spans="1:6" x14ac:dyDescent="0.35">
      <c r="A37" s="10">
        <v>9</v>
      </c>
      <c r="B37" s="6" t="s">
        <v>92</v>
      </c>
      <c r="C37" s="6"/>
      <c r="D37" s="6" t="s">
        <v>93</v>
      </c>
      <c r="E37" s="10"/>
      <c r="F37" s="10"/>
    </row>
    <row r="38" spans="1:6" x14ac:dyDescent="0.35">
      <c r="A38" s="8"/>
      <c r="B38" s="9" t="s">
        <v>74</v>
      </c>
      <c r="C38" s="9"/>
      <c r="D38" s="9" t="s">
        <v>94</v>
      </c>
      <c r="E38" s="8">
        <v>29</v>
      </c>
      <c r="F38" s="8">
        <v>20</v>
      </c>
    </row>
    <row r="39" spans="1:6" x14ac:dyDescent="0.35">
      <c r="A39" s="11"/>
      <c r="B39" s="12" t="s">
        <v>95</v>
      </c>
      <c r="C39" s="12"/>
      <c r="D39" s="12"/>
      <c r="E39" s="11">
        <v>58</v>
      </c>
      <c r="F39" s="11">
        <v>40</v>
      </c>
    </row>
    <row r="41" spans="1:6" x14ac:dyDescent="0.35">
      <c r="A41" s="74" t="s">
        <v>96</v>
      </c>
      <c r="B41" s="75"/>
      <c r="C41" s="75"/>
      <c r="D41" s="75"/>
      <c r="E41" s="75"/>
      <c r="F41" s="76"/>
    </row>
    <row r="42" spans="1:6" x14ac:dyDescent="0.35">
      <c r="A42" s="7" t="s">
        <v>2</v>
      </c>
      <c r="B42" s="7" t="s">
        <v>24</v>
      </c>
      <c r="C42" s="7" t="s">
        <v>25</v>
      </c>
      <c r="D42" s="7" t="s">
        <v>26</v>
      </c>
      <c r="E42" s="7" t="s">
        <v>27</v>
      </c>
      <c r="F42" s="7" t="s">
        <v>28</v>
      </c>
    </row>
    <row r="43" spans="1:6" x14ac:dyDescent="0.35">
      <c r="A43" s="8"/>
      <c r="B43" s="9" t="s">
        <v>29</v>
      </c>
      <c r="C43" s="9"/>
      <c r="D43" s="9" t="s">
        <v>30</v>
      </c>
      <c r="E43" s="8"/>
      <c r="F43" s="8"/>
    </row>
    <row r="44" spans="1:6" x14ac:dyDescent="0.35">
      <c r="A44" s="10">
        <v>1</v>
      </c>
      <c r="B44" s="6" t="s">
        <v>97</v>
      </c>
      <c r="C44" s="6"/>
      <c r="D44" s="6" t="s">
        <v>32</v>
      </c>
      <c r="E44" s="10"/>
      <c r="F44" s="10"/>
    </row>
    <row r="45" spans="1:6" x14ac:dyDescent="0.35">
      <c r="A45" s="10">
        <v>2</v>
      </c>
      <c r="B45" s="6" t="s">
        <v>98</v>
      </c>
      <c r="C45" s="6"/>
      <c r="D45" s="6" t="s">
        <v>34</v>
      </c>
      <c r="E45" s="10"/>
      <c r="F45" s="10"/>
    </row>
    <row r="46" spans="1:6" x14ac:dyDescent="0.35">
      <c r="A46" s="10">
        <v>3</v>
      </c>
      <c r="B46" s="6" t="s">
        <v>99</v>
      </c>
      <c r="C46" s="6"/>
      <c r="D46" s="6" t="s">
        <v>36</v>
      </c>
      <c r="E46" s="10"/>
      <c r="F46" s="10"/>
    </row>
    <row r="47" spans="1:6" x14ac:dyDescent="0.35">
      <c r="A47" s="10">
        <v>4</v>
      </c>
      <c r="B47" s="6" t="s">
        <v>100</v>
      </c>
      <c r="C47" s="6"/>
      <c r="D47" s="6" t="s">
        <v>38</v>
      </c>
      <c r="E47" s="10"/>
      <c r="F47" s="10"/>
    </row>
    <row r="48" spans="1:6" x14ac:dyDescent="0.35">
      <c r="A48" s="10">
        <v>5</v>
      </c>
      <c r="B48" s="6" t="s">
        <v>101</v>
      </c>
      <c r="C48" s="6"/>
      <c r="D48" s="6" t="s">
        <v>39</v>
      </c>
      <c r="E48" s="10"/>
      <c r="F48" s="10"/>
    </row>
    <row r="49" spans="1:6" x14ac:dyDescent="0.35">
      <c r="A49" s="10">
        <v>6</v>
      </c>
      <c r="B49" s="6" t="s">
        <v>102</v>
      </c>
      <c r="C49" s="6"/>
      <c r="D49" s="6" t="s">
        <v>41</v>
      </c>
      <c r="E49" s="10"/>
      <c r="F49" s="10"/>
    </row>
    <row r="50" spans="1:6" x14ac:dyDescent="0.35">
      <c r="A50" s="10">
        <v>7</v>
      </c>
      <c r="B50" s="6" t="s">
        <v>103</v>
      </c>
      <c r="C50" s="6"/>
      <c r="D50" s="6" t="s">
        <v>43</v>
      </c>
      <c r="E50" s="10"/>
      <c r="F50" s="10"/>
    </row>
    <row r="51" spans="1:6" x14ac:dyDescent="0.35">
      <c r="A51" s="10">
        <v>8</v>
      </c>
      <c r="B51" s="6" t="s">
        <v>104</v>
      </c>
      <c r="C51" s="6"/>
      <c r="D51" s="6" t="s">
        <v>45</v>
      </c>
      <c r="E51" s="10"/>
      <c r="F51" s="10"/>
    </row>
    <row r="52" spans="1:6" x14ac:dyDescent="0.35">
      <c r="A52" s="10">
        <v>9</v>
      </c>
      <c r="B52" s="6" t="s">
        <v>105</v>
      </c>
      <c r="C52" s="6"/>
      <c r="D52" s="6" t="s">
        <v>106</v>
      </c>
      <c r="E52" s="10"/>
      <c r="F52" s="10"/>
    </row>
    <row r="53" spans="1:6" x14ac:dyDescent="0.35">
      <c r="A53" s="10">
        <v>10</v>
      </c>
      <c r="B53" s="6" t="s">
        <v>107</v>
      </c>
      <c r="C53" s="6"/>
      <c r="D53" s="6" t="s">
        <v>51</v>
      </c>
      <c r="E53" s="10"/>
      <c r="F53" s="10"/>
    </row>
    <row r="54" spans="1:6" x14ac:dyDescent="0.35">
      <c r="A54" s="10">
        <v>11</v>
      </c>
      <c r="B54" s="6" t="s">
        <v>108</v>
      </c>
      <c r="C54" s="6"/>
      <c r="D54" s="6" t="s">
        <v>109</v>
      </c>
      <c r="E54" s="10"/>
      <c r="F54" s="10"/>
    </row>
    <row r="55" spans="1:6" x14ac:dyDescent="0.35">
      <c r="A55" s="10">
        <v>12</v>
      </c>
      <c r="B55" s="6" t="s">
        <v>110</v>
      </c>
      <c r="C55" s="6"/>
      <c r="D55" s="6" t="s">
        <v>111</v>
      </c>
      <c r="E55" s="10"/>
      <c r="F55" s="10"/>
    </row>
    <row r="56" spans="1:6" x14ac:dyDescent="0.35">
      <c r="A56" s="10">
        <v>13</v>
      </c>
      <c r="B56" s="6" t="s">
        <v>112</v>
      </c>
      <c r="C56" s="6"/>
      <c r="D56" s="6" t="s">
        <v>59</v>
      </c>
      <c r="E56" s="10"/>
      <c r="F56" s="10"/>
    </row>
    <row r="57" spans="1:6" x14ac:dyDescent="0.35">
      <c r="A57" s="10">
        <v>14</v>
      </c>
      <c r="B57" s="6" t="s">
        <v>31</v>
      </c>
      <c r="C57" s="6" t="s">
        <v>113</v>
      </c>
      <c r="D57" s="6" t="s">
        <v>114</v>
      </c>
      <c r="E57" s="10"/>
      <c r="F57" s="10"/>
    </row>
    <row r="58" spans="1:6" x14ac:dyDescent="0.35">
      <c r="A58" s="10">
        <v>15</v>
      </c>
      <c r="B58" s="6" t="s">
        <v>115</v>
      </c>
      <c r="C58" s="6"/>
      <c r="D58" s="6" t="s">
        <v>116</v>
      </c>
      <c r="E58" s="10"/>
      <c r="F58" s="10"/>
    </row>
    <row r="59" spans="1:6" x14ac:dyDescent="0.35">
      <c r="A59" s="10">
        <v>16</v>
      </c>
      <c r="B59" s="6" t="s">
        <v>117</v>
      </c>
      <c r="C59" s="6"/>
      <c r="D59" s="6" t="s">
        <v>118</v>
      </c>
      <c r="E59" s="10"/>
      <c r="F59" s="10"/>
    </row>
    <row r="60" spans="1:6" x14ac:dyDescent="0.35">
      <c r="A60" s="8"/>
      <c r="B60" s="9" t="s">
        <v>74</v>
      </c>
      <c r="C60" s="9"/>
      <c r="D60" s="9" t="s">
        <v>119</v>
      </c>
      <c r="E60" s="8">
        <v>29</v>
      </c>
      <c r="F60" s="8">
        <v>20</v>
      </c>
    </row>
    <row r="61" spans="1:6" x14ac:dyDescent="0.35">
      <c r="A61" s="10">
        <v>1</v>
      </c>
      <c r="B61" s="6" t="s">
        <v>120</v>
      </c>
      <c r="C61" s="6"/>
      <c r="D61" s="6" t="s">
        <v>121</v>
      </c>
      <c r="E61" s="10"/>
      <c r="F61" s="10"/>
    </row>
    <row r="62" spans="1:6" x14ac:dyDescent="0.35">
      <c r="A62" s="10">
        <v>2</v>
      </c>
      <c r="B62" s="6" t="s">
        <v>122</v>
      </c>
      <c r="C62" s="6"/>
      <c r="D62" s="6" t="s">
        <v>123</v>
      </c>
      <c r="E62" s="10"/>
      <c r="F62" s="10"/>
    </row>
    <row r="63" spans="1:6" x14ac:dyDescent="0.35">
      <c r="A63" s="10">
        <v>3</v>
      </c>
      <c r="B63" s="6" t="s">
        <v>124</v>
      </c>
      <c r="C63" s="6"/>
      <c r="D63" s="6" t="s">
        <v>125</v>
      </c>
      <c r="E63" s="10"/>
      <c r="F63" s="10"/>
    </row>
    <row r="64" spans="1:6" x14ac:dyDescent="0.35">
      <c r="A64" s="10">
        <v>4</v>
      </c>
      <c r="B64" s="6" t="s">
        <v>126</v>
      </c>
      <c r="C64" s="6"/>
      <c r="D64" s="6" t="s">
        <v>127</v>
      </c>
      <c r="E64" s="10"/>
      <c r="F64" s="10"/>
    </row>
    <row r="65" spans="1:6" x14ac:dyDescent="0.35">
      <c r="A65" s="10">
        <v>5</v>
      </c>
      <c r="B65" s="6" t="s">
        <v>128</v>
      </c>
      <c r="C65" s="6"/>
      <c r="D65" s="6" t="s">
        <v>77</v>
      </c>
      <c r="E65" s="10"/>
      <c r="F65" s="10"/>
    </row>
    <row r="66" spans="1:6" x14ac:dyDescent="0.35">
      <c r="A66" s="10">
        <v>6</v>
      </c>
      <c r="B66" s="6" t="s">
        <v>129</v>
      </c>
      <c r="C66" s="6"/>
      <c r="D66" s="6" t="s">
        <v>130</v>
      </c>
      <c r="E66" s="10"/>
      <c r="F66" s="10"/>
    </row>
    <row r="67" spans="1:6" x14ac:dyDescent="0.35">
      <c r="A67" s="10">
        <v>7</v>
      </c>
      <c r="B67" s="6" t="s">
        <v>131</v>
      </c>
      <c r="C67" s="6"/>
      <c r="D67" s="6" t="s">
        <v>132</v>
      </c>
      <c r="E67" s="10"/>
      <c r="F67" s="10"/>
    </row>
    <row r="68" spans="1:6" x14ac:dyDescent="0.35">
      <c r="A68" s="10">
        <v>8</v>
      </c>
      <c r="B68" s="6" t="s">
        <v>133</v>
      </c>
      <c r="C68" s="6"/>
      <c r="D68" s="6" t="s">
        <v>134</v>
      </c>
      <c r="E68" s="10"/>
      <c r="F68" s="10"/>
    </row>
    <row r="69" spans="1:6" x14ac:dyDescent="0.35">
      <c r="A69" s="10">
        <v>9</v>
      </c>
      <c r="B69" s="6" t="s">
        <v>135</v>
      </c>
      <c r="C69" s="6"/>
      <c r="D69" s="6" t="s">
        <v>83</v>
      </c>
      <c r="E69" s="10"/>
      <c r="F69" s="10"/>
    </row>
    <row r="70" spans="1:6" x14ac:dyDescent="0.35">
      <c r="A70" s="10">
        <v>10</v>
      </c>
      <c r="B70" s="6" t="s">
        <v>136</v>
      </c>
      <c r="C70" s="6"/>
      <c r="D70" s="6" t="s">
        <v>85</v>
      </c>
      <c r="E70" s="10"/>
      <c r="F70" s="10"/>
    </row>
    <row r="71" spans="1:6" x14ac:dyDescent="0.35">
      <c r="A71" s="10">
        <v>11</v>
      </c>
      <c r="B71" s="6" t="s">
        <v>137</v>
      </c>
      <c r="C71" s="6"/>
      <c r="D71" s="6" t="s">
        <v>87</v>
      </c>
      <c r="E71" s="10"/>
      <c r="F71" s="10"/>
    </row>
    <row r="72" spans="1:6" x14ac:dyDescent="0.35">
      <c r="A72" s="10">
        <v>12</v>
      </c>
      <c r="B72" s="6" t="s">
        <v>138</v>
      </c>
      <c r="C72" s="6"/>
      <c r="D72" s="6" t="s">
        <v>139</v>
      </c>
      <c r="E72" s="10"/>
      <c r="F72" s="10"/>
    </row>
    <row r="73" spans="1:6" x14ac:dyDescent="0.35">
      <c r="A73" s="10">
        <v>13</v>
      </c>
      <c r="B73" s="6" t="s">
        <v>88</v>
      </c>
      <c r="C73" s="6"/>
      <c r="D73" s="6" t="s">
        <v>91</v>
      </c>
      <c r="E73" s="10"/>
      <c r="F73" s="10"/>
    </row>
    <row r="74" spans="1:6" x14ac:dyDescent="0.35">
      <c r="A74" s="10">
        <v>14</v>
      </c>
      <c r="B74" s="6" t="s">
        <v>140</v>
      </c>
      <c r="C74" s="6"/>
      <c r="D74" s="6" t="s">
        <v>141</v>
      </c>
      <c r="E74" s="10"/>
      <c r="F74" s="10"/>
    </row>
    <row r="75" spans="1:6" x14ac:dyDescent="0.35">
      <c r="A75" s="10">
        <v>15</v>
      </c>
      <c r="B75" s="6" t="s">
        <v>142</v>
      </c>
      <c r="C75" s="6"/>
      <c r="D75" s="6" t="s">
        <v>143</v>
      </c>
      <c r="E75" s="10"/>
      <c r="F75" s="10"/>
    </row>
    <row r="76" spans="1:6" x14ac:dyDescent="0.35">
      <c r="A76" s="10">
        <v>16</v>
      </c>
      <c r="B76" s="6" t="s">
        <v>84</v>
      </c>
      <c r="C76" s="6"/>
      <c r="D76" s="6" t="s">
        <v>144</v>
      </c>
      <c r="E76" s="10"/>
      <c r="F76" s="10"/>
    </row>
    <row r="77" spans="1:6" x14ac:dyDescent="0.35">
      <c r="A77" s="8"/>
      <c r="B77" s="9" t="s">
        <v>74</v>
      </c>
      <c r="C77" s="9"/>
      <c r="D77" s="9" t="s">
        <v>94</v>
      </c>
      <c r="E77" s="8">
        <v>34</v>
      </c>
      <c r="F77" s="8">
        <v>20</v>
      </c>
    </row>
    <row r="78" spans="1:6" x14ac:dyDescent="0.35">
      <c r="A78" s="11"/>
      <c r="B78" s="12" t="s">
        <v>95</v>
      </c>
      <c r="C78" s="12"/>
      <c r="D78" s="12"/>
      <c r="E78" s="11">
        <v>63</v>
      </c>
      <c r="F78" s="11">
        <v>40</v>
      </c>
    </row>
    <row r="80" spans="1:6" x14ac:dyDescent="0.35">
      <c r="A80" s="74" t="s">
        <v>145</v>
      </c>
      <c r="B80" s="75"/>
      <c r="C80" s="75"/>
      <c r="D80" s="75"/>
      <c r="E80" s="75"/>
      <c r="F80" s="76"/>
    </row>
    <row r="81" spans="1:6" x14ac:dyDescent="0.35">
      <c r="A81" s="7" t="s">
        <v>2</v>
      </c>
      <c r="B81" s="7" t="s">
        <v>24</v>
      </c>
      <c r="C81" s="7" t="s">
        <v>25</v>
      </c>
      <c r="D81" s="7" t="s">
        <v>26</v>
      </c>
      <c r="E81" s="7" t="s">
        <v>27</v>
      </c>
      <c r="F81" s="7" t="s">
        <v>28</v>
      </c>
    </row>
    <row r="82" spans="1:6" x14ac:dyDescent="0.35">
      <c r="A82" s="8"/>
      <c r="B82" s="9" t="s">
        <v>29</v>
      </c>
      <c r="C82" s="9"/>
      <c r="D82" s="9" t="s">
        <v>30</v>
      </c>
      <c r="E82" s="8"/>
      <c r="F82" s="8"/>
    </row>
    <row r="83" spans="1:6" x14ac:dyDescent="0.35">
      <c r="A83" s="10">
        <v>1</v>
      </c>
      <c r="B83" s="6" t="s">
        <v>146</v>
      </c>
      <c r="C83" s="6"/>
      <c r="D83" s="6" t="s">
        <v>32</v>
      </c>
      <c r="E83" s="10"/>
      <c r="F83" s="10"/>
    </row>
    <row r="84" spans="1:6" x14ac:dyDescent="0.35">
      <c r="A84" s="10">
        <v>2</v>
      </c>
      <c r="B84" s="6" t="s">
        <v>147</v>
      </c>
      <c r="C84" s="6"/>
      <c r="D84" s="6" t="s">
        <v>148</v>
      </c>
      <c r="E84" s="10"/>
      <c r="F84" s="10"/>
    </row>
    <row r="85" spans="1:6" x14ac:dyDescent="0.35">
      <c r="A85" s="10">
        <v>3</v>
      </c>
      <c r="B85" s="6" t="s">
        <v>149</v>
      </c>
      <c r="C85" s="6"/>
      <c r="D85" s="6" t="s">
        <v>150</v>
      </c>
      <c r="E85" s="10"/>
      <c r="F85" s="10"/>
    </row>
    <row r="86" spans="1:6" x14ac:dyDescent="0.35">
      <c r="A86" s="10">
        <v>4</v>
      </c>
      <c r="B86" s="6" t="s">
        <v>151</v>
      </c>
      <c r="C86" s="6"/>
      <c r="D86" s="6" t="s">
        <v>152</v>
      </c>
      <c r="E86" s="10"/>
      <c r="F86" s="10"/>
    </row>
    <row r="87" spans="1:6" x14ac:dyDescent="0.35">
      <c r="A87" s="10">
        <v>5</v>
      </c>
      <c r="B87" s="6" t="s">
        <v>153</v>
      </c>
      <c r="C87" s="6"/>
      <c r="D87" s="6" t="s">
        <v>154</v>
      </c>
      <c r="E87" s="10"/>
      <c r="F87" s="10"/>
    </row>
    <row r="88" spans="1:6" x14ac:dyDescent="0.35">
      <c r="A88" s="10">
        <v>6</v>
      </c>
      <c r="B88" s="6" t="s">
        <v>155</v>
      </c>
      <c r="C88" s="6"/>
      <c r="D88" s="6" t="s">
        <v>43</v>
      </c>
      <c r="E88" s="10"/>
      <c r="F88" s="10"/>
    </row>
    <row r="89" spans="1:6" x14ac:dyDescent="0.35">
      <c r="A89" s="10">
        <v>7</v>
      </c>
      <c r="B89" s="6" t="s">
        <v>37</v>
      </c>
      <c r="C89" s="6"/>
      <c r="D89" s="6" t="s">
        <v>45</v>
      </c>
      <c r="E89" s="10"/>
      <c r="F89" s="10"/>
    </row>
    <row r="90" spans="1:6" x14ac:dyDescent="0.35">
      <c r="A90" s="10">
        <v>8</v>
      </c>
      <c r="B90" s="6" t="s">
        <v>156</v>
      </c>
      <c r="C90" s="6"/>
      <c r="D90" s="6" t="s">
        <v>49</v>
      </c>
      <c r="E90" s="10"/>
      <c r="F90" s="10"/>
    </row>
    <row r="91" spans="1:6" x14ac:dyDescent="0.35">
      <c r="A91" s="10">
        <v>9</v>
      </c>
      <c r="B91" s="6" t="s">
        <v>157</v>
      </c>
      <c r="C91" s="6"/>
      <c r="D91" s="6" t="s">
        <v>158</v>
      </c>
      <c r="E91" s="10"/>
      <c r="F91" s="10"/>
    </row>
    <row r="92" spans="1:6" x14ac:dyDescent="0.35">
      <c r="A92" s="10">
        <v>10</v>
      </c>
      <c r="B92" s="6" t="s">
        <v>159</v>
      </c>
      <c r="C92" s="6"/>
      <c r="D92" s="6" t="s">
        <v>55</v>
      </c>
      <c r="E92" s="10"/>
      <c r="F92" s="10"/>
    </row>
    <row r="93" spans="1:6" x14ac:dyDescent="0.35">
      <c r="A93" s="10">
        <v>11</v>
      </c>
      <c r="B93" s="6" t="s">
        <v>160</v>
      </c>
      <c r="C93" s="6"/>
      <c r="D93" s="6" t="s">
        <v>57</v>
      </c>
      <c r="E93" s="10"/>
      <c r="F93" s="10"/>
    </row>
    <row r="94" spans="1:6" x14ac:dyDescent="0.35">
      <c r="A94" s="10">
        <v>12</v>
      </c>
      <c r="B94" s="6" t="s">
        <v>161</v>
      </c>
      <c r="C94" s="6"/>
      <c r="D94" s="6" t="s">
        <v>162</v>
      </c>
      <c r="E94" s="10"/>
      <c r="F94" s="10"/>
    </row>
    <row r="95" spans="1:6" x14ac:dyDescent="0.35">
      <c r="A95" s="8"/>
      <c r="B95" s="9" t="s">
        <v>74</v>
      </c>
      <c r="C95" s="9"/>
      <c r="D95" s="9" t="s">
        <v>61</v>
      </c>
      <c r="E95" s="8">
        <v>28</v>
      </c>
      <c r="F95" s="8">
        <v>20</v>
      </c>
    </row>
    <row r="96" spans="1:6" x14ac:dyDescent="0.35">
      <c r="A96" s="10">
        <v>1</v>
      </c>
      <c r="B96" s="6" t="s">
        <v>163</v>
      </c>
      <c r="C96" s="6"/>
      <c r="D96" s="6" t="s">
        <v>164</v>
      </c>
      <c r="E96" s="10"/>
      <c r="F96" s="10"/>
    </row>
    <row r="97" spans="1:6" x14ac:dyDescent="0.35">
      <c r="A97" s="10">
        <v>2</v>
      </c>
      <c r="B97" s="6" t="s">
        <v>165</v>
      </c>
      <c r="C97" s="6"/>
      <c r="D97" s="6" t="s">
        <v>166</v>
      </c>
      <c r="E97" s="10"/>
      <c r="F97" s="10"/>
    </row>
    <row r="98" spans="1:6" x14ac:dyDescent="0.35">
      <c r="A98" s="10">
        <v>3</v>
      </c>
      <c r="B98" s="6" t="s">
        <v>140</v>
      </c>
      <c r="C98" s="6"/>
      <c r="D98" s="6" t="s">
        <v>123</v>
      </c>
      <c r="E98" s="10"/>
      <c r="F98" s="10"/>
    </row>
    <row r="99" spans="1:6" x14ac:dyDescent="0.35">
      <c r="A99" s="10">
        <v>4</v>
      </c>
      <c r="B99" s="6" t="s">
        <v>167</v>
      </c>
      <c r="C99" s="6"/>
      <c r="D99" s="6" t="s">
        <v>168</v>
      </c>
      <c r="E99" s="10"/>
      <c r="F99" s="10"/>
    </row>
    <row r="100" spans="1:6" x14ac:dyDescent="0.35">
      <c r="A100" s="10">
        <v>5</v>
      </c>
      <c r="B100" s="6" t="s">
        <v>169</v>
      </c>
      <c r="C100" s="6"/>
      <c r="D100" s="6" t="s">
        <v>170</v>
      </c>
      <c r="E100" s="10"/>
      <c r="F100" s="10"/>
    </row>
    <row r="101" spans="1:6" x14ac:dyDescent="0.35">
      <c r="A101" s="10">
        <v>6</v>
      </c>
      <c r="B101" s="6" t="s">
        <v>171</v>
      </c>
      <c r="C101" s="6"/>
      <c r="D101" s="6" t="s">
        <v>172</v>
      </c>
      <c r="E101" s="10"/>
      <c r="F101" s="10"/>
    </row>
    <row r="102" spans="1:6" x14ac:dyDescent="0.35">
      <c r="A102" s="10">
        <v>7</v>
      </c>
      <c r="B102" s="6" t="s">
        <v>173</v>
      </c>
      <c r="C102" s="6"/>
      <c r="D102" s="6" t="s">
        <v>174</v>
      </c>
      <c r="E102" s="10"/>
      <c r="F102" s="10"/>
    </row>
    <row r="103" spans="1:6" x14ac:dyDescent="0.35">
      <c r="A103" s="10">
        <v>8</v>
      </c>
      <c r="B103" s="6" t="s">
        <v>175</v>
      </c>
      <c r="C103" s="6"/>
      <c r="D103" s="6" t="s">
        <v>83</v>
      </c>
      <c r="E103" s="10"/>
      <c r="F103" s="10"/>
    </row>
    <row r="104" spans="1:6" x14ac:dyDescent="0.35">
      <c r="A104" s="10">
        <v>9</v>
      </c>
      <c r="B104" s="6" t="s">
        <v>176</v>
      </c>
      <c r="C104" s="6"/>
      <c r="D104" s="6" t="s">
        <v>85</v>
      </c>
      <c r="E104" s="10"/>
      <c r="F104" s="10"/>
    </row>
    <row r="105" spans="1:6" x14ac:dyDescent="0.35">
      <c r="A105" s="10">
        <v>10</v>
      </c>
      <c r="B105" s="6" t="s">
        <v>177</v>
      </c>
      <c r="C105" s="6"/>
      <c r="D105" s="6" t="s">
        <v>87</v>
      </c>
      <c r="E105" s="10"/>
      <c r="F105" s="10"/>
    </row>
    <row r="106" spans="1:6" x14ac:dyDescent="0.35">
      <c r="A106" s="10">
        <v>11</v>
      </c>
      <c r="B106" s="6" t="s">
        <v>178</v>
      </c>
      <c r="C106" s="6"/>
      <c r="D106" s="6" t="s">
        <v>179</v>
      </c>
      <c r="E106" s="10"/>
      <c r="F106" s="10"/>
    </row>
    <row r="107" spans="1:6" x14ac:dyDescent="0.35">
      <c r="A107" s="10">
        <v>12</v>
      </c>
      <c r="B107" s="6" t="s">
        <v>180</v>
      </c>
      <c r="C107" s="6"/>
      <c r="D107" s="6" t="s">
        <v>181</v>
      </c>
      <c r="E107" s="10"/>
      <c r="F107" s="10"/>
    </row>
    <row r="108" spans="1:6" x14ac:dyDescent="0.35">
      <c r="A108" s="10">
        <v>13</v>
      </c>
      <c r="B108" s="6" t="s">
        <v>182</v>
      </c>
      <c r="C108" s="6"/>
      <c r="D108" s="6" t="s">
        <v>183</v>
      </c>
      <c r="E108" s="10"/>
      <c r="F108" s="10"/>
    </row>
    <row r="109" spans="1:6" x14ac:dyDescent="0.35">
      <c r="A109" s="10">
        <v>14</v>
      </c>
      <c r="B109" s="6" t="s">
        <v>184</v>
      </c>
      <c r="C109" s="6"/>
      <c r="D109" s="6" t="s">
        <v>141</v>
      </c>
      <c r="E109" s="10"/>
      <c r="F109" s="10"/>
    </row>
    <row r="110" spans="1:6" x14ac:dyDescent="0.35">
      <c r="A110" s="10">
        <v>15</v>
      </c>
      <c r="B110" s="6" t="s">
        <v>178</v>
      </c>
      <c r="C110" s="6" t="s">
        <v>185</v>
      </c>
      <c r="D110" s="6" t="s">
        <v>186</v>
      </c>
      <c r="E110" s="10"/>
      <c r="F110" s="10"/>
    </row>
    <row r="111" spans="1:6" x14ac:dyDescent="0.35">
      <c r="A111" s="10">
        <v>16</v>
      </c>
      <c r="B111" s="6" t="s">
        <v>187</v>
      </c>
      <c r="C111" s="6"/>
      <c r="D111" s="6" t="s">
        <v>188</v>
      </c>
      <c r="E111" s="10"/>
      <c r="F111" s="10"/>
    </row>
    <row r="112" spans="1:6" x14ac:dyDescent="0.35">
      <c r="A112" s="8"/>
      <c r="B112" s="9" t="s">
        <v>74</v>
      </c>
      <c r="C112" s="9"/>
      <c r="D112" s="9" t="s">
        <v>189</v>
      </c>
      <c r="E112" s="8">
        <v>30</v>
      </c>
      <c r="F112" s="8">
        <v>20</v>
      </c>
    </row>
    <row r="113" spans="1:6" x14ac:dyDescent="0.35">
      <c r="A113" s="11"/>
      <c r="B113" s="12" t="s">
        <v>95</v>
      </c>
      <c r="C113" s="12"/>
      <c r="D113" s="12"/>
      <c r="E113" s="11">
        <v>58</v>
      </c>
      <c r="F113" s="11">
        <v>40</v>
      </c>
    </row>
    <row r="115" spans="1:6" x14ac:dyDescent="0.35">
      <c r="A115" s="74" t="s">
        <v>190</v>
      </c>
      <c r="B115" s="75"/>
      <c r="C115" s="75"/>
      <c r="D115" s="75"/>
      <c r="E115" s="75"/>
      <c r="F115" s="76"/>
    </row>
    <row r="116" spans="1:6" x14ac:dyDescent="0.35">
      <c r="A116" s="7" t="s">
        <v>2</v>
      </c>
      <c r="B116" s="7" t="s">
        <v>24</v>
      </c>
      <c r="C116" s="7" t="s">
        <v>25</v>
      </c>
      <c r="D116" s="7" t="s">
        <v>26</v>
      </c>
      <c r="E116" s="7" t="s">
        <v>27</v>
      </c>
      <c r="F116" s="7" t="s">
        <v>28</v>
      </c>
    </row>
    <row r="117" spans="1:6" x14ac:dyDescent="0.35">
      <c r="A117" s="8"/>
      <c r="B117" s="9" t="s">
        <v>29</v>
      </c>
      <c r="C117" s="9"/>
      <c r="D117" s="9" t="s">
        <v>30</v>
      </c>
      <c r="E117" s="8"/>
      <c r="F117" s="8"/>
    </row>
    <row r="118" spans="1:6" x14ac:dyDescent="0.35">
      <c r="A118" s="10">
        <v>1</v>
      </c>
      <c r="B118" s="6" t="s">
        <v>31</v>
      </c>
      <c r="C118" s="6"/>
      <c r="D118" s="6" t="s">
        <v>32</v>
      </c>
      <c r="E118" s="10"/>
      <c r="F118" s="10"/>
    </row>
    <row r="119" spans="1:6" x14ac:dyDescent="0.35">
      <c r="A119" s="10">
        <v>2</v>
      </c>
      <c r="B119" s="6" t="s">
        <v>191</v>
      </c>
      <c r="C119" s="6"/>
      <c r="D119" s="6" t="s">
        <v>36</v>
      </c>
      <c r="E119" s="10"/>
      <c r="F119" s="10"/>
    </row>
    <row r="120" spans="1:6" x14ac:dyDescent="0.35">
      <c r="A120" s="10">
        <v>3</v>
      </c>
      <c r="B120" s="6" t="s">
        <v>192</v>
      </c>
      <c r="C120" s="6"/>
      <c r="D120" s="6" t="s">
        <v>150</v>
      </c>
      <c r="E120" s="10"/>
      <c r="F120" s="10"/>
    </row>
    <row r="121" spans="1:6" x14ac:dyDescent="0.35">
      <c r="A121" s="10">
        <v>4</v>
      </c>
      <c r="B121" s="6" t="s">
        <v>33</v>
      </c>
      <c r="C121" s="6"/>
      <c r="D121" s="6" t="s">
        <v>38</v>
      </c>
      <c r="E121" s="10"/>
      <c r="F121" s="10"/>
    </row>
    <row r="122" spans="1:6" x14ac:dyDescent="0.35">
      <c r="A122" s="10">
        <v>5</v>
      </c>
      <c r="B122" s="6" t="s">
        <v>35</v>
      </c>
      <c r="C122" s="6"/>
      <c r="D122" s="6" t="s">
        <v>39</v>
      </c>
      <c r="E122" s="10"/>
      <c r="F122" s="10"/>
    </row>
    <row r="123" spans="1:6" x14ac:dyDescent="0.35">
      <c r="A123" s="10">
        <v>6</v>
      </c>
      <c r="B123" s="6" t="s">
        <v>193</v>
      </c>
      <c r="C123" s="6"/>
      <c r="D123" s="6" t="s">
        <v>41</v>
      </c>
      <c r="E123" s="10"/>
      <c r="F123" s="10"/>
    </row>
    <row r="124" spans="1:6" x14ac:dyDescent="0.35">
      <c r="A124" s="10">
        <v>7</v>
      </c>
      <c r="B124" s="6" t="s">
        <v>178</v>
      </c>
      <c r="C124" s="6"/>
      <c r="D124" s="6" t="s">
        <v>194</v>
      </c>
      <c r="E124" s="10"/>
      <c r="F124" s="10"/>
    </row>
    <row r="125" spans="1:6" x14ac:dyDescent="0.35">
      <c r="A125" s="10">
        <v>8</v>
      </c>
      <c r="B125" s="6" t="s">
        <v>195</v>
      </c>
      <c r="C125" s="6"/>
      <c r="D125" s="6" t="s">
        <v>196</v>
      </c>
      <c r="E125" s="10"/>
      <c r="F125" s="10"/>
    </row>
    <row r="126" spans="1:6" x14ac:dyDescent="0.35">
      <c r="A126" s="10">
        <v>9</v>
      </c>
      <c r="B126" s="6" t="s">
        <v>197</v>
      </c>
      <c r="C126" s="6"/>
      <c r="D126" s="6" t="s">
        <v>106</v>
      </c>
      <c r="E126" s="10"/>
      <c r="F126" s="10"/>
    </row>
    <row r="127" spans="1:6" x14ac:dyDescent="0.35">
      <c r="A127" s="10">
        <v>10</v>
      </c>
      <c r="B127" s="6" t="s">
        <v>198</v>
      </c>
      <c r="C127" s="6"/>
      <c r="D127" s="6" t="s">
        <v>199</v>
      </c>
      <c r="E127" s="10"/>
      <c r="F127" s="10"/>
    </row>
    <row r="128" spans="1:6" x14ac:dyDescent="0.35">
      <c r="A128" s="10">
        <v>11</v>
      </c>
      <c r="B128" s="6" t="s">
        <v>200</v>
      </c>
      <c r="C128" s="6"/>
      <c r="D128" s="6" t="s">
        <v>158</v>
      </c>
      <c r="E128" s="10"/>
      <c r="F128" s="10"/>
    </row>
    <row r="129" spans="1:6" x14ac:dyDescent="0.35">
      <c r="A129" s="10">
        <v>12</v>
      </c>
      <c r="B129" s="6" t="s">
        <v>142</v>
      </c>
      <c r="C129" s="6"/>
      <c r="D129" s="6" t="s">
        <v>57</v>
      </c>
      <c r="E129" s="10"/>
      <c r="F129" s="10"/>
    </row>
    <row r="130" spans="1:6" x14ac:dyDescent="0.35">
      <c r="A130" s="10">
        <v>13</v>
      </c>
      <c r="B130" s="6" t="s">
        <v>201</v>
      </c>
      <c r="C130" s="6"/>
      <c r="D130" s="6" t="s">
        <v>202</v>
      </c>
      <c r="E130" s="10"/>
      <c r="F130" s="10"/>
    </row>
    <row r="131" spans="1:6" x14ac:dyDescent="0.35">
      <c r="A131" s="10">
        <v>14</v>
      </c>
      <c r="B131" s="6" t="s">
        <v>203</v>
      </c>
      <c r="C131" s="6"/>
      <c r="D131" s="6" t="s">
        <v>61</v>
      </c>
      <c r="E131" s="10"/>
      <c r="F131" s="10"/>
    </row>
    <row r="132" spans="1:6" x14ac:dyDescent="0.35">
      <c r="A132" s="10">
        <v>15</v>
      </c>
      <c r="B132" s="6" t="s">
        <v>193</v>
      </c>
      <c r="C132" s="6"/>
      <c r="D132" s="6" t="s">
        <v>204</v>
      </c>
      <c r="E132" s="10"/>
      <c r="F132" s="10"/>
    </row>
    <row r="133" spans="1:6" x14ac:dyDescent="0.35">
      <c r="A133" s="10">
        <v>16</v>
      </c>
      <c r="B133" s="6" t="s">
        <v>205</v>
      </c>
      <c r="C133" s="6"/>
      <c r="D133" s="6" t="s">
        <v>65</v>
      </c>
      <c r="E133" s="10"/>
      <c r="F133" s="10"/>
    </row>
    <row r="134" spans="1:6" x14ac:dyDescent="0.35">
      <c r="A134" s="8"/>
      <c r="B134" s="9" t="s">
        <v>74</v>
      </c>
      <c r="C134" s="9"/>
      <c r="D134" s="9" t="s">
        <v>206</v>
      </c>
      <c r="E134" s="8">
        <v>30</v>
      </c>
      <c r="F134" s="8">
        <v>20</v>
      </c>
    </row>
    <row r="135" spans="1:6" x14ac:dyDescent="0.35">
      <c r="A135" s="10">
        <v>1</v>
      </c>
      <c r="B135" s="6" t="s">
        <v>207</v>
      </c>
      <c r="C135" s="6"/>
      <c r="D135" s="6" t="s">
        <v>208</v>
      </c>
      <c r="E135" s="10"/>
      <c r="F135" s="10"/>
    </row>
    <row r="136" spans="1:6" x14ac:dyDescent="0.35">
      <c r="A136" s="10">
        <v>2</v>
      </c>
      <c r="B136" s="6" t="s">
        <v>209</v>
      </c>
      <c r="C136" s="6"/>
      <c r="D136" s="6" t="s">
        <v>75</v>
      </c>
      <c r="E136" s="10"/>
      <c r="F136" s="10"/>
    </row>
    <row r="137" spans="1:6" x14ac:dyDescent="0.35">
      <c r="A137" s="10">
        <v>3</v>
      </c>
      <c r="B137" s="6" t="s">
        <v>210</v>
      </c>
      <c r="C137" s="6"/>
      <c r="D137" s="6" t="s">
        <v>123</v>
      </c>
      <c r="E137" s="10"/>
      <c r="F137" s="10"/>
    </row>
    <row r="138" spans="1:6" x14ac:dyDescent="0.35">
      <c r="A138" s="10">
        <v>4</v>
      </c>
      <c r="B138" s="6" t="s">
        <v>211</v>
      </c>
      <c r="C138" s="6"/>
      <c r="D138" s="6" t="s">
        <v>212</v>
      </c>
      <c r="E138" s="10"/>
      <c r="F138" s="10"/>
    </row>
    <row r="139" spans="1:6" x14ac:dyDescent="0.35">
      <c r="A139" s="10">
        <v>5</v>
      </c>
      <c r="B139" s="6" t="s">
        <v>213</v>
      </c>
      <c r="C139" s="6"/>
      <c r="D139" s="6" t="s">
        <v>168</v>
      </c>
      <c r="E139" s="10"/>
      <c r="F139" s="10"/>
    </row>
    <row r="140" spans="1:6" x14ac:dyDescent="0.35">
      <c r="A140" s="10">
        <v>6</v>
      </c>
      <c r="B140" s="6" t="s">
        <v>214</v>
      </c>
      <c r="C140" s="6"/>
      <c r="D140" s="6" t="s">
        <v>215</v>
      </c>
      <c r="E140" s="10"/>
      <c r="F140" s="10"/>
    </row>
    <row r="141" spans="1:6" x14ac:dyDescent="0.35">
      <c r="A141" s="10">
        <v>7</v>
      </c>
      <c r="B141" s="6" t="s">
        <v>216</v>
      </c>
      <c r="C141" s="6"/>
      <c r="D141" s="6" t="s">
        <v>170</v>
      </c>
      <c r="E141" s="10"/>
      <c r="F141" s="10"/>
    </row>
    <row r="142" spans="1:6" x14ac:dyDescent="0.35">
      <c r="A142" s="10">
        <v>8</v>
      </c>
      <c r="B142" s="6" t="s">
        <v>217</v>
      </c>
      <c r="C142" s="6"/>
      <c r="D142" s="6" t="s">
        <v>79</v>
      </c>
      <c r="E142" s="10"/>
      <c r="F142" s="10"/>
    </row>
    <row r="143" spans="1:6" x14ac:dyDescent="0.35">
      <c r="A143" s="10">
        <v>9</v>
      </c>
      <c r="B143" s="6" t="s">
        <v>218</v>
      </c>
      <c r="C143" s="6"/>
      <c r="D143" s="6" t="s">
        <v>132</v>
      </c>
      <c r="E143" s="10"/>
      <c r="F143" s="10"/>
    </row>
    <row r="144" spans="1:6" x14ac:dyDescent="0.35">
      <c r="A144" s="10">
        <v>10</v>
      </c>
      <c r="B144" s="6" t="s">
        <v>219</v>
      </c>
      <c r="C144" s="6"/>
      <c r="D144" s="6" t="s">
        <v>134</v>
      </c>
      <c r="E144" s="10"/>
      <c r="F144" s="10"/>
    </row>
    <row r="145" spans="1:6" x14ac:dyDescent="0.35">
      <c r="A145" s="10">
        <v>11</v>
      </c>
      <c r="B145" s="6" t="s">
        <v>137</v>
      </c>
      <c r="C145" s="6"/>
      <c r="D145" s="6" t="s">
        <v>220</v>
      </c>
      <c r="E145" s="10"/>
      <c r="F145" s="10"/>
    </row>
    <row r="146" spans="1:6" x14ac:dyDescent="0.35">
      <c r="A146" s="10">
        <v>12</v>
      </c>
      <c r="B146" s="6" t="s">
        <v>221</v>
      </c>
      <c r="C146" s="6"/>
      <c r="D146" s="6" t="s">
        <v>87</v>
      </c>
      <c r="E146" s="10"/>
      <c r="F146" s="10"/>
    </row>
    <row r="147" spans="1:6" x14ac:dyDescent="0.35">
      <c r="A147" s="10">
        <v>13</v>
      </c>
      <c r="B147" s="6" t="s">
        <v>169</v>
      </c>
      <c r="C147" s="6"/>
      <c r="D147" s="6" t="s">
        <v>179</v>
      </c>
      <c r="E147" s="10"/>
      <c r="F147" s="10"/>
    </row>
    <row r="148" spans="1:6" x14ac:dyDescent="0.35">
      <c r="A148" s="10">
        <v>14</v>
      </c>
      <c r="B148" s="6" t="s">
        <v>222</v>
      </c>
      <c r="C148" s="6"/>
      <c r="D148" s="6" t="s">
        <v>181</v>
      </c>
      <c r="E148" s="10"/>
      <c r="F148" s="10"/>
    </row>
    <row r="149" spans="1:6" x14ac:dyDescent="0.35">
      <c r="A149" s="10">
        <v>15</v>
      </c>
      <c r="B149" s="6" t="s">
        <v>223</v>
      </c>
      <c r="C149" s="6"/>
      <c r="D149" s="6" t="s">
        <v>183</v>
      </c>
      <c r="E149" s="10"/>
      <c r="F149" s="10"/>
    </row>
    <row r="150" spans="1:6" x14ac:dyDescent="0.35">
      <c r="A150" s="10">
        <v>16</v>
      </c>
      <c r="B150" s="6" t="s">
        <v>224</v>
      </c>
      <c r="C150" s="6"/>
      <c r="D150" s="6" t="s">
        <v>141</v>
      </c>
      <c r="E150" s="10"/>
      <c r="F150" s="10"/>
    </row>
    <row r="151" spans="1:6" x14ac:dyDescent="0.35">
      <c r="A151" s="10">
        <v>17</v>
      </c>
      <c r="B151" s="6" t="s">
        <v>225</v>
      </c>
      <c r="C151" s="6"/>
      <c r="D151" s="6" t="s">
        <v>143</v>
      </c>
      <c r="E151" s="10"/>
      <c r="F151" s="10"/>
    </row>
    <row r="152" spans="1:6" x14ac:dyDescent="0.35">
      <c r="A152" s="8"/>
      <c r="B152" s="9" t="s">
        <v>74</v>
      </c>
      <c r="C152" s="9"/>
      <c r="D152" s="9" t="s">
        <v>226</v>
      </c>
      <c r="E152" s="8">
        <v>35</v>
      </c>
      <c r="F152" s="8">
        <v>20</v>
      </c>
    </row>
    <row r="153" spans="1:6" x14ac:dyDescent="0.35">
      <c r="A153" s="11"/>
      <c r="B153" s="12" t="s">
        <v>95</v>
      </c>
      <c r="C153" s="12"/>
      <c r="D153" s="12"/>
      <c r="E153" s="11">
        <v>65</v>
      </c>
      <c r="F153" s="11">
        <v>40</v>
      </c>
    </row>
    <row r="155" spans="1:6" x14ac:dyDescent="0.35">
      <c r="A155" s="74" t="s">
        <v>227</v>
      </c>
      <c r="B155" s="75"/>
      <c r="C155" s="75"/>
      <c r="D155" s="75"/>
      <c r="E155" s="75"/>
      <c r="F155" s="76"/>
    </row>
    <row r="156" spans="1:6" x14ac:dyDescent="0.35">
      <c r="A156" s="7" t="s">
        <v>2</v>
      </c>
      <c r="B156" s="7" t="s">
        <v>24</v>
      </c>
      <c r="C156" s="7" t="s">
        <v>25</v>
      </c>
      <c r="D156" s="7" t="s">
        <v>26</v>
      </c>
      <c r="E156" s="7" t="s">
        <v>27</v>
      </c>
      <c r="F156" s="7" t="s">
        <v>28</v>
      </c>
    </row>
    <row r="157" spans="1:6" x14ac:dyDescent="0.35">
      <c r="A157" s="8"/>
      <c r="B157" s="9" t="s">
        <v>29</v>
      </c>
      <c r="C157" s="9"/>
      <c r="D157" s="9" t="s">
        <v>30</v>
      </c>
      <c r="E157" s="8"/>
      <c r="F157" s="8"/>
    </row>
    <row r="158" spans="1:6" x14ac:dyDescent="0.35">
      <c r="A158" s="10">
        <v>1</v>
      </c>
      <c r="B158" s="6" t="s">
        <v>228</v>
      </c>
      <c r="C158" s="6"/>
      <c r="D158" s="6" t="s">
        <v>32</v>
      </c>
      <c r="E158" s="10"/>
      <c r="F158" s="10"/>
    </row>
    <row r="159" spans="1:6" x14ac:dyDescent="0.35">
      <c r="A159" s="10">
        <v>2</v>
      </c>
      <c r="B159" s="6" t="s">
        <v>193</v>
      </c>
      <c r="C159" s="6"/>
      <c r="D159" s="6" t="s">
        <v>148</v>
      </c>
      <c r="E159" s="10"/>
      <c r="F159" s="10"/>
    </row>
    <row r="160" spans="1:6" x14ac:dyDescent="0.35">
      <c r="A160" s="10">
        <v>3</v>
      </c>
      <c r="B160" s="6" t="s">
        <v>137</v>
      </c>
      <c r="C160" s="6"/>
      <c r="D160" s="6" t="s">
        <v>36</v>
      </c>
      <c r="E160" s="10"/>
      <c r="F160" s="10"/>
    </row>
    <row r="161" spans="1:6" x14ac:dyDescent="0.35">
      <c r="A161" s="10">
        <v>4</v>
      </c>
      <c r="B161" s="6" t="s">
        <v>229</v>
      </c>
      <c r="C161" s="6"/>
      <c r="D161" s="6" t="s">
        <v>150</v>
      </c>
      <c r="E161" s="10"/>
      <c r="F161" s="10"/>
    </row>
    <row r="162" spans="1:6" x14ac:dyDescent="0.35">
      <c r="A162" s="10">
        <v>5</v>
      </c>
      <c r="B162" s="6" t="s">
        <v>205</v>
      </c>
      <c r="C162" s="6"/>
      <c r="D162" s="6" t="s">
        <v>152</v>
      </c>
      <c r="E162" s="10"/>
      <c r="F162" s="10"/>
    </row>
    <row r="163" spans="1:6" x14ac:dyDescent="0.35">
      <c r="A163" s="10">
        <v>6</v>
      </c>
      <c r="B163" s="6" t="s">
        <v>80</v>
      </c>
      <c r="C163" s="6"/>
      <c r="D163" s="6" t="s">
        <v>154</v>
      </c>
      <c r="E163" s="10"/>
      <c r="F163" s="10"/>
    </row>
    <row r="164" spans="1:6" x14ac:dyDescent="0.35">
      <c r="A164" s="10">
        <v>7</v>
      </c>
      <c r="B164" s="6" t="s">
        <v>230</v>
      </c>
      <c r="C164" s="6"/>
      <c r="D164" s="6" t="s">
        <v>41</v>
      </c>
      <c r="E164" s="10"/>
      <c r="F164" s="10"/>
    </row>
    <row r="165" spans="1:6" x14ac:dyDescent="0.35">
      <c r="A165" s="10">
        <v>8</v>
      </c>
      <c r="B165" s="6" t="s">
        <v>231</v>
      </c>
      <c r="C165" s="6"/>
      <c r="D165" s="6" t="s">
        <v>43</v>
      </c>
      <c r="E165" s="10"/>
      <c r="F165" s="10"/>
    </row>
    <row r="166" spans="1:6" x14ac:dyDescent="0.35">
      <c r="A166" s="10">
        <v>9</v>
      </c>
      <c r="B166" s="6" t="s">
        <v>232</v>
      </c>
      <c r="C166" s="6"/>
      <c r="D166" s="6" t="s">
        <v>194</v>
      </c>
      <c r="E166" s="10"/>
      <c r="F166" s="10"/>
    </row>
    <row r="167" spans="1:6" x14ac:dyDescent="0.35">
      <c r="A167" s="10">
        <v>10</v>
      </c>
      <c r="B167" s="6" t="s">
        <v>129</v>
      </c>
      <c r="C167" s="6"/>
      <c r="D167" s="6" t="s">
        <v>196</v>
      </c>
      <c r="E167" s="10"/>
      <c r="F167" s="10"/>
    </row>
    <row r="168" spans="1:6" x14ac:dyDescent="0.35">
      <c r="A168" s="10">
        <v>11</v>
      </c>
      <c r="B168" s="6" t="s">
        <v>136</v>
      </c>
      <c r="C168" s="6"/>
      <c r="D168" s="6" t="s">
        <v>49</v>
      </c>
      <c r="E168" s="10"/>
      <c r="F168" s="10"/>
    </row>
    <row r="169" spans="1:6" x14ac:dyDescent="0.35">
      <c r="A169" s="10">
        <v>12</v>
      </c>
      <c r="B169" s="6" t="s">
        <v>233</v>
      </c>
      <c r="C169" s="6"/>
      <c r="D169" s="6" t="s">
        <v>53</v>
      </c>
      <c r="E169" s="10"/>
      <c r="F169" s="10"/>
    </row>
    <row r="170" spans="1:6" x14ac:dyDescent="0.35">
      <c r="A170" s="10">
        <v>13</v>
      </c>
      <c r="B170" s="6" t="s">
        <v>234</v>
      </c>
      <c r="C170" s="6"/>
      <c r="D170" s="6" t="s">
        <v>235</v>
      </c>
      <c r="E170" s="10"/>
      <c r="F170" s="10"/>
    </row>
    <row r="171" spans="1:6" x14ac:dyDescent="0.35">
      <c r="A171" s="10">
        <v>14</v>
      </c>
      <c r="B171" s="6" t="s">
        <v>236</v>
      </c>
      <c r="C171" s="6"/>
      <c r="D171" s="6" t="s">
        <v>55</v>
      </c>
      <c r="E171" s="10"/>
      <c r="F171" s="10"/>
    </row>
    <row r="172" spans="1:6" x14ac:dyDescent="0.35">
      <c r="A172" s="10">
        <v>15</v>
      </c>
      <c r="B172" s="6" t="s">
        <v>232</v>
      </c>
      <c r="C172" s="6"/>
      <c r="D172" s="6" t="s">
        <v>57</v>
      </c>
      <c r="E172" s="10"/>
      <c r="F172" s="10"/>
    </row>
    <row r="173" spans="1:6" x14ac:dyDescent="0.35">
      <c r="A173" s="10">
        <v>16</v>
      </c>
      <c r="B173" s="6" t="s">
        <v>237</v>
      </c>
      <c r="C173" s="6"/>
      <c r="D173" s="6" t="s">
        <v>238</v>
      </c>
      <c r="E173" s="10"/>
      <c r="F173" s="10"/>
    </row>
    <row r="174" spans="1:6" x14ac:dyDescent="0.35">
      <c r="A174" s="10">
        <v>17</v>
      </c>
      <c r="B174" s="6" t="s">
        <v>239</v>
      </c>
      <c r="C174" s="6"/>
      <c r="D174" s="6" t="s">
        <v>61</v>
      </c>
      <c r="E174" s="10"/>
      <c r="F174" s="10"/>
    </row>
    <row r="175" spans="1:6" x14ac:dyDescent="0.35">
      <c r="A175" s="10">
        <v>18</v>
      </c>
      <c r="B175" s="6" t="s">
        <v>240</v>
      </c>
      <c r="C175" s="6"/>
      <c r="D175" s="6" t="s">
        <v>116</v>
      </c>
      <c r="E175" s="10"/>
      <c r="F175" s="10"/>
    </row>
    <row r="176" spans="1:6" x14ac:dyDescent="0.35">
      <c r="A176" s="10">
        <v>19</v>
      </c>
      <c r="B176" s="6" t="s">
        <v>241</v>
      </c>
      <c r="C176" s="6"/>
      <c r="D176" s="6" t="s">
        <v>204</v>
      </c>
      <c r="E176" s="10"/>
      <c r="F176" s="10"/>
    </row>
    <row r="177" spans="1:6" x14ac:dyDescent="0.35">
      <c r="A177" s="10">
        <v>20</v>
      </c>
      <c r="B177" s="6" t="s">
        <v>242</v>
      </c>
      <c r="C177" s="6"/>
      <c r="D177" s="6" t="s">
        <v>118</v>
      </c>
      <c r="E177" s="10"/>
      <c r="F177" s="10"/>
    </row>
    <row r="178" spans="1:6" x14ac:dyDescent="0.35">
      <c r="A178" s="10">
        <v>21</v>
      </c>
      <c r="B178" s="6" t="s">
        <v>58</v>
      </c>
      <c r="C178" s="6"/>
      <c r="D178" s="6" t="s">
        <v>166</v>
      </c>
      <c r="E178" s="10"/>
      <c r="F178" s="10"/>
    </row>
    <row r="179" spans="1:6" x14ac:dyDescent="0.35">
      <c r="A179" s="10">
        <v>22</v>
      </c>
      <c r="B179" s="6" t="s">
        <v>243</v>
      </c>
      <c r="C179" s="6"/>
      <c r="D179" s="6" t="s">
        <v>244</v>
      </c>
      <c r="E179" s="10"/>
      <c r="F179" s="10"/>
    </row>
    <row r="180" spans="1:6" x14ac:dyDescent="0.35">
      <c r="A180" s="8"/>
      <c r="B180" s="9" t="s">
        <v>74</v>
      </c>
      <c r="C180" s="9"/>
      <c r="D180" s="9" t="s">
        <v>119</v>
      </c>
      <c r="E180" s="8">
        <v>25</v>
      </c>
      <c r="F180" s="8">
        <v>20</v>
      </c>
    </row>
    <row r="181" spans="1:6" x14ac:dyDescent="0.35">
      <c r="A181" s="10">
        <v>1</v>
      </c>
      <c r="B181" s="6" t="s">
        <v>33</v>
      </c>
      <c r="C181" s="6"/>
      <c r="D181" s="6" t="s">
        <v>245</v>
      </c>
      <c r="E181" s="10"/>
      <c r="F181" s="10"/>
    </row>
    <row r="182" spans="1:6" x14ac:dyDescent="0.35">
      <c r="A182" s="10">
        <v>2</v>
      </c>
      <c r="B182" s="6" t="s">
        <v>35</v>
      </c>
      <c r="C182" s="6"/>
      <c r="D182" s="6" t="s">
        <v>73</v>
      </c>
      <c r="E182" s="10"/>
      <c r="F182" s="10"/>
    </row>
    <row r="183" spans="1:6" x14ac:dyDescent="0.35">
      <c r="A183" s="10">
        <v>3</v>
      </c>
      <c r="B183" s="6" t="s">
        <v>37</v>
      </c>
      <c r="C183" s="6"/>
      <c r="D183" s="6" t="s">
        <v>246</v>
      </c>
      <c r="E183" s="10"/>
      <c r="F183" s="10"/>
    </row>
    <row r="184" spans="1:6" x14ac:dyDescent="0.35">
      <c r="A184" s="10">
        <v>4</v>
      </c>
      <c r="B184" s="6" t="s">
        <v>247</v>
      </c>
      <c r="C184" s="6"/>
      <c r="D184" s="6" t="s">
        <v>168</v>
      </c>
      <c r="E184" s="10"/>
      <c r="F184" s="10"/>
    </row>
    <row r="185" spans="1:6" x14ac:dyDescent="0.35">
      <c r="A185" s="10">
        <v>5</v>
      </c>
      <c r="B185" s="6" t="s">
        <v>248</v>
      </c>
      <c r="C185" s="6"/>
      <c r="D185" s="6" t="s">
        <v>215</v>
      </c>
      <c r="E185" s="10"/>
      <c r="F185" s="10"/>
    </row>
    <row r="186" spans="1:6" x14ac:dyDescent="0.35">
      <c r="A186" s="10">
        <v>6</v>
      </c>
      <c r="B186" s="6" t="s">
        <v>247</v>
      </c>
      <c r="C186" s="6"/>
      <c r="D186" s="6" t="s">
        <v>170</v>
      </c>
      <c r="E186" s="10"/>
      <c r="F186" s="10"/>
    </row>
    <row r="187" spans="1:6" x14ac:dyDescent="0.35">
      <c r="A187" s="10">
        <v>7</v>
      </c>
      <c r="B187" s="6" t="s">
        <v>249</v>
      </c>
      <c r="C187" s="6"/>
      <c r="D187" s="6" t="s">
        <v>172</v>
      </c>
      <c r="E187" s="10"/>
      <c r="F187" s="10"/>
    </row>
    <row r="188" spans="1:6" x14ac:dyDescent="0.35">
      <c r="A188" s="10">
        <v>8</v>
      </c>
      <c r="B188" s="6" t="s">
        <v>250</v>
      </c>
      <c r="C188" s="6"/>
      <c r="D188" s="6" t="s">
        <v>134</v>
      </c>
      <c r="E188" s="10"/>
      <c r="F188" s="10"/>
    </row>
    <row r="189" spans="1:6" x14ac:dyDescent="0.35">
      <c r="A189" s="10">
        <v>9</v>
      </c>
      <c r="B189" s="6" t="s">
        <v>247</v>
      </c>
      <c r="C189" s="6"/>
      <c r="D189" s="6" t="s">
        <v>83</v>
      </c>
      <c r="E189" s="10"/>
      <c r="F189" s="10"/>
    </row>
    <row r="190" spans="1:6" x14ac:dyDescent="0.35">
      <c r="A190" s="10">
        <v>10</v>
      </c>
      <c r="B190" s="6" t="s">
        <v>251</v>
      </c>
      <c r="C190" s="6"/>
      <c r="D190" s="6" t="s">
        <v>85</v>
      </c>
      <c r="E190" s="10"/>
      <c r="F190" s="10"/>
    </row>
    <row r="191" spans="1:6" x14ac:dyDescent="0.35">
      <c r="A191" s="10">
        <v>11</v>
      </c>
      <c r="B191" s="6" t="s">
        <v>252</v>
      </c>
      <c r="C191" s="6"/>
      <c r="D191" s="6" t="s">
        <v>253</v>
      </c>
      <c r="E191" s="10"/>
      <c r="F191" s="10"/>
    </row>
    <row r="192" spans="1:6" x14ac:dyDescent="0.35">
      <c r="A192" s="10">
        <v>12</v>
      </c>
      <c r="B192" s="6" t="s">
        <v>214</v>
      </c>
      <c r="C192" s="6"/>
      <c r="D192" s="6" t="s">
        <v>87</v>
      </c>
      <c r="E192" s="10"/>
      <c r="F192" s="10"/>
    </row>
    <row r="193" spans="1:6" x14ac:dyDescent="0.35">
      <c r="A193" s="10">
        <v>13</v>
      </c>
      <c r="B193" s="6" t="s">
        <v>254</v>
      </c>
      <c r="C193" s="6"/>
      <c r="D193" s="6" t="s">
        <v>179</v>
      </c>
      <c r="E193" s="10"/>
      <c r="F193" s="10"/>
    </row>
    <row r="194" spans="1:6" x14ac:dyDescent="0.35">
      <c r="A194" s="10">
        <v>14</v>
      </c>
      <c r="B194" s="6" t="s">
        <v>255</v>
      </c>
      <c r="C194" s="6"/>
      <c r="D194" s="6" t="s">
        <v>181</v>
      </c>
      <c r="E194" s="10"/>
      <c r="F194" s="10"/>
    </row>
    <row r="195" spans="1:6" x14ac:dyDescent="0.35">
      <c r="A195" s="10">
        <v>13</v>
      </c>
      <c r="B195" s="6" t="s">
        <v>256</v>
      </c>
      <c r="C195" s="6"/>
      <c r="D195" s="6" t="s">
        <v>257</v>
      </c>
      <c r="E195" s="10"/>
      <c r="F195" s="10"/>
    </row>
    <row r="196" spans="1:6" x14ac:dyDescent="0.35">
      <c r="A196" s="10">
        <v>14</v>
      </c>
      <c r="B196" s="6" t="s">
        <v>258</v>
      </c>
      <c r="C196" s="6"/>
      <c r="D196" s="6" t="s">
        <v>141</v>
      </c>
      <c r="E196" s="10"/>
      <c r="F196" s="10"/>
    </row>
    <row r="197" spans="1:6" x14ac:dyDescent="0.35">
      <c r="A197" s="10">
        <v>15</v>
      </c>
      <c r="B197" s="6" t="s">
        <v>92</v>
      </c>
      <c r="C197" s="6"/>
      <c r="D197" s="6" t="s">
        <v>143</v>
      </c>
      <c r="E197" s="10"/>
      <c r="F197" s="10"/>
    </row>
    <row r="198" spans="1:6" x14ac:dyDescent="0.35">
      <c r="A198" s="8"/>
      <c r="B198" s="9" t="s">
        <v>74</v>
      </c>
      <c r="C198" s="9"/>
      <c r="D198" s="9" t="s">
        <v>188</v>
      </c>
      <c r="E198" s="8">
        <v>22</v>
      </c>
      <c r="F198" s="8">
        <v>20</v>
      </c>
    </row>
    <row r="199" spans="1:6" x14ac:dyDescent="0.35">
      <c r="A199" s="8"/>
      <c r="B199" s="9" t="s">
        <v>29</v>
      </c>
      <c r="C199" s="9"/>
      <c r="D199" s="9" t="s">
        <v>259</v>
      </c>
      <c r="E199" s="8"/>
      <c r="F199" s="8"/>
    </row>
    <row r="200" spans="1:6" x14ac:dyDescent="0.35">
      <c r="A200" s="11"/>
      <c r="B200" s="12" t="s">
        <v>95</v>
      </c>
      <c r="C200" s="12"/>
      <c r="D200" s="12"/>
      <c r="E200" s="11">
        <v>47</v>
      </c>
      <c r="F200" s="11">
        <v>40</v>
      </c>
    </row>
  </sheetData>
  <mergeCells count="6">
    <mergeCell ref="A41:F41"/>
    <mergeCell ref="A115:F115"/>
    <mergeCell ref="A80:F80"/>
    <mergeCell ref="A1:F1"/>
    <mergeCell ref="A155:F155"/>
    <mergeCell ref="A3:F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7"/>
  <sheetViews>
    <sheetView showGridLines="0" workbookViewId="0">
      <pane ySplit="3" topLeftCell="A4" activePane="bottomLeft" state="frozen"/>
      <selection activeCell="H25" sqref="H25:H26"/>
      <selection pane="bottomLeft" activeCell="H25" sqref="H25:H26"/>
    </sheetView>
  </sheetViews>
  <sheetFormatPr defaultRowHeight="14.5" x14ac:dyDescent="0.35"/>
  <cols>
    <col min="1" max="1" width="5" customWidth="1"/>
    <col min="2" max="2" width="30" customWidth="1"/>
    <col min="3" max="3" width="24" customWidth="1"/>
    <col min="4" max="4" width="8" customWidth="1"/>
    <col min="5" max="6" width="7" customWidth="1"/>
    <col min="7" max="7" width="11" customWidth="1"/>
  </cols>
  <sheetData>
    <row r="1" spans="1:7" ht="20" customHeight="1" x14ac:dyDescent="0.35">
      <c r="A1" s="77" t="s">
        <v>8</v>
      </c>
      <c r="B1" s="72"/>
      <c r="C1" s="72"/>
      <c r="D1" s="72"/>
      <c r="E1" s="72"/>
      <c r="F1" s="72"/>
      <c r="G1" s="72"/>
    </row>
    <row r="3" spans="1:7" x14ac:dyDescent="0.35">
      <c r="A3" s="74" t="s">
        <v>23</v>
      </c>
      <c r="B3" s="75"/>
      <c r="C3" s="75"/>
      <c r="D3" s="75"/>
      <c r="E3" s="75"/>
      <c r="F3" s="75"/>
      <c r="G3" s="76"/>
    </row>
    <row r="4" spans="1:7" x14ac:dyDescent="0.35">
      <c r="A4" s="7" t="s">
        <v>2</v>
      </c>
      <c r="B4" s="7" t="s">
        <v>24</v>
      </c>
      <c r="C4" s="7" t="s">
        <v>25</v>
      </c>
      <c r="D4" s="7" t="s">
        <v>26</v>
      </c>
      <c r="E4" s="7" t="s">
        <v>27</v>
      </c>
      <c r="F4" s="7" t="s">
        <v>28</v>
      </c>
      <c r="G4" s="7" t="s">
        <v>260</v>
      </c>
    </row>
    <row r="5" spans="1:7" x14ac:dyDescent="0.35">
      <c r="A5" s="8"/>
      <c r="B5" s="9" t="s">
        <v>29</v>
      </c>
      <c r="C5" s="9"/>
      <c r="D5" s="9" t="s">
        <v>32</v>
      </c>
      <c r="E5" s="8"/>
      <c r="F5" s="8"/>
      <c r="G5" s="8"/>
    </row>
    <row r="6" spans="1:7" x14ac:dyDescent="0.35">
      <c r="A6" s="10">
        <v>1</v>
      </c>
      <c r="B6" s="6" t="s">
        <v>209</v>
      </c>
      <c r="C6" s="6" t="s">
        <v>261</v>
      </c>
      <c r="D6" s="6" t="s">
        <v>262</v>
      </c>
      <c r="E6" s="10"/>
      <c r="F6" s="10"/>
      <c r="G6" s="10">
        <v>4</v>
      </c>
    </row>
    <row r="7" spans="1:7" x14ac:dyDescent="0.35">
      <c r="A7" s="10">
        <v>2</v>
      </c>
      <c r="B7" s="6" t="s">
        <v>209</v>
      </c>
      <c r="C7" s="6" t="s">
        <v>263</v>
      </c>
      <c r="D7" s="6" t="s">
        <v>148</v>
      </c>
      <c r="E7" s="10"/>
      <c r="F7" s="10"/>
      <c r="G7" s="10">
        <v>3</v>
      </c>
    </row>
    <row r="8" spans="1:7" x14ac:dyDescent="0.35">
      <c r="A8" s="10">
        <v>3</v>
      </c>
      <c r="B8" s="6" t="s">
        <v>209</v>
      </c>
      <c r="C8" s="6" t="s">
        <v>264</v>
      </c>
      <c r="D8" s="6" t="s">
        <v>36</v>
      </c>
      <c r="E8" s="10"/>
      <c r="F8" s="10"/>
      <c r="G8" s="10">
        <v>2</v>
      </c>
    </row>
    <row r="9" spans="1:7" x14ac:dyDescent="0.35">
      <c r="A9" s="10">
        <v>4</v>
      </c>
      <c r="B9" s="6" t="s">
        <v>178</v>
      </c>
      <c r="C9" s="6" t="s">
        <v>265</v>
      </c>
      <c r="D9" s="6" t="s">
        <v>150</v>
      </c>
      <c r="E9" s="10"/>
      <c r="F9" s="10"/>
      <c r="G9" s="10">
        <v>3</v>
      </c>
    </row>
    <row r="10" spans="1:7" x14ac:dyDescent="0.35">
      <c r="A10" s="10">
        <v>5</v>
      </c>
      <c r="B10" s="6" t="s">
        <v>78</v>
      </c>
      <c r="C10" s="6" t="s">
        <v>266</v>
      </c>
      <c r="D10" s="6" t="s">
        <v>39</v>
      </c>
      <c r="E10" s="10"/>
      <c r="F10" s="10"/>
      <c r="G10" s="10">
        <v>3</v>
      </c>
    </row>
    <row r="11" spans="1:7" x14ac:dyDescent="0.35">
      <c r="A11" s="10">
        <v>6</v>
      </c>
      <c r="B11" s="6" t="s">
        <v>267</v>
      </c>
      <c r="C11" s="6" t="s">
        <v>268</v>
      </c>
      <c r="D11" s="6" t="s">
        <v>41</v>
      </c>
      <c r="E11" s="10"/>
      <c r="F11" s="10"/>
      <c r="G11" s="10">
        <v>2</v>
      </c>
    </row>
    <row r="12" spans="1:7" x14ac:dyDescent="0.35">
      <c r="A12" s="10">
        <v>7</v>
      </c>
      <c r="B12" s="6" t="s">
        <v>209</v>
      </c>
      <c r="C12" s="6" t="s">
        <v>269</v>
      </c>
      <c r="D12" s="6" t="s">
        <v>270</v>
      </c>
      <c r="E12" s="10"/>
      <c r="F12" s="10"/>
      <c r="G12" s="10">
        <v>3</v>
      </c>
    </row>
    <row r="13" spans="1:7" x14ac:dyDescent="0.35">
      <c r="A13" s="10">
        <v>8</v>
      </c>
      <c r="B13" s="6" t="s">
        <v>209</v>
      </c>
      <c r="C13" s="6" t="s">
        <v>271</v>
      </c>
      <c r="D13" s="6" t="s">
        <v>194</v>
      </c>
      <c r="E13" s="10"/>
      <c r="F13" s="10"/>
      <c r="G13" s="10">
        <v>3</v>
      </c>
    </row>
    <row r="14" spans="1:7" x14ac:dyDescent="0.35">
      <c r="A14" s="10">
        <v>9</v>
      </c>
      <c r="B14" s="6" t="s">
        <v>173</v>
      </c>
      <c r="C14" s="6" t="s">
        <v>272</v>
      </c>
      <c r="D14" s="6" t="s">
        <v>273</v>
      </c>
      <c r="E14" s="10"/>
      <c r="F14" s="10"/>
      <c r="G14" s="10">
        <v>2</v>
      </c>
    </row>
    <row r="15" spans="1:7" x14ac:dyDescent="0.35">
      <c r="A15" s="10">
        <v>10</v>
      </c>
      <c r="B15" s="6" t="s">
        <v>209</v>
      </c>
      <c r="C15" s="6" t="s">
        <v>274</v>
      </c>
      <c r="D15" s="6" t="s">
        <v>196</v>
      </c>
      <c r="E15" s="10"/>
      <c r="F15" s="10"/>
      <c r="G15" s="10">
        <v>3</v>
      </c>
    </row>
    <row r="16" spans="1:7" x14ac:dyDescent="0.35">
      <c r="A16" s="10">
        <v>11</v>
      </c>
      <c r="B16" s="6" t="s">
        <v>136</v>
      </c>
      <c r="C16" s="6" t="s">
        <v>275</v>
      </c>
      <c r="D16" s="6" t="s">
        <v>106</v>
      </c>
      <c r="E16" s="10"/>
      <c r="F16" s="10"/>
      <c r="G16" s="10">
        <v>2</v>
      </c>
    </row>
    <row r="17" spans="1:7" x14ac:dyDescent="0.35">
      <c r="A17" s="10">
        <v>12</v>
      </c>
      <c r="B17" s="6" t="s">
        <v>276</v>
      </c>
      <c r="C17" s="6" t="s">
        <v>277</v>
      </c>
      <c r="D17" s="6" t="s">
        <v>49</v>
      </c>
      <c r="E17" s="10"/>
      <c r="F17" s="10"/>
      <c r="G17" s="10">
        <v>2</v>
      </c>
    </row>
    <row r="18" spans="1:7" x14ac:dyDescent="0.35">
      <c r="A18" s="10">
        <v>13</v>
      </c>
      <c r="B18" s="6" t="s">
        <v>278</v>
      </c>
      <c r="C18" s="6" t="s">
        <v>279</v>
      </c>
      <c r="D18" s="6" t="s">
        <v>199</v>
      </c>
      <c r="E18" s="10"/>
      <c r="F18" s="10"/>
      <c r="G18" s="10">
        <v>1</v>
      </c>
    </row>
    <row r="19" spans="1:7" x14ac:dyDescent="0.35">
      <c r="A19" s="10">
        <v>14</v>
      </c>
      <c r="B19" s="6" t="s">
        <v>192</v>
      </c>
      <c r="C19" s="6" t="s">
        <v>280</v>
      </c>
      <c r="D19" s="6" t="s">
        <v>158</v>
      </c>
      <c r="E19" s="10"/>
      <c r="F19" s="10"/>
      <c r="G19" s="10">
        <v>3</v>
      </c>
    </row>
    <row r="20" spans="1:7" x14ac:dyDescent="0.35">
      <c r="A20" s="8"/>
      <c r="B20" s="9" t="s">
        <v>74</v>
      </c>
      <c r="C20" s="9"/>
      <c r="D20" s="9" t="s">
        <v>55</v>
      </c>
      <c r="E20" s="8">
        <v>30</v>
      </c>
      <c r="F20" s="8">
        <v>40</v>
      </c>
      <c r="G20" s="8">
        <v>36</v>
      </c>
    </row>
    <row r="21" spans="1:7" x14ac:dyDescent="0.35">
      <c r="A21" s="10">
        <v>1</v>
      </c>
      <c r="B21" s="6" t="s">
        <v>247</v>
      </c>
      <c r="C21" s="6" t="s">
        <v>281</v>
      </c>
      <c r="D21" s="6" t="s">
        <v>57</v>
      </c>
      <c r="E21" s="10"/>
      <c r="F21" s="10"/>
      <c r="G21" s="10">
        <v>4</v>
      </c>
    </row>
    <row r="22" spans="1:7" x14ac:dyDescent="0.35">
      <c r="A22" s="10">
        <v>2</v>
      </c>
      <c r="B22" s="6" t="s">
        <v>282</v>
      </c>
      <c r="C22" s="6" t="s">
        <v>283</v>
      </c>
      <c r="D22" s="6" t="s">
        <v>162</v>
      </c>
      <c r="E22" s="10"/>
      <c r="F22" s="10"/>
      <c r="G22" s="10">
        <v>1</v>
      </c>
    </row>
    <row r="23" spans="1:7" x14ac:dyDescent="0.35">
      <c r="A23" s="10">
        <v>3</v>
      </c>
      <c r="B23" s="6" t="s">
        <v>284</v>
      </c>
      <c r="C23" s="6" t="s">
        <v>285</v>
      </c>
      <c r="D23" s="6" t="s">
        <v>59</v>
      </c>
      <c r="E23" s="10"/>
      <c r="F23" s="10"/>
      <c r="G23" s="10">
        <v>1</v>
      </c>
    </row>
    <row r="24" spans="1:7" x14ac:dyDescent="0.35">
      <c r="A24" s="10">
        <v>4</v>
      </c>
      <c r="B24" s="6" t="s">
        <v>286</v>
      </c>
      <c r="C24" s="6" t="s">
        <v>287</v>
      </c>
      <c r="D24" s="6" t="s">
        <v>238</v>
      </c>
      <c r="E24" s="10"/>
      <c r="F24" s="10"/>
      <c r="G24" s="10">
        <v>3</v>
      </c>
    </row>
    <row r="25" spans="1:7" x14ac:dyDescent="0.35">
      <c r="A25" s="10">
        <v>5</v>
      </c>
      <c r="B25" s="6" t="s">
        <v>209</v>
      </c>
      <c r="C25" s="6" t="s">
        <v>288</v>
      </c>
      <c r="D25" s="6" t="s">
        <v>61</v>
      </c>
      <c r="E25" s="10"/>
      <c r="F25" s="10"/>
      <c r="G25" s="10">
        <v>2</v>
      </c>
    </row>
    <row r="26" spans="1:7" x14ac:dyDescent="0.35">
      <c r="A26" s="10">
        <v>6</v>
      </c>
      <c r="B26" s="6" t="s">
        <v>209</v>
      </c>
      <c r="C26" s="6" t="s">
        <v>289</v>
      </c>
      <c r="D26" s="6" t="s">
        <v>290</v>
      </c>
      <c r="E26" s="10"/>
      <c r="F26" s="10"/>
      <c r="G26" s="10">
        <v>3</v>
      </c>
    </row>
    <row r="27" spans="1:7" x14ac:dyDescent="0.35">
      <c r="A27" s="10">
        <v>7</v>
      </c>
      <c r="B27" s="6" t="s">
        <v>209</v>
      </c>
      <c r="C27" s="6" t="s">
        <v>291</v>
      </c>
      <c r="D27" s="6" t="s">
        <v>204</v>
      </c>
      <c r="E27" s="10"/>
      <c r="F27" s="10"/>
      <c r="G27" s="10">
        <v>1</v>
      </c>
    </row>
    <row r="28" spans="1:7" x14ac:dyDescent="0.35">
      <c r="A28" s="10">
        <v>8</v>
      </c>
      <c r="B28" s="6" t="s">
        <v>209</v>
      </c>
      <c r="C28" s="6" t="s">
        <v>292</v>
      </c>
      <c r="D28" s="6" t="s">
        <v>164</v>
      </c>
      <c r="E28" s="10"/>
      <c r="F28" s="10"/>
      <c r="G28" s="10">
        <v>2</v>
      </c>
    </row>
    <row r="29" spans="1:7" x14ac:dyDescent="0.35">
      <c r="A29" s="10">
        <v>9</v>
      </c>
      <c r="B29" s="6" t="s">
        <v>293</v>
      </c>
      <c r="C29" s="6"/>
      <c r="D29" s="6" t="s">
        <v>166</v>
      </c>
      <c r="E29" s="10"/>
      <c r="F29" s="10"/>
      <c r="G29" s="10">
        <v>7</v>
      </c>
    </row>
    <row r="30" spans="1:7" x14ac:dyDescent="0.35">
      <c r="A30" s="10">
        <v>10</v>
      </c>
      <c r="B30" s="6" t="s">
        <v>294</v>
      </c>
      <c r="C30" s="6" t="s">
        <v>295</v>
      </c>
      <c r="D30" s="6" t="s">
        <v>119</v>
      </c>
      <c r="E30" s="10"/>
      <c r="F30" s="10"/>
      <c r="G30" s="10">
        <v>5</v>
      </c>
    </row>
    <row r="31" spans="1:7" x14ac:dyDescent="0.35">
      <c r="A31" s="10">
        <v>11</v>
      </c>
      <c r="B31" s="6" t="s">
        <v>209</v>
      </c>
      <c r="C31" s="6" t="s">
        <v>264</v>
      </c>
      <c r="D31" s="6" t="s">
        <v>71</v>
      </c>
      <c r="E31" s="10"/>
      <c r="F31" s="10"/>
      <c r="G31" s="10">
        <v>2</v>
      </c>
    </row>
    <row r="32" spans="1:7" x14ac:dyDescent="0.35">
      <c r="A32" s="10">
        <v>12</v>
      </c>
      <c r="B32" s="6" t="s">
        <v>209</v>
      </c>
      <c r="C32" s="6" t="s">
        <v>296</v>
      </c>
      <c r="D32" s="6" t="s">
        <v>245</v>
      </c>
      <c r="E32" s="10"/>
      <c r="F32" s="10"/>
      <c r="G32" s="10">
        <v>2</v>
      </c>
    </row>
    <row r="33" spans="1:7" x14ac:dyDescent="0.35">
      <c r="A33" s="10">
        <v>11</v>
      </c>
      <c r="B33" s="6" t="s">
        <v>192</v>
      </c>
      <c r="C33" s="6" t="s">
        <v>280</v>
      </c>
      <c r="D33" s="6" t="s">
        <v>73</v>
      </c>
      <c r="E33" s="10"/>
      <c r="F33" s="10"/>
      <c r="G33" s="10">
        <v>3</v>
      </c>
    </row>
    <row r="34" spans="1:7" x14ac:dyDescent="0.35">
      <c r="A34" s="8"/>
      <c r="B34" s="9" t="s">
        <v>74</v>
      </c>
      <c r="C34" s="9"/>
      <c r="D34" s="9" t="s">
        <v>75</v>
      </c>
      <c r="E34" s="8">
        <v>26</v>
      </c>
      <c r="F34" s="8">
        <v>40</v>
      </c>
      <c r="G34" s="8">
        <v>36</v>
      </c>
    </row>
    <row r="35" spans="1:7" x14ac:dyDescent="0.35">
      <c r="A35" s="11"/>
      <c r="B35" s="12" t="s">
        <v>95</v>
      </c>
      <c r="C35" s="12"/>
      <c r="D35" s="12"/>
      <c r="E35" s="11">
        <v>56</v>
      </c>
      <c r="F35" s="11">
        <v>80</v>
      </c>
      <c r="G35" s="11">
        <v>72</v>
      </c>
    </row>
    <row r="36" spans="1:7" x14ac:dyDescent="0.35">
      <c r="A36" s="8"/>
      <c r="B36" s="9" t="s">
        <v>29</v>
      </c>
      <c r="C36" s="9"/>
      <c r="D36" s="9" t="s">
        <v>297</v>
      </c>
      <c r="E36" s="8"/>
      <c r="F36" s="8"/>
      <c r="G36" s="8"/>
    </row>
    <row r="38" spans="1:7" x14ac:dyDescent="0.35">
      <c r="A38" s="74" t="s">
        <v>96</v>
      </c>
      <c r="B38" s="75"/>
      <c r="C38" s="75"/>
      <c r="D38" s="75"/>
      <c r="E38" s="75"/>
      <c r="F38" s="75"/>
      <c r="G38" s="76"/>
    </row>
    <row r="39" spans="1:7" x14ac:dyDescent="0.35">
      <c r="A39" s="7" t="s">
        <v>2</v>
      </c>
      <c r="B39" s="7" t="s">
        <v>24</v>
      </c>
      <c r="C39" s="7" t="s">
        <v>25</v>
      </c>
      <c r="D39" s="7" t="s">
        <v>26</v>
      </c>
      <c r="E39" s="7" t="s">
        <v>27</v>
      </c>
      <c r="F39" s="7" t="s">
        <v>28</v>
      </c>
      <c r="G39" s="7" t="s">
        <v>260</v>
      </c>
    </row>
    <row r="40" spans="1:7" x14ac:dyDescent="0.35">
      <c r="A40" s="8"/>
      <c r="B40" s="9" t="s">
        <v>29</v>
      </c>
      <c r="C40" s="9"/>
      <c r="D40" s="9" t="s">
        <v>32</v>
      </c>
      <c r="E40" s="8"/>
      <c r="F40" s="8"/>
      <c r="G40" s="8"/>
    </row>
    <row r="41" spans="1:7" x14ac:dyDescent="0.35">
      <c r="A41" s="10">
        <v>1</v>
      </c>
      <c r="B41" s="6" t="s">
        <v>209</v>
      </c>
      <c r="C41" s="6" t="s">
        <v>261</v>
      </c>
      <c r="D41" s="6" t="s">
        <v>262</v>
      </c>
      <c r="E41" s="10"/>
      <c r="F41" s="10"/>
      <c r="G41" s="10">
        <v>4</v>
      </c>
    </row>
    <row r="42" spans="1:7" x14ac:dyDescent="0.35">
      <c r="A42" s="10">
        <v>2</v>
      </c>
      <c r="B42" s="6" t="s">
        <v>209</v>
      </c>
      <c r="C42" s="6" t="s">
        <v>263</v>
      </c>
      <c r="D42" s="6" t="s">
        <v>148</v>
      </c>
      <c r="E42" s="10"/>
      <c r="F42" s="10"/>
      <c r="G42" s="10">
        <v>3</v>
      </c>
    </row>
    <row r="43" spans="1:7" x14ac:dyDescent="0.35">
      <c r="A43" s="10">
        <v>3</v>
      </c>
      <c r="B43" s="6" t="s">
        <v>209</v>
      </c>
      <c r="C43" s="6" t="s">
        <v>264</v>
      </c>
      <c r="D43" s="6" t="s">
        <v>36</v>
      </c>
      <c r="E43" s="10"/>
      <c r="F43" s="10"/>
      <c r="G43" s="10">
        <v>2</v>
      </c>
    </row>
    <row r="44" spans="1:7" x14ac:dyDescent="0.35">
      <c r="A44" s="10">
        <v>4</v>
      </c>
      <c r="B44" s="6" t="s">
        <v>178</v>
      </c>
      <c r="C44" s="6" t="s">
        <v>265</v>
      </c>
      <c r="D44" s="6" t="s">
        <v>150</v>
      </c>
      <c r="E44" s="10"/>
      <c r="F44" s="10"/>
      <c r="G44" s="10">
        <v>3</v>
      </c>
    </row>
    <row r="45" spans="1:7" x14ac:dyDescent="0.35">
      <c r="A45" s="10">
        <v>5</v>
      </c>
      <c r="B45" s="6" t="s">
        <v>78</v>
      </c>
      <c r="C45" s="6" t="s">
        <v>266</v>
      </c>
      <c r="D45" s="6" t="s">
        <v>39</v>
      </c>
      <c r="E45" s="10"/>
      <c r="F45" s="10"/>
      <c r="G45" s="10">
        <v>3</v>
      </c>
    </row>
    <row r="46" spans="1:7" x14ac:dyDescent="0.35">
      <c r="A46" s="10">
        <v>6</v>
      </c>
      <c r="B46" s="6" t="s">
        <v>267</v>
      </c>
      <c r="C46" s="6" t="s">
        <v>268</v>
      </c>
      <c r="D46" s="6" t="s">
        <v>41</v>
      </c>
      <c r="E46" s="10"/>
      <c r="F46" s="10"/>
      <c r="G46" s="10">
        <v>2</v>
      </c>
    </row>
    <row r="47" spans="1:7" x14ac:dyDescent="0.35">
      <c r="A47" s="10">
        <v>7</v>
      </c>
      <c r="B47" s="6" t="s">
        <v>209</v>
      </c>
      <c r="C47" s="6" t="s">
        <v>269</v>
      </c>
      <c r="D47" s="6" t="s">
        <v>270</v>
      </c>
      <c r="E47" s="10"/>
      <c r="F47" s="10"/>
      <c r="G47" s="10">
        <v>3</v>
      </c>
    </row>
    <row r="48" spans="1:7" x14ac:dyDescent="0.35">
      <c r="A48" s="10">
        <v>8</v>
      </c>
      <c r="B48" s="6" t="s">
        <v>209</v>
      </c>
      <c r="C48" s="6" t="s">
        <v>271</v>
      </c>
      <c r="D48" s="6" t="s">
        <v>194</v>
      </c>
      <c r="E48" s="10"/>
      <c r="F48" s="10"/>
      <c r="G48" s="10">
        <v>3</v>
      </c>
    </row>
    <row r="49" spans="1:7" x14ac:dyDescent="0.35">
      <c r="A49" s="10">
        <v>9</v>
      </c>
      <c r="B49" s="6" t="s">
        <v>173</v>
      </c>
      <c r="C49" s="6" t="s">
        <v>272</v>
      </c>
      <c r="D49" s="6" t="s">
        <v>273</v>
      </c>
      <c r="E49" s="10"/>
      <c r="F49" s="10"/>
      <c r="G49" s="10">
        <v>2</v>
      </c>
    </row>
    <row r="50" spans="1:7" x14ac:dyDescent="0.35">
      <c r="A50" s="10">
        <v>10</v>
      </c>
      <c r="B50" s="6" t="s">
        <v>209</v>
      </c>
      <c r="C50" s="6" t="s">
        <v>274</v>
      </c>
      <c r="D50" s="6" t="s">
        <v>196</v>
      </c>
      <c r="E50" s="10"/>
      <c r="F50" s="10"/>
      <c r="G50" s="10">
        <v>3</v>
      </c>
    </row>
    <row r="51" spans="1:7" x14ac:dyDescent="0.35">
      <c r="A51" s="10">
        <v>11</v>
      </c>
      <c r="B51" s="6" t="s">
        <v>136</v>
      </c>
      <c r="C51" s="6" t="s">
        <v>275</v>
      </c>
      <c r="D51" s="6" t="s">
        <v>106</v>
      </c>
      <c r="E51" s="10"/>
      <c r="F51" s="10"/>
      <c r="G51" s="10">
        <v>2</v>
      </c>
    </row>
    <row r="52" spans="1:7" x14ac:dyDescent="0.35">
      <c r="A52" s="10">
        <v>12</v>
      </c>
      <c r="B52" s="6" t="s">
        <v>276</v>
      </c>
      <c r="C52" s="6" t="s">
        <v>277</v>
      </c>
      <c r="D52" s="6" t="s">
        <v>49</v>
      </c>
      <c r="E52" s="10"/>
      <c r="F52" s="10"/>
      <c r="G52" s="10">
        <v>2</v>
      </c>
    </row>
    <row r="53" spans="1:7" x14ac:dyDescent="0.35">
      <c r="A53" s="10">
        <v>13</v>
      </c>
      <c r="B53" s="6" t="s">
        <v>278</v>
      </c>
      <c r="C53" s="6" t="s">
        <v>279</v>
      </c>
      <c r="D53" s="6" t="s">
        <v>199</v>
      </c>
      <c r="E53" s="10"/>
      <c r="F53" s="10"/>
      <c r="G53" s="10">
        <v>1</v>
      </c>
    </row>
    <row r="54" spans="1:7" x14ac:dyDescent="0.35">
      <c r="A54" s="10">
        <v>14</v>
      </c>
      <c r="B54" s="6" t="s">
        <v>192</v>
      </c>
      <c r="C54" s="6" t="s">
        <v>280</v>
      </c>
      <c r="D54" s="6" t="s">
        <v>158</v>
      </c>
      <c r="E54" s="10"/>
      <c r="F54" s="10"/>
      <c r="G54" s="10">
        <v>3</v>
      </c>
    </row>
    <row r="55" spans="1:7" x14ac:dyDescent="0.35">
      <c r="A55" s="8"/>
      <c r="B55" s="9" t="s">
        <v>74</v>
      </c>
      <c r="C55" s="9"/>
      <c r="D55" s="9" t="s">
        <v>55</v>
      </c>
      <c r="E55" s="8">
        <v>30</v>
      </c>
      <c r="F55" s="8">
        <v>40</v>
      </c>
      <c r="G55" s="8">
        <v>36</v>
      </c>
    </row>
    <row r="56" spans="1:7" x14ac:dyDescent="0.35">
      <c r="A56" s="10">
        <v>1</v>
      </c>
      <c r="B56" s="6" t="s">
        <v>294</v>
      </c>
      <c r="C56" s="6" t="s">
        <v>295</v>
      </c>
      <c r="D56" s="6" t="s">
        <v>298</v>
      </c>
      <c r="E56" s="10"/>
      <c r="F56" s="10"/>
      <c r="G56" s="10">
        <v>5</v>
      </c>
    </row>
    <row r="57" spans="1:7" x14ac:dyDescent="0.35">
      <c r="A57" s="10">
        <v>2</v>
      </c>
      <c r="B57" s="6" t="s">
        <v>286</v>
      </c>
      <c r="C57" s="6" t="s">
        <v>299</v>
      </c>
      <c r="D57" s="6" t="s">
        <v>59</v>
      </c>
      <c r="E57" s="10"/>
      <c r="F57" s="10"/>
      <c r="G57" s="10">
        <v>5</v>
      </c>
    </row>
    <row r="58" spans="1:7" x14ac:dyDescent="0.35">
      <c r="A58" s="10">
        <v>3</v>
      </c>
      <c r="B58" s="6" t="s">
        <v>205</v>
      </c>
      <c r="C58" s="6" t="s">
        <v>300</v>
      </c>
      <c r="D58" s="6" t="s">
        <v>238</v>
      </c>
      <c r="E58" s="10"/>
      <c r="F58" s="10"/>
      <c r="G58" s="10">
        <v>1</v>
      </c>
    </row>
    <row r="59" spans="1:7" x14ac:dyDescent="0.35">
      <c r="A59" s="10">
        <v>4</v>
      </c>
      <c r="B59" s="6" t="s">
        <v>293</v>
      </c>
      <c r="C59" s="6"/>
      <c r="D59" s="6" t="s">
        <v>61</v>
      </c>
      <c r="E59" s="10"/>
      <c r="F59" s="10"/>
      <c r="G59" s="10">
        <v>7</v>
      </c>
    </row>
    <row r="60" spans="1:7" x14ac:dyDescent="0.35">
      <c r="A60" s="10">
        <v>5</v>
      </c>
      <c r="B60" s="6" t="s">
        <v>198</v>
      </c>
      <c r="C60" s="6" t="s">
        <v>301</v>
      </c>
      <c r="D60" s="6" t="s">
        <v>204</v>
      </c>
      <c r="E60" s="10"/>
      <c r="F60" s="10"/>
      <c r="G60" s="10">
        <v>2</v>
      </c>
    </row>
    <row r="61" spans="1:7" x14ac:dyDescent="0.35">
      <c r="A61" s="10">
        <v>6</v>
      </c>
      <c r="B61" s="6" t="s">
        <v>209</v>
      </c>
      <c r="C61" s="6" t="s">
        <v>264</v>
      </c>
      <c r="D61" s="6" t="s">
        <v>118</v>
      </c>
      <c r="E61" s="10"/>
      <c r="F61" s="10"/>
      <c r="G61" s="10">
        <v>2</v>
      </c>
    </row>
    <row r="62" spans="1:7" x14ac:dyDescent="0.35">
      <c r="A62" s="10">
        <v>7</v>
      </c>
      <c r="B62" s="6" t="s">
        <v>209</v>
      </c>
      <c r="C62" s="6" t="s">
        <v>263</v>
      </c>
      <c r="D62" s="6" t="s">
        <v>166</v>
      </c>
      <c r="E62" s="10"/>
      <c r="F62" s="10"/>
      <c r="G62" s="10">
        <v>3</v>
      </c>
    </row>
    <row r="63" spans="1:7" x14ac:dyDescent="0.35">
      <c r="A63" s="10">
        <v>8</v>
      </c>
      <c r="B63" s="6" t="s">
        <v>209</v>
      </c>
      <c r="C63" s="6" t="s">
        <v>261</v>
      </c>
      <c r="D63" s="6" t="s">
        <v>69</v>
      </c>
      <c r="E63" s="10"/>
      <c r="F63" s="10"/>
      <c r="G63" s="10">
        <v>4</v>
      </c>
    </row>
    <row r="64" spans="1:7" x14ac:dyDescent="0.35">
      <c r="A64" s="10">
        <v>9</v>
      </c>
      <c r="B64" s="6" t="s">
        <v>192</v>
      </c>
      <c r="C64" s="6" t="s">
        <v>280</v>
      </c>
      <c r="D64" s="6" t="s">
        <v>302</v>
      </c>
      <c r="E64" s="10"/>
      <c r="F64" s="10"/>
      <c r="G64" s="10">
        <v>3</v>
      </c>
    </row>
    <row r="65" spans="1:7" x14ac:dyDescent="0.35">
      <c r="A65" s="10">
        <v>10</v>
      </c>
      <c r="B65" s="6" t="s">
        <v>247</v>
      </c>
      <c r="C65" s="6" t="s">
        <v>281</v>
      </c>
      <c r="D65" s="6" t="s">
        <v>73</v>
      </c>
      <c r="E65" s="10"/>
      <c r="F65" s="10"/>
      <c r="G65" s="10">
        <v>4</v>
      </c>
    </row>
    <row r="66" spans="1:7" x14ac:dyDescent="0.35">
      <c r="A66" s="8"/>
      <c r="B66" s="9" t="s">
        <v>74</v>
      </c>
      <c r="C66" s="9"/>
      <c r="D66" s="9" t="s">
        <v>75</v>
      </c>
      <c r="E66" s="8">
        <v>24</v>
      </c>
      <c r="F66" s="8">
        <v>40</v>
      </c>
      <c r="G66" s="8">
        <v>36</v>
      </c>
    </row>
    <row r="67" spans="1:7" x14ac:dyDescent="0.35">
      <c r="A67" s="11"/>
      <c r="B67" s="12" t="s">
        <v>95</v>
      </c>
      <c r="C67" s="12"/>
      <c r="D67" s="12"/>
      <c r="E67" s="11">
        <v>54</v>
      </c>
      <c r="F67" s="11">
        <v>80</v>
      </c>
      <c r="G67" s="11">
        <v>72</v>
      </c>
    </row>
    <row r="68" spans="1:7" x14ac:dyDescent="0.35">
      <c r="A68" s="8"/>
      <c r="B68" s="9" t="s">
        <v>29</v>
      </c>
      <c r="C68" s="9"/>
      <c r="D68" s="9" t="s">
        <v>297</v>
      </c>
      <c r="E68" s="8"/>
      <c r="F68" s="8"/>
      <c r="G68" s="8"/>
    </row>
    <row r="70" spans="1:7" x14ac:dyDescent="0.35">
      <c r="A70" s="74" t="s">
        <v>145</v>
      </c>
      <c r="B70" s="75"/>
      <c r="C70" s="75"/>
      <c r="D70" s="75"/>
      <c r="E70" s="75"/>
      <c r="F70" s="75"/>
      <c r="G70" s="76"/>
    </row>
    <row r="71" spans="1:7" x14ac:dyDescent="0.35">
      <c r="A71" s="7" t="s">
        <v>2</v>
      </c>
      <c r="B71" s="7" t="s">
        <v>24</v>
      </c>
      <c r="C71" s="7" t="s">
        <v>25</v>
      </c>
      <c r="D71" s="7" t="s">
        <v>26</v>
      </c>
      <c r="E71" s="7" t="s">
        <v>27</v>
      </c>
      <c r="F71" s="7" t="s">
        <v>28</v>
      </c>
      <c r="G71" s="7" t="s">
        <v>260</v>
      </c>
    </row>
    <row r="72" spans="1:7" x14ac:dyDescent="0.35">
      <c r="A72" s="8"/>
      <c r="B72" s="9" t="s">
        <v>29</v>
      </c>
      <c r="C72" s="9"/>
      <c r="D72" s="9" t="s">
        <v>32</v>
      </c>
      <c r="E72" s="8"/>
      <c r="F72" s="8"/>
      <c r="G72" s="8"/>
    </row>
    <row r="73" spans="1:7" x14ac:dyDescent="0.35">
      <c r="A73" s="10">
        <v>1</v>
      </c>
      <c r="B73" s="6" t="s">
        <v>209</v>
      </c>
      <c r="C73" s="6" t="s">
        <v>261</v>
      </c>
      <c r="D73" s="6" t="s">
        <v>262</v>
      </c>
      <c r="E73" s="10"/>
      <c r="F73" s="10"/>
      <c r="G73" s="10">
        <v>4</v>
      </c>
    </row>
    <row r="74" spans="1:7" x14ac:dyDescent="0.35">
      <c r="A74" s="10">
        <v>2</v>
      </c>
      <c r="B74" s="6" t="s">
        <v>209</v>
      </c>
      <c r="C74" s="6" t="s">
        <v>263</v>
      </c>
      <c r="D74" s="6" t="s">
        <v>148</v>
      </c>
      <c r="E74" s="10"/>
      <c r="F74" s="10"/>
      <c r="G74" s="10">
        <v>3</v>
      </c>
    </row>
    <row r="75" spans="1:7" x14ac:dyDescent="0.35">
      <c r="A75" s="10">
        <v>3</v>
      </c>
      <c r="B75" s="6" t="s">
        <v>209</v>
      </c>
      <c r="C75" s="6" t="s">
        <v>264</v>
      </c>
      <c r="D75" s="6" t="s">
        <v>36</v>
      </c>
      <c r="E75" s="10"/>
      <c r="F75" s="10"/>
      <c r="G75" s="10">
        <v>2</v>
      </c>
    </row>
    <row r="76" spans="1:7" x14ac:dyDescent="0.35">
      <c r="A76" s="10">
        <v>4</v>
      </c>
      <c r="B76" s="6" t="s">
        <v>178</v>
      </c>
      <c r="C76" s="6" t="s">
        <v>265</v>
      </c>
      <c r="D76" s="6" t="s">
        <v>150</v>
      </c>
      <c r="E76" s="10"/>
      <c r="F76" s="10"/>
      <c r="G76" s="10">
        <v>3</v>
      </c>
    </row>
    <row r="77" spans="1:7" x14ac:dyDescent="0.35">
      <c r="A77" s="10">
        <v>5</v>
      </c>
      <c r="B77" s="6" t="s">
        <v>78</v>
      </c>
      <c r="C77" s="6" t="s">
        <v>266</v>
      </c>
      <c r="D77" s="6" t="s">
        <v>39</v>
      </c>
      <c r="E77" s="10"/>
      <c r="F77" s="10"/>
      <c r="G77" s="10">
        <v>3</v>
      </c>
    </row>
    <row r="78" spans="1:7" x14ac:dyDescent="0.35">
      <c r="A78" s="10">
        <v>6</v>
      </c>
      <c r="B78" s="6" t="s">
        <v>267</v>
      </c>
      <c r="C78" s="6" t="s">
        <v>268</v>
      </c>
      <c r="D78" s="6" t="s">
        <v>41</v>
      </c>
      <c r="E78" s="10"/>
      <c r="F78" s="10"/>
      <c r="G78" s="10">
        <v>2</v>
      </c>
    </row>
    <row r="79" spans="1:7" x14ac:dyDescent="0.35">
      <c r="A79" s="10">
        <v>7</v>
      </c>
      <c r="B79" s="6" t="s">
        <v>209</v>
      </c>
      <c r="C79" s="6" t="s">
        <v>269</v>
      </c>
      <c r="D79" s="6" t="s">
        <v>270</v>
      </c>
      <c r="E79" s="10"/>
      <c r="F79" s="10"/>
      <c r="G79" s="10">
        <v>3</v>
      </c>
    </row>
    <row r="80" spans="1:7" x14ac:dyDescent="0.35">
      <c r="A80" s="10">
        <v>8</v>
      </c>
      <c r="B80" s="6" t="s">
        <v>209</v>
      </c>
      <c r="C80" s="6" t="s">
        <v>271</v>
      </c>
      <c r="D80" s="6" t="s">
        <v>194</v>
      </c>
      <c r="E80" s="10"/>
      <c r="F80" s="10"/>
      <c r="G80" s="10">
        <v>3</v>
      </c>
    </row>
    <row r="81" spans="1:7" x14ac:dyDescent="0.35">
      <c r="A81" s="10">
        <v>9</v>
      </c>
      <c r="B81" s="6" t="s">
        <v>173</v>
      </c>
      <c r="C81" s="6" t="s">
        <v>272</v>
      </c>
      <c r="D81" s="6" t="s">
        <v>273</v>
      </c>
      <c r="E81" s="10"/>
      <c r="F81" s="10"/>
      <c r="G81" s="10">
        <v>2</v>
      </c>
    </row>
    <row r="82" spans="1:7" x14ac:dyDescent="0.35">
      <c r="A82" s="10">
        <v>10</v>
      </c>
      <c r="B82" s="6" t="s">
        <v>209</v>
      </c>
      <c r="C82" s="6" t="s">
        <v>274</v>
      </c>
      <c r="D82" s="6" t="s">
        <v>196</v>
      </c>
      <c r="E82" s="10"/>
      <c r="F82" s="10"/>
      <c r="G82" s="10">
        <v>3</v>
      </c>
    </row>
    <row r="83" spans="1:7" x14ac:dyDescent="0.35">
      <c r="A83" s="10">
        <v>11</v>
      </c>
      <c r="B83" s="6" t="s">
        <v>136</v>
      </c>
      <c r="C83" s="6" t="s">
        <v>275</v>
      </c>
      <c r="D83" s="6" t="s">
        <v>106</v>
      </c>
      <c r="E83" s="10"/>
      <c r="F83" s="10"/>
      <c r="G83" s="10">
        <v>2</v>
      </c>
    </row>
    <row r="84" spans="1:7" x14ac:dyDescent="0.35">
      <c r="A84" s="10">
        <v>12</v>
      </c>
      <c r="B84" s="6" t="s">
        <v>276</v>
      </c>
      <c r="C84" s="6" t="s">
        <v>277</v>
      </c>
      <c r="D84" s="6" t="s">
        <v>49</v>
      </c>
      <c r="E84" s="10"/>
      <c r="F84" s="10"/>
      <c r="G84" s="10">
        <v>2</v>
      </c>
    </row>
    <row r="85" spans="1:7" x14ac:dyDescent="0.35">
      <c r="A85" s="10">
        <v>13</v>
      </c>
      <c r="B85" s="6" t="s">
        <v>278</v>
      </c>
      <c r="C85" s="6" t="s">
        <v>279</v>
      </c>
      <c r="D85" s="6" t="s">
        <v>199</v>
      </c>
      <c r="E85" s="10"/>
      <c r="F85" s="10"/>
      <c r="G85" s="10">
        <v>1</v>
      </c>
    </row>
    <row r="86" spans="1:7" x14ac:dyDescent="0.35">
      <c r="A86" s="10">
        <v>14</v>
      </c>
      <c r="B86" s="6" t="s">
        <v>192</v>
      </c>
      <c r="C86" s="6" t="s">
        <v>280</v>
      </c>
      <c r="D86" s="6" t="s">
        <v>158</v>
      </c>
      <c r="E86" s="10"/>
      <c r="F86" s="10"/>
      <c r="G86" s="10">
        <v>3</v>
      </c>
    </row>
    <row r="87" spans="1:7" x14ac:dyDescent="0.35">
      <c r="A87" s="8"/>
      <c r="B87" s="9" t="s">
        <v>74</v>
      </c>
      <c r="C87" s="9"/>
      <c r="D87" s="9" t="s">
        <v>55</v>
      </c>
      <c r="E87" s="8">
        <v>30</v>
      </c>
      <c r="F87" s="8">
        <v>40</v>
      </c>
      <c r="G87" s="8">
        <v>36</v>
      </c>
    </row>
    <row r="88" spans="1:7" x14ac:dyDescent="0.35">
      <c r="A88" s="10">
        <v>1</v>
      </c>
      <c r="B88" s="6" t="s">
        <v>192</v>
      </c>
      <c r="C88" s="6" t="s">
        <v>280</v>
      </c>
      <c r="D88" s="6" t="s">
        <v>111</v>
      </c>
      <c r="E88" s="10"/>
      <c r="F88" s="10"/>
      <c r="G88" s="10">
        <v>3</v>
      </c>
    </row>
    <row r="89" spans="1:7" x14ac:dyDescent="0.35">
      <c r="A89" s="10">
        <v>2</v>
      </c>
      <c r="B89" s="6" t="s">
        <v>286</v>
      </c>
      <c r="C89" s="6" t="s">
        <v>287</v>
      </c>
      <c r="D89" s="6" t="s">
        <v>59</v>
      </c>
      <c r="E89" s="10"/>
      <c r="F89" s="10"/>
      <c r="G89" s="10">
        <v>3</v>
      </c>
    </row>
    <row r="90" spans="1:7" x14ac:dyDescent="0.35">
      <c r="A90" s="10">
        <v>3</v>
      </c>
      <c r="B90" s="6" t="s">
        <v>294</v>
      </c>
      <c r="C90" s="6" t="s">
        <v>295</v>
      </c>
      <c r="D90" s="6" t="s">
        <v>238</v>
      </c>
      <c r="E90" s="10"/>
      <c r="F90" s="10"/>
      <c r="G90" s="10">
        <v>5</v>
      </c>
    </row>
    <row r="91" spans="1:7" x14ac:dyDescent="0.35">
      <c r="A91" s="10">
        <v>4</v>
      </c>
      <c r="B91" s="6" t="s">
        <v>293</v>
      </c>
      <c r="C91" s="6"/>
      <c r="D91" s="6" t="s">
        <v>116</v>
      </c>
      <c r="E91" s="10"/>
      <c r="F91" s="10"/>
      <c r="G91" s="10">
        <v>7</v>
      </c>
    </row>
    <row r="92" spans="1:7" x14ac:dyDescent="0.35">
      <c r="A92" s="10">
        <v>5</v>
      </c>
      <c r="B92" s="6" t="s">
        <v>209</v>
      </c>
      <c r="C92" s="6" t="s">
        <v>292</v>
      </c>
      <c r="D92" s="6" t="s">
        <v>65</v>
      </c>
      <c r="E92" s="10"/>
      <c r="F92" s="10"/>
      <c r="G92" s="10">
        <v>2</v>
      </c>
    </row>
    <row r="93" spans="1:7" x14ac:dyDescent="0.35">
      <c r="A93" s="10">
        <v>6</v>
      </c>
      <c r="B93" s="6" t="s">
        <v>209</v>
      </c>
      <c r="C93" s="6" t="s">
        <v>288</v>
      </c>
      <c r="D93" s="6" t="s">
        <v>67</v>
      </c>
      <c r="E93" s="10"/>
      <c r="F93" s="10"/>
      <c r="G93" s="10">
        <v>2</v>
      </c>
    </row>
    <row r="94" spans="1:7" x14ac:dyDescent="0.35">
      <c r="A94" s="10">
        <v>7</v>
      </c>
      <c r="B94" s="6" t="s">
        <v>209</v>
      </c>
      <c r="C94" s="6" t="s">
        <v>264</v>
      </c>
      <c r="D94" s="6" t="s">
        <v>69</v>
      </c>
      <c r="E94" s="10"/>
      <c r="F94" s="10"/>
      <c r="G94" s="10">
        <v>2</v>
      </c>
    </row>
    <row r="95" spans="1:7" x14ac:dyDescent="0.35">
      <c r="A95" s="10">
        <v>8</v>
      </c>
      <c r="B95" s="6" t="s">
        <v>209</v>
      </c>
      <c r="C95" s="6" t="s">
        <v>263</v>
      </c>
      <c r="D95" s="6" t="s">
        <v>206</v>
      </c>
      <c r="E95" s="10"/>
      <c r="F95" s="10"/>
      <c r="G95" s="10">
        <v>3</v>
      </c>
    </row>
    <row r="96" spans="1:7" x14ac:dyDescent="0.35">
      <c r="A96" s="10">
        <v>9</v>
      </c>
      <c r="B96" s="6" t="s">
        <v>209</v>
      </c>
      <c r="C96" s="6" t="s">
        <v>261</v>
      </c>
      <c r="D96" s="6" t="s">
        <v>245</v>
      </c>
      <c r="E96" s="10"/>
      <c r="F96" s="10"/>
      <c r="G96" s="10">
        <v>4</v>
      </c>
    </row>
    <row r="97" spans="1:7" x14ac:dyDescent="0.35">
      <c r="A97" s="10">
        <v>10</v>
      </c>
      <c r="B97" s="6" t="s">
        <v>247</v>
      </c>
      <c r="C97" s="6" t="s">
        <v>281</v>
      </c>
      <c r="D97" s="6" t="s">
        <v>208</v>
      </c>
      <c r="E97" s="10"/>
      <c r="F97" s="10"/>
      <c r="G97" s="10">
        <v>5</v>
      </c>
    </row>
    <row r="98" spans="1:7" x14ac:dyDescent="0.35">
      <c r="A98" s="8"/>
      <c r="B98" s="9" t="s">
        <v>74</v>
      </c>
      <c r="C98" s="9"/>
      <c r="D98" s="9" t="s">
        <v>121</v>
      </c>
      <c r="E98" s="8">
        <v>24</v>
      </c>
      <c r="F98" s="8">
        <v>40</v>
      </c>
      <c r="G98" s="8">
        <v>36</v>
      </c>
    </row>
    <row r="99" spans="1:7" x14ac:dyDescent="0.35">
      <c r="A99" s="11"/>
      <c r="B99" s="12" t="s">
        <v>95</v>
      </c>
      <c r="C99" s="12"/>
      <c r="D99" s="12"/>
      <c r="E99" s="11">
        <v>54</v>
      </c>
      <c r="F99" s="11">
        <v>80</v>
      </c>
      <c r="G99" s="11">
        <v>72</v>
      </c>
    </row>
    <row r="100" spans="1:7" x14ac:dyDescent="0.35">
      <c r="A100" s="8"/>
      <c r="B100" s="9" t="s">
        <v>29</v>
      </c>
      <c r="C100" s="9"/>
      <c r="D100" s="9" t="s">
        <v>297</v>
      </c>
      <c r="E100" s="8"/>
      <c r="F100" s="8"/>
      <c r="G100" s="8"/>
    </row>
    <row r="102" spans="1:7" x14ac:dyDescent="0.35">
      <c r="A102" s="74" t="s">
        <v>227</v>
      </c>
      <c r="B102" s="75"/>
      <c r="C102" s="75"/>
      <c r="D102" s="75"/>
      <c r="E102" s="75"/>
      <c r="F102" s="75"/>
      <c r="G102" s="76"/>
    </row>
    <row r="103" spans="1:7" x14ac:dyDescent="0.35">
      <c r="A103" s="7" t="s">
        <v>2</v>
      </c>
      <c r="B103" s="7" t="s">
        <v>24</v>
      </c>
      <c r="C103" s="7" t="s">
        <v>25</v>
      </c>
      <c r="D103" s="7" t="s">
        <v>26</v>
      </c>
      <c r="E103" s="7" t="s">
        <v>27</v>
      </c>
      <c r="F103" s="7" t="s">
        <v>28</v>
      </c>
      <c r="G103" s="7" t="s">
        <v>260</v>
      </c>
    </row>
    <row r="104" spans="1:7" x14ac:dyDescent="0.35">
      <c r="A104" s="8"/>
      <c r="B104" s="9" t="s">
        <v>29</v>
      </c>
      <c r="C104" s="9"/>
      <c r="D104" s="9" t="s">
        <v>32</v>
      </c>
      <c r="E104" s="8"/>
      <c r="F104" s="8"/>
      <c r="G104" s="8"/>
    </row>
    <row r="105" spans="1:7" x14ac:dyDescent="0.35">
      <c r="A105" s="10">
        <v>1</v>
      </c>
      <c r="B105" s="6" t="s">
        <v>209</v>
      </c>
      <c r="C105" s="6" t="s">
        <v>261</v>
      </c>
      <c r="D105" s="6" t="s">
        <v>262</v>
      </c>
      <c r="E105" s="10"/>
      <c r="F105" s="10"/>
      <c r="G105" s="10">
        <v>4</v>
      </c>
    </row>
    <row r="106" spans="1:7" x14ac:dyDescent="0.35">
      <c r="A106" s="10">
        <v>2</v>
      </c>
      <c r="B106" s="6" t="s">
        <v>209</v>
      </c>
      <c r="C106" s="6" t="s">
        <v>263</v>
      </c>
      <c r="D106" s="6" t="s">
        <v>148</v>
      </c>
      <c r="E106" s="10"/>
      <c r="F106" s="10"/>
      <c r="G106" s="10">
        <v>3</v>
      </c>
    </row>
    <row r="107" spans="1:7" x14ac:dyDescent="0.35">
      <c r="A107" s="10">
        <v>3</v>
      </c>
      <c r="B107" s="6" t="s">
        <v>209</v>
      </c>
      <c r="C107" s="6" t="s">
        <v>264</v>
      </c>
      <c r="D107" s="6" t="s">
        <v>36</v>
      </c>
      <c r="E107" s="10"/>
      <c r="F107" s="10"/>
      <c r="G107" s="10">
        <v>2</v>
      </c>
    </row>
    <row r="108" spans="1:7" x14ac:dyDescent="0.35">
      <c r="A108" s="10">
        <v>4</v>
      </c>
      <c r="B108" s="6" t="s">
        <v>178</v>
      </c>
      <c r="C108" s="6" t="s">
        <v>265</v>
      </c>
      <c r="D108" s="6" t="s">
        <v>150</v>
      </c>
      <c r="E108" s="10"/>
      <c r="F108" s="10"/>
      <c r="G108" s="10">
        <v>3</v>
      </c>
    </row>
    <row r="109" spans="1:7" x14ac:dyDescent="0.35">
      <c r="A109" s="10">
        <v>5</v>
      </c>
      <c r="B109" s="6" t="s">
        <v>78</v>
      </c>
      <c r="C109" s="6" t="s">
        <v>266</v>
      </c>
      <c r="D109" s="6" t="s">
        <v>39</v>
      </c>
      <c r="E109" s="10"/>
      <c r="F109" s="10"/>
      <c r="G109" s="10">
        <v>3</v>
      </c>
    </row>
    <row r="110" spans="1:7" x14ac:dyDescent="0.35">
      <c r="A110" s="10">
        <v>6</v>
      </c>
      <c r="B110" s="6" t="s">
        <v>267</v>
      </c>
      <c r="C110" s="6" t="s">
        <v>268</v>
      </c>
      <c r="D110" s="6" t="s">
        <v>41</v>
      </c>
      <c r="E110" s="10"/>
      <c r="F110" s="10"/>
      <c r="G110" s="10">
        <v>2</v>
      </c>
    </row>
    <row r="111" spans="1:7" x14ac:dyDescent="0.35">
      <c r="A111" s="10">
        <v>7</v>
      </c>
      <c r="B111" s="6" t="s">
        <v>209</v>
      </c>
      <c r="C111" s="6" t="s">
        <v>269</v>
      </c>
      <c r="D111" s="6" t="s">
        <v>270</v>
      </c>
      <c r="E111" s="10"/>
      <c r="F111" s="10"/>
      <c r="G111" s="10">
        <v>3</v>
      </c>
    </row>
    <row r="112" spans="1:7" x14ac:dyDescent="0.35">
      <c r="A112" s="10">
        <v>8</v>
      </c>
      <c r="B112" s="6" t="s">
        <v>209</v>
      </c>
      <c r="C112" s="6" t="s">
        <v>271</v>
      </c>
      <c r="D112" s="6" t="s">
        <v>194</v>
      </c>
      <c r="E112" s="10"/>
      <c r="F112" s="10"/>
      <c r="G112" s="10">
        <v>3</v>
      </c>
    </row>
    <row r="113" spans="1:7" x14ac:dyDescent="0.35">
      <c r="A113" s="10">
        <v>9</v>
      </c>
      <c r="B113" s="6" t="s">
        <v>173</v>
      </c>
      <c r="C113" s="6" t="s">
        <v>272</v>
      </c>
      <c r="D113" s="6" t="s">
        <v>273</v>
      </c>
      <c r="E113" s="10"/>
      <c r="F113" s="10"/>
      <c r="G113" s="10">
        <v>2</v>
      </c>
    </row>
    <row r="114" spans="1:7" x14ac:dyDescent="0.35">
      <c r="A114" s="10">
        <v>10</v>
      </c>
      <c r="B114" s="6" t="s">
        <v>209</v>
      </c>
      <c r="C114" s="6" t="s">
        <v>274</v>
      </c>
      <c r="D114" s="6" t="s">
        <v>196</v>
      </c>
      <c r="E114" s="10"/>
      <c r="F114" s="10"/>
      <c r="G114" s="10">
        <v>3</v>
      </c>
    </row>
    <row r="115" spans="1:7" x14ac:dyDescent="0.35">
      <c r="A115" s="10">
        <v>11</v>
      </c>
      <c r="B115" s="6" t="s">
        <v>136</v>
      </c>
      <c r="C115" s="6" t="s">
        <v>275</v>
      </c>
      <c r="D115" s="6" t="s">
        <v>106</v>
      </c>
      <c r="E115" s="10"/>
      <c r="F115" s="10"/>
      <c r="G115" s="10">
        <v>2</v>
      </c>
    </row>
    <row r="116" spans="1:7" x14ac:dyDescent="0.35">
      <c r="A116" s="10">
        <v>12</v>
      </c>
      <c r="B116" s="6" t="s">
        <v>276</v>
      </c>
      <c r="C116" s="6" t="s">
        <v>277</v>
      </c>
      <c r="D116" s="6" t="s">
        <v>49</v>
      </c>
      <c r="E116" s="10"/>
      <c r="F116" s="10"/>
      <c r="G116" s="10">
        <v>2</v>
      </c>
    </row>
    <row r="117" spans="1:7" x14ac:dyDescent="0.35">
      <c r="A117" s="10">
        <v>13</v>
      </c>
      <c r="B117" s="6" t="s">
        <v>278</v>
      </c>
      <c r="C117" s="6" t="s">
        <v>279</v>
      </c>
      <c r="D117" s="6" t="s">
        <v>199</v>
      </c>
      <c r="E117" s="10"/>
      <c r="F117" s="10"/>
      <c r="G117" s="10">
        <v>1</v>
      </c>
    </row>
    <row r="118" spans="1:7" x14ac:dyDescent="0.35">
      <c r="A118" s="10">
        <v>14</v>
      </c>
      <c r="B118" s="6" t="s">
        <v>192</v>
      </c>
      <c r="C118" s="6" t="s">
        <v>280</v>
      </c>
      <c r="D118" s="6" t="s">
        <v>158</v>
      </c>
      <c r="E118" s="10"/>
      <c r="F118" s="10"/>
      <c r="G118" s="10">
        <v>3</v>
      </c>
    </row>
    <row r="119" spans="1:7" x14ac:dyDescent="0.35">
      <c r="A119" s="8"/>
      <c r="B119" s="9" t="s">
        <v>74</v>
      </c>
      <c r="C119" s="9"/>
      <c r="D119" s="9" t="s">
        <v>55</v>
      </c>
      <c r="E119" s="8">
        <v>30</v>
      </c>
      <c r="F119" s="8">
        <v>40</v>
      </c>
      <c r="G119" s="8">
        <v>36</v>
      </c>
    </row>
    <row r="120" spans="1:7" x14ac:dyDescent="0.35">
      <c r="A120" s="10">
        <v>1</v>
      </c>
      <c r="B120" s="6" t="s">
        <v>284</v>
      </c>
      <c r="C120" s="6" t="s">
        <v>285</v>
      </c>
      <c r="D120" s="6" t="s">
        <v>298</v>
      </c>
      <c r="E120" s="10"/>
      <c r="F120" s="10"/>
      <c r="G120" s="10">
        <v>1</v>
      </c>
    </row>
    <row r="121" spans="1:7" x14ac:dyDescent="0.35">
      <c r="A121" s="10">
        <v>2</v>
      </c>
      <c r="B121" s="6" t="s">
        <v>286</v>
      </c>
      <c r="C121" s="6" t="s">
        <v>287</v>
      </c>
      <c r="D121" s="6" t="s">
        <v>59</v>
      </c>
      <c r="E121" s="10"/>
      <c r="F121" s="10"/>
      <c r="G121" s="10">
        <v>3</v>
      </c>
    </row>
    <row r="122" spans="1:7" x14ac:dyDescent="0.35">
      <c r="A122" s="10">
        <v>3</v>
      </c>
      <c r="B122" s="6" t="s">
        <v>205</v>
      </c>
      <c r="C122" s="6" t="s">
        <v>303</v>
      </c>
      <c r="D122" s="6" t="s">
        <v>114</v>
      </c>
      <c r="E122" s="10"/>
      <c r="F122" s="10"/>
      <c r="G122" s="10">
        <v>1</v>
      </c>
    </row>
    <row r="123" spans="1:7" x14ac:dyDescent="0.35">
      <c r="A123" s="10">
        <v>4</v>
      </c>
      <c r="B123" s="6" t="s">
        <v>286</v>
      </c>
      <c r="C123" s="6" t="s">
        <v>304</v>
      </c>
      <c r="D123" s="6" t="s">
        <v>305</v>
      </c>
      <c r="E123" s="10"/>
      <c r="F123" s="10"/>
      <c r="G123" s="10">
        <v>5</v>
      </c>
    </row>
    <row r="124" spans="1:7" x14ac:dyDescent="0.35">
      <c r="A124" s="10">
        <v>5</v>
      </c>
      <c r="B124" s="6" t="s">
        <v>294</v>
      </c>
      <c r="C124" s="6" t="s">
        <v>295</v>
      </c>
      <c r="D124" s="6" t="s">
        <v>204</v>
      </c>
      <c r="E124" s="10"/>
      <c r="F124" s="10"/>
      <c r="G124" s="10">
        <v>5</v>
      </c>
    </row>
    <row r="125" spans="1:7" x14ac:dyDescent="0.35">
      <c r="A125" s="10">
        <v>6</v>
      </c>
      <c r="B125" s="6" t="s">
        <v>205</v>
      </c>
      <c r="C125" s="6" t="s">
        <v>300</v>
      </c>
      <c r="D125" s="6" t="s">
        <v>65</v>
      </c>
      <c r="E125" s="10"/>
      <c r="F125" s="10"/>
      <c r="G125" s="10">
        <v>1</v>
      </c>
    </row>
    <row r="126" spans="1:7" x14ac:dyDescent="0.35">
      <c r="A126" s="10">
        <v>7</v>
      </c>
      <c r="B126" s="6" t="s">
        <v>293</v>
      </c>
      <c r="C126" s="6"/>
      <c r="D126" s="6" t="s">
        <v>67</v>
      </c>
      <c r="E126" s="10"/>
      <c r="F126" s="10"/>
      <c r="G126" s="10">
        <v>7</v>
      </c>
    </row>
    <row r="127" spans="1:7" x14ac:dyDescent="0.35">
      <c r="A127" s="10">
        <v>8</v>
      </c>
      <c r="B127" s="6" t="s">
        <v>209</v>
      </c>
      <c r="C127" s="6" t="s">
        <v>292</v>
      </c>
      <c r="D127" s="6" t="s">
        <v>71</v>
      </c>
      <c r="E127" s="10"/>
      <c r="F127" s="10"/>
      <c r="G127" s="10">
        <v>2</v>
      </c>
    </row>
    <row r="128" spans="1:7" x14ac:dyDescent="0.35">
      <c r="A128" s="10">
        <v>9</v>
      </c>
      <c r="B128" s="6" t="s">
        <v>209</v>
      </c>
      <c r="C128" s="6" t="s">
        <v>291</v>
      </c>
      <c r="D128" s="6" t="s">
        <v>245</v>
      </c>
      <c r="E128" s="10"/>
      <c r="F128" s="10"/>
      <c r="G128" s="10">
        <v>1</v>
      </c>
    </row>
    <row r="129" spans="1:7" x14ac:dyDescent="0.35">
      <c r="A129" s="10">
        <v>10</v>
      </c>
      <c r="B129" s="6" t="s">
        <v>209</v>
      </c>
      <c r="C129" s="6" t="s">
        <v>289</v>
      </c>
      <c r="D129" s="6" t="s">
        <v>306</v>
      </c>
      <c r="E129" s="10"/>
      <c r="F129" s="10"/>
      <c r="G129" s="10">
        <v>3</v>
      </c>
    </row>
    <row r="130" spans="1:7" x14ac:dyDescent="0.35">
      <c r="A130" s="10">
        <v>11</v>
      </c>
      <c r="B130" s="6" t="s">
        <v>209</v>
      </c>
      <c r="C130" s="6" t="s">
        <v>288</v>
      </c>
      <c r="D130" s="6" t="s">
        <v>73</v>
      </c>
      <c r="E130" s="10"/>
      <c r="F130" s="10"/>
      <c r="G130" s="10">
        <v>2</v>
      </c>
    </row>
    <row r="131" spans="1:7" x14ac:dyDescent="0.35">
      <c r="A131" s="10">
        <v>12</v>
      </c>
      <c r="B131" s="6" t="s">
        <v>209</v>
      </c>
      <c r="C131" s="6" t="s">
        <v>307</v>
      </c>
      <c r="D131" s="6" t="s">
        <v>246</v>
      </c>
      <c r="E131" s="10"/>
      <c r="F131" s="10"/>
      <c r="G131" s="10">
        <v>1</v>
      </c>
    </row>
    <row r="132" spans="1:7" x14ac:dyDescent="0.35">
      <c r="A132" s="10">
        <v>13</v>
      </c>
      <c r="B132" s="6" t="s">
        <v>247</v>
      </c>
      <c r="C132" s="6" t="s">
        <v>281</v>
      </c>
      <c r="D132" s="6" t="s">
        <v>123</v>
      </c>
      <c r="E132" s="10"/>
      <c r="F132" s="10"/>
      <c r="G132" s="10">
        <v>4</v>
      </c>
    </row>
    <row r="133" spans="1:7" x14ac:dyDescent="0.35">
      <c r="A133" s="8"/>
      <c r="B133" s="9" t="s">
        <v>74</v>
      </c>
      <c r="C133" s="9"/>
      <c r="D133" s="9" t="s">
        <v>127</v>
      </c>
      <c r="E133" s="8">
        <v>26</v>
      </c>
      <c r="F133" s="8">
        <v>40</v>
      </c>
      <c r="G133" s="8">
        <v>36</v>
      </c>
    </row>
    <row r="134" spans="1:7" x14ac:dyDescent="0.35">
      <c r="A134" s="11"/>
      <c r="B134" s="12" t="s">
        <v>95</v>
      </c>
      <c r="C134" s="12"/>
      <c r="D134" s="12"/>
      <c r="E134" s="11">
        <v>56</v>
      </c>
      <c r="F134" s="11">
        <v>80</v>
      </c>
      <c r="G134" s="11">
        <v>72</v>
      </c>
    </row>
    <row r="135" spans="1:7" x14ac:dyDescent="0.35">
      <c r="A135" s="8"/>
      <c r="B135" s="9" t="s">
        <v>29</v>
      </c>
      <c r="C135" s="9"/>
      <c r="D135" s="9" t="s">
        <v>297</v>
      </c>
      <c r="E135" s="8"/>
      <c r="F135" s="8"/>
      <c r="G135" s="8"/>
    </row>
    <row r="137" spans="1:7" x14ac:dyDescent="0.35">
      <c r="A137" s="74" t="s">
        <v>308</v>
      </c>
      <c r="B137" s="75"/>
      <c r="C137" s="75"/>
      <c r="D137" s="75"/>
      <c r="E137" s="75"/>
      <c r="F137" s="75"/>
      <c r="G137" s="76"/>
    </row>
    <row r="138" spans="1:7" x14ac:dyDescent="0.35">
      <c r="A138" s="7" t="s">
        <v>2</v>
      </c>
      <c r="B138" s="7" t="s">
        <v>24</v>
      </c>
      <c r="C138" s="7" t="s">
        <v>25</v>
      </c>
      <c r="D138" s="7" t="s">
        <v>26</v>
      </c>
      <c r="E138" s="7" t="s">
        <v>27</v>
      </c>
      <c r="F138" s="7" t="s">
        <v>28</v>
      </c>
      <c r="G138" s="7" t="s">
        <v>260</v>
      </c>
    </row>
    <row r="139" spans="1:7" x14ac:dyDescent="0.35">
      <c r="A139" s="8"/>
      <c r="B139" s="9" t="s">
        <v>29</v>
      </c>
      <c r="C139" s="9"/>
      <c r="D139" s="9" t="s">
        <v>32</v>
      </c>
      <c r="E139" s="8"/>
      <c r="F139" s="8"/>
      <c r="G139" s="8"/>
    </row>
    <row r="140" spans="1:7" x14ac:dyDescent="0.35">
      <c r="A140" s="10">
        <v>1</v>
      </c>
      <c r="B140" s="6" t="s">
        <v>209</v>
      </c>
      <c r="C140" s="6" t="s">
        <v>261</v>
      </c>
      <c r="D140" s="6" t="s">
        <v>262</v>
      </c>
      <c r="E140" s="10"/>
      <c r="F140" s="10"/>
      <c r="G140" s="10">
        <v>4</v>
      </c>
    </row>
    <row r="141" spans="1:7" x14ac:dyDescent="0.35">
      <c r="A141" s="10">
        <v>2</v>
      </c>
      <c r="B141" s="6" t="s">
        <v>209</v>
      </c>
      <c r="C141" s="6" t="s">
        <v>263</v>
      </c>
      <c r="D141" s="6" t="s">
        <v>148</v>
      </c>
      <c r="E141" s="10"/>
      <c r="F141" s="10"/>
      <c r="G141" s="10">
        <v>3</v>
      </c>
    </row>
    <row r="142" spans="1:7" x14ac:dyDescent="0.35">
      <c r="A142" s="10">
        <v>3</v>
      </c>
      <c r="B142" s="6" t="s">
        <v>209</v>
      </c>
      <c r="C142" s="6" t="s">
        <v>264</v>
      </c>
      <c r="D142" s="6" t="s">
        <v>36</v>
      </c>
      <c r="E142" s="10"/>
      <c r="F142" s="10"/>
      <c r="G142" s="10">
        <v>2</v>
      </c>
    </row>
    <row r="143" spans="1:7" x14ac:dyDescent="0.35">
      <c r="A143" s="10">
        <v>4</v>
      </c>
      <c r="B143" s="6" t="s">
        <v>178</v>
      </c>
      <c r="C143" s="6" t="s">
        <v>265</v>
      </c>
      <c r="D143" s="6" t="s">
        <v>150</v>
      </c>
      <c r="E143" s="10"/>
      <c r="F143" s="10"/>
      <c r="G143" s="10">
        <v>3</v>
      </c>
    </row>
    <row r="144" spans="1:7" x14ac:dyDescent="0.35">
      <c r="A144" s="10">
        <v>5</v>
      </c>
      <c r="B144" s="6" t="s">
        <v>78</v>
      </c>
      <c r="C144" s="6" t="s">
        <v>266</v>
      </c>
      <c r="D144" s="6" t="s">
        <v>39</v>
      </c>
      <c r="E144" s="10"/>
      <c r="F144" s="10"/>
      <c r="G144" s="10">
        <v>3</v>
      </c>
    </row>
    <row r="145" spans="1:7" x14ac:dyDescent="0.35">
      <c r="A145" s="10">
        <v>6</v>
      </c>
      <c r="B145" s="6" t="s">
        <v>267</v>
      </c>
      <c r="C145" s="6" t="s">
        <v>268</v>
      </c>
      <c r="D145" s="6" t="s">
        <v>41</v>
      </c>
      <c r="E145" s="10"/>
      <c r="F145" s="10"/>
      <c r="G145" s="10">
        <v>2</v>
      </c>
    </row>
    <row r="146" spans="1:7" x14ac:dyDescent="0.35">
      <c r="A146" s="10">
        <v>7</v>
      </c>
      <c r="B146" s="6" t="s">
        <v>209</v>
      </c>
      <c r="C146" s="6" t="s">
        <v>269</v>
      </c>
      <c r="D146" s="6" t="s">
        <v>270</v>
      </c>
      <c r="E146" s="10"/>
      <c r="F146" s="10"/>
      <c r="G146" s="10">
        <v>3</v>
      </c>
    </row>
    <row r="147" spans="1:7" x14ac:dyDescent="0.35">
      <c r="A147" s="10">
        <v>8</v>
      </c>
      <c r="B147" s="6" t="s">
        <v>209</v>
      </c>
      <c r="C147" s="6" t="s">
        <v>271</v>
      </c>
      <c r="D147" s="6" t="s">
        <v>194</v>
      </c>
      <c r="E147" s="10"/>
      <c r="F147" s="10"/>
      <c r="G147" s="10">
        <v>3</v>
      </c>
    </row>
    <row r="148" spans="1:7" x14ac:dyDescent="0.35">
      <c r="A148" s="10">
        <v>9</v>
      </c>
      <c r="B148" s="6" t="s">
        <v>173</v>
      </c>
      <c r="C148" s="6" t="s">
        <v>272</v>
      </c>
      <c r="D148" s="6" t="s">
        <v>273</v>
      </c>
      <c r="E148" s="10"/>
      <c r="F148" s="10"/>
      <c r="G148" s="10">
        <v>2</v>
      </c>
    </row>
    <row r="149" spans="1:7" x14ac:dyDescent="0.35">
      <c r="A149" s="10">
        <v>10</v>
      </c>
      <c r="B149" s="6" t="s">
        <v>209</v>
      </c>
      <c r="C149" s="6" t="s">
        <v>274</v>
      </c>
      <c r="D149" s="6" t="s">
        <v>196</v>
      </c>
      <c r="E149" s="10"/>
      <c r="F149" s="10"/>
      <c r="G149" s="10">
        <v>3</v>
      </c>
    </row>
    <row r="150" spans="1:7" x14ac:dyDescent="0.35">
      <c r="A150" s="10">
        <v>11</v>
      </c>
      <c r="B150" s="6" t="s">
        <v>136</v>
      </c>
      <c r="C150" s="6" t="s">
        <v>275</v>
      </c>
      <c r="D150" s="6" t="s">
        <v>106</v>
      </c>
      <c r="E150" s="10"/>
      <c r="F150" s="10"/>
      <c r="G150" s="10">
        <v>2</v>
      </c>
    </row>
    <row r="151" spans="1:7" x14ac:dyDescent="0.35">
      <c r="A151" s="10">
        <v>12</v>
      </c>
      <c r="B151" s="6" t="s">
        <v>276</v>
      </c>
      <c r="C151" s="6" t="s">
        <v>277</v>
      </c>
      <c r="D151" s="6" t="s">
        <v>49</v>
      </c>
      <c r="E151" s="10"/>
      <c r="F151" s="10"/>
      <c r="G151" s="10">
        <v>2</v>
      </c>
    </row>
    <row r="152" spans="1:7" x14ac:dyDescent="0.35">
      <c r="A152" s="10">
        <v>13</v>
      </c>
      <c r="B152" s="6" t="s">
        <v>278</v>
      </c>
      <c r="C152" s="6" t="s">
        <v>279</v>
      </c>
      <c r="D152" s="6" t="s">
        <v>199</v>
      </c>
      <c r="E152" s="10"/>
      <c r="F152" s="10"/>
      <c r="G152" s="10">
        <v>1</v>
      </c>
    </row>
    <row r="153" spans="1:7" x14ac:dyDescent="0.35">
      <c r="A153" s="10">
        <v>14</v>
      </c>
      <c r="B153" s="6" t="s">
        <v>192</v>
      </c>
      <c r="C153" s="6" t="s">
        <v>280</v>
      </c>
      <c r="D153" s="6" t="s">
        <v>158</v>
      </c>
      <c r="E153" s="10"/>
      <c r="F153" s="10"/>
      <c r="G153" s="10">
        <v>3</v>
      </c>
    </row>
    <row r="154" spans="1:7" x14ac:dyDescent="0.35">
      <c r="A154" s="8"/>
      <c r="B154" s="9" t="s">
        <v>74</v>
      </c>
      <c r="C154" s="9"/>
      <c r="D154" s="9" t="s">
        <v>55</v>
      </c>
      <c r="E154" s="8">
        <v>30</v>
      </c>
      <c r="F154" s="8">
        <v>40</v>
      </c>
      <c r="G154" s="8">
        <v>36</v>
      </c>
    </row>
    <row r="155" spans="1:7" x14ac:dyDescent="0.35">
      <c r="A155" s="10">
        <v>1</v>
      </c>
      <c r="B155" s="6" t="s">
        <v>294</v>
      </c>
      <c r="C155" s="6" t="s">
        <v>295</v>
      </c>
      <c r="D155" s="6" t="s">
        <v>298</v>
      </c>
      <c r="E155" s="10"/>
      <c r="F155" s="10"/>
      <c r="G155" s="10">
        <v>5</v>
      </c>
    </row>
    <row r="156" spans="1:7" x14ac:dyDescent="0.35">
      <c r="A156" s="10">
        <v>2</v>
      </c>
      <c r="B156" s="6" t="s">
        <v>286</v>
      </c>
      <c r="C156" s="6" t="s">
        <v>299</v>
      </c>
      <c r="D156" s="6" t="s">
        <v>59</v>
      </c>
      <c r="E156" s="10"/>
      <c r="F156" s="10"/>
      <c r="G156" s="10">
        <v>4</v>
      </c>
    </row>
    <row r="157" spans="1:7" x14ac:dyDescent="0.35">
      <c r="A157" s="10">
        <v>3</v>
      </c>
      <c r="B157" s="6" t="s">
        <v>205</v>
      </c>
      <c r="C157" s="6" t="s">
        <v>300</v>
      </c>
      <c r="D157" s="6" t="s">
        <v>238</v>
      </c>
      <c r="E157" s="10"/>
      <c r="F157" s="10"/>
      <c r="G157" s="10">
        <v>1</v>
      </c>
    </row>
    <row r="158" spans="1:7" x14ac:dyDescent="0.35">
      <c r="A158" s="10">
        <v>4</v>
      </c>
      <c r="B158" s="6" t="s">
        <v>293</v>
      </c>
      <c r="C158" s="6"/>
      <c r="D158" s="6" t="s">
        <v>61</v>
      </c>
      <c r="E158" s="10"/>
      <c r="F158" s="10"/>
      <c r="G158" s="10">
        <v>8</v>
      </c>
    </row>
    <row r="159" spans="1:7" x14ac:dyDescent="0.35">
      <c r="A159" s="10">
        <v>5</v>
      </c>
      <c r="B159" s="6" t="s">
        <v>198</v>
      </c>
      <c r="C159" s="6" t="s">
        <v>301</v>
      </c>
      <c r="D159" s="6" t="s">
        <v>204</v>
      </c>
      <c r="E159" s="10"/>
      <c r="F159" s="10"/>
      <c r="G159" s="10">
        <v>2</v>
      </c>
    </row>
    <row r="160" spans="1:7" x14ac:dyDescent="0.35">
      <c r="A160" s="10">
        <v>6</v>
      </c>
      <c r="B160" s="6" t="s">
        <v>209</v>
      </c>
      <c r="C160" s="6" t="s">
        <v>264</v>
      </c>
      <c r="D160" s="6" t="s">
        <v>118</v>
      </c>
      <c r="E160" s="10"/>
      <c r="F160" s="10"/>
      <c r="G160" s="10">
        <v>2</v>
      </c>
    </row>
    <row r="161" spans="1:7" x14ac:dyDescent="0.35">
      <c r="A161" s="10">
        <v>7</v>
      </c>
      <c r="B161" s="6" t="s">
        <v>209</v>
      </c>
      <c r="C161" s="6" t="s">
        <v>263</v>
      </c>
      <c r="D161" s="6" t="s">
        <v>166</v>
      </c>
      <c r="E161" s="10"/>
      <c r="F161" s="10"/>
      <c r="G161" s="10">
        <v>3</v>
      </c>
    </row>
    <row r="162" spans="1:7" x14ac:dyDescent="0.35">
      <c r="A162" s="10">
        <v>8</v>
      </c>
      <c r="B162" s="6" t="s">
        <v>209</v>
      </c>
      <c r="C162" s="6" t="s">
        <v>261</v>
      </c>
      <c r="D162" s="6" t="s">
        <v>69</v>
      </c>
      <c r="E162" s="10"/>
      <c r="F162" s="10"/>
      <c r="G162" s="10">
        <v>3</v>
      </c>
    </row>
    <row r="163" spans="1:7" x14ac:dyDescent="0.35">
      <c r="A163" s="10">
        <v>9</v>
      </c>
      <c r="B163" s="6" t="s">
        <v>192</v>
      </c>
      <c r="C163" s="6" t="s">
        <v>280</v>
      </c>
      <c r="D163" s="6" t="s">
        <v>302</v>
      </c>
      <c r="E163" s="10"/>
      <c r="F163" s="10"/>
      <c r="G163" s="10">
        <v>3</v>
      </c>
    </row>
    <row r="164" spans="1:7" x14ac:dyDescent="0.35">
      <c r="A164" s="10">
        <v>10</v>
      </c>
      <c r="B164" s="6" t="s">
        <v>247</v>
      </c>
      <c r="C164" s="6" t="s">
        <v>281</v>
      </c>
      <c r="D164" s="6" t="s">
        <v>73</v>
      </c>
      <c r="E164" s="10"/>
      <c r="F164" s="10"/>
      <c r="G164" s="10">
        <v>5</v>
      </c>
    </row>
    <row r="165" spans="1:7" x14ac:dyDescent="0.35">
      <c r="A165" s="8"/>
      <c r="B165" s="9" t="s">
        <v>74</v>
      </c>
      <c r="C165" s="9"/>
      <c r="D165" s="9" t="s">
        <v>75</v>
      </c>
      <c r="E165" s="8">
        <v>24</v>
      </c>
      <c r="F165" s="8">
        <v>40</v>
      </c>
      <c r="G165" s="8">
        <v>36</v>
      </c>
    </row>
    <row r="166" spans="1:7" x14ac:dyDescent="0.35">
      <c r="A166" s="11"/>
      <c r="B166" s="12" t="s">
        <v>95</v>
      </c>
      <c r="C166" s="12"/>
      <c r="D166" s="12"/>
      <c r="E166" s="11">
        <v>54</v>
      </c>
      <c r="F166" s="11">
        <v>80</v>
      </c>
      <c r="G166" s="11">
        <v>72</v>
      </c>
    </row>
    <row r="167" spans="1:7" x14ac:dyDescent="0.35">
      <c r="A167" s="8"/>
      <c r="B167" s="9" t="s">
        <v>29</v>
      </c>
      <c r="C167" s="9"/>
      <c r="D167" s="9" t="s">
        <v>297</v>
      </c>
      <c r="E167" s="8"/>
      <c r="F167" s="8"/>
      <c r="G167" s="8"/>
    </row>
  </sheetData>
  <mergeCells count="6">
    <mergeCell ref="A137:G137"/>
    <mergeCell ref="A102:G102"/>
    <mergeCell ref="A1:G1"/>
    <mergeCell ref="A70:G70"/>
    <mergeCell ref="A3:G3"/>
    <mergeCell ref="A38:G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46"/>
  <sheetViews>
    <sheetView showGridLines="0" workbookViewId="0">
      <pane ySplit="3" topLeftCell="A67" activePane="bottomLeft" state="frozen"/>
      <selection activeCell="H25" sqref="H25:H26"/>
      <selection pane="bottomLeft" activeCell="H25" sqref="H25:H26"/>
    </sheetView>
  </sheetViews>
  <sheetFormatPr defaultRowHeight="14.5" x14ac:dyDescent="0.35"/>
  <cols>
    <col min="1" max="1" width="5" customWidth="1"/>
    <col min="2" max="2" width="30" customWidth="1"/>
    <col min="3" max="3" width="24" customWidth="1"/>
    <col min="4" max="4" width="8" customWidth="1"/>
    <col min="5" max="6" width="7" customWidth="1"/>
    <col min="7" max="7" width="11" customWidth="1"/>
  </cols>
  <sheetData>
    <row r="1" spans="1:7" ht="20" customHeight="1" x14ac:dyDescent="0.35">
      <c r="A1" s="77" t="s">
        <v>10</v>
      </c>
      <c r="B1" s="72"/>
      <c r="C1" s="72"/>
      <c r="D1" s="72"/>
      <c r="E1" s="72"/>
      <c r="F1" s="72"/>
      <c r="G1" s="72"/>
    </row>
    <row r="2" spans="1:7" ht="26" customHeight="1" x14ac:dyDescent="0.35">
      <c r="A2" s="78" t="s">
        <v>309</v>
      </c>
      <c r="B2" s="72"/>
      <c r="C2" s="72"/>
      <c r="D2" s="72"/>
      <c r="E2" s="72"/>
      <c r="F2" s="72"/>
      <c r="G2" s="72"/>
    </row>
    <row r="4" spans="1:7" x14ac:dyDescent="0.35">
      <c r="A4" s="74" t="s">
        <v>310</v>
      </c>
      <c r="B4" s="75"/>
      <c r="C4" s="75"/>
      <c r="D4" s="75"/>
      <c r="E4" s="75"/>
      <c r="F4" s="75"/>
      <c r="G4" s="76"/>
    </row>
    <row r="5" spans="1:7" x14ac:dyDescent="0.35">
      <c r="A5" s="7" t="s">
        <v>2</v>
      </c>
      <c r="B5" s="7" t="s">
        <v>24</v>
      </c>
      <c r="C5" s="7" t="s">
        <v>25</v>
      </c>
      <c r="D5" s="7" t="s">
        <v>26</v>
      </c>
      <c r="E5" s="7" t="s">
        <v>27</v>
      </c>
      <c r="F5" s="7" t="s">
        <v>28</v>
      </c>
      <c r="G5" s="7" t="s">
        <v>260</v>
      </c>
    </row>
    <row r="6" spans="1:7" x14ac:dyDescent="0.35">
      <c r="A6" s="8"/>
      <c r="B6" s="9" t="s">
        <v>29</v>
      </c>
      <c r="C6" s="9"/>
      <c r="D6" s="9" t="s">
        <v>32</v>
      </c>
      <c r="E6" s="8"/>
      <c r="F6" s="8"/>
      <c r="G6" s="8"/>
    </row>
    <row r="7" spans="1:7" x14ac:dyDescent="0.35">
      <c r="A7" s="10">
        <v>1</v>
      </c>
      <c r="B7" s="6" t="s">
        <v>138</v>
      </c>
      <c r="C7" s="6" t="s">
        <v>311</v>
      </c>
      <c r="D7" s="6" t="s">
        <v>36</v>
      </c>
      <c r="E7" s="10"/>
      <c r="F7" s="10"/>
      <c r="G7" s="10">
        <v>1</v>
      </c>
    </row>
    <row r="8" spans="1:7" x14ac:dyDescent="0.35">
      <c r="A8" s="10">
        <v>2</v>
      </c>
      <c r="B8" s="6" t="s">
        <v>138</v>
      </c>
      <c r="C8" s="6" t="s">
        <v>312</v>
      </c>
      <c r="D8" s="6" t="s">
        <v>38</v>
      </c>
      <c r="E8" s="10"/>
      <c r="F8" s="10"/>
      <c r="G8" s="10">
        <v>2</v>
      </c>
    </row>
    <row r="9" spans="1:7" x14ac:dyDescent="0.35">
      <c r="A9" s="10">
        <v>3</v>
      </c>
      <c r="B9" s="6" t="s">
        <v>286</v>
      </c>
      <c r="C9" s="6" t="s">
        <v>313</v>
      </c>
      <c r="D9" s="6" t="s">
        <v>154</v>
      </c>
      <c r="E9" s="10"/>
      <c r="F9" s="10"/>
      <c r="G9" s="10">
        <v>2</v>
      </c>
    </row>
    <row r="10" spans="1:7" x14ac:dyDescent="0.35">
      <c r="A10" s="10">
        <v>4</v>
      </c>
      <c r="B10" s="6" t="s">
        <v>140</v>
      </c>
      <c r="C10" s="6" t="s">
        <v>314</v>
      </c>
      <c r="D10" s="6" t="s">
        <v>270</v>
      </c>
      <c r="E10" s="10"/>
      <c r="F10" s="10"/>
      <c r="G10" s="10">
        <v>3</v>
      </c>
    </row>
    <row r="11" spans="1:7" x14ac:dyDescent="0.35">
      <c r="A11" s="10">
        <v>5</v>
      </c>
      <c r="B11" s="6" t="s">
        <v>315</v>
      </c>
      <c r="C11" s="6"/>
      <c r="D11" s="6" t="s">
        <v>43</v>
      </c>
      <c r="E11" s="10"/>
      <c r="F11" s="10"/>
      <c r="G11" s="10">
        <v>2</v>
      </c>
    </row>
    <row r="12" spans="1:7" x14ac:dyDescent="0.35">
      <c r="A12" s="10">
        <v>6</v>
      </c>
      <c r="B12" s="6" t="s">
        <v>316</v>
      </c>
      <c r="C12" s="6" t="s">
        <v>317</v>
      </c>
      <c r="D12" s="6" t="s">
        <v>199</v>
      </c>
      <c r="E12" s="10"/>
      <c r="F12" s="10"/>
      <c r="G12" s="10">
        <v>1</v>
      </c>
    </row>
    <row r="13" spans="1:7" x14ac:dyDescent="0.35">
      <c r="A13" s="10">
        <v>7</v>
      </c>
      <c r="B13" s="6" t="s">
        <v>316</v>
      </c>
      <c r="C13" s="6" t="s">
        <v>318</v>
      </c>
      <c r="D13" s="6" t="s">
        <v>53</v>
      </c>
      <c r="E13" s="10"/>
      <c r="F13" s="10"/>
      <c r="G13" s="10">
        <v>1</v>
      </c>
    </row>
    <row r="14" spans="1:7" x14ac:dyDescent="0.35">
      <c r="A14" s="8"/>
      <c r="B14" s="9" t="s">
        <v>74</v>
      </c>
      <c r="C14" s="9"/>
      <c r="D14" s="9" t="s">
        <v>235</v>
      </c>
      <c r="E14" s="8">
        <v>23</v>
      </c>
      <c r="F14" s="8">
        <v>9</v>
      </c>
      <c r="G14" s="8">
        <v>12</v>
      </c>
    </row>
    <row r="15" spans="1:7" x14ac:dyDescent="0.35">
      <c r="A15" s="10">
        <v>1</v>
      </c>
      <c r="B15" s="6" t="s">
        <v>187</v>
      </c>
      <c r="C15" s="6" t="s">
        <v>319</v>
      </c>
      <c r="D15" s="6" t="s">
        <v>57</v>
      </c>
      <c r="E15" s="10"/>
      <c r="F15" s="10"/>
      <c r="G15" s="10">
        <v>3</v>
      </c>
    </row>
    <row r="16" spans="1:7" x14ac:dyDescent="0.35">
      <c r="A16" s="10">
        <v>2</v>
      </c>
      <c r="B16" s="6" t="s">
        <v>320</v>
      </c>
      <c r="C16" s="6" t="s">
        <v>321</v>
      </c>
      <c r="D16" s="6" t="s">
        <v>162</v>
      </c>
      <c r="E16" s="10"/>
      <c r="F16" s="10"/>
      <c r="G16" s="10">
        <v>3</v>
      </c>
    </row>
    <row r="17" spans="1:7" x14ac:dyDescent="0.35">
      <c r="A17" s="10">
        <v>3</v>
      </c>
      <c r="B17" s="6" t="s">
        <v>322</v>
      </c>
      <c r="C17" s="6" t="s">
        <v>323</v>
      </c>
      <c r="D17" s="6" t="s">
        <v>61</v>
      </c>
      <c r="E17" s="10"/>
      <c r="F17" s="10"/>
      <c r="G17" s="10">
        <v>2</v>
      </c>
    </row>
    <row r="18" spans="1:7" x14ac:dyDescent="0.35">
      <c r="A18" s="10">
        <v>4</v>
      </c>
      <c r="B18" s="6" t="s">
        <v>209</v>
      </c>
      <c r="C18" s="6" t="s">
        <v>324</v>
      </c>
      <c r="D18" s="6" t="s">
        <v>204</v>
      </c>
      <c r="E18" s="10"/>
      <c r="F18" s="10"/>
      <c r="G18" s="10">
        <v>1</v>
      </c>
    </row>
    <row r="19" spans="1:7" x14ac:dyDescent="0.35">
      <c r="A19" s="10">
        <v>5</v>
      </c>
      <c r="B19" s="6" t="s">
        <v>205</v>
      </c>
      <c r="C19" s="6" t="s">
        <v>325</v>
      </c>
      <c r="D19" s="6" t="s">
        <v>166</v>
      </c>
      <c r="E19" s="10"/>
      <c r="F19" s="10"/>
      <c r="G19" s="10">
        <v>3</v>
      </c>
    </row>
    <row r="20" spans="1:7" x14ac:dyDescent="0.35">
      <c r="A20" s="8"/>
      <c r="B20" s="9" t="s">
        <v>74</v>
      </c>
      <c r="C20" s="9"/>
      <c r="D20" s="9" t="s">
        <v>302</v>
      </c>
      <c r="E20" s="8">
        <v>19</v>
      </c>
      <c r="F20" s="8">
        <v>9</v>
      </c>
      <c r="G20" s="8">
        <v>12</v>
      </c>
    </row>
    <row r="21" spans="1:7" x14ac:dyDescent="0.35">
      <c r="A21" s="10">
        <v>1</v>
      </c>
      <c r="B21" s="6" t="s">
        <v>205</v>
      </c>
      <c r="C21" s="6" t="s">
        <v>326</v>
      </c>
      <c r="D21" s="6" t="s">
        <v>79</v>
      </c>
      <c r="E21" s="10"/>
      <c r="F21" s="10"/>
      <c r="G21" s="10">
        <v>3</v>
      </c>
    </row>
    <row r="22" spans="1:7" x14ac:dyDescent="0.35">
      <c r="A22" s="10">
        <v>2</v>
      </c>
      <c r="B22" s="6" t="s">
        <v>205</v>
      </c>
      <c r="C22" s="6" t="s">
        <v>327</v>
      </c>
      <c r="D22" s="6" t="s">
        <v>174</v>
      </c>
      <c r="E22" s="10"/>
      <c r="F22" s="10"/>
      <c r="G22" s="10">
        <v>2</v>
      </c>
    </row>
    <row r="23" spans="1:7" x14ac:dyDescent="0.35">
      <c r="A23" s="10">
        <v>4</v>
      </c>
      <c r="B23" s="6" t="s">
        <v>84</v>
      </c>
      <c r="C23" s="6"/>
      <c r="D23" s="6" t="s">
        <v>328</v>
      </c>
      <c r="E23" s="10"/>
      <c r="F23" s="10"/>
      <c r="G23" s="10">
        <v>3</v>
      </c>
    </row>
    <row r="24" spans="1:7" x14ac:dyDescent="0.35">
      <c r="A24" s="10">
        <v>3</v>
      </c>
      <c r="B24" s="6" t="s">
        <v>286</v>
      </c>
      <c r="C24" s="6" t="s">
        <v>313</v>
      </c>
      <c r="D24" s="6" t="s">
        <v>329</v>
      </c>
      <c r="E24" s="10"/>
      <c r="F24" s="10"/>
      <c r="G24" s="10">
        <v>2</v>
      </c>
    </row>
    <row r="25" spans="1:7" x14ac:dyDescent="0.35">
      <c r="A25" s="10">
        <v>5</v>
      </c>
      <c r="B25" s="6" t="s">
        <v>330</v>
      </c>
      <c r="C25" s="6" t="s">
        <v>331</v>
      </c>
      <c r="D25" s="6" t="s">
        <v>332</v>
      </c>
      <c r="E25" s="10"/>
      <c r="F25" s="10"/>
      <c r="G25" s="10">
        <v>2</v>
      </c>
    </row>
    <row r="26" spans="1:7" x14ac:dyDescent="0.35">
      <c r="A26" s="8"/>
      <c r="B26" s="9" t="s">
        <v>74</v>
      </c>
      <c r="C26" s="9"/>
      <c r="D26" s="9" t="s">
        <v>333</v>
      </c>
      <c r="E26" s="8">
        <v>18</v>
      </c>
      <c r="F26" s="8">
        <v>9</v>
      </c>
      <c r="G26" s="8">
        <v>12</v>
      </c>
    </row>
    <row r="27" spans="1:7" x14ac:dyDescent="0.35">
      <c r="A27" s="10">
        <v>1</v>
      </c>
      <c r="B27" s="6" t="s">
        <v>178</v>
      </c>
      <c r="C27" s="6" t="s">
        <v>334</v>
      </c>
      <c r="D27" s="6" t="s">
        <v>93</v>
      </c>
      <c r="E27" s="10"/>
      <c r="F27" s="10"/>
      <c r="G27" s="10">
        <v>3</v>
      </c>
    </row>
    <row r="28" spans="1:7" x14ac:dyDescent="0.35">
      <c r="A28" s="10">
        <v>2</v>
      </c>
      <c r="B28" s="6" t="s">
        <v>138</v>
      </c>
      <c r="C28" s="6" t="s">
        <v>311</v>
      </c>
      <c r="D28" s="6" t="s">
        <v>335</v>
      </c>
      <c r="E28" s="10"/>
      <c r="F28" s="10"/>
      <c r="G28" s="10">
        <v>1</v>
      </c>
    </row>
    <row r="29" spans="1:7" x14ac:dyDescent="0.35">
      <c r="A29" s="10">
        <v>3</v>
      </c>
      <c r="B29" s="6" t="s">
        <v>178</v>
      </c>
      <c r="C29" s="6" t="s">
        <v>336</v>
      </c>
      <c r="D29" s="6" t="s">
        <v>186</v>
      </c>
      <c r="E29" s="10"/>
      <c r="F29" s="10"/>
      <c r="G29" s="10">
        <v>3</v>
      </c>
    </row>
    <row r="30" spans="1:7" x14ac:dyDescent="0.35">
      <c r="A30" s="10">
        <v>4</v>
      </c>
      <c r="B30" s="6" t="s">
        <v>140</v>
      </c>
      <c r="C30" s="6" t="s">
        <v>314</v>
      </c>
      <c r="D30" s="6" t="s">
        <v>188</v>
      </c>
      <c r="E30" s="10"/>
      <c r="F30" s="10"/>
      <c r="G30" s="10">
        <v>2</v>
      </c>
    </row>
    <row r="31" spans="1:7" x14ac:dyDescent="0.35">
      <c r="A31" s="10">
        <v>5</v>
      </c>
      <c r="B31" s="6" t="s">
        <v>315</v>
      </c>
      <c r="C31" s="6"/>
      <c r="D31" s="6" t="s">
        <v>94</v>
      </c>
      <c r="E31" s="10"/>
      <c r="F31" s="10"/>
      <c r="G31" s="10">
        <v>3</v>
      </c>
    </row>
    <row r="32" spans="1:7" x14ac:dyDescent="0.35">
      <c r="A32" s="8"/>
      <c r="B32" s="9" t="s">
        <v>74</v>
      </c>
      <c r="C32" s="9"/>
      <c r="D32" s="9" t="s">
        <v>297</v>
      </c>
      <c r="E32" s="8">
        <v>18</v>
      </c>
      <c r="F32" s="8">
        <v>9</v>
      </c>
      <c r="G32" s="8">
        <v>12</v>
      </c>
    </row>
    <row r="33" spans="1:7" x14ac:dyDescent="0.35">
      <c r="A33" s="8"/>
      <c r="B33" s="9" t="s">
        <v>29</v>
      </c>
      <c r="C33" s="9"/>
      <c r="D33" s="9" t="s">
        <v>337</v>
      </c>
      <c r="E33" s="8"/>
      <c r="F33" s="8"/>
      <c r="G33" s="8"/>
    </row>
    <row r="34" spans="1:7" x14ac:dyDescent="0.35">
      <c r="A34" s="11"/>
      <c r="B34" s="12" t="s">
        <v>95</v>
      </c>
      <c r="C34" s="12"/>
      <c r="D34" s="12"/>
      <c r="E34" s="11">
        <v>78</v>
      </c>
      <c r="F34" s="11">
        <v>36</v>
      </c>
      <c r="G34" s="11">
        <v>48</v>
      </c>
    </row>
    <row r="36" spans="1:7" x14ac:dyDescent="0.35">
      <c r="A36" s="74" t="s">
        <v>338</v>
      </c>
      <c r="B36" s="75"/>
      <c r="C36" s="75"/>
      <c r="D36" s="75"/>
      <c r="E36" s="75"/>
      <c r="F36" s="75"/>
      <c r="G36" s="76"/>
    </row>
    <row r="37" spans="1:7" x14ac:dyDescent="0.35">
      <c r="A37" s="7" t="s">
        <v>2</v>
      </c>
      <c r="B37" s="7" t="s">
        <v>24</v>
      </c>
      <c r="C37" s="7" t="s">
        <v>25</v>
      </c>
      <c r="D37" s="7" t="s">
        <v>26</v>
      </c>
      <c r="E37" s="7" t="s">
        <v>27</v>
      </c>
      <c r="F37" s="7" t="s">
        <v>28</v>
      </c>
      <c r="G37" s="7" t="s">
        <v>260</v>
      </c>
    </row>
    <row r="38" spans="1:7" x14ac:dyDescent="0.35">
      <c r="A38" s="8"/>
      <c r="B38" s="9" t="s">
        <v>29</v>
      </c>
      <c r="C38" s="9"/>
      <c r="D38" s="9" t="s">
        <v>32</v>
      </c>
      <c r="E38" s="8"/>
      <c r="F38" s="8"/>
      <c r="G38" s="8"/>
    </row>
    <row r="39" spans="1:7" x14ac:dyDescent="0.35">
      <c r="A39" s="10">
        <v>1</v>
      </c>
      <c r="B39" s="6" t="s">
        <v>138</v>
      </c>
      <c r="C39" s="6" t="s">
        <v>311</v>
      </c>
      <c r="D39" s="6" t="s">
        <v>36</v>
      </c>
      <c r="E39" s="10"/>
      <c r="F39" s="10"/>
      <c r="G39" s="10">
        <v>1</v>
      </c>
    </row>
    <row r="40" spans="1:7" x14ac:dyDescent="0.35">
      <c r="A40" s="10">
        <v>2</v>
      </c>
      <c r="B40" s="6" t="s">
        <v>138</v>
      </c>
      <c r="C40" s="6" t="s">
        <v>312</v>
      </c>
      <c r="D40" s="6" t="s">
        <v>38</v>
      </c>
      <c r="E40" s="10"/>
      <c r="F40" s="10"/>
      <c r="G40" s="10">
        <v>2</v>
      </c>
    </row>
    <row r="41" spans="1:7" x14ac:dyDescent="0.35">
      <c r="A41" s="10">
        <v>3</v>
      </c>
      <c r="B41" s="6" t="s">
        <v>286</v>
      </c>
      <c r="C41" s="6" t="s">
        <v>313</v>
      </c>
      <c r="D41" s="6" t="s">
        <v>154</v>
      </c>
      <c r="E41" s="10"/>
      <c r="F41" s="10"/>
      <c r="G41" s="10">
        <v>2</v>
      </c>
    </row>
    <row r="42" spans="1:7" x14ac:dyDescent="0.35">
      <c r="A42" s="10">
        <v>4</v>
      </c>
      <c r="B42" s="6" t="s">
        <v>140</v>
      </c>
      <c r="C42" s="6" t="s">
        <v>314</v>
      </c>
      <c r="D42" s="6" t="s">
        <v>270</v>
      </c>
      <c r="E42" s="10"/>
      <c r="F42" s="10"/>
      <c r="G42" s="10">
        <v>3</v>
      </c>
    </row>
    <row r="43" spans="1:7" x14ac:dyDescent="0.35">
      <c r="A43" s="10">
        <v>5</v>
      </c>
      <c r="B43" s="6" t="s">
        <v>315</v>
      </c>
      <c r="C43" s="6"/>
      <c r="D43" s="6" t="s">
        <v>43</v>
      </c>
      <c r="E43" s="10"/>
      <c r="F43" s="10"/>
      <c r="G43" s="10">
        <v>2</v>
      </c>
    </row>
    <row r="44" spans="1:7" x14ac:dyDescent="0.35">
      <c r="A44" s="10">
        <v>6</v>
      </c>
      <c r="B44" s="6" t="s">
        <v>316</v>
      </c>
      <c r="C44" s="6" t="s">
        <v>317</v>
      </c>
      <c r="D44" s="6" t="s">
        <v>199</v>
      </c>
      <c r="E44" s="10"/>
      <c r="F44" s="10"/>
      <c r="G44" s="10">
        <v>1</v>
      </c>
    </row>
    <row r="45" spans="1:7" x14ac:dyDescent="0.35">
      <c r="A45" s="10">
        <v>7</v>
      </c>
      <c r="B45" s="6" t="s">
        <v>316</v>
      </c>
      <c r="C45" s="6" t="s">
        <v>318</v>
      </c>
      <c r="D45" s="6" t="s">
        <v>53</v>
      </c>
      <c r="E45" s="10"/>
      <c r="F45" s="10"/>
      <c r="G45" s="10">
        <v>1</v>
      </c>
    </row>
    <row r="46" spans="1:7" x14ac:dyDescent="0.35">
      <c r="A46" s="8"/>
      <c r="B46" s="9" t="s">
        <v>74</v>
      </c>
      <c r="C46" s="9"/>
      <c r="D46" s="9" t="s">
        <v>235</v>
      </c>
      <c r="E46" s="8">
        <v>23</v>
      </c>
      <c r="F46" s="8">
        <v>9</v>
      </c>
      <c r="G46" s="8">
        <v>12</v>
      </c>
    </row>
    <row r="47" spans="1:7" x14ac:dyDescent="0.35">
      <c r="A47" s="10">
        <v>1</v>
      </c>
      <c r="B47" s="6" t="s">
        <v>187</v>
      </c>
      <c r="C47" s="6" t="s">
        <v>319</v>
      </c>
      <c r="D47" s="6" t="s">
        <v>57</v>
      </c>
      <c r="E47" s="10"/>
      <c r="F47" s="10"/>
      <c r="G47" s="10">
        <v>3</v>
      </c>
    </row>
    <row r="48" spans="1:7" x14ac:dyDescent="0.35">
      <c r="A48" s="10">
        <v>2</v>
      </c>
      <c r="B48" s="6" t="s">
        <v>320</v>
      </c>
      <c r="C48" s="6" t="s">
        <v>321</v>
      </c>
      <c r="D48" s="6" t="s">
        <v>162</v>
      </c>
      <c r="E48" s="10"/>
      <c r="F48" s="10"/>
      <c r="G48" s="10">
        <v>2</v>
      </c>
    </row>
    <row r="49" spans="1:7" x14ac:dyDescent="0.35">
      <c r="A49" s="10">
        <v>3</v>
      </c>
      <c r="B49" s="6" t="s">
        <v>322</v>
      </c>
      <c r="C49" s="6" t="s">
        <v>323</v>
      </c>
      <c r="D49" s="6" t="s">
        <v>61</v>
      </c>
      <c r="E49" s="10"/>
      <c r="F49" s="10"/>
      <c r="G49" s="10">
        <v>3</v>
      </c>
    </row>
    <row r="50" spans="1:7" x14ac:dyDescent="0.35">
      <c r="A50" s="10">
        <v>4</v>
      </c>
      <c r="B50" s="6" t="s">
        <v>339</v>
      </c>
      <c r="C50" s="6" t="s">
        <v>340</v>
      </c>
      <c r="D50" s="6" t="s">
        <v>204</v>
      </c>
      <c r="E50" s="10"/>
      <c r="F50" s="10"/>
      <c r="G50" s="10">
        <v>1</v>
      </c>
    </row>
    <row r="51" spans="1:7" x14ac:dyDescent="0.35">
      <c r="A51" s="10">
        <v>5</v>
      </c>
      <c r="B51" s="6" t="s">
        <v>205</v>
      </c>
      <c r="C51" s="6" t="s">
        <v>325</v>
      </c>
      <c r="D51" s="6" t="s">
        <v>166</v>
      </c>
      <c r="E51" s="10"/>
      <c r="F51" s="10"/>
      <c r="G51" s="10">
        <v>3</v>
      </c>
    </row>
    <row r="52" spans="1:7" x14ac:dyDescent="0.35">
      <c r="A52" s="8"/>
      <c r="B52" s="9" t="s">
        <v>74</v>
      </c>
      <c r="C52" s="9"/>
      <c r="D52" s="9" t="s">
        <v>302</v>
      </c>
      <c r="E52" s="8">
        <v>19</v>
      </c>
      <c r="F52" s="8">
        <v>9</v>
      </c>
      <c r="G52" s="8">
        <v>12</v>
      </c>
    </row>
    <row r="53" spans="1:7" x14ac:dyDescent="0.35">
      <c r="A53" s="10">
        <v>1</v>
      </c>
      <c r="B53" s="6" t="s">
        <v>205</v>
      </c>
      <c r="C53" s="6" t="s">
        <v>326</v>
      </c>
      <c r="D53" s="6" t="s">
        <v>79</v>
      </c>
      <c r="E53" s="10"/>
      <c r="F53" s="10"/>
      <c r="G53" s="10">
        <v>2</v>
      </c>
    </row>
    <row r="54" spans="1:7" x14ac:dyDescent="0.35">
      <c r="A54" s="10">
        <v>2</v>
      </c>
      <c r="B54" s="6" t="s">
        <v>205</v>
      </c>
      <c r="C54" s="6" t="s">
        <v>327</v>
      </c>
      <c r="D54" s="6" t="s">
        <v>174</v>
      </c>
      <c r="E54" s="10"/>
      <c r="F54" s="10"/>
      <c r="G54" s="10">
        <v>3</v>
      </c>
    </row>
    <row r="55" spans="1:7" x14ac:dyDescent="0.35">
      <c r="A55" s="10">
        <v>4</v>
      </c>
      <c r="B55" s="6" t="s">
        <v>84</v>
      </c>
      <c r="C55" s="6"/>
      <c r="D55" s="6" t="s">
        <v>328</v>
      </c>
      <c r="E55" s="10"/>
      <c r="F55" s="10"/>
      <c r="G55" s="10">
        <v>3</v>
      </c>
    </row>
    <row r="56" spans="1:7" x14ac:dyDescent="0.35">
      <c r="A56" s="10">
        <v>3</v>
      </c>
      <c r="B56" s="6" t="s">
        <v>286</v>
      </c>
      <c r="C56" s="6" t="s">
        <v>313</v>
      </c>
      <c r="D56" s="6" t="s">
        <v>329</v>
      </c>
      <c r="E56" s="10"/>
      <c r="F56" s="10"/>
      <c r="G56" s="10">
        <v>2</v>
      </c>
    </row>
    <row r="57" spans="1:7" x14ac:dyDescent="0.35">
      <c r="A57" s="10">
        <v>5</v>
      </c>
      <c r="B57" s="6" t="s">
        <v>330</v>
      </c>
      <c r="C57" s="6" t="s">
        <v>331</v>
      </c>
      <c r="D57" s="6" t="s">
        <v>332</v>
      </c>
      <c r="E57" s="10"/>
      <c r="F57" s="10"/>
      <c r="G57" s="10">
        <v>2</v>
      </c>
    </row>
    <row r="58" spans="1:7" x14ac:dyDescent="0.35">
      <c r="A58" s="8"/>
      <c r="B58" s="9" t="s">
        <v>74</v>
      </c>
      <c r="C58" s="9"/>
      <c r="D58" s="9" t="s">
        <v>333</v>
      </c>
      <c r="E58" s="8">
        <v>19</v>
      </c>
      <c r="F58" s="8">
        <v>9</v>
      </c>
      <c r="G58" s="8">
        <v>12</v>
      </c>
    </row>
    <row r="59" spans="1:7" x14ac:dyDescent="0.35">
      <c r="A59" s="10">
        <v>1</v>
      </c>
      <c r="B59" s="6" t="s">
        <v>178</v>
      </c>
      <c r="C59" s="6" t="s">
        <v>334</v>
      </c>
      <c r="D59" s="6" t="s">
        <v>93</v>
      </c>
      <c r="E59" s="10"/>
      <c r="F59" s="10"/>
      <c r="G59" s="10">
        <v>3</v>
      </c>
    </row>
    <row r="60" spans="1:7" x14ac:dyDescent="0.35">
      <c r="A60" s="10">
        <v>2</v>
      </c>
      <c r="B60" s="6" t="s">
        <v>138</v>
      </c>
      <c r="C60" s="6" t="s">
        <v>311</v>
      </c>
      <c r="D60" s="6" t="s">
        <v>335</v>
      </c>
      <c r="E60" s="10"/>
      <c r="F60" s="10"/>
      <c r="G60" s="10">
        <v>1</v>
      </c>
    </row>
    <row r="61" spans="1:7" x14ac:dyDescent="0.35">
      <c r="A61" s="10">
        <v>3</v>
      </c>
      <c r="B61" s="6" t="s">
        <v>178</v>
      </c>
      <c r="C61" s="6" t="s">
        <v>336</v>
      </c>
      <c r="D61" s="6" t="s">
        <v>186</v>
      </c>
      <c r="E61" s="10"/>
      <c r="F61" s="10"/>
      <c r="G61" s="10">
        <v>3</v>
      </c>
    </row>
    <row r="62" spans="1:7" x14ac:dyDescent="0.35">
      <c r="A62" s="10">
        <v>4</v>
      </c>
      <c r="B62" s="6" t="s">
        <v>140</v>
      </c>
      <c r="C62" s="6" t="s">
        <v>314</v>
      </c>
      <c r="D62" s="6" t="s">
        <v>188</v>
      </c>
      <c r="E62" s="10"/>
      <c r="F62" s="10"/>
      <c r="G62" s="10">
        <v>2</v>
      </c>
    </row>
    <row r="63" spans="1:7" x14ac:dyDescent="0.35">
      <c r="A63" s="10">
        <v>5</v>
      </c>
      <c r="B63" s="6" t="s">
        <v>315</v>
      </c>
      <c r="C63" s="6"/>
      <c r="D63" s="6" t="s">
        <v>94</v>
      </c>
      <c r="E63" s="10"/>
      <c r="F63" s="10"/>
      <c r="G63" s="10">
        <v>3</v>
      </c>
    </row>
    <row r="64" spans="1:7" x14ac:dyDescent="0.35">
      <c r="A64" s="8"/>
      <c r="B64" s="9" t="s">
        <v>74</v>
      </c>
      <c r="C64" s="9"/>
      <c r="D64" s="9" t="s">
        <v>297</v>
      </c>
      <c r="E64" s="8">
        <v>19</v>
      </c>
      <c r="F64" s="8">
        <v>9</v>
      </c>
      <c r="G64" s="8">
        <v>12</v>
      </c>
    </row>
    <row r="65" spans="1:7" x14ac:dyDescent="0.35">
      <c r="A65" s="8"/>
      <c r="B65" s="9" t="s">
        <v>29</v>
      </c>
      <c r="C65" s="9"/>
      <c r="D65" s="9" t="s">
        <v>337</v>
      </c>
      <c r="E65" s="8"/>
      <c r="F65" s="8"/>
      <c r="G65" s="8"/>
    </row>
    <row r="66" spans="1:7" x14ac:dyDescent="0.35">
      <c r="A66" s="11"/>
      <c r="B66" s="12" t="s">
        <v>95</v>
      </c>
      <c r="C66" s="12"/>
      <c r="D66" s="12"/>
      <c r="E66" s="11">
        <v>80</v>
      </c>
      <c r="F66" s="11">
        <v>36</v>
      </c>
      <c r="G66" s="11">
        <v>48</v>
      </c>
    </row>
    <row r="68" spans="1:7" x14ac:dyDescent="0.35">
      <c r="A68" s="74" t="s">
        <v>341</v>
      </c>
      <c r="B68" s="75"/>
      <c r="C68" s="75"/>
      <c r="D68" s="75"/>
      <c r="E68" s="75"/>
      <c r="F68" s="75"/>
      <c r="G68" s="76"/>
    </row>
    <row r="69" spans="1:7" x14ac:dyDescent="0.35">
      <c r="A69" s="7" t="s">
        <v>2</v>
      </c>
      <c r="B69" s="7" t="s">
        <v>24</v>
      </c>
      <c r="C69" s="7" t="s">
        <v>25</v>
      </c>
      <c r="D69" s="7" t="s">
        <v>26</v>
      </c>
      <c r="E69" s="7" t="s">
        <v>27</v>
      </c>
      <c r="F69" s="7" t="s">
        <v>28</v>
      </c>
      <c r="G69" s="7" t="s">
        <v>260</v>
      </c>
    </row>
    <row r="70" spans="1:7" x14ac:dyDescent="0.35">
      <c r="A70" s="8"/>
      <c r="B70" s="9" t="s">
        <v>29</v>
      </c>
      <c r="C70" s="9"/>
      <c r="D70" s="9" t="s">
        <v>32</v>
      </c>
      <c r="E70" s="8"/>
      <c r="F70" s="8"/>
      <c r="G70" s="8"/>
    </row>
    <row r="71" spans="1:7" x14ac:dyDescent="0.35">
      <c r="A71" s="10">
        <v>1</v>
      </c>
      <c r="B71" s="6" t="s">
        <v>294</v>
      </c>
      <c r="C71" s="6" t="s">
        <v>342</v>
      </c>
      <c r="D71" s="6" t="s">
        <v>150</v>
      </c>
      <c r="E71" s="10"/>
      <c r="F71" s="10"/>
      <c r="G71" s="10">
        <v>3</v>
      </c>
    </row>
    <row r="72" spans="1:7" x14ac:dyDescent="0.35">
      <c r="A72" s="10">
        <v>2</v>
      </c>
      <c r="B72" s="6" t="s">
        <v>207</v>
      </c>
      <c r="C72" s="6" t="s">
        <v>343</v>
      </c>
      <c r="D72" s="6" t="s">
        <v>154</v>
      </c>
      <c r="E72" s="10"/>
      <c r="F72" s="10"/>
      <c r="G72" s="10">
        <v>3</v>
      </c>
    </row>
    <row r="73" spans="1:7" x14ac:dyDescent="0.35">
      <c r="A73" s="10">
        <v>3</v>
      </c>
      <c r="B73" s="6" t="s">
        <v>207</v>
      </c>
      <c r="C73" s="6" t="s">
        <v>313</v>
      </c>
      <c r="D73" s="6" t="s">
        <v>43</v>
      </c>
      <c r="E73" s="10"/>
      <c r="F73" s="10"/>
      <c r="G73" s="10">
        <v>3</v>
      </c>
    </row>
    <row r="74" spans="1:7" x14ac:dyDescent="0.35">
      <c r="A74" s="10">
        <v>4</v>
      </c>
      <c r="B74" s="6" t="s">
        <v>344</v>
      </c>
      <c r="C74" s="6" t="s">
        <v>345</v>
      </c>
      <c r="D74" s="6" t="s">
        <v>273</v>
      </c>
      <c r="E74" s="10"/>
      <c r="F74" s="10"/>
      <c r="G74" s="10">
        <v>1</v>
      </c>
    </row>
    <row r="75" spans="1:7" x14ac:dyDescent="0.35">
      <c r="A75" s="10">
        <v>5</v>
      </c>
      <c r="B75" s="6" t="s">
        <v>247</v>
      </c>
      <c r="C75" s="6" t="s">
        <v>334</v>
      </c>
      <c r="D75" s="6" t="s">
        <v>199</v>
      </c>
      <c r="E75" s="10"/>
      <c r="F75" s="10"/>
      <c r="G75" s="10">
        <v>2</v>
      </c>
    </row>
    <row r="76" spans="1:7" x14ac:dyDescent="0.35">
      <c r="A76" s="8"/>
      <c r="B76" s="9" t="s">
        <v>74</v>
      </c>
      <c r="C76" s="9"/>
      <c r="D76" s="9" t="s">
        <v>346</v>
      </c>
      <c r="E76" s="8">
        <v>20</v>
      </c>
      <c r="F76" s="8">
        <v>9</v>
      </c>
      <c r="G76" s="8">
        <v>12</v>
      </c>
    </row>
    <row r="77" spans="1:7" x14ac:dyDescent="0.35">
      <c r="A77" s="10">
        <v>1</v>
      </c>
      <c r="B77" s="6" t="s">
        <v>347</v>
      </c>
      <c r="C77" s="6" t="s">
        <v>348</v>
      </c>
      <c r="D77" s="6" t="s">
        <v>298</v>
      </c>
      <c r="E77" s="10"/>
      <c r="F77" s="10"/>
      <c r="G77" s="10">
        <v>4</v>
      </c>
    </row>
    <row r="78" spans="1:7" x14ac:dyDescent="0.35">
      <c r="A78" s="10">
        <v>2</v>
      </c>
      <c r="B78" s="6" t="s">
        <v>278</v>
      </c>
      <c r="C78" s="6" t="s">
        <v>349</v>
      </c>
      <c r="D78" s="6" t="s">
        <v>305</v>
      </c>
      <c r="E78" s="10"/>
      <c r="F78" s="10"/>
      <c r="G78" s="10">
        <v>2</v>
      </c>
    </row>
    <row r="79" spans="1:7" x14ac:dyDescent="0.35">
      <c r="A79" s="10">
        <v>3</v>
      </c>
      <c r="B79" s="6" t="s">
        <v>350</v>
      </c>
      <c r="C79" s="6" t="s">
        <v>351</v>
      </c>
      <c r="D79" s="6" t="s">
        <v>204</v>
      </c>
      <c r="E79" s="10"/>
      <c r="F79" s="10"/>
      <c r="G79" s="10">
        <v>1</v>
      </c>
    </row>
    <row r="80" spans="1:7" x14ac:dyDescent="0.35">
      <c r="A80" s="10">
        <v>4</v>
      </c>
      <c r="B80" s="6" t="s">
        <v>231</v>
      </c>
      <c r="C80" s="6" t="s">
        <v>352</v>
      </c>
      <c r="D80" s="6" t="s">
        <v>121</v>
      </c>
      <c r="E80" s="10"/>
      <c r="F80" s="10"/>
      <c r="G80" s="10">
        <v>2</v>
      </c>
    </row>
    <row r="81" spans="1:7" x14ac:dyDescent="0.35">
      <c r="A81" s="10">
        <v>5</v>
      </c>
      <c r="B81" s="6" t="s">
        <v>209</v>
      </c>
      <c r="C81" s="6" t="s">
        <v>274</v>
      </c>
      <c r="D81" s="6" t="s">
        <v>168</v>
      </c>
      <c r="E81" s="10"/>
      <c r="F81" s="10"/>
      <c r="G81" s="10">
        <v>2</v>
      </c>
    </row>
    <row r="82" spans="1:7" x14ac:dyDescent="0.35">
      <c r="A82" s="10">
        <v>6</v>
      </c>
      <c r="B82" s="6" t="s">
        <v>209</v>
      </c>
      <c r="C82" s="6" t="s">
        <v>353</v>
      </c>
      <c r="D82" s="6" t="s">
        <v>77</v>
      </c>
      <c r="E82" s="10"/>
      <c r="F82" s="10"/>
      <c r="G82" s="10">
        <v>1</v>
      </c>
    </row>
    <row r="83" spans="1:7" x14ac:dyDescent="0.35">
      <c r="A83" s="8"/>
      <c r="B83" s="9" t="s">
        <v>74</v>
      </c>
      <c r="C83" s="9"/>
      <c r="D83" s="9" t="s">
        <v>354</v>
      </c>
      <c r="E83" s="8">
        <v>28</v>
      </c>
      <c r="F83" s="8">
        <v>9</v>
      </c>
      <c r="G83" s="8">
        <v>12</v>
      </c>
    </row>
    <row r="84" spans="1:7" x14ac:dyDescent="0.35">
      <c r="A84" s="10">
        <v>1</v>
      </c>
      <c r="B84" s="6" t="s">
        <v>207</v>
      </c>
      <c r="C84" s="6" t="s">
        <v>355</v>
      </c>
      <c r="D84" s="6" t="s">
        <v>329</v>
      </c>
      <c r="E84" s="10"/>
      <c r="F84" s="10"/>
      <c r="G84" s="10">
        <v>2</v>
      </c>
    </row>
    <row r="85" spans="1:7" x14ac:dyDescent="0.35">
      <c r="A85" s="10">
        <v>2</v>
      </c>
      <c r="B85" s="6" t="s">
        <v>198</v>
      </c>
      <c r="C85" s="6" t="s">
        <v>277</v>
      </c>
      <c r="D85" s="6" t="s">
        <v>139</v>
      </c>
      <c r="E85" s="10"/>
      <c r="F85" s="10"/>
      <c r="G85" s="10">
        <v>2</v>
      </c>
    </row>
    <row r="86" spans="1:7" x14ac:dyDescent="0.35">
      <c r="A86" s="10">
        <v>3</v>
      </c>
      <c r="B86" s="6" t="s">
        <v>356</v>
      </c>
      <c r="C86" s="6"/>
      <c r="D86" s="6" t="s">
        <v>257</v>
      </c>
      <c r="E86" s="10"/>
      <c r="F86" s="10"/>
      <c r="G86" s="10">
        <v>2</v>
      </c>
    </row>
    <row r="87" spans="1:7" x14ac:dyDescent="0.35">
      <c r="A87" s="10">
        <v>4</v>
      </c>
      <c r="B87" s="6" t="s">
        <v>357</v>
      </c>
      <c r="C87" s="6"/>
      <c r="D87" s="6" t="s">
        <v>143</v>
      </c>
      <c r="E87" s="10"/>
      <c r="F87" s="10"/>
      <c r="G87" s="10">
        <v>4</v>
      </c>
    </row>
    <row r="88" spans="1:7" x14ac:dyDescent="0.35">
      <c r="A88" s="10">
        <v>5</v>
      </c>
      <c r="B88" s="6" t="s">
        <v>31</v>
      </c>
      <c r="C88" s="6" t="s">
        <v>358</v>
      </c>
      <c r="D88" s="6" t="s">
        <v>188</v>
      </c>
      <c r="E88" s="10"/>
      <c r="F88" s="10"/>
      <c r="G88" s="10">
        <v>2</v>
      </c>
    </row>
    <row r="89" spans="1:7" x14ac:dyDescent="0.35">
      <c r="A89" s="8"/>
      <c r="B89" s="9" t="s">
        <v>74</v>
      </c>
      <c r="C89" s="9"/>
      <c r="D89" s="9" t="s">
        <v>359</v>
      </c>
      <c r="E89" s="8">
        <v>30</v>
      </c>
      <c r="F89" s="8">
        <v>9</v>
      </c>
      <c r="G89" s="8">
        <v>12</v>
      </c>
    </row>
    <row r="90" spans="1:7" x14ac:dyDescent="0.35">
      <c r="A90" s="8"/>
      <c r="B90" s="9" t="s">
        <v>29</v>
      </c>
      <c r="C90" s="9"/>
      <c r="D90" s="9" t="s">
        <v>337</v>
      </c>
      <c r="E90" s="8"/>
      <c r="F90" s="8"/>
      <c r="G90" s="8"/>
    </row>
    <row r="91" spans="1:7" x14ac:dyDescent="0.35">
      <c r="A91" s="11"/>
      <c r="B91" s="12" t="s">
        <v>95</v>
      </c>
      <c r="C91" s="12"/>
      <c r="D91" s="12"/>
      <c r="E91" s="11">
        <v>78</v>
      </c>
      <c r="F91" s="11">
        <v>27</v>
      </c>
      <c r="G91" s="11">
        <v>36</v>
      </c>
    </row>
    <row r="93" spans="1:7" x14ac:dyDescent="0.35">
      <c r="A93" s="74" t="s">
        <v>360</v>
      </c>
      <c r="B93" s="75"/>
      <c r="C93" s="75"/>
      <c r="D93" s="75"/>
      <c r="E93" s="75"/>
      <c r="F93" s="75"/>
      <c r="G93" s="76"/>
    </row>
    <row r="94" spans="1:7" x14ac:dyDescent="0.35">
      <c r="A94" s="7" t="s">
        <v>2</v>
      </c>
      <c r="B94" s="7" t="s">
        <v>24</v>
      </c>
      <c r="C94" s="7" t="s">
        <v>25</v>
      </c>
      <c r="D94" s="7" t="s">
        <v>26</v>
      </c>
      <c r="E94" s="7" t="s">
        <v>27</v>
      </c>
      <c r="F94" s="7" t="s">
        <v>28</v>
      </c>
      <c r="G94" s="7" t="s">
        <v>260</v>
      </c>
    </row>
    <row r="95" spans="1:7" x14ac:dyDescent="0.35">
      <c r="A95" s="8"/>
      <c r="B95" s="9" t="s">
        <v>29</v>
      </c>
      <c r="C95" s="9"/>
      <c r="D95" s="9" t="s">
        <v>32</v>
      </c>
      <c r="E95" s="8"/>
      <c r="F95" s="8"/>
      <c r="G95" s="8"/>
    </row>
    <row r="96" spans="1:7" x14ac:dyDescent="0.35">
      <c r="A96" s="10">
        <v>1</v>
      </c>
      <c r="B96" s="6" t="s">
        <v>294</v>
      </c>
      <c r="C96" s="6" t="s">
        <v>342</v>
      </c>
      <c r="D96" s="6" t="s">
        <v>150</v>
      </c>
      <c r="E96" s="10"/>
      <c r="F96" s="10"/>
      <c r="G96" s="10">
        <v>3</v>
      </c>
    </row>
    <row r="97" spans="1:7" x14ac:dyDescent="0.35">
      <c r="A97" s="10">
        <v>2</v>
      </c>
      <c r="B97" s="6" t="s">
        <v>207</v>
      </c>
      <c r="C97" s="6" t="s">
        <v>343</v>
      </c>
      <c r="D97" s="6" t="s">
        <v>154</v>
      </c>
      <c r="E97" s="10"/>
      <c r="F97" s="10"/>
      <c r="G97" s="10">
        <v>3</v>
      </c>
    </row>
    <row r="98" spans="1:7" x14ac:dyDescent="0.35">
      <c r="A98" s="10">
        <v>3</v>
      </c>
      <c r="B98" s="6" t="s">
        <v>207</v>
      </c>
      <c r="C98" s="6" t="s">
        <v>313</v>
      </c>
      <c r="D98" s="6" t="s">
        <v>43</v>
      </c>
      <c r="E98" s="10"/>
      <c r="F98" s="10"/>
      <c r="G98" s="10">
        <v>2</v>
      </c>
    </row>
    <row r="99" spans="1:7" x14ac:dyDescent="0.35">
      <c r="A99" s="10">
        <v>4</v>
      </c>
      <c r="B99" s="6" t="s">
        <v>344</v>
      </c>
      <c r="C99" s="6" t="s">
        <v>345</v>
      </c>
      <c r="D99" s="6" t="s">
        <v>273</v>
      </c>
      <c r="E99" s="10"/>
      <c r="F99" s="10"/>
      <c r="G99" s="10">
        <v>1</v>
      </c>
    </row>
    <row r="100" spans="1:7" x14ac:dyDescent="0.35">
      <c r="A100" s="10">
        <v>5</v>
      </c>
      <c r="B100" s="6" t="s">
        <v>247</v>
      </c>
      <c r="C100" s="6" t="s">
        <v>334</v>
      </c>
      <c r="D100" s="6" t="s">
        <v>199</v>
      </c>
      <c r="E100" s="10"/>
      <c r="F100" s="10"/>
      <c r="G100" s="10">
        <v>3</v>
      </c>
    </row>
    <row r="101" spans="1:7" x14ac:dyDescent="0.35">
      <c r="A101" s="8"/>
      <c r="B101" s="9" t="s">
        <v>74</v>
      </c>
      <c r="C101" s="9"/>
      <c r="D101" s="9" t="s">
        <v>346</v>
      </c>
      <c r="E101" s="8">
        <v>22</v>
      </c>
      <c r="F101" s="8">
        <v>9</v>
      </c>
      <c r="G101" s="8">
        <v>12</v>
      </c>
    </row>
    <row r="102" spans="1:7" x14ac:dyDescent="0.35">
      <c r="A102" s="10">
        <v>1</v>
      </c>
      <c r="B102" s="6" t="s">
        <v>347</v>
      </c>
      <c r="C102" s="6" t="s">
        <v>348</v>
      </c>
      <c r="D102" s="6" t="s">
        <v>298</v>
      </c>
      <c r="E102" s="10"/>
      <c r="F102" s="10"/>
      <c r="G102" s="10">
        <v>3</v>
      </c>
    </row>
    <row r="103" spans="1:7" x14ac:dyDescent="0.35">
      <c r="A103" s="10">
        <v>2</v>
      </c>
      <c r="B103" s="6" t="s">
        <v>278</v>
      </c>
      <c r="C103" s="6" t="s">
        <v>349</v>
      </c>
      <c r="D103" s="6" t="s">
        <v>305</v>
      </c>
      <c r="E103" s="10"/>
      <c r="F103" s="10"/>
      <c r="G103" s="10">
        <v>2</v>
      </c>
    </row>
    <row r="104" spans="1:7" x14ac:dyDescent="0.35">
      <c r="A104" s="10">
        <v>3</v>
      </c>
      <c r="B104" s="6" t="s">
        <v>350</v>
      </c>
      <c r="C104" s="6" t="s">
        <v>351</v>
      </c>
      <c r="D104" s="6" t="s">
        <v>204</v>
      </c>
      <c r="E104" s="10"/>
      <c r="F104" s="10"/>
      <c r="G104" s="10">
        <v>2</v>
      </c>
    </row>
    <row r="105" spans="1:7" x14ac:dyDescent="0.35">
      <c r="A105" s="10">
        <v>4</v>
      </c>
      <c r="B105" s="6" t="s">
        <v>231</v>
      </c>
      <c r="C105" s="6" t="s">
        <v>352</v>
      </c>
      <c r="D105" s="6" t="s">
        <v>121</v>
      </c>
      <c r="E105" s="10"/>
      <c r="F105" s="10"/>
      <c r="G105" s="10">
        <v>2</v>
      </c>
    </row>
    <row r="106" spans="1:7" x14ac:dyDescent="0.35">
      <c r="A106" s="10">
        <v>5</v>
      </c>
      <c r="B106" s="6" t="s">
        <v>209</v>
      </c>
      <c r="C106" s="6" t="s">
        <v>274</v>
      </c>
      <c r="D106" s="6" t="s">
        <v>168</v>
      </c>
      <c r="E106" s="10"/>
      <c r="F106" s="10"/>
      <c r="G106" s="10">
        <v>2</v>
      </c>
    </row>
    <row r="107" spans="1:7" x14ac:dyDescent="0.35">
      <c r="A107" s="10">
        <v>6</v>
      </c>
      <c r="B107" s="6" t="s">
        <v>209</v>
      </c>
      <c r="C107" s="6" t="s">
        <v>353</v>
      </c>
      <c r="D107" s="6" t="s">
        <v>77</v>
      </c>
      <c r="E107" s="10"/>
      <c r="F107" s="10"/>
      <c r="G107" s="10">
        <v>1</v>
      </c>
    </row>
    <row r="108" spans="1:7" x14ac:dyDescent="0.35">
      <c r="A108" s="8"/>
      <c r="B108" s="9" t="s">
        <v>74</v>
      </c>
      <c r="C108" s="9"/>
      <c r="D108" s="9" t="s">
        <v>354</v>
      </c>
      <c r="E108" s="8">
        <v>27</v>
      </c>
      <c r="F108" s="8">
        <v>9</v>
      </c>
      <c r="G108" s="8">
        <v>12</v>
      </c>
    </row>
    <row r="109" spans="1:7" x14ac:dyDescent="0.35">
      <c r="A109" s="10">
        <v>1</v>
      </c>
      <c r="B109" s="6" t="s">
        <v>207</v>
      </c>
      <c r="C109" s="6" t="s">
        <v>355</v>
      </c>
      <c r="D109" s="6" t="s">
        <v>329</v>
      </c>
      <c r="E109" s="10"/>
      <c r="F109" s="10"/>
      <c r="G109" s="10">
        <v>2</v>
      </c>
    </row>
    <row r="110" spans="1:7" x14ac:dyDescent="0.35">
      <c r="A110" s="10">
        <v>2</v>
      </c>
      <c r="B110" s="6" t="s">
        <v>198</v>
      </c>
      <c r="C110" s="6" t="s">
        <v>277</v>
      </c>
      <c r="D110" s="6" t="s">
        <v>139</v>
      </c>
      <c r="E110" s="10"/>
      <c r="F110" s="10"/>
      <c r="G110" s="10">
        <v>2</v>
      </c>
    </row>
    <row r="111" spans="1:7" x14ac:dyDescent="0.35">
      <c r="A111" s="10">
        <v>3</v>
      </c>
      <c r="B111" s="6" t="s">
        <v>356</v>
      </c>
      <c r="C111" s="6"/>
      <c r="D111" s="6" t="s">
        <v>257</v>
      </c>
      <c r="E111" s="10"/>
      <c r="F111" s="10"/>
      <c r="G111" s="10">
        <v>2</v>
      </c>
    </row>
    <row r="112" spans="1:7" x14ac:dyDescent="0.35">
      <c r="A112" s="10">
        <v>4</v>
      </c>
      <c r="B112" s="6" t="s">
        <v>357</v>
      </c>
      <c r="C112" s="6"/>
      <c r="D112" s="6" t="s">
        <v>143</v>
      </c>
      <c r="E112" s="10"/>
      <c r="F112" s="10"/>
      <c r="G112" s="10">
        <v>3</v>
      </c>
    </row>
    <row r="113" spans="1:7" x14ac:dyDescent="0.35">
      <c r="A113" s="10">
        <v>5</v>
      </c>
      <c r="B113" s="6" t="s">
        <v>31</v>
      </c>
      <c r="C113" s="6" t="s">
        <v>358</v>
      </c>
      <c r="D113" s="6" t="s">
        <v>188</v>
      </c>
      <c r="E113" s="10"/>
      <c r="F113" s="10"/>
      <c r="G113" s="10">
        <v>3</v>
      </c>
    </row>
    <row r="114" spans="1:7" x14ac:dyDescent="0.35">
      <c r="A114" s="8"/>
      <c r="B114" s="9" t="s">
        <v>74</v>
      </c>
      <c r="C114" s="9"/>
      <c r="D114" s="9" t="s">
        <v>359</v>
      </c>
      <c r="E114" s="8">
        <v>29</v>
      </c>
      <c r="F114" s="8">
        <v>9</v>
      </c>
      <c r="G114" s="8">
        <v>12</v>
      </c>
    </row>
    <row r="115" spans="1:7" x14ac:dyDescent="0.35">
      <c r="A115" s="8"/>
      <c r="B115" s="9" t="s">
        <v>29</v>
      </c>
      <c r="C115" s="9"/>
      <c r="D115" s="9" t="s">
        <v>337</v>
      </c>
      <c r="E115" s="8"/>
      <c r="F115" s="8"/>
      <c r="G115" s="8"/>
    </row>
    <row r="116" spans="1:7" x14ac:dyDescent="0.35">
      <c r="A116" s="11"/>
      <c r="B116" s="12" t="s">
        <v>95</v>
      </c>
      <c r="C116" s="12"/>
      <c r="D116" s="12"/>
      <c r="E116" s="11">
        <v>78</v>
      </c>
      <c r="F116" s="11">
        <v>27</v>
      </c>
      <c r="G116" s="11">
        <v>36</v>
      </c>
    </row>
    <row r="118" spans="1:7" x14ac:dyDescent="0.35">
      <c r="A118" s="74" t="s">
        <v>361</v>
      </c>
      <c r="B118" s="75"/>
      <c r="C118" s="75"/>
      <c r="D118" s="75"/>
      <c r="E118" s="75"/>
      <c r="F118" s="75"/>
      <c r="G118" s="76"/>
    </row>
    <row r="119" spans="1:7" x14ac:dyDescent="0.35">
      <c r="A119" s="7" t="s">
        <v>2</v>
      </c>
      <c r="B119" s="7" t="s">
        <v>24</v>
      </c>
      <c r="C119" s="7" t="s">
        <v>25</v>
      </c>
      <c r="D119" s="7" t="s">
        <v>26</v>
      </c>
      <c r="E119" s="7" t="s">
        <v>27</v>
      </c>
      <c r="F119" s="7" t="s">
        <v>28</v>
      </c>
      <c r="G119" s="7" t="s">
        <v>260</v>
      </c>
    </row>
    <row r="120" spans="1:7" x14ac:dyDescent="0.35">
      <c r="A120" s="8"/>
      <c r="B120" s="9" t="s">
        <v>29</v>
      </c>
      <c r="C120" s="9"/>
      <c r="D120" s="9" t="s">
        <v>32</v>
      </c>
      <c r="E120" s="8"/>
      <c r="F120" s="8"/>
      <c r="G120" s="8"/>
    </row>
    <row r="121" spans="1:7" x14ac:dyDescent="0.35">
      <c r="A121" s="10">
        <v>1</v>
      </c>
      <c r="B121" s="6" t="s">
        <v>362</v>
      </c>
      <c r="C121" s="6" t="s">
        <v>363</v>
      </c>
      <c r="D121" s="6" t="s">
        <v>150</v>
      </c>
      <c r="E121" s="10"/>
      <c r="F121" s="10"/>
      <c r="G121" s="10">
        <v>3</v>
      </c>
    </row>
    <row r="122" spans="1:7" x14ac:dyDescent="0.35">
      <c r="A122" s="10">
        <v>2</v>
      </c>
      <c r="B122" s="6" t="s">
        <v>364</v>
      </c>
      <c r="C122" s="6" t="s">
        <v>365</v>
      </c>
      <c r="D122" s="6" t="s">
        <v>154</v>
      </c>
      <c r="E122" s="10"/>
      <c r="F122" s="10"/>
      <c r="G122" s="10">
        <v>1</v>
      </c>
    </row>
    <row r="123" spans="1:7" x14ac:dyDescent="0.35">
      <c r="A123" s="10">
        <v>3</v>
      </c>
      <c r="B123" s="6" t="s">
        <v>366</v>
      </c>
      <c r="C123" s="6" t="s">
        <v>367</v>
      </c>
      <c r="D123" s="6" t="s">
        <v>368</v>
      </c>
      <c r="E123" s="10"/>
      <c r="F123" s="10"/>
      <c r="G123" s="10">
        <v>2</v>
      </c>
    </row>
    <row r="124" spans="1:7" x14ac:dyDescent="0.35">
      <c r="A124" s="10">
        <v>4</v>
      </c>
      <c r="B124" s="6" t="s">
        <v>286</v>
      </c>
      <c r="C124" s="6" t="s">
        <v>369</v>
      </c>
      <c r="D124" s="6" t="s">
        <v>196</v>
      </c>
      <c r="E124" s="10"/>
      <c r="F124" s="10"/>
      <c r="G124" s="10">
        <v>4</v>
      </c>
    </row>
    <row r="125" spans="1:7" x14ac:dyDescent="0.35">
      <c r="A125" s="10">
        <v>5</v>
      </c>
      <c r="B125" s="6" t="s">
        <v>370</v>
      </c>
      <c r="C125" s="6" t="s">
        <v>371</v>
      </c>
      <c r="D125" s="6" t="s">
        <v>53</v>
      </c>
      <c r="E125" s="10"/>
      <c r="F125" s="10"/>
      <c r="G125" s="10">
        <v>2</v>
      </c>
    </row>
    <row r="126" spans="1:7" x14ac:dyDescent="0.35">
      <c r="A126" s="8"/>
      <c r="B126" s="9" t="s">
        <v>74</v>
      </c>
      <c r="C126" s="9"/>
      <c r="D126" s="9" t="s">
        <v>109</v>
      </c>
      <c r="E126" s="8">
        <v>19</v>
      </c>
      <c r="F126" s="8">
        <v>9</v>
      </c>
      <c r="G126" s="8">
        <v>12</v>
      </c>
    </row>
    <row r="127" spans="1:7" x14ac:dyDescent="0.35">
      <c r="A127" s="10">
        <v>1</v>
      </c>
      <c r="B127" s="6" t="s">
        <v>78</v>
      </c>
      <c r="C127" s="6" t="s">
        <v>372</v>
      </c>
      <c r="D127" s="6" t="s">
        <v>59</v>
      </c>
      <c r="E127" s="10"/>
      <c r="F127" s="10"/>
      <c r="G127" s="10">
        <v>1</v>
      </c>
    </row>
    <row r="128" spans="1:7" x14ac:dyDescent="0.35">
      <c r="A128" s="10">
        <v>2</v>
      </c>
      <c r="B128" s="6" t="s">
        <v>209</v>
      </c>
      <c r="C128" s="6" t="s">
        <v>373</v>
      </c>
      <c r="D128" s="6" t="s">
        <v>61</v>
      </c>
      <c r="E128" s="10"/>
      <c r="F128" s="10"/>
      <c r="G128" s="10">
        <v>3</v>
      </c>
    </row>
    <row r="129" spans="1:7" x14ac:dyDescent="0.35">
      <c r="A129" s="10">
        <v>4</v>
      </c>
      <c r="B129" s="6" t="s">
        <v>138</v>
      </c>
      <c r="C129" s="6" t="s">
        <v>374</v>
      </c>
      <c r="D129" s="6" t="s">
        <v>63</v>
      </c>
      <c r="E129" s="10"/>
      <c r="F129" s="10"/>
      <c r="G129" s="10">
        <v>1</v>
      </c>
    </row>
    <row r="130" spans="1:7" x14ac:dyDescent="0.35">
      <c r="A130" s="10">
        <v>3</v>
      </c>
      <c r="B130" s="6" t="s">
        <v>209</v>
      </c>
      <c r="C130" s="6" t="s">
        <v>375</v>
      </c>
      <c r="D130" s="6" t="s">
        <v>65</v>
      </c>
      <c r="E130" s="10"/>
      <c r="F130" s="10"/>
      <c r="G130" s="10">
        <v>1</v>
      </c>
    </row>
    <row r="131" spans="1:7" x14ac:dyDescent="0.35">
      <c r="A131" s="10">
        <v>5</v>
      </c>
      <c r="B131" s="6" t="s">
        <v>282</v>
      </c>
      <c r="C131" s="6" t="s">
        <v>376</v>
      </c>
      <c r="D131" s="6" t="s">
        <v>244</v>
      </c>
      <c r="E131" s="10"/>
      <c r="F131" s="10"/>
      <c r="G131" s="10">
        <v>3</v>
      </c>
    </row>
    <row r="132" spans="1:7" x14ac:dyDescent="0.35">
      <c r="A132" s="10">
        <v>6</v>
      </c>
      <c r="B132" s="6" t="s">
        <v>209</v>
      </c>
      <c r="C132" s="6" t="s">
        <v>377</v>
      </c>
      <c r="D132" s="6" t="s">
        <v>302</v>
      </c>
      <c r="E132" s="10"/>
      <c r="F132" s="10"/>
      <c r="G132" s="10">
        <v>2</v>
      </c>
    </row>
    <row r="133" spans="1:7" x14ac:dyDescent="0.35">
      <c r="A133" s="10">
        <v>7</v>
      </c>
      <c r="B133" s="6" t="s">
        <v>209</v>
      </c>
      <c r="C133" s="6" t="s">
        <v>378</v>
      </c>
      <c r="D133" s="6" t="s">
        <v>246</v>
      </c>
      <c r="E133" s="10"/>
      <c r="F133" s="10"/>
      <c r="G133" s="10">
        <v>1</v>
      </c>
    </row>
    <row r="134" spans="1:7" x14ac:dyDescent="0.35">
      <c r="A134" s="8"/>
      <c r="B134" s="9" t="s">
        <v>74</v>
      </c>
      <c r="C134" s="9"/>
      <c r="D134" s="9" t="s">
        <v>212</v>
      </c>
      <c r="E134" s="8">
        <v>19</v>
      </c>
      <c r="F134" s="8">
        <v>9</v>
      </c>
      <c r="G134" s="8">
        <v>12</v>
      </c>
    </row>
    <row r="135" spans="1:7" x14ac:dyDescent="0.35">
      <c r="A135" s="10">
        <v>1</v>
      </c>
      <c r="B135" s="6" t="s">
        <v>379</v>
      </c>
      <c r="C135" s="6" t="s">
        <v>380</v>
      </c>
      <c r="D135" s="6" t="s">
        <v>354</v>
      </c>
      <c r="E135" s="10"/>
      <c r="F135" s="10"/>
      <c r="G135" s="10">
        <v>1</v>
      </c>
    </row>
    <row r="136" spans="1:7" x14ac:dyDescent="0.35">
      <c r="A136" s="10">
        <v>2</v>
      </c>
      <c r="B136" s="6" t="s">
        <v>191</v>
      </c>
      <c r="C136" s="6" t="s">
        <v>351</v>
      </c>
      <c r="D136" s="6" t="s">
        <v>85</v>
      </c>
      <c r="E136" s="10"/>
      <c r="F136" s="10"/>
      <c r="G136" s="10">
        <v>1</v>
      </c>
    </row>
    <row r="137" spans="1:7" x14ac:dyDescent="0.35">
      <c r="A137" s="10">
        <v>3</v>
      </c>
      <c r="B137" s="6" t="s">
        <v>191</v>
      </c>
      <c r="C137" s="6" t="s">
        <v>381</v>
      </c>
      <c r="D137" s="6" t="s">
        <v>87</v>
      </c>
      <c r="E137" s="10"/>
      <c r="F137" s="10"/>
      <c r="G137" s="10">
        <v>1</v>
      </c>
    </row>
    <row r="138" spans="1:7" x14ac:dyDescent="0.35">
      <c r="A138" s="10">
        <v>4</v>
      </c>
      <c r="B138" s="6" t="s">
        <v>178</v>
      </c>
      <c r="C138" s="6" t="s">
        <v>382</v>
      </c>
      <c r="D138" s="6" t="s">
        <v>179</v>
      </c>
      <c r="E138" s="10"/>
      <c r="F138" s="10"/>
      <c r="G138" s="10">
        <v>2</v>
      </c>
    </row>
    <row r="139" spans="1:7" x14ac:dyDescent="0.35">
      <c r="A139" s="10">
        <v>5</v>
      </c>
      <c r="B139" s="6" t="s">
        <v>214</v>
      </c>
      <c r="C139" s="6" t="s">
        <v>383</v>
      </c>
      <c r="D139" s="6" t="s">
        <v>333</v>
      </c>
      <c r="E139" s="10"/>
      <c r="F139" s="10"/>
      <c r="G139" s="10">
        <v>1</v>
      </c>
    </row>
    <row r="140" spans="1:7" x14ac:dyDescent="0.35">
      <c r="A140" s="10">
        <v>6</v>
      </c>
      <c r="B140" s="6" t="s">
        <v>214</v>
      </c>
      <c r="C140" s="6" t="s">
        <v>384</v>
      </c>
      <c r="D140" s="6" t="s">
        <v>183</v>
      </c>
      <c r="E140" s="10"/>
      <c r="F140" s="10"/>
      <c r="G140" s="10">
        <v>1</v>
      </c>
    </row>
    <row r="141" spans="1:7" x14ac:dyDescent="0.35">
      <c r="A141" s="10">
        <v>7</v>
      </c>
      <c r="B141" s="6" t="s">
        <v>214</v>
      </c>
      <c r="C141" s="6" t="s">
        <v>385</v>
      </c>
      <c r="D141" s="6" t="s">
        <v>93</v>
      </c>
      <c r="E141" s="10"/>
      <c r="F141" s="10"/>
      <c r="G141" s="10">
        <v>1</v>
      </c>
    </row>
    <row r="142" spans="1:7" x14ac:dyDescent="0.35">
      <c r="A142" s="10">
        <v>8</v>
      </c>
      <c r="B142" s="6" t="s">
        <v>110</v>
      </c>
      <c r="C142" s="6" t="s">
        <v>386</v>
      </c>
      <c r="D142" s="6" t="s">
        <v>143</v>
      </c>
      <c r="E142" s="10"/>
      <c r="F142" s="10"/>
      <c r="G142" s="10">
        <v>2</v>
      </c>
    </row>
    <row r="143" spans="1:7" x14ac:dyDescent="0.35">
      <c r="A143" s="10">
        <v>9</v>
      </c>
      <c r="B143" s="6" t="s">
        <v>387</v>
      </c>
      <c r="C143" s="6" t="s">
        <v>388</v>
      </c>
      <c r="D143" s="6" t="s">
        <v>188</v>
      </c>
      <c r="E143" s="10"/>
      <c r="F143" s="10"/>
      <c r="G143" s="10">
        <v>2</v>
      </c>
    </row>
    <row r="144" spans="1:7" x14ac:dyDescent="0.35">
      <c r="A144" s="8"/>
      <c r="B144" s="9" t="s">
        <v>74</v>
      </c>
      <c r="C144" s="9"/>
      <c r="D144" s="9" t="s">
        <v>94</v>
      </c>
      <c r="E144" s="8">
        <v>18</v>
      </c>
      <c r="F144" s="8">
        <v>9</v>
      </c>
      <c r="G144" s="8">
        <v>12</v>
      </c>
    </row>
    <row r="145" spans="1:7" x14ac:dyDescent="0.35">
      <c r="A145" s="8"/>
      <c r="B145" s="9" t="s">
        <v>29</v>
      </c>
      <c r="C145" s="9"/>
      <c r="D145" s="9" t="s">
        <v>297</v>
      </c>
      <c r="E145" s="8"/>
      <c r="F145" s="8"/>
      <c r="G145" s="8"/>
    </row>
    <row r="146" spans="1:7" x14ac:dyDescent="0.35">
      <c r="A146" s="11"/>
      <c r="B146" s="12" t="s">
        <v>95</v>
      </c>
      <c r="C146" s="12"/>
      <c r="D146" s="12"/>
      <c r="E146" s="11">
        <v>78</v>
      </c>
      <c r="F146" s="11">
        <v>27</v>
      </c>
      <c r="G146" s="11">
        <v>36</v>
      </c>
    </row>
  </sheetData>
  <mergeCells count="7">
    <mergeCell ref="A93:G93"/>
    <mergeCell ref="A36:G36"/>
    <mergeCell ref="A1:G1"/>
    <mergeCell ref="A118:G118"/>
    <mergeCell ref="A4:G4"/>
    <mergeCell ref="A2:G2"/>
    <mergeCell ref="A68:G6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"/>
  <sheetViews>
    <sheetView showGridLines="0" workbookViewId="0">
      <pane ySplit="3" topLeftCell="A4" activePane="bottomLeft" state="frozen"/>
      <selection activeCell="H25" sqref="H25:H26"/>
      <selection pane="bottomLeft" activeCell="H25" sqref="H25:H26"/>
    </sheetView>
  </sheetViews>
  <sheetFormatPr defaultRowHeight="14.5" x14ac:dyDescent="0.35"/>
  <cols>
    <col min="1" max="1" width="5" customWidth="1"/>
    <col min="2" max="2" width="30" customWidth="1"/>
    <col min="3" max="3" width="24" customWidth="1"/>
    <col min="4" max="4" width="12" customWidth="1"/>
    <col min="5" max="6" width="7" customWidth="1"/>
  </cols>
  <sheetData>
    <row r="1" spans="1:6" ht="20" customHeight="1" x14ac:dyDescent="0.35">
      <c r="A1" s="79" t="s">
        <v>12</v>
      </c>
      <c r="B1" s="72"/>
      <c r="C1" s="72"/>
      <c r="D1" s="72"/>
      <c r="E1" s="72"/>
      <c r="F1" s="72"/>
    </row>
    <row r="3" spans="1:6" x14ac:dyDescent="0.35">
      <c r="A3" s="74" t="s">
        <v>389</v>
      </c>
      <c r="B3" s="75"/>
      <c r="C3" s="75"/>
      <c r="D3" s="75"/>
      <c r="E3" s="75"/>
      <c r="F3" s="76"/>
    </row>
    <row r="4" spans="1:6" x14ac:dyDescent="0.35">
      <c r="A4" s="7" t="s">
        <v>2</v>
      </c>
      <c r="B4" s="7" t="s">
        <v>24</v>
      </c>
      <c r="C4" s="7" t="s">
        <v>25</v>
      </c>
      <c r="D4" s="7" t="s">
        <v>390</v>
      </c>
      <c r="E4" s="7" t="s">
        <v>28</v>
      </c>
      <c r="F4" s="7" t="s">
        <v>27</v>
      </c>
    </row>
    <row r="5" spans="1:6" x14ac:dyDescent="0.35">
      <c r="A5" s="10">
        <v>1</v>
      </c>
      <c r="B5" s="6" t="s">
        <v>278</v>
      </c>
      <c r="C5" s="6" t="s">
        <v>391</v>
      </c>
      <c r="D5" s="6" t="s">
        <v>23</v>
      </c>
      <c r="E5" s="10">
        <v>12</v>
      </c>
      <c r="F5" s="10">
        <v>28</v>
      </c>
    </row>
    <row r="6" spans="1:6" x14ac:dyDescent="0.35">
      <c r="A6" s="10">
        <v>2</v>
      </c>
      <c r="B6" s="6" t="s">
        <v>294</v>
      </c>
      <c r="C6" s="6" t="s">
        <v>392</v>
      </c>
      <c r="D6" s="6" t="s">
        <v>96</v>
      </c>
      <c r="E6" s="10">
        <v>12</v>
      </c>
      <c r="F6" s="10">
        <v>25</v>
      </c>
    </row>
    <row r="7" spans="1:6" x14ac:dyDescent="0.35">
      <c r="A7" s="10">
        <v>3</v>
      </c>
      <c r="B7" s="6" t="s">
        <v>31</v>
      </c>
      <c r="C7" s="6" t="s">
        <v>358</v>
      </c>
      <c r="D7" s="6" t="s">
        <v>190</v>
      </c>
      <c r="E7" s="10">
        <v>12</v>
      </c>
      <c r="F7" s="10">
        <v>12</v>
      </c>
    </row>
    <row r="8" spans="1:6" x14ac:dyDescent="0.35">
      <c r="A8" s="10">
        <v>4</v>
      </c>
      <c r="B8" s="6" t="s">
        <v>393</v>
      </c>
      <c r="C8" s="6" t="s">
        <v>394</v>
      </c>
      <c r="D8" s="6" t="s">
        <v>227</v>
      </c>
      <c r="E8" s="10">
        <v>12</v>
      </c>
      <c r="F8" s="10">
        <v>22</v>
      </c>
    </row>
    <row r="9" spans="1:6" x14ac:dyDescent="0.35">
      <c r="A9" s="10">
        <v>5</v>
      </c>
      <c r="B9" s="6" t="s">
        <v>357</v>
      </c>
      <c r="C9" s="6"/>
      <c r="D9" s="6" t="s">
        <v>23</v>
      </c>
      <c r="E9" s="10">
        <v>12</v>
      </c>
      <c r="F9" s="10">
        <v>22</v>
      </c>
    </row>
    <row r="10" spans="1:6" x14ac:dyDescent="0.35">
      <c r="A10" s="10">
        <v>6</v>
      </c>
      <c r="B10" s="6" t="s">
        <v>187</v>
      </c>
      <c r="C10" s="6" t="s">
        <v>395</v>
      </c>
      <c r="D10" s="6" t="s">
        <v>96</v>
      </c>
      <c r="E10" s="10">
        <v>12</v>
      </c>
      <c r="F10" s="10">
        <v>10</v>
      </c>
    </row>
    <row r="11" spans="1:6" x14ac:dyDescent="0.35">
      <c r="A11" s="10">
        <v>7</v>
      </c>
      <c r="B11" s="6" t="s">
        <v>205</v>
      </c>
      <c r="C11" s="6" t="s">
        <v>396</v>
      </c>
      <c r="D11" s="6" t="s">
        <v>145</v>
      </c>
      <c r="E11" s="10">
        <v>12</v>
      </c>
      <c r="F11" s="10">
        <v>12</v>
      </c>
    </row>
    <row r="12" spans="1:6" x14ac:dyDescent="0.35">
      <c r="A12" s="10">
        <v>8</v>
      </c>
      <c r="B12" s="6" t="s">
        <v>187</v>
      </c>
      <c r="C12" s="6" t="s">
        <v>397</v>
      </c>
      <c r="D12" s="6" t="s">
        <v>227</v>
      </c>
      <c r="E12" s="10">
        <v>12</v>
      </c>
      <c r="F12" s="10">
        <v>11</v>
      </c>
    </row>
    <row r="13" spans="1:6" x14ac:dyDescent="0.35">
      <c r="A13" s="10">
        <v>9</v>
      </c>
      <c r="B13" s="6" t="s">
        <v>322</v>
      </c>
      <c r="C13" s="6" t="s">
        <v>398</v>
      </c>
      <c r="D13" s="6" t="s">
        <v>227</v>
      </c>
      <c r="E13" s="10">
        <v>12</v>
      </c>
      <c r="F13" s="10">
        <v>11</v>
      </c>
    </row>
    <row r="14" spans="1:6" x14ac:dyDescent="0.35">
      <c r="A14" s="11"/>
      <c r="B14" s="12" t="s">
        <v>95</v>
      </c>
      <c r="C14" s="12"/>
      <c r="D14" s="12"/>
      <c r="E14" s="11">
        <v>108</v>
      </c>
      <c r="F14" s="11">
        <v>153</v>
      </c>
    </row>
  </sheetData>
  <mergeCells count="2">
    <mergeCell ref="A3:F3"/>
    <mergeCell ref="A1:F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53"/>
  <sheetViews>
    <sheetView showGridLines="0" workbookViewId="0">
      <pane ySplit="3" topLeftCell="A4" activePane="bottomLeft" state="frozen"/>
      <selection activeCell="H25" sqref="H25:H26"/>
      <selection pane="bottomLeft" activeCell="H25" sqref="H25:H26"/>
    </sheetView>
  </sheetViews>
  <sheetFormatPr defaultRowHeight="14.5" x14ac:dyDescent="0.35"/>
  <cols>
    <col min="1" max="1" width="5" customWidth="1"/>
    <col min="2" max="2" width="30" customWidth="1"/>
    <col min="3" max="3" width="24" customWidth="1"/>
    <col min="4" max="4" width="8" customWidth="1"/>
    <col min="5" max="6" width="7" customWidth="1"/>
    <col min="7" max="7" width="11" customWidth="1"/>
  </cols>
  <sheetData>
    <row r="1" spans="1:7" ht="20" customHeight="1" x14ac:dyDescent="0.35">
      <c r="A1" s="77" t="s">
        <v>14</v>
      </c>
      <c r="B1" s="72"/>
      <c r="C1" s="72"/>
      <c r="D1" s="72"/>
      <c r="E1" s="72"/>
      <c r="F1" s="72"/>
      <c r="G1" s="72"/>
    </row>
    <row r="3" spans="1:7" x14ac:dyDescent="0.35">
      <c r="A3" s="74" t="s">
        <v>23</v>
      </c>
      <c r="B3" s="75"/>
      <c r="C3" s="75"/>
      <c r="D3" s="75"/>
      <c r="E3" s="75"/>
      <c r="F3" s="75"/>
      <c r="G3" s="76"/>
    </row>
    <row r="4" spans="1:7" x14ac:dyDescent="0.35">
      <c r="A4" s="7" t="s">
        <v>2</v>
      </c>
      <c r="B4" s="7" t="s">
        <v>24</v>
      </c>
      <c r="C4" s="7" t="s">
        <v>25</v>
      </c>
      <c r="D4" s="7" t="s">
        <v>26</v>
      </c>
      <c r="E4" s="7" t="s">
        <v>27</v>
      </c>
      <c r="F4" s="7" t="s">
        <v>28</v>
      </c>
      <c r="G4" s="7" t="s">
        <v>260</v>
      </c>
    </row>
    <row r="5" spans="1:7" x14ac:dyDescent="0.35">
      <c r="A5" s="8"/>
      <c r="B5" s="9" t="s">
        <v>29</v>
      </c>
      <c r="C5" s="9"/>
      <c r="D5" s="9" t="s">
        <v>32</v>
      </c>
      <c r="E5" s="8"/>
      <c r="F5" s="8"/>
      <c r="G5" s="8"/>
    </row>
    <row r="6" spans="1:7" x14ac:dyDescent="0.35">
      <c r="A6" s="10">
        <v>1</v>
      </c>
      <c r="B6" s="6" t="s">
        <v>187</v>
      </c>
      <c r="C6" s="6" t="s">
        <v>399</v>
      </c>
      <c r="D6" s="6" t="s">
        <v>34</v>
      </c>
      <c r="E6" s="10"/>
      <c r="F6" s="10"/>
      <c r="G6" s="10">
        <v>5</v>
      </c>
    </row>
    <row r="7" spans="1:7" x14ac:dyDescent="0.35">
      <c r="A7" s="10">
        <v>2</v>
      </c>
      <c r="B7" s="6" t="s">
        <v>400</v>
      </c>
      <c r="C7" s="6" t="s">
        <v>401</v>
      </c>
      <c r="D7" s="6" t="s">
        <v>38</v>
      </c>
      <c r="E7" s="10"/>
      <c r="F7" s="10"/>
      <c r="G7" s="10">
        <v>3</v>
      </c>
    </row>
    <row r="8" spans="1:7" x14ac:dyDescent="0.35">
      <c r="A8" s="10">
        <v>3</v>
      </c>
      <c r="B8" s="6" t="s">
        <v>284</v>
      </c>
      <c r="C8" s="6" t="s">
        <v>402</v>
      </c>
      <c r="D8" s="6" t="s">
        <v>154</v>
      </c>
      <c r="E8" s="10"/>
      <c r="F8" s="10"/>
      <c r="G8" s="10">
        <v>2</v>
      </c>
    </row>
    <row r="9" spans="1:7" x14ac:dyDescent="0.35">
      <c r="A9" s="10">
        <v>4</v>
      </c>
      <c r="B9" s="6" t="s">
        <v>207</v>
      </c>
      <c r="C9" s="6" t="s">
        <v>403</v>
      </c>
      <c r="D9" s="6" t="s">
        <v>270</v>
      </c>
      <c r="E9" s="10"/>
      <c r="F9" s="10"/>
      <c r="G9" s="10">
        <v>2</v>
      </c>
    </row>
    <row r="10" spans="1:7" x14ac:dyDescent="0.35">
      <c r="A10" s="10">
        <v>5</v>
      </c>
      <c r="B10" s="6" t="s">
        <v>207</v>
      </c>
      <c r="C10" s="6" t="s">
        <v>404</v>
      </c>
      <c r="D10" s="6" t="s">
        <v>194</v>
      </c>
      <c r="E10" s="10"/>
      <c r="F10" s="10"/>
      <c r="G10" s="10">
        <v>3</v>
      </c>
    </row>
    <row r="11" spans="1:7" x14ac:dyDescent="0.35">
      <c r="A11" s="10">
        <v>6</v>
      </c>
      <c r="B11" s="6" t="s">
        <v>138</v>
      </c>
      <c r="C11" s="6" t="s">
        <v>405</v>
      </c>
      <c r="D11" s="6" t="s">
        <v>47</v>
      </c>
      <c r="E11" s="10"/>
      <c r="F11" s="10"/>
      <c r="G11" s="10">
        <v>1</v>
      </c>
    </row>
    <row r="12" spans="1:7" x14ac:dyDescent="0.35">
      <c r="A12" s="8"/>
      <c r="B12" s="9" t="s">
        <v>74</v>
      </c>
      <c r="C12" s="9"/>
      <c r="D12" s="9" t="s">
        <v>51</v>
      </c>
      <c r="E12" s="8">
        <v>24</v>
      </c>
      <c r="F12" s="8">
        <v>18</v>
      </c>
      <c r="G12" s="8">
        <v>16</v>
      </c>
    </row>
    <row r="13" spans="1:7" x14ac:dyDescent="0.35">
      <c r="A13" s="10">
        <v>1</v>
      </c>
      <c r="B13" s="6" t="s">
        <v>406</v>
      </c>
      <c r="C13" s="6" t="s">
        <v>407</v>
      </c>
      <c r="D13" s="6" t="s">
        <v>408</v>
      </c>
      <c r="E13" s="10"/>
      <c r="F13" s="10"/>
      <c r="G13" s="10">
        <v>5</v>
      </c>
    </row>
    <row r="14" spans="1:7" x14ac:dyDescent="0.35">
      <c r="A14" s="10">
        <v>2</v>
      </c>
      <c r="B14" s="6" t="s">
        <v>409</v>
      </c>
      <c r="C14" s="6" t="s">
        <v>410</v>
      </c>
      <c r="D14" s="6" t="s">
        <v>162</v>
      </c>
      <c r="E14" s="10"/>
      <c r="F14" s="10"/>
      <c r="G14" s="10">
        <v>3</v>
      </c>
    </row>
    <row r="15" spans="1:7" x14ac:dyDescent="0.35">
      <c r="A15" s="10">
        <v>3</v>
      </c>
      <c r="B15" s="6" t="s">
        <v>286</v>
      </c>
      <c r="C15" s="6" t="s">
        <v>411</v>
      </c>
      <c r="D15" s="6" t="s">
        <v>61</v>
      </c>
      <c r="E15" s="10"/>
      <c r="F15" s="10"/>
      <c r="G15" s="10">
        <v>3</v>
      </c>
    </row>
    <row r="16" spans="1:7" x14ac:dyDescent="0.35">
      <c r="A16" s="10">
        <v>4</v>
      </c>
      <c r="B16" s="6" t="s">
        <v>187</v>
      </c>
      <c r="C16" s="6" t="s">
        <v>325</v>
      </c>
      <c r="D16" s="6" t="s">
        <v>63</v>
      </c>
      <c r="E16" s="10"/>
      <c r="F16" s="10"/>
      <c r="G16" s="10">
        <v>5</v>
      </c>
    </row>
    <row r="17" spans="1:7" x14ac:dyDescent="0.35">
      <c r="A17" s="8"/>
      <c r="B17" s="9" t="s">
        <v>74</v>
      </c>
      <c r="C17" s="9"/>
      <c r="D17" s="9" t="s">
        <v>244</v>
      </c>
      <c r="E17" s="8">
        <v>26</v>
      </c>
      <c r="F17" s="8">
        <v>18</v>
      </c>
      <c r="G17" s="8">
        <v>16</v>
      </c>
    </row>
    <row r="18" spans="1:7" x14ac:dyDescent="0.35">
      <c r="A18" s="10">
        <v>1</v>
      </c>
      <c r="B18" s="6" t="s">
        <v>187</v>
      </c>
      <c r="C18" s="6" t="s">
        <v>301</v>
      </c>
      <c r="D18" s="6" t="s">
        <v>127</v>
      </c>
      <c r="E18" s="10"/>
      <c r="F18" s="10"/>
      <c r="G18" s="10">
        <v>4</v>
      </c>
    </row>
    <row r="19" spans="1:7" x14ac:dyDescent="0.35">
      <c r="A19" s="10">
        <v>2</v>
      </c>
      <c r="B19" s="6" t="s">
        <v>284</v>
      </c>
      <c r="C19" s="6" t="s">
        <v>412</v>
      </c>
      <c r="D19" s="6" t="s">
        <v>130</v>
      </c>
      <c r="E19" s="10"/>
      <c r="F19" s="10"/>
      <c r="G19" s="10">
        <v>4</v>
      </c>
    </row>
    <row r="20" spans="1:7" x14ac:dyDescent="0.35">
      <c r="A20" s="10">
        <v>3</v>
      </c>
      <c r="B20" s="6" t="s">
        <v>344</v>
      </c>
      <c r="C20" s="6" t="s">
        <v>413</v>
      </c>
      <c r="D20" s="6" t="s">
        <v>174</v>
      </c>
      <c r="E20" s="10"/>
      <c r="F20" s="10"/>
      <c r="G20" s="10">
        <v>4</v>
      </c>
    </row>
    <row r="21" spans="1:7" x14ac:dyDescent="0.35">
      <c r="A21" s="10">
        <v>4</v>
      </c>
      <c r="B21" s="6" t="s">
        <v>344</v>
      </c>
      <c r="C21" s="6" t="s">
        <v>414</v>
      </c>
      <c r="D21" s="6" t="s">
        <v>328</v>
      </c>
      <c r="E21" s="10"/>
      <c r="F21" s="10"/>
      <c r="G21" s="10">
        <v>4</v>
      </c>
    </row>
    <row r="22" spans="1:7" x14ac:dyDescent="0.35">
      <c r="A22" s="8"/>
      <c r="B22" s="9" t="s">
        <v>74</v>
      </c>
      <c r="C22" s="9"/>
      <c r="D22" s="9" t="s">
        <v>87</v>
      </c>
      <c r="E22" s="8">
        <v>20</v>
      </c>
      <c r="F22" s="8">
        <v>18</v>
      </c>
      <c r="G22" s="8">
        <v>16</v>
      </c>
    </row>
    <row r="23" spans="1:7" x14ac:dyDescent="0.35">
      <c r="A23" s="10">
        <v>1</v>
      </c>
      <c r="B23" s="6" t="s">
        <v>400</v>
      </c>
      <c r="C23" s="6" t="s">
        <v>415</v>
      </c>
      <c r="D23" s="6" t="s">
        <v>139</v>
      </c>
      <c r="E23" s="10"/>
      <c r="F23" s="10"/>
      <c r="G23" s="10">
        <v>5</v>
      </c>
    </row>
    <row r="24" spans="1:7" x14ac:dyDescent="0.35">
      <c r="A24" s="10">
        <v>2</v>
      </c>
      <c r="B24" s="6" t="s">
        <v>409</v>
      </c>
      <c r="C24" s="6" t="s">
        <v>416</v>
      </c>
      <c r="D24" s="6" t="s">
        <v>91</v>
      </c>
      <c r="E24" s="10"/>
      <c r="F24" s="10"/>
      <c r="G24" s="10">
        <v>5</v>
      </c>
    </row>
    <row r="25" spans="1:7" x14ac:dyDescent="0.35">
      <c r="A25" s="10">
        <v>3</v>
      </c>
      <c r="B25" s="6" t="s">
        <v>409</v>
      </c>
      <c r="C25" s="6" t="s">
        <v>417</v>
      </c>
      <c r="D25" s="6" t="s">
        <v>418</v>
      </c>
      <c r="E25" s="10"/>
      <c r="F25" s="10"/>
      <c r="G25" s="10">
        <v>2</v>
      </c>
    </row>
    <row r="26" spans="1:7" x14ac:dyDescent="0.35">
      <c r="A26" s="10">
        <v>4</v>
      </c>
      <c r="B26" s="6" t="s">
        <v>138</v>
      </c>
      <c r="C26" s="6" t="s">
        <v>405</v>
      </c>
      <c r="D26" s="6" t="s">
        <v>186</v>
      </c>
      <c r="E26" s="10"/>
      <c r="F26" s="10"/>
      <c r="G26" s="10">
        <v>1</v>
      </c>
    </row>
    <row r="27" spans="1:7" x14ac:dyDescent="0.35">
      <c r="A27" s="10">
        <v>5</v>
      </c>
      <c r="B27" s="6" t="s">
        <v>209</v>
      </c>
      <c r="C27" s="6" t="s">
        <v>419</v>
      </c>
      <c r="D27" s="6" t="s">
        <v>226</v>
      </c>
      <c r="E27" s="10"/>
      <c r="F27" s="10"/>
      <c r="G27" s="10">
        <v>1</v>
      </c>
    </row>
    <row r="28" spans="1:7" x14ac:dyDescent="0.35">
      <c r="A28" s="10">
        <v>6</v>
      </c>
      <c r="B28" s="6" t="s">
        <v>209</v>
      </c>
      <c r="C28" s="6" t="s">
        <v>420</v>
      </c>
      <c r="D28" s="6" t="s">
        <v>188</v>
      </c>
      <c r="E28" s="10"/>
      <c r="F28" s="10"/>
      <c r="G28" s="10">
        <v>1</v>
      </c>
    </row>
    <row r="29" spans="1:7" x14ac:dyDescent="0.35">
      <c r="A29" s="10">
        <v>7</v>
      </c>
      <c r="B29" s="6" t="s">
        <v>209</v>
      </c>
      <c r="C29" s="6" t="s">
        <v>421</v>
      </c>
      <c r="D29" s="6" t="s">
        <v>94</v>
      </c>
      <c r="E29" s="10"/>
      <c r="F29" s="10"/>
      <c r="G29" s="10">
        <v>1</v>
      </c>
    </row>
    <row r="30" spans="1:7" x14ac:dyDescent="0.35">
      <c r="A30" s="8"/>
      <c r="B30" s="9" t="s">
        <v>74</v>
      </c>
      <c r="C30" s="9"/>
      <c r="D30" s="9" t="s">
        <v>359</v>
      </c>
      <c r="E30" s="8">
        <v>24</v>
      </c>
      <c r="F30" s="8">
        <v>18</v>
      </c>
      <c r="G30" s="8">
        <v>16</v>
      </c>
    </row>
    <row r="31" spans="1:7" x14ac:dyDescent="0.35">
      <c r="A31" s="8"/>
      <c r="B31" s="9" t="s">
        <v>29</v>
      </c>
      <c r="C31" s="9"/>
      <c r="D31" s="9" t="s">
        <v>422</v>
      </c>
      <c r="E31" s="8"/>
      <c r="F31" s="8"/>
      <c r="G31" s="8"/>
    </row>
    <row r="32" spans="1:7" x14ac:dyDescent="0.35">
      <c r="A32" s="11"/>
      <c r="B32" s="12" t="s">
        <v>95</v>
      </c>
      <c r="C32" s="12"/>
      <c r="D32" s="12"/>
      <c r="E32" s="11">
        <v>94</v>
      </c>
      <c r="F32" s="11">
        <v>90</v>
      </c>
      <c r="G32" s="11">
        <v>64</v>
      </c>
    </row>
    <row r="34" spans="1:7" x14ac:dyDescent="0.35">
      <c r="A34" s="74" t="s">
        <v>96</v>
      </c>
      <c r="B34" s="75"/>
      <c r="C34" s="75"/>
      <c r="D34" s="75"/>
      <c r="E34" s="75"/>
      <c r="F34" s="75"/>
      <c r="G34" s="76"/>
    </row>
    <row r="35" spans="1:7" x14ac:dyDescent="0.35">
      <c r="A35" s="7" t="s">
        <v>2</v>
      </c>
      <c r="B35" s="7" t="s">
        <v>24</v>
      </c>
      <c r="C35" s="7" t="s">
        <v>25</v>
      </c>
      <c r="D35" s="7" t="s">
        <v>26</v>
      </c>
      <c r="E35" s="7" t="s">
        <v>27</v>
      </c>
      <c r="F35" s="7" t="s">
        <v>28</v>
      </c>
      <c r="G35" s="7" t="s">
        <v>260</v>
      </c>
    </row>
    <row r="36" spans="1:7" x14ac:dyDescent="0.35">
      <c r="A36" s="8"/>
      <c r="B36" s="9" t="s">
        <v>29</v>
      </c>
      <c r="C36" s="9"/>
      <c r="D36" s="9" t="s">
        <v>32</v>
      </c>
      <c r="E36" s="8"/>
      <c r="F36" s="8"/>
      <c r="G36" s="8"/>
    </row>
    <row r="37" spans="1:7" x14ac:dyDescent="0.35">
      <c r="A37" s="10">
        <v>1</v>
      </c>
      <c r="B37" s="6" t="s">
        <v>187</v>
      </c>
      <c r="C37" s="6" t="s">
        <v>399</v>
      </c>
      <c r="D37" s="6" t="s">
        <v>34</v>
      </c>
      <c r="E37" s="10"/>
      <c r="F37" s="10"/>
      <c r="G37" s="10">
        <v>5</v>
      </c>
    </row>
    <row r="38" spans="1:7" x14ac:dyDescent="0.35">
      <c r="A38" s="10">
        <v>2</v>
      </c>
      <c r="B38" s="6" t="s">
        <v>400</v>
      </c>
      <c r="C38" s="6" t="s">
        <v>401</v>
      </c>
      <c r="D38" s="6" t="s">
        <v>38</v>
      </c>
      <c r="E38" s="10"/>
      <c r="F38" s="10"/>
      <c r="G38" s="10">
        <v>3</v>
      </c>
    </row>
    <row r="39" spans="1:7" x14ac:dyDescent="0.35">
      <c r="A39" s="10">
        <v>3</v>
      </c>
      <c r="B39" s="6" t="s">
        <v>284</v>
      </c>
      <c r="C39" s="6" t="s">
        <v>402</v>
      </c>
      <c r="D39" s="6" t="s">
        <v>154</v>
      </c>
      <c r="E39" s="10"/>
      <c r="F39" s="10"/>
      <c r="G39" s="10">
        <v>2</v>
      </c>
    </row>
    <row r="40" spans="1:7" x14ac:dyDescent="0.35">
      <c r="A40" s="10">
        <v>4</v>
      </c>
      <c r="B40" s="6" t="s">
        <v>207</v>
      </c>
      <c r="C40" s="6" t="s">
        <v>403</v>
      </c>
      <c r="D40" s="6" t="s">
        <v>270</v>
      </c>
      <c r="E40" s="10"/>
      <c r="F40" s="10"/>
      <c r="G40" s="10">
        <v>2</v>
      </c>
    </row>
    <row r="41" spans="1:7" x14ac:dyDescent="0.35">
      <c r="A41" s="10">
        <v>5</v>
      </c>
      <c r="B41" s="6" t="s">
        <v>207</v>
      </c>
      <c r="C41" s="6" t="s">
        <v>404</v>
      </c>
      <c r="D41" s="6" t="s">
        <v>194</v>
      </c>
      <c r="E41" s="10"/>
      <c r="F41" s="10"/>
      <c r="G41" s="10">
        <v>3</v>
      </c>
    </row>
    <row r="42" spans="1:7" x14ac:dyDescent="0.35">
      <c r="A42" s="10">
        <v>6</v>
      </c>
      <c r="B42" s="6" t="s">
        <v>138</v>
      </c>
      <c r="C42" s="6" t="s">
        <v>405</v>
      </c>
      <c r="D42" s="6" t="s">
        <v>47</v>
      </c>
      <c r="E42" s="10"/>
      <c r="F42" s="10"/>
      <c r="G42" s="10">
        <v>1</v>
      </c>
    </row>
    <row r="43" spans="1:7" x14ac:dyDescent="0.35">
      <c r="A43" s="8"/>
      <c r="B43" s="9" t="s">
        <v>74</v>
      </c>
      <c r="C43" s="9"/>
      <c r="D43" s="9" t="s">
        <v>51</v>
      </c>
      <c r="E43" s="8">
        <v>24</v>
      </c>
      <c r="F43" s="8">
        <v>18</v>
      </c>
      <c r="G43" s="8">
        <v>16</v>
      </c>
    </row>
    <row r="44" spans="1:7" x14ac:dyDescent="0.35">
      <c r="A44" s="10">
        <v>1</v>
      </c>
      <c r="B44" s="6" t="s">
        <v>406</v>
      </c>
      <c r="C44" s="6" t="s">
        <v>407</v>
      </c>
      <c r="D44" s="6" t="s">
        <v>408</v>
      </c>
      <c r="E44" s="10"/>
      <c r="F44" s="10"/>
      <c r="G44" s="10">
        <v>5</v>
      </c>
    </row>
    <row r="45" spans="1:7" x14ac:dyDescent="0.35">
      <c r="A45" s="10">
        <v>2</v>
      </c>
      <c r="B45" s="6" t="s">
        <v>409</v>
      </c>
      <c r="C45" s="6" t="s">
        <v>410</v>
      </c>
      <c r="D45" s="6" t="s">
        <v>162</v>
      </c>
      <c r="E45" s="10"/>
      <c r="F45" s="10"/>
      <c r="G45" s="10">
        <v>3</v>
      </c>
    </row>
    <row r="46" spans="1:7" x14ac:dyDescent="0.35">
      <c r="A46" s="10">
        <v>3</v>
      </c>
      <c r="B46" s="6" t="s">
        <v>286</v>
      </c>
      <c r="C46" s="6" t="s">
        <v>411</v>
      </c>
      <c r="D46" s="6" t="s">
        <v>61</v>
      </c>
      <c r="E46" s="10"/>
      <c r="F46" s="10"/>
      <c r="G46" s="10">
        <v>3</v>
      </c>
    </row>
    <row r="47" spans="1:7" x14ac:dyDescent="0.35">
      <c r="A47" s="10">
        <v>4</v>
      </c>
      <c r="B47" s="6" t="s">
        <v>187</v>
      </c>
      <c r="C47" s="6" t="s">
        <v>325</v>
      </c>
      <c r="D47" s="6" t="s">
        <v>63</v>
      </c>
      <c r="E47" s="10"/>
      <c r="F47" s="10"/>
      <c r="G47" s="10">
        <v>5</v>
      </c>
    </row>
    <row r="48" spans="1:7" x14ac:dyDescent="0.35">
      <c r="A48" s="8"/>
      <c r="B48" s="9" t="s">
        <v>74</v>
      </c>
      <c r="C48" s="9"/>
      <c r="D48" s="9" t="s">
        <v>244</v>
      </c>
      <c r="E48" s="8">
        <v>26</v>
      </c>
      <c r="F48" s="8">
        <v>18</v>
      </c>
      <c r="G48" s="8">
        <v>16</v>
      </c>
    </row>
    <row r="49" spans="1:7" x14ac:dyDescent="0.35">
      <c r="A49" s="10">
        <v>1</v>
      </c>
      <c r="B49" s="6" t="s">
        <v>187</v>
      </c>
      <c r="C49" s="6" t="s">
        <v>301</v>
      </c>
      <c r="D49" s="6" t="s">
        <v>127</v>
      </c>
      <c r="E49" s="10"/>
      <c r="F49" s="10"/>
      <c r="G49" s="10">
        <v>4</v>
      </c>
    </row>
    <row r="50" spans="1:7" x14ac:dyDescent="0.35">
      <c r="A50" s="10">
        <v>2</v>
      </c>
      <c r="B50" s="6" t="s">
        <v>284</v>
      </c>
      <c r="C50" s="6" t="s">
        <v>412</v>
      </c>
      <c r="D50" s="6" t="s">
        <v>130</v>
      </c>
      <c r="E50" s="10"/>
      <c r="F50" s="10"/>
      <c r="G50" s="10">
        <v>3</v>
      </c>
    </row>
    <row r="51" spans="1:7" x14ac:dyDescent="0.35">
      <c r="A51" s="10">
        <v>3</v>
      </c>
      <c r="B51" s="6" t="s">
        <v>344</v>
      </c>
      <c r="C51" s="6" t="s">
        <v>413</v>
      </c>
      <c r="D51" s="6" t="s">
        <v>174</v>
      </c>
      <c r="E51" s="10"/>
      <c r="F51" s="10"/>
      <c r="G51" s="10">
        <v>5</v>
      </c>
    </row>
    <row r="52" spans="1:7" x14ac:dyDescent="0.35">
      <c r="A52" s="10">
        <v>4</v>
      </c>
      <c r="B52" s="6" t="s">
        <v>344</v>
      </c>
      <c r="C52" s="6" t="s">
        <v>414</v>
      </c>
      <c r="D52" s="6" t="s">
        <v>328</v>
      </c>
      <c r="E52" s="10"/>
      <c r="F52" s="10"/>
      <c r="G52" s="10">
        <v>4</v>
      </c>
    </row>
    <row r="53" spans="1:7" x14ac:dyDescent="0.35">
      <c r="A53" s="8"/>
      <c r="B53" s="9" t="s">
        <v>74</v>
      </c>
      <c r="C53" s="9"/>
      <c r="D53" s="9" t="s">
        <v>87</v>
      </c>
      <c r="E53" s="8">
        <v>20</v>
      </c>
      <c r="F53" s="8">
        <v>18</v>
      </c>
      <c r="G53" s="8">
        <v>16</v>
      </c>
    </row>
    <row r="54" spans="1:7" x14ac:dyDescent="0.35">
      <c r="A54" s="10">
        <v>1</v>
      </c>
      <c r="B54" s="6" t="s">
        <v>400</v>
      </c>
      <c r="C54" s="6" t="s">
        <v>415</v>
      </c>
      <c r="D54" s="6" t="s">
        <v>139</v>
      </c>
      <c r="E54" s="10"/>
      <c r="F54" s="10"/>
      <c r="G54" s="10">
        <v>4</v>
      </c>
    </row>
    <row r="55" spans="1:7" x14ac:dyDescent="0.35">
      <c r="A55" s="10">
        <v>2</v>
      </c>
      <c r="B55" s="6" t="s">
        <v>138</v>
      </c>
      <c r="C55" s="6" t="s">
        <v>405</v>
      </c>
      <c r="D55" s="6" t="s">
        <v>91</v>
      </c>
      <c r="E55" s="10"/>
      <c r="F55" s="10"/>
      <c r="G55" s="10">
        <v>1</v>
      </c>
    </row>
    <row r="56" spans="1:7" x14ac:dyDescent="0.35">
      <c r="A56" s="10">
        <v>3</v>
      </c>
      <c r="B56" s="6" t="s">
        <v>362</v>
      </c>
      <c r="C56" s="6" t="s">
        <v>423</v>
      </c>
      <c r="D56" s="6" t="s">
        <v>418</v>
      </c>
      <c r="E56" s="10"/>
      <c r="F56" s="10"/>
      <c r="G56" s="10">
        <v>1</v>
      </c>
    </row>
    <row r="57" spans="1:7" x14ac:dyDescent="0.35">
      <c r="A57" s="10">
        <v>4</v>
      </c>
      <c r="B57" s="6" t="s">
        <v>286</v>
      </c>
      <c r="C57" s="6" t="s">
        <v>411</v>
      </c>
      <c r="D57" s="6" t="s">
        <v>186</v>
      </c>
      <c r="E57" s="10"/>
      <c r="F57" s="10"/>
      <c r="G57" s="10">
        <v>3</v>
      </c>
    </row>
    <row r="58" spans="1:7" x14ac:dyDescent="0.35">
      <c r="A58" s="10">
        <v>5</v>
      </c>
      <c r="B58" s="6" t="s">
        <v>207</v>
      </c>
      <c r="C58" s="6" t="s">
        <v>404</v>
      </c>
      <c r="D58" s="6" t="s">
        <v>226</v>
      </c>
      <c r="E58" s="10"/>
      <c r="F58" s="10"/>
      <c r="G58" s="10">
        <v>3</v>
      </c>
    </row>
    <row r="59" spans="1:7" x14ac:dyDescent="0.35">
      <c r="A59" s="10">
        <v>6</v>
      </c>
      <c r="B59" s="6" t="s">
        <v>284</v>
      </c>
      <c r="C59" s="6" t="s">
        <v>402</v>
      </c>
      <c r="D59" s="6" t="s">
        <v>188</v>
      </c>
      <c r="E59" s="10"/>
      <c r="F59" s="10"/>
      <c r="G59" s="10">
        <v>1</v>
      </c>
    </row>
    <row r="60" spans="1:7" x14ac:dyDescent="0.35">
      <c r="A60" s="10">
        <v>7</v>
      </c>
      <c r="B60" s="6" t="s">
        <v>400</v>
      </c>
      <c r="C60" s="6" t="s">
        <v>401</v>
      </c>
      <c r="D60" s="6" t="s">
        <v>94</v>
      </c>
      <c r="E60" s="10"/>
      <c r="F60" s="10"/>
      <c r="G60" s="10">
        <v>3</v>
      </c>
    </row>
    <row r="61" spans="1:7" x14ac:dyDescent="0.35">
      <c r="A61" s="8"/>
      <c r="B61" s="9" t="s">
        <v>74</v>
      </c>
      <c r="C61" s="9"/>
      <c r="D61" s="9" t="s">
        <v>359</v>
      </c>
      <c r="E61" s="8">
        <v>22</v>
      </c>
      <c r="F61" s="8">
        <v>18</v>
      </c>
      <c r="G61" s="8">
        <v>16</v>
      </c>
    </row>
    <row r="62" spans="1:7" x14ac:dyDescent="0.35">
      <c r="A62" s="8"/>
      <c r="B62" s="9" t="s">
        <v>29</v>
      </c>
      <c r="C62" s="9"/>
      <c r="D62" s="9" t="s">
        <v>422</v>
      </c>
      <c r="E62" s="8"/>
      <c r="F62" s="8"/>
      <c r="G62" s="8"/>
    </row>
    <row r="63" spans="1:7" x14ac:dyDescent="0.35">
      <c r="A63" s="11"/>
      <c r="B63" s="12" t="s">
        <v>95</v>
      </c>
      <c r="C63" s="12"/>
      <c r="D63" s="12"/>
      <c r="E63" s="11">
        <v>92</v>
      </c>
      <c r="F63" s="11">
        <v>72</v>
      </c>
      <c r="G63" s="11">
        <v>64</v>
      </c>
    </row>
    <row r="65" spans="1:7" x14ac:dyDescent="0.35">
      <c r="A65" s="74" t="s">
        <v>190</v>
      </c>
      <c r="B65" s="75"/>
      <c r="C65" s="75"/>
      <c r="D65" s="75"/>
      <c r="E65" s="75"/>
      <c r="F65" s="75"/>
      <c r="G65" s="76"/>
    </row>
    <row r="66" spans="1:7" x14ac:dyDescent="0.35">
      <c r="A66" s="7" t="s">
        <v>2</v>
      </c>
      <c r="B66" s="7" t="s">
        <v>24</v>
      </c>
      <c r="C66" s="7" t="s">
        <v>25</v>
      </c>
      <c r="D66" s="7" t="s">
        <v>26</v>
      </c>
      <c r="E66" s="7" t="s">
        <v>27</v>
      </c>
      <c r="F66" s="7" t="s">
        <v>28</v>
      </c>
      <c r="G66" s="7" t="s">
        <v>260</v>
      </c>
    </row>
    <row r="67" spans="1:7" x14ac:dyDescent="0.35">
      <c r="A67" s="8"/>
      <c r="B67" s="9" t="s">
        <v>29</v>
      </c>
      <c r="C67" s="9"/>
      <c r="D67" s="9" t="s">
        <v>32</v>
      </c>
      <c r="E67" s="8"/>
      <c r="F67" s="8"/>
      <c r="G67" s="8"/>
    </row>
    <row r="68" spans="1:7" x14ac:dyDescent="0.35">
      <c r="A68" s="10">
        <v>1</v>
      </c>
      <c r="B68" s="6" t="s">
        <v>187</v>
      </c>
      <c r="C68" s="6" t="s">
        <v>399</v>
      </c>
      <c r="D68" s="6" t="s">
        <v>34</v>
      </c>
      <c r="E68" s="10"/>
      <c r="F68" s="10"/>
      <c r="G68" s="10">
        <v>5</v>
      </c>
    </row>
    <row r="69" spans="1:7" x14ac:dyDescent="0.35">
      <c r="A69" s="10">
        <v>2</v>
      </c>
      <c r="B69" s="6" t="s">
        <v>400</v>
      </c>
      <c r="C69" s="6" t="s">
        <v>401</v>
      </c>
      <c r="D69" s="6" t="s">
        <v>38</v>
      </c>
      <c r="E69" s="10"/>
      <c r="F69" s="10"/>
      <c r="G69" s="10">
        <v>3</v>
      </c>
    </row>
    <row r="70" spans="1:7" x14ac:dyDescent="0.35">
      <c r="A70" s="10">
        <v>3</v>
      </c>
      <c r="B70" s="6" t="s">
        <v>284</v>
      </c>
      <c r="C70" s="6" t="s">
        <v>402</v>
      </c>
      <c r="D70" s="6" t="s">
        <v>154</v>
      </c>
      <c r="E70" s="10"/>
      <c r="F70" s="10"/>
      <c r="G70" s="10">
        <v>2</v>
      </c>
    </row>
    <row r="71" spans="1:7" x14ac:dyDescent="0.35">
      <c r="A71" s="10">
        <v>4</v>
      </c>
      <c r="B71" s="6" t="s">
        <v>207</v>
      </c>
      <c r="C71" s="6" t="s">
        <v>403</v>
      </c>
      <c r="D71" s="6" t="s">
        <v>270</v>
      </c>
      <c r="E71" s="10"/>
      <c r="F71" s="10"/>
      <c r="G71" s="10">
        <v>2</v>
      </c>
    </row>
    <row r="72" spans="1:7" x14ac:dyDescent="0.35">
      <c r="A72" s="10">
        <v>5</v>
      </c>
      <c r="B72" s="6" t="s">
        <v>207</v>
      </c>
      <c r="C72" s="6" t="s">
        <v>404</v>
      </c>
      <c r="D72" s="6" t="s">
        <v>194</v>
      </c>
      <c r="E72" s="10"/>
      <c r="F72" s="10"/>
      <c r="G72" s="10">
        <v>3</v>
      </c>
    </row>
    <row r="73" spans="1:7" x14ac:dyDescent="0.35">
      <c r="A73" s="10">
        <v>6</v>
      </c>
      <c r="B73" s="6" t="s">
        <v>138</v>
      </c>
      <c r="C73" s="6" t="s">
        <v>405</v>
      </c>
      <c r="D73" s="6" t="s">
        <v>47</v>
      </c>
      <c r="E73" s="10"/>
      <c r="F73" s="10"/>
      <c r="G73" s="10">
        <v>1</v>
      </c>
    </row>
    <row r="74" spans="1:7" x14ac:dyDescent="0.35">
      <c r="A74" s="8"/>
      <c r="B74" s="9" t="s">
        <v>74</v>
      </c>
      <c r="C74" s="9"/>
      <c r="D74" s="9" t="s">
        <v>51</v>
      </c>
      <c r="E74" s="8">
        <v>24</v>
      </c>
      <c r="F74" s="8">
        <v>18</v>
      </c>
      <c r="G74" s="8">
        <v>16</v>
      </c>
    </row>
    <row r="75" spans="1:7" x14ac:dyDescent="0.35">
      <c r="A75" s="10">
        <v>1</v>
      </c>
      <c r="B75" s="6" t="s">
        <v>406</v>
      </c>
      <c r="C75" s="6" t="s">
        <v>407</v>
      </c>
      <c r="D75" s="6" t="s">
        <v>408</v>
      </c>
      <c r="E75" s="10"/>
      <c r="F75" s="10"/>
      <c r="G75" s="10">
        <v>5</v>
      </c>
    </row>
    <row r="76" spans="1:7" x14ac:dyDescent="0.35">
      <c r="A76" s="10">
        <v>2</v>
      </c>
      <c r="B76" s="6" t="s">
        <v>409</v>
      </c>
      <c r="C76" s="6" t="s">
        <v>410</v>
      </c>
      <c r="D76" s="6" t="s">
        <v>162</v>
      </c>
      <c r="E76" s="10"/>
      <c r="F76" s="10"/>
      <c r="G76" s="10">
        <v>3</v>
      </c>
    </row>
    <row r="77" spans="1:7" x14ac:dyDescent="0.35">
      <c r="A77" s="10">
        <v>3</v>
      </c>
      <c r="B77" s="6" t="s">
        <v>286</v>
      </c>
      <c r="C77" s="6" t="s">
        <v>411</v>
      </c>
      <c r="D77" s="6" t="s">
        <v>61</v>
      </c>
      <c r="E77" s="10"/>
      <c r="F77" s="10"/>
      <c r="G77" s="10">
        <v>3</v>
      </c>
    </row>
    <row r="78" spans="1:7" x14ac:dyDescent="0.35">
      <c r="A78" s="10">
        <v>4</v>
      </c>
      <c r="B78" s="6" t="s">
        <v>187</v>
      </c>
      <c r="C78" s="6" t="s">
        <v>325</v>
      </c>
      <c r="D78" s="6" t="s">
        <v>63</v>
      </c>
      <c r="E78" s="10"/>
      <c r="F78" s="10"/>
      <c r="G78" s="10">
        <v>5</v>
      </c>
    </row>
    <row r="79" spans="1:7" x14ac:dyDescent="0.35">
      <c r="A79" s="8"/>
      <c r="B79" s="9" t="s">
        <v>74</v>
      </c>
      <c r="C79" s="9"/>
      <c r="D79" s="9" t="s">
        <v>244</v>
      </c>
      <c r="E79" s="8">
        <v>26</v>
      </c>
      <c r="F79" s="8">
        <v>18</v>
      </c>
      <c r="G79" s="8">
        <v>16</v>
      </c>
    </row>
    <row r="80" spans="1:7" x14ac:dyDescent="0.35">
      <c r="A80" s="10">
        <v>1</v>
      </c>
      <c r="B80" s="6" t="s">
        <v>187</v>
      </c>
      <c r="C80" s="6" t="s">
        <v>301</v>
      </c>
      <c r="D80" s="6" t="s">
        <v>127</v>
      </c>
      <c r="E80" s="10"/>
      <c r="F80" s="10"/>
      <c r="G80" s="10">
        <v>4</v>
      </c>
    </row>
    <row r="81" spans="1:7" x14ac:dyDescent="0.35">
      <c r="A81" s="10">
        <v>2</v>
      </c>
      <c r="B81" s="6" t="s">
        <v>284</v>
      </c>
      <c r="C81" s="6" t="s">
        <v>412</v>
      </c>
      <c r="D81" s="6" t="s">
        <v>130</v>
      </c>
      <c r="E81" s="10"/>
      <c r="F81" s="10"/>
      <c r="G81" s="10">
        <v>3</v>
      </c>
    </row>
    <row r="82" spans="1:7" x14ac:dyDescent="0.35">
      <c r="A82" s="10">
        <v>3</v>
      </c>
      <c r="B82" s="6" t="s">
        <v>344</v>
      </c>
      <c r="C82" s="6" t="s">
        <v>413</v>
      </c>
      <c r="D82" s="6" t="s">
        <v>174</v>
      </c>
      <c r="E82" s="10"/>
      <c r="F82" s="10"/>
      <c r="G82" s="10">
        <v>5</v>
      </c>
    </row>
    <row r="83" spans="1:7" x14ac:dyDescent="0.35">
      <c r="A83" s="10">
        <v>4</v>
      </c>
      <c r="B83" s="6" t="s">
        <v>344</v>
      </c>
      <c r="C83" s="6" t="s">
        <v>414</v>
      </c>
      <c r="D83" s="6" t="s">
        <v>328</v>
      </c>
      <c r="E83" s="10"/>
      <c r="F83" s="10"/>
      <c r="G83" s="10">
        <v>4</v>
      </c>
    </row>
    <row r="84" spans="1:7" x14ac:dyDescent="0.35">
      <c r="A84" s="8"/>
      <c r="B84" s="9" t="s">
        <v>74</v>
      </c>
      <c r="C84" s="9"/>
      <c r="D84" s="9" t="s">
        <v>87</v>
      </c>
      <c r="E84" s="8">
        <v>20</v>
      </c>
      <c r="F84" s="8">
        <v>18</v>
      </c>
      <c r="G84" s="8">
        <v>16</v>
      </c>
    </row>
    <row r="85" spans="1:7" x14ac:dyDescent="0.35">
      <c r="A85" s="10">
        <v>1</v>
      </c>
      <c r="B85" s="6" t="s">
        <v>209</v>
      </c>
      <c r="C85" s="6" t="s">
        <v>424</v>
      </c>
      <c r="D85" s="6" t="s">
        <v>139</v>
      </c>
      <c r="E85" s="10"/>
      <c r="F85" s="10"/>
      <c r="G85" s="10">
        <v>2</v>
      </c>
    </row>
    <row r="86" spans="1:7" x14ac:dyDescent="0.35">
      <c r="A86" s="10">
        <v>2</v>
      </c>
      <c r="B86" s="6" t="s">
        <v>425</v>
      </c>
      <c r="C86" s="6" t="s">
        <v>426</v>
      </c>
      <c r="D86" s="6" t="s">
        <v>333</v>
      </c>
      <c r="E86" s="10"/>
      <c r="F86" s="10"/>
      <c r="G86" s="10">
        <v>1</v>
      </c>
    </row>
    <row r="87" spans="1:7" x14ac:dyDescent="0.35">
      <c r="A87" s="10">
        <v>3</v>
      </c>
      <c r="B87" s="6" t="s">
        <v>400</v>
      </c>
      <c r="C87" s="6" t="s">
        <v>415</v>
      </c>
      <c r="D87" s="6" t="s">
        <v>183</v>
      </c>
      <c r="E87" s="10"/>
      <c r="F87" s="10"/>
      <c r="G87" s="10">
        <v>5</v>
      </c>
    </row>
    <row r="88" spans="1:7" x14ac:dyDescent="0.35">
      <c r="A88" s="10">
        <v>4</v>
      </c>
      <c r="B88" s="6" t="s">
        <v>209</v>
      </c>
      <c r="C88" s="6" t="s">
        <v>427</v>
      </c>
      <c r="D88" s="6" t="s">
        <v>418</v>
      </c>
      <c r="E88" s="10"/>
      <c r="F88" s="10"/>
      <c r="G88" s="10">
        <v>1</v>
      </c>
    </row>
    <row r="89" spans="1:7" x14ac:dyDescent="0.35">
      <c r="A89" s="10">
        <v>5</v>
      </c>
      <c r="B89" s="6" t="s">
        <v>209</v>
      </c>
      <c r="C89" s="6" t="s">
        <v>428</v>
      </c>
      <c r="D89" s="6" t="s">
        <v>143</v>
      </c>
      <c r="E89" s="10"/>
      <c r="F89" s="10"/>
      <c r="G89" s="10">
        <v>6</v>
      </c>
    </row>
    <row r="90" spans="1:7" x14ac:dyDescent="0.35">
      <c r="A90" s="10">
        <v>6</v>
      </c>
      <c r="B90" s="6" t="s">
        <v>138</v>
      </c>
      <c r="C90" s="6" t="s">
        <v>405</v>
      </c>
      <c r="D90" s="6" t="s">
        <v>188</v>
      </c>
      <c r="E90" s="10"/>
      <c r="F90" s="10"/>
      <c r="G90" s="10">
        <v>1</v>
      </c>
    </row>
    <row r="91" spans="1:7" x14ac:dyDescent="0.35">
      <c r="A91" s="8"/>
      <c r="B91" s="9" t="s">
        <v>74</v>
      </c>
      <c r="C91" s="9"/>
      <c r="D91" s="9" t="s">
        <v>189</v>
      </c>
      <c r="E91" s="8">
        <v>24</v>
      </c>
      <c r="F91" s="8">
        <v>18</v>
      </c>
      <c r="G91" s="8">
        <v>16</v>
      </c>
    </row>
    <row r="92" spans="1:7" x14ac:dyDescent="0.35">
      <c r="A92" s="8"/>
      <c r="B92" s="9" t="s">
        <v>29</v>
      </c>
      <c r="C92" s="9"/>
      <c r="D92" s="9" t="s">
        <v>429</v>
      </c>
      <c r="E92" s="8"/>
      <c r="F92" s="8"/>
      <c r="G92" s="8"/>
    </row>
    <row r="93" spans="1:7" x14ac:dyDescent="0.35">
      <c r="A93" s="11"/>
      <c r="B93" s="12" t="s">
        <v>95</v>
      </c>
      <c r="C93" s="12"/>
      <c r="D93" s="12"/>
      <c r="E93" s="11">
        <v>94</v>
      </c>
      <c r="F93" s="11">
        <v>72</v>
      </c>
      <c r="G93" s="11">
        <v>64</v>
      </c>
    </row>
    <row r="95" spans="1:7" x14ac:dyDescent="0.35">
      <c r="A95" s="74" t="s">
        <v>227</v>
      </c>
      <c r="B95" s="75"/>
      <c r="C95" s="75"/>
      <c r="D95" s="75"/>
      <c r="E95" s="75"/>
      <c r="F95" s="75"/>
      <c r="G95" s="76"/>
    </row>
    <row r="96" spans="1:7" x14ac:dyDescent="0.35">
      <c r="A96" s="7" t="s">
        <v>2</v>
      </c>
      <c r="B96" s="7" t="s">
        <v>24</v>
      </c>
      <c r="C96" s="7" t="s">
        <v>25</v>
      </c>
      <c r="D96" s="7" t="s">
        <v>26</v>
      </c>
      <c r="E96" s="7" t="s">
        <v>27</v>
      </c>
      <c r="F96" s="7" t="s">
        <v>28</v>
      </c>
      <c r="G96" s="7" t="s">
        <v>260</v>
      </c>
    </row>
    <row r="97" spans="1:7" x14ac:dyDescent="0.35">
      <c r="A97" s="8"/>
      <c r="B97" s="9" t="s">
        <v>29</v>
      </c>
      <c r="C97" s="9"/>
      <c r="D97" s="9" t="s">
        <v>32</v>
      </c>
      <c r="E97" s="8"/>
      <c r="F97" s="8"/>
      <c r="G97" s="8"/>
    </row>
    <row r="98" spans="1:7" x14ac:dyDescent="0.35">
      <c r="A98" s="10">
        <v>1</v>
      </c>
      <c r="B98" s="6" t="s">
        <v>187</v>
      </c>
      <c r="C98" s="6" t="s">
        <v>399</v>
      </c>
      <c r="D98" s="6" t="s">
        <v>34</v>
      </c>
      <c r="E98" s="10"/>
      <c r="F98" s="10"/>
      <c r="G98" s="10">
        <v>5</v>
      </c>
    </row>
    <row r="99" spans="1:7" x14ac:dyDescent="0.35">
      <c r="A99" s="10">
        <v>2</v>
      </c>
      <c r="B99" s="6" t="s">
        <v>400</v>
      </c>
      <c r="C99" s="6" t="s">
        <v>401</v>
      </c>
      <c r="D99" s="6" t="s">
        <v>38</v>
      </c>
      <c r="E99" s="10"/>
      <c r="F99" s="10"/>
      <c r="G99" s="10">
        <v>3</v>
      </c>
    </row>
    <row r="100" spans="1:7" x14ac:dyDescent="0.35">
      <c r="A100" s="10">
        <v>3</v>
      </c>
      <c r="B100" s="6" t="s">
        <v>284</v>
      </c>
      <c r="C100" s="6" t="s">
        <v>402</v>
      </c>
      <c r="D100" s="6" t="s">
        <v>154</v>
      </c>
      <c r="E100" s="10"/>
      <c r="F100" s="10"/>
      <c r="G100" s="10">
        <v>2</v>
      </c>
    </row>
    <row r="101" spans="1:7" x14ac:dyDescent="0.35">
      <c r="A101" s="10">
        <v>4</v>
      </c>
      <c r="B101" s="6" t="s">
        <v>207</v>
      </c>
      <c r="C101" s="6" t="s">
        <v>403</v>
      </c>
      <c r="D101" s="6" t="s">
        <v>270</v>
      </c>
      <c r="E101" s="10"/>
      <c r="F101" s="10"/>
      <c r="G101" s="10">
        <v>2</v>
      </c>
    </row>
    <row r="102" spans="1:7" x14ac:dyDescent="0.35">
      <c r="A102" s="10">
        <v>5</v>
      </c>
      <c r="B102" s="6" t="s">
        <v>207</v>
      </c>
      <c r="C102" s="6" t="s">
        <v>404</v>
      </c>
      <c r="D102" s="6" t="s">
        <v>194</v>
      </c>
      <c r="E102" s="10"/>
      <c r="F102" s="10"/>
      <c r="G102" s="10">
        <v>3</v>
      </c>
    </row>
    <row r="103" spans="1:7" x14ac:dyDescent="0.35">
      <c r="A103" s="10">
        <v>6</v>
      </c>
      <c r="B103" s="6" t="s">
        <v>138</v>
      </c>
      <c r="C103" s="6" t="s">
        <v>405</v>
      </c>
      <c r="D103" s="6" t="s">
        <v>47</v>
      </c>
      <c r="E103" s="10"/>
      <c r="F103" s="10"/>
      <c r="G103" s="10">
        <v>1</v>
      </c>
    </row>
    <row r="104" spans="1:7" x14ac:dyDescent="0.35">
      <c r="A104" s="8"/>
      <c r="B104" s="9" t="s">
        <v>74</v>
      </c>
      <c r="C104" s="9"/>
      <c r="D104" s="9" t="s">
        <v>51</v>
      </c>
      <c r="E104" s="8">
        <v>24</v>
      </c>
      <c r="F104" s="8">
        <v>18</v>
      </c>
      <c r="G104" s="8">
        <v>16</v>
      </c>
    </row>
    <row r="105" spans="1:7" x14ac:dyDescent="0.35">
      <c r="A105" s="10">
        <v>1</v>
      </c>
      <c r="B105" s="6" t="s">
        <v>406</v>
      </c>
      <c r="C105" s="6" t="s">
        <v>407</v>
      </c>
      <c r="D105" s="6" t="s">
        <v>408</v>
      </c>
      <c r="E105" s="10"/>
      <c r="F105" s="10"/>
      <c r="G105" s="10">
        <v>5</v>
      </c>
    </row>
    <row r="106" spans="1:7" x14ac:dyDescent="0.35">
      <c r="A106" s="10">
        <v>2</v>
      </c>
      <c r="B106" s="6" t="s">
        <v>409</v>
      </c>
      <c r="C106" s="6" t="s">
        <v>410</v>
      </c>
      <c r="D106" s="6" t="s">
        <v>162</v>
      </c>
      <c r="E106" s="10"/>
      <c r="F106" s="10"/>
      <c r="G106" s="10">
        <v>3</v>
      </c>
    </row>
    <row r="107" spans="1:7" x14ac:dyDescent="0.35">
      <c r="A107" s="10">
        <v>3</v>
      </c>
      <c r="B107" s="6" t="s">
        <v>286</v>
      </c>
      <c r="C107" s="6" t="s">
        <v>411</v>
      </c>
      <c r="D107" s="6" t="s">
        <v>61</v>
      </c>
      <c r="E107" s="10"/>
      <c r="F107" s="10"/>
      <c r="G107" s="10">
        <v>3</v>
      </c>
    </row>
    <row r="108" spans="1:7" x14ac:dyDescent="0.35">
      <c r="A108" s="10">
        <v>4</v>
      </c>
      <c r="B108" s="6" t="s">
        <v>187</v>
      </c>
      <c r="C108" s="6" t="s">
        <v>325</v>
      </c>
      <c r="D108" s="6" t="s">
        <v>63</v>
      </c>
      <c r="E108" s="10"/>
      <c r="F108" s="10"/>
      <c r="G108" s="10">
        <v>5</v>
      </c>
    </row>
    <row r="109" spans="1:7" x14ac:dyDescent="0.35">
      <c r="A109" s="8"/>
      <c r="B109" s="9" t="s">
        <v>74</v>
      </c>
      <c r="C109" s="9"/>
      <c r="D109" s="9" t="s">
        <v>244</v>
      </c>
      <c r="E109" s="8">
        <v>26</v>
      </c>
      <c r="F109" s="8">
        <v>18</v>
      </c>
      <c r="G109" s="8">
        <v>16</v>
      </c>
    </row>
    <row r="110" spans="1:7" x14ac:dyDescent="0.35">
      <c r="A110" s="10">
        <v>1</v>
      </c>
      <c r="B110" s="6" t="s">
        <v>187</v>
      </c>
      <c r="C110" s="6" t="s">
        <v>301</v>
      </c>
      <c r="D110" s="6" t="s">
        <v>127</v>
      </c>
      <c r="E110" s="10"/>
      <c r="F110" s="10"/>
      <c r="G110" s="10">
        <v>4</v>
      </c>
    </row>
    <row r="111" spans="1:7" x14ac:dyDescent="0.35">
      <c r="A111" s="10">
        <v>2</v>
      </c>
      <c r="B111" s="6" t="s">
        <v>284</v>
      </c>
      <c r="C111" s="6" t="s">
        <v>412</v>
      </c>
      <c r="D111" s="6" t="s">
        <v>130</v>
      </c>
      <c r="E111" s="10"/>
      <c r="F111" s="10"/>
      <c r="G111" s="10">
        <v>3</v>
      </c>
    </row>
    <row r="112" spans="1:7" x14ac:dyDescent="0.35">
      <c r="A112" s="10">
        <v>3</v>
      </c>
      <c r="B112" s="6" t="s">
        <v>344</v>
      </c>
      <c r="C112" s="6" t="s">
        <v>413</v>
      </c>
      <c r="D112" s="6" t="s">
        <v>174</v>
      </c>
      <c r="E112" s="10"/>
      <c r="F112" s="10"/>
      <c r="G112" s="10">
        <v>5</v>
      </c>
    </row>
    <row r="113" spans="1:7" x14ac:dyDescent="0.35">
      <c r="A113" s="10">
        <v>4</v>
      </c>
      <c r="B113" s="6" t="s">
        <v>344</v>
      </c>
      <c r="C113" s="6" t="s">
        <v>414</v>
      </c>
      <c r="D113" s="6" t="s">
        <v>328</v>
      </c>
      <c r="E113" s="10"/>
      <c r="F113" s="10"/>
      <c r="G113" s="10">
        <v>4</v>
      </c>
    </row>
    <row r="114" spans="1:7" x14ac:dyDescent="0.35">
      <c r="A114" s="8"/>
      <c r="B114" s="9" t="s">
        <v>74</v>
      </c>
      <c r="C114" s="9"/>
      <c r="D114" s="9" t="s">
        <v>87</v>
      </c>
      <c r="E114" s="8">
        <v>20</v>
      </c>
      <c r="F114" s="8">
        <v>18</v>
      </c>
      <c r="G114" s="8">
        <v>16</v>
      </c>
    </row>
    <row r="115" spans="1:7" x14ac:dyDescent="0.35">
      <c r="A115" s="10">
        <v>1</v>
      </c>
      <c r="B115" s="6" t="s">
        <v>400</v>
      </c>
      <c r="C115" s="6" t="s">
        <v>415</v>
      </c>
      <c r="D115" s="6" t="s">
        <v>139</v>
      </c>
      <c r="E115" s="10"/>
      <c r="F115" s="10"/>
      <c r="G115" s="10">
        <v>5</v>
      </c>
    </row>
    <row r="116" spans="1:7" x14ac:dyDescent="0.35">
      <c r="A116" s="10">
        <v>2</v>
      </c>
      <c r="B116" s="6" t="s">
        <v>409</v>
      </c>
      <c r="C116" s="6" t="s">
        <v>416</v>
      </c>
      <c r="D116" s="6" t="s">
        <v>91</v>
      </c>
      <c r="E116" s="10"/>
      <c r="F116" s="10"/>
      <c r="G116" s="10">
        <v>5</v>
      </c>
    </row>
    <row r="117" spans="1:7" x14ac:dyDescent="0.35">
      <c r="A117" s="10">
        <v>3</v>
      </c>
      <c r="B117" s="6" t="s">
        <v>138</v>
      </c>
      <c r="C117" s="6" t="s">
        <v>405</v>
      </c>
      <c r="D117" s="6" t="s">
        <v>418</v>
      </c>
      <c r="E117" s="10"/>
      <c r="F117" s="10"/>
      <c r="G117" s="10">
        <v>1</v>
      </c>
    </row>
    <row r="118" spans="1:7" x14ac:dyDescent="0.35">
      <c r="A118" s="10">
        <v>4</v>
      </c>
      <c r="B118" s="6" t="s">
        <v>209</v>
      </c>
      <c r="C118" s="6" t="s">
        <v>430</v>
      </c>
      <c r="D118" s="6" t="s">
        <v>186</v>
      </c>
      <c r="E118" s="10"/>
      <c r="F118" s="10"/>
      <c r="G118" s="10">
        <v>2</v>
      </c>
    </row>
    <row r="119" spans="1:7" x14ac:dyDescent="0.35">
      <c r="A119" s="10">
        <v>5</v>
      </c>
      <c r="B119" s="6" t="s">
        <v>347</v>
      </c>
      <c r="C119" s="6" t="s">
        <v>431</v>
      </c>
      <c r="D119" s="6" t="s">
        <v>226</v>
      </c>
      <c r="E119" s="10"/>
      <c r="F119" s="10"/>
      <c r="G119" s="10">
        <v>2</v>
      </c>
    </row>
    <row r="120" spans="1:7" x14ac:dyDescent="0.35">
      <c r="A120" s="10">
        <v>6</v>
      </c>
      <c r="B120" s="6" t="s">
        <v>209</v>
      </c>
      <c r="C120" s="6" t="s">
        <v>421</v>
      </c>
      <c r="D120" s="6" t="s">
        <v>259</v>
      </c>
      <c r="E120" s="10"/>
      <c r="F120" s="10"/>
      <c r="G120" s="10">
        <v>1</v>
      </c>
    </row>
    <row r="121" spans="1:7" x14ac:dyDescent="0.35">
      <c r="A121" s="8"/>
      <c r="B121" s="9" t="s">
        <v>74</v>
      </c>
      <c r="C121" s="9"/>
      <c r="D121" s="9" t="s">
        <v>359</v>
      </c>
      <c r="E121" s="8">
        <v>25</v>
      </c>
      <c r="F121" s="8">
        <v>18</v>
      </c>
      <c r="G121" s="8">
        <v>16</v>
      </c>
    </row>
    <row r="122" spans="1:7" x14ac:dyDescent="0.35">
      <c r="A122" s="8"/>
      <c r="B122" s="9" t="s">
        <v>29</v>
      </c>
      <c r="C122" s="9"/>
      <c r="D122" s="9" t="s">
        <v>422</v>
      </c>
      <c r="E122" s="8"/>
      <c r="F122" s="8"/>
      <c r="G122" s="8"/>
    </row>
    <row r="123" spans="1:7" x14ac:dyDescent="0.35">
      <c r="A123" s="11"/>
      <c r="B123" s="12" t="s">
        <v>95</v>
      </c>
      <c r="C123" s="12"/>
      <c r="D123" s="12"/>
      <c r="E123" s="11">
        <v>95</v>
      </c>
      <c r="F123" s="11">
        <v>72</v>
      </c>
      <c r="G123" s="11">
        <v>64</v>
      </c>
    </row>
    <row r="125" spans="1:7" x14ac:dyDescent="0.35">
      <c r="A125" s="74" t="s">
        <v>432</v>
      </c>
      <c r="B125" s="75"/>
      <c r="C125" s="75"/>
      <c r="D125" s="75"/>
      <c r="E125" s="75"/>
      <c r="F125" s="75"/>
      <c r="G125" s="76"/>
    </row>
    <row r="126" spans="1:7" x14ac:dyDescent="0.35">
      <c r="A126" s="7" t="s">
        <v>2</v>
      </c>
      <c r="B126" s="7" t="s">
        <v>24</v>
      </c>
      <c r="C126" s="7" t="s">
        <v>25</v>
      </c>
      <c r="D126" s="7" t="s">
        <v>26</v>
      </c>
      <c r="E126" s="7" t="s">
        <v>27</v>
      </c>
      <c r="F126" s="7" t="s">
        <v>28</v>
      </c>
      <c r="G126" s="7" t="s">
        <v>260</v>
      </c>
    </row>
    <row r="127" spans="1:7" x14ac:dyDescent="0.35">
      <c r="A127" s="8"/>
      <c r="B127" s="9" t="s">
        <v>29</v>
      </c>
      <c r="C127" s="9"/>
      <c r="D127" s="9" t="s">
        <v>32</v>
      </c>
      <c r="E127" s="8"/>
      <c r="F127" s="8"/>
      <c r="G127" s="8"/>
    </row>
    <row r="128" spans="1:7" x14ac:dyDescent="0.35">
      <c r="A128" s="10">
        <v>1</v>
      </c>
      <c r="B128" s="6" t="s">
        <v>187</v>
      </c>
      <c r="C128" s="6" t="s">
        <v>399</v>
      </c>
      <c r="D128" s="6" t="s">
        <v>34</v>
      </c>
      <c r="E128" s="10"/>
      <c r="F128" s="10"/>
      <c r="G128" s="10">
        <v>5</v>
      </c>
    </row>
    <row r="129" spans="1:7" x14ac:dyDescent="0.35">
      <c r="A129" s="10">
        <v>2</v>
      </c>
      <c r="B129" s="6" t="s">
        <v>400</v>
      </c>
      <c r="C129" s="6" t="s">
        <v>401</v>
      </c>
      <c r="D129" s="6" t="s">
        <v>38</v>
      </c>
      <c r="E129" s="10"/>
      <c r="F129" s="10"/>
      <c r="G129" s="10">
        <v>3</v>
      </c>
    </row>
    <row r="130" spans="1:7" x14ac:dyDescent="0.35">
      <c r="A130" s="10">
        <v>3</v>
      </c>
      <c r="B130" s="6" t="s">
        <v>284</v>
      </c>
      <c r="C130" s="6" t="s">
        <v>402</v>
      </c>
      <c r="D130" s="6" t="s">
        <v>154</v>
      </c>
      <c r="E130" s="10"/>
      <c r="F130" s="10"/>
      <c r="G130" s="10">
        <v>2</v>
      </c>
    </row>
    <row r="131" spans="1:7" x14ac:dyDescent="0.35">
      <c r="A131" s="10">
        <v>4</v>
      </c>
      <c r="B131" s="6" t="s">
        <v>207</v>
      </c>
      <c r="C131" s="6" t="s">
        <v>403</v>
      </c>
      <c r="D131" s="6" t="s">
        <v>270</v>
      </c>
      <c r="E131" s="10"/>
      <c r="F131" s="10"/>
      <c r="G131" s="10">
        <v>2</v>
      </c>
    </row>
    <row r="132" spans="1:7" x14ac:dyDescent="0.35">
      <c r="A132" s="10">
        <v>5</v>
      </c>
      <c r="B132" s="6" t="s">
        <v>207</v>
      </c>
      <c r="C132" s="6" t="s">
        <v>404</v>
      </c>
      <c r="D132" s="6" t="s">
        <v>194</v>
      </c>
      <c r="E132" s="10"/>
      <c r="F132" s="10"/>
      <c r="G132" s="10">
        <v>3</v>
      </c>
    </row>
    <row r="133" spans="1:7" x14ac:dyDescent="0.35">
      <c r="A133" s="10">
        <v>6</v>
      </c>
      <c r="B133" s="6" t="s">
        <v>138</v>
      </c>
      <c r="C133" s="6" t="s">
        <v>405</v>
      </c>
      <c r="D133" s="6" t="s">
        <v>47</v>
      </c>
      <c r="E133" s="10"/>
      <c r="F133" s="10"/>
      <c r="G133" s="10">
        <v>1</v>
      </c>
    </row>
    <row r="134" spans="1:7" x14ac:dyDescent="0.35">
      <c r="A134" s="8"/>
      <c r="B134" s="9" t="s">
        <v>74</v>
      </c>
      <c r="C134" s="9"/>
      <c r="D134" s="9" t="s">
        <v>51</v>
      </c>
      <c r="E134" s="8">
        <v>24</v>
      </c>
      <c r="F134" s="8">
        <v>18</v>
      </c>
      <c r="G134" s="8">
        <v>16</v>
      </c>
    </row>
    <row r="135" spans="1:7" x14ac:dyDescent="0.35">
      <c r="A135" s="10">
        <v>1</v>
      </c>
      <c r="B135" s="6" t="s">
        <v>406</v>
      </c>
      <c r="C135" s="6" t="s">
        <v>407</v>
      </c>
      <c r="D135" s="6" t="s">
        <v>408</v>
      </c>
      <c r="E135" s="10"/>
      <c r="F135" s="10"/>
      <c r="G135" s="10">
        <v>5</v>
      </c>
    </row>
    <row r="136" spans="1:7" x14ac:dyDescent="0.35">
      <c r="A136" s="10">
        <v>2</v>
      </c>
      <c r="B136" s="6" t="s">
        <v>409</v>
      </c>
      <c r="C136" s="6" t="s">
        <v>410</v>
      </c>
      <c r="D136" s="6" t="s">
        <v>162</v>
      </c>
      <c r="E136" s="10"/>
      <c r="F136" s="10"/>
      <c r="G136" s="10">
        <v>3</v>
      </c>
    </row>
    <row r="137" spans="1:7" x14ac:dyDescent="0.35">
      <c r="A137" s="10">
        <v>3</v>
      </c>
      <c r="B137" s="6" t="s">
        <v>286</v>
      </c>
      <c r="C137" s="6" t="s">
        <v>411</v>
      </c>
      <c r="D137" s="6" t="s">
        <v>61</v>
      </c>
      <c r="E137" s="10"/>
      <c r="F137" s="10"/>
      <c r="G137" s="10">
        <v>3</v>
      </c>
    </row>
    <row r="138" spans="1:7" x14ac:dyDescent="0.35">
      <c r="A138" s="10">
        <v>4</v>
      </c>
      <c r="B138" s="6" t="s">
        <v>187</v>
      </c>
      <c r="C138" s="6" t="s">
        <v>325</v>
      </c>
      <c r="D138" s="6" t="s">
        <v>63</v>
      </c>
      <c r="E138" s="10"/>
      <c r="F138" s="10"/>
      <c r="G138" s="10">
        <v>5</v>
      </c>
    </row>
    <row r="139" spans="1:7" x14ac:dyDescent="0.35">
      <c r="A139" s="8"/>
      <c r="B139" s="9" t="s">
        <v>74</v>
      </c>
      <c r="C139" s="9"/>
      <c r="D139" s="9" t="s">
        <v>244</v>
      </c>
      <c r="E139" s="8">
        <v>26</v>
      </c>
      <c r="F139" s="8">
        <v>18</v>
      </c>
      <c r="G139" s="8">
        <v>16</v>
      </c>
    </row>
    <row r="140" spans="1:7" x14ac:dyDescent="0.35">
      <c r="A140" s="10">
        <v>1</v>
      </c>
      <c r="B140" s="6" t="s">
        <v>187</v>
      </c>
      <c r="C140" s="6" t="s">
        <v>301</v>
      </c>
      <c r="D140" s="6" t="s">
        <v>127</v>
      </c>
      <c r="E140" s="10"/>
      <c r="F140" s="10"/>
      <c r="G140" s="10">
        <v>4</v>
      </c>
    </row>
    <row r="141" spans="1:7" x14ac:dyDescent="0.35">
      <c r="A141" s="10">
        <v>2</v>
      </c>
      <c r="B141" s="6" t="s">
        <v>284</v>
      </c>
      <c r="C141" s="6" t="s">
        <v>412</v>
      </c>
      <c r="D141" s="6" t="s">
        <v>130</v>
      </c>
      <c r="E141" s="10"/>
      <c r="F141" s="10"/>
      <c r="G141" s="10">
        <v>3</v>
      </c>
    </row>
    <row r="142" spans="1:7" x14ac:dyDescent="0.35">
      <c r="A142" s="10">
        <v>3</v>
      </c>
      <c r="B142" s="6" t="s">
        <v>344</v>
      </c>
      <c r="C142" s="6" t="s">
        <v>413</v>
      </c>
      <c r="D142" s="6" t="s">
        <v>174</v>
      </c>
      <c r="E142" s="10"/>
      <c r="F142" s="10"/>
      <c r="G142" s="10">
        <v>5</v>
      </c>
    </row>
    <row r="143" spans="1:7" x14ac:dyDescent="0.35">
      <c r="A143" s="10">
        <v>4</v>
      </c>
      <c r="B143" s="6" t="s">
        <v>344</v>
      </c>
      <c r="C143" s="6" t="s">
        <v>414</v>
      </c>
      <c r="D143" s="6" t="s">
        <v>328</v>
      </c>
      <c r="E143" s="10"/>
      <c r="F143" s="10"/>
      <c r="G143" s="10">
        <v>4</v>
      </c>
    </row>
    <row r="144" spans="1:7" x14ac:dyDescent="0.35">
      <c r="A144" s="8"/>
      <c r="B144" s="9" t="s">
        <v>74</v>
      </c>
      <c r="C144" s="9"/>
      <c r="D144" s="9" t="s">
        <v>87</v>
      </c>
      <c r="E144" s="8">
        <v>20</v>
      </c>
      <c r="F144" s="8">
        <v>18</v>
      </c>
      <c r="G144" s="8">
        <v>16</v>
      </c>
    </row>
    <row r="145" spans="1:7" x14ac:dyDescent="0.35">
      <c r="A145" s="10">
        <v>1</v>
      </c>
      <c r="B145" s="6" t="s">
        <v>400</v>
      </c>
      <c r="C145" s="6" t="s">
        <v>415</v>
      </c>
      <c r="D145" s="6" t="s">
        <v>139</v>
      </c>
      <c r="E145" s="10"/>
      <c r="F145" s="10"/>
      <c r="G145" s="10">
        <v>4</v>
      </c>
    </row>
    <row r="146" spans="1:7" x14ac:dyDescent="0.35">
      <c r="A146" s="10">
        <v>2</v>
      </c>
      <c r="B146" s="6" t="s">
        <v>138</v>
      </c>
      <c r="C146" s="6" t="s">
        <v>405</v>
      </c>
      <c r="D146" s="6" t="s">
        <v>333</v>
      </c>
      <c r="E146" s="10"/>
      <c r="F146" s="10"/>
      <c r="G146" s="10">
        <v>1</v>
      </c>
    </row>
    <row r="147" spans="1:7" x14ac:dyDescent="0.35">
      <c r="A147" s="10">
        <v>3</v>
      </c>
      <c r="B147" s="6" t="s">
        <v>286</v>
      </c>
      <c r="C147" s="6" t="s">
        <v>411</v>
      </c>
      <c r="D147" s="6" t="s">
        <v>183</v>
      </c>
      <c r="E147" s="10"/>
      <c r="F147" s="10"/>
      <c r="G147" s="10">
        <v>3</v>
      </c>
    </row>
    <row r="148" spans="1:7" x14ac:dyDescent="0.35">
      <c r="A148" s="10">
        <v>4</v>
      </c>
      <c r="B148" s="6" t="s">
        <v>207</v>
      </c>
      <c r="C148" s="6" t="s">
        <v>404</v>
      </c>
      <c r="D148" s="6" t="s">
        <v>418</v>
      </c>
      <c r="E148" s="10"/>
      <c r="F148" s="10"/>
      <c r="G148" s="10">
        <v>3</v>
      </c>
    </row>
    <row r="149" spans="1:7" x14ac:dyDescent="0.35">
      <c r="A149" s="10">
        <v>5</v>
      </c>
      <c r="B149" s="6" t="s">
        <v>284</v>
      </c>
      <c r="C149" s="6" t="s">
        <v>402</v>
      </c>
      <c r="D149" s="6" t="s">
        <v>143</v>
      </c>
      <c r="E149" s="10"/>
      <c r="F149" s="10"/>
      <c r="G149" s="10">
        <v>2</v>
      </c>
    </row>
    <row r="150" spans="1:7" x14ac:dyDescent="0.35">
      <c r="A150" s="10">
        <v>6</v>
      </c>
      <c r="B150" s="6" t="s">
        <v>400</v>
      </c>
      <c r="C150" s="6" t="s">
        <v>401</v>
      </c>
      <c r="D150" s="6" t="s">
        <v>188</v>
      </c>
      <c r="E150" s="10"/>
      <c r="F150" s="10"/>
      <c r="G150" s="10">
        <v>3</v>
      </c>
    </row>
    <row r="151" spans="1:7" x14ac:dyDescent="0.35">
      <c r="A151" s="8"/>
      <c r="B151" s="9" t="s">
        <v>74</v>
      </c>
      <c r="C151" s="9"/>
      <c r="D151" s="9" t="s">
        <v>189</v>
      </c>
      <c r="E151" s="8">
        <v>22</v>
      </c>
      <c r="F151" s="8">
        <v>18</v>
      </c>
      <c r="G151" s="8">
        <v>16</v>
      </c>
    </row>
    <row r="152" spans="1:7" x14ac:dyDescent="0.35">
      <c r="A152" s="8"/>
      <c r="B152" s="9" t="s">
        <v>29</v>
      </c>
      <c r="C152" s="9"/>
      <c r="D152" s="9" t="s">
        <v>429</v>
      </c>
      <c r="E152" s="8"/>
      <c r="F152" s="8"/>
      <c r="G152" s="8"/>
    </row>
    <row r="153" spans="1:7" x14ac:dyDescent="0.35">
      <c r="A153" s="11"/>
      <c r="B153" s="12" t="s">
        <v>95</v>
      </c>
      <c r="C153" s="12"/>
      <c r="D153" s="12"/>
      <c r="E153" s="11">
        <v>92</v>
      </c>
      <c r="F153" s="11">
        <v>72</v>
      </c>
      <c r="G153" s="11">
        <v>64</v>
      </c>
    </row>
  </sheetData>
  <mergeCells count="6">
    <mergeCell ref="A1:G1"/>
    <mergeCell ref="A3:G3"/>
    <mergeCell ref="A34:G34"/>
    <mergeCell ref="A95:G95"/>
    <mergeCell ref="A125:G125"/>
    <mergeCell ref="A65:G6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76"/>
  <sheetViews>
    <sheetView showGridLines="0" workbookViewId="0">
      <pane ySplit="3" topLeftCell="A4" activePane="bottomLeft" state="frozen"/>
      <selection activeCell="H25" sqref="H25:H26"/>
      <selection pane="bottomLeft" activeCell="H25" sqref="H25:H26"/>
    </sheetView>
  </sheetViews>
  <sheetFormatPr defaultRowHeight="14.5" x14ac:dyDescent="0.35"/>
  <cols>
    <col min="1" max="1" width="5" customWidth="1"/>
    <col min="2" max="2" width="30" customWidth="1"/>
    <col min="3" max="3" width="24" customWidth="1"/>
    <col min="4" max="4" width="8" customWidth="1"/>
    <col min="5" max="6" width="7" customWidth="1"/>
    <col min="7" max="7" width="11" customWidth="1"/>
  </cols>
  <sheetData>
    <row r="1" spans="1:7" ht="20" customHeight="1" x14ac:dyDescent="0.35">
      <c r="A1" s="77" t="s">
        <v>16</v>
      </c>
      <c r="B1" s="72"/>
      <c r="C1" s="72"/>
      <c r="D1" s="72"/>
      <c r="E1" s="72"/>
      <c r="F1" s="72"/>
      <c r="G1" s="72"/>
    </row>
    <row r="3" spans="1:7" x14ac:dyDescent="0.35">
      <c r="A3" s="74" t="s">
        <v>23</v>
      </c>
      <c r="B3" s="75"/>
      <c r="C3" s="75"/>
      <c r="D3" s="75"/>
      <c r="E3" s="75"/>
      <c r="F3" s="75"/>
      <c r="G3" s="76"/>
    </row>
    <row r="4" spans="1:7" x14ac:dyDescent="0.35">
      <c r="A4" s="7" t="s">
        <v>2</v>
      </c>
      <c r="B4" s="7" t="s">
        <v>24</v>
      </c>
      <c r="C4" s="7" t="s">
        <v>25</v>
      </c>
      <c r="D4" s="7" t="s">
        <v>26</v>
      </c>
      <c r="E4" s="7" t="s">
        <v>27</v>
      </c>
      <c r="F4" s="7" t="s">
        <v>28</v>
      </c>
      <c r="G4" s="7" t="s">
        <v>260</v>
      </c>
    </row>
    <row r="5" spans="1:7" x14ac:dyDescent="0.35">
      <c r="A5" s="8"/>
      <c r="B5" s="9" t="s">
        <v>29</v>
      </c>
      <c r="C5" s="9"/>
      <c r="D5" s="9" t="s">
        <v>32</v>
      </c>
      <c r="E5" s="8"/>
      <c r="F5" s="8"/>
      <c r="G5" s="8"/>
    </row>
    <row r="6" spans="1:7" x14ac:dyDescent="0.35">
      <c r="A6" s="10">
        <v>1</v>
      </c>
      <c r="B6" s="6" t="s">
        <v>138</v>
      </c>
      <c r="C6" s="6" t="s">
        <v>311</v>
      </c>
      <c r="D6" s="6" t="s">
        <v>34</v>
      </c>
      <c r="E6" s="10"/>
      <c r="F6" s="10"/>
      <c r="G6" s="10">
        <v>1</v>
      </c>
    </row>
    <row r="7" spans="1:7" x14ac:dyDescent="0.35">
      <c r="A7" s="10">
        <v>2</v>
      </c>
      <c r="B7" s="6" t="s">
        <v>138</v>
      </c>
      <c r="C7" s="6" t="s">
        <v>312</v>
      </c>
      <c r="D7" s="6" t="s">
        <v>148</v>
      </c>
      <c r="E7" s="10"/>
      <c r="F7" s="10"/>
      <c r="G7" s="10">
        <v>3</v>
      </c>
    </row>
    <row r="8" spans="1:7" x14ac:dyDescent="0.35">
      <c r="A8" s="10">
        <v>3</v>
      </c>
      <c r="B8" s="6" t="s">
        <v>88</v>
      </c>
      <c r="C8" s="6" t="s">
        <v>433</v>
      </c>
      <c r="D8" s="6" t="s">
        <v>150</v>
      </c>
      <c r="E8" s="10"/>
      <c r="F8" s="10"/>
      <c r="G8" s="10">
        <v>1</v>
      </c>
    </row>
    <row r="9" spans="1:7" x14ac:dyDescent="0.35">
      <c r="A9" s="10">
        <v>4</v>
      </c>
      <c r="B9" s="6" t="s">
        <v>286</v>
      </c>
      <c r="C9" s="6" t="s">
        <v>313</v>
      </c>
      <c r="D9" s="6" t="s">
        <v>152</v>
      </c>
      <c r="E9" s="10"/>
      <c r="F9" s="10"/>
      <c r="G9" s="10">
        <v>3</v>
      </c>
    </row>
    <row r="10" spans="1:7" x14ac:dyDescent="0.35">
      <c r="A10" s="10">
        <v>5</v>
      </c>
      <c r="B10" s="6" t="s">
        <v>140</v>
      </c>
      <c r="C10" s="6" t="s">
        <v>314</v>
      </c>
      <c r="D10" s="6" t="s">
        <v>41</v>
      </c>
      <c r="E10" s="10"/>
      <c r="F10" s="10"/>
      <c r="G10" s="10">
        <v>4</v>
      </c>
    </row>
    <row r="11" spans="1:7" x14ac:dyDescent="0.35">
      <c r="A11" s="10">
        <v>6</v>
      </c>
      <c r="B11" s="6" t="s">
        <v>434</v>
      </c>
      <c r="C11" s="6"/>
      <c r="D11" s="6" t="s">
        <v>194</v>
      </c>
      <c r="E11" s="10"/>
      <c r="F11" s="10"/>
      <c r="G11" s="10">
        <v>3</v>
      </c>
    </row>
    <row r="12" spans="1:7" x14ac:dyDescent="0.35">
      <c r="A12" s="10">
        <v>7</v>
      </c>
      <c r="B12" s="6" t="s">
        <v>435</v>
      </c>
      <c r="C12" s="6" t="s">
        <v>436</v>
      </c>
      <c r="D12" s="6" t="s">
        <v>273</v>
      </c>
      <c r="E12" s="10"/>
      <c r="F12" s="10"/>
      <c r="G12" s="10">
        <v>1</v>
      </c>
    </row>
    <row r="13" spans="1:7" x14ac:dyDescent="0.35">
      <c r="A13" s="10">
        <v>8</v>
      </c>
      <c r="B13" s="6" t="s">
        <v>209</v>
      </c>
      <c r="C13" s="6" t="s">
        <v>437</v>
      </c>
      <c r="D13" s="6" t="s">
        <v>196</v>
      </c>
      <c r="E13" s="10"/>
      <c r="F13" s="10"/>
      <c r="G13" s="10">
        <v>2</v>
      </c>
    </row>
    <row r="14" spans="1:7" x14ac:dyDescent="0.35">
      <c r="A14" s="10">
        <v>9</v>
      </c>
      <c r="B14" s="6" t="s">
        <v>316</v>
      </c>
      <c r="C14" s="6" t="s">
        <v>318</v>
      </c>
      <c r="D14" s="6" t="s">
        <v>49</v>
      </c>
      <c r="E14" s="10"/>
      <c r="F14" s="10"/>
      <c r="G14" s="10">
        <v>1</v>
      </c>
    </row>
    <row r="15" spans="1:7" x14ac:dyDescent="0.35">
      <c r="A15" s="10">
        <v>10</v>
      </c>
      <c r="B15" s="6" t="s">
        <v>316</v>
      </c>
      <c r="C15" s="6" t="s">
        <v>317</v>
      </c>
      <c r="D15" s="6" t="s">
        <v>199</v>
      </c>
      <c r="E15" s="10"/>
      <c r="F15" s="10"/>
      <c r="G15" s="10">
        <v>2</v>
      </c>
    </row>
    <row r="16" spans="1:7" x14ac:dyDescent="0.35">
      <c r="A16" s="8"/>
      <c r="B16" s="9" t="s">
        <v>74</v>
      </c>
      <c r="C16" s="9"/>
      <c r="D16" s="9" t="s">
        <v>53</v>
      </c>
      <c r="E16" s="8">
        <v>25</v>
      </c>
      <c r="F16" s="8">
        <v>16</v>
      </c>
      <c r="G16" s="8">
        <v>21</v>
      </c>
    </row>
    <row r="17" spans="1:7" x14ac:dyDescent="0.35">
      <c r="A17" s="10">
        <v>1</v>
      </c>
      <c r="B17" s="6" t="s">
        <v>187</v>
      </c>
      <c r="C17" s="6" t="s">
        <v>319</v>
      </c>
      <c r="D17" s="6" t="s">
        <v>55</v>
      </c>
      <c r="E17" s="10"/>
      <c r="F17" s="10"/>
      <c r="G17" s="10">
        <v>4</v>
      </c>
    </row>
    <row r="18" spans="1:7" x14ac:dyDescent="0.35">
      <c r="A18" s="10">
        <v>2</v>
      </c>
      <c r="B18" s="6" t="s">
        <v>320</v>
      </c>
      <c r="C18" s="6" t="s">
        <v>321</v>
      </c>
      <c r="D18" s="6" t="s">
        <v>57</v>
      </c>
      <c r="E18" s="10"/>
      <c r="F18" s="10"/>
      <c r="G18" s="10">
        <v>4</v>
      </c>
    </row>
    <row r="19" spans="1:7" x14ac:dyDescent="0.35">
      <c r="A19" s="10">
        <v>3</v>
      </c>
      <c r="B19" s="6" t="s">
        <v>178</v>
      </c>
      <c r="C19" s="6" t="s">
        <v>336</v>
      </c>
      <c r="D19" s="6" t="s">
        <v>162</v>
      </c>
      <c r="E19" s="10"/>
      <c r="F19" s="10"/>
      <c r="G19" s="10">
        <v>4</v>
      </c>
    </row>
    <row r="20" spans="1:7" x14ac:dyDescent="0.35">
      <c r="A20" s="10">
        <v>4</v>
      </c>
      <c r="B20" s="6" t="s">
        <v>205</v>
      </c>
      <c r="C20" s="6" t="s">
        <v>326</v>
      </c>
      <c r="D20" s="6" t="s">
        <v>238</v>
      </c>
      <c r="E20" s="10"/>
      <c r="F20" s="10"/>
      <c r="G20" s="10">
        <v>3</v>
      </c>
    </row>
    <row r="21" spans="1:7" x14ac:dyDescent="0.35">
      <c r="A21" s="10">
        <v>5</v>
      </c>
      <c r="B21" s="6" t="s">
        <v>205</v>
      </c>
      <c r="C21" s="6" t="s">
        <v>325</v>
      </c>
      <c r="D21" s="6" t="s">
        <v>61</v>
      </c>
      <c r="E21" s="10"/>
      <c r="F21" s="10"/>
      <c r="G21" s="10">
        <v>5</v>
      </c>
    </row>
    <row r="22" spans="1:7" x14ac:dyDescent="0.35">
      <c r="A22" s="10">
        <v>6</v>
      </c>
      <c r="B22" s="6" t="s">
        <v>207</v>
      </c>
      <c r="C22" s="6" t="s">
        <v>438</v>
      </c>
      <c r="D22" s="6" t="s">
        <v>204</v>
      </c>
      <c r="E22" s="10"/>
      <c r="F22" s="10"/>
      <c r="G22" s="10">
        <v>1</v>
      </c>
    </row>
    <row r="23" spans="1:7" x14ac:dyDescent="0.35">
      <c r="A23" s="8"/>
      <c r="B23" s="9" t="s">
        <v>74</v>
      </c>
      <c r="C23" s="9"/>
      <c r="D23" s="9" t="s">
        <v>166</v>
      </c>
      <c r="E23" s="8">
        <v>20</v>
      </c>
      <c r="F23" s="8">
        <v>16</v>
      </c>
      <c r="G23" s="8">
        <v>21</v>
      </c>
    </row>
    <row r="24" spans="1:7" x14ac:dyDescent="0.35">
      <c r="A24" s="10">
        <v>1</v>
      </c>
      <c r="B24" s="6" t="s">
        <v>178</v>
      </c>
      <c r="C24" s="6" t="s">
        <v>334</v>
      </c>
      <c r="D24" s="6" t="s">
        <v>212</v>
      </c>
      <c r="E24" s="10"/>
      <c r="F24" s="10"/>
      <c r="G24" s="10">
        <v>5</v>
      </c>
    </row>
    <row r="25" spans="1:7" x14ac:dyDescent="0.35">
      <c r="A25" s="10">
        <v>2</v>
      </c>
      <c r="B25" s="6" t="s">
        <v>205</v>
      </c>
      <c r="C25" s="6" t="s">
        <v>439</v>
      </c>
      <c r="D25" s="6" t="s">
        <v>127</v>
      </c>
      <c r="E25" s="10"/>
      <c r="F25" s="10"/>
      <c r="G25" s="10">
        <v>5</v>
      </c>
    </row>
    <row r="26" spans="1:7" x14ac:dyDescent="0.35">
      <c r="A26" s="10">
        <v>3</v>
      </c>
      <c r="B26" s="6" t="s">
        <v>84</v>
      </c>
      <c r="C26" s="6"/>
      <c r="D26" s="6" t="s">
        <v>170</v>
      </c>
      <c r="E26" s="10"/>
      <c r="F26" s="10"/>
      <c r="G26" s="10">
        <v>3</v>
      </c>
    </row>
    <row r="27" spans="1:7" x14ac:dyDescent="0.35">
      <c r="A27" s="10">
        <v>4</v>
      </c>
      <c r="B27" s="6" t="s">
        <v>209</v>
      </c>
      <c r="C27" s="6" t="s">
        <v>440</v>
      </c>
      <c r="D27" s="6" t="s">
        <v>79</v>
      </c>
      <c r="E27" s="10"/>
      <c r="F27" s="10"/>
      <c r="G27" s="10">
        <v>2</v>
      </c>
    </row>
    <row r="28" spans="1:7" x14ac:dyDescent="0.35">
      <c r="A28" s="10">
        <v>5</v>
      </c>
      <c r="B28" s="6" t="s">
        <v>330</v>
      </c>
      <c r="C28" s="6" t="s">
        <v>331</v>
      </c>
      <c r="D28" s="6" t="s">
        <v>81</v>
      </c>
      <c r="E28" s="10"/>
      <c r="F28" s="10"/>
      <c r="G28" s="10">
        <v>3</v>
      </c>
    </row>
    <row r="29" spans="1:7" x14ac:dyDescent="0.35">
      <c r="A29" s="10">
        <v>6</v>
      </c>
      <c r="B29" s="6" t="s">
        <v>110</v>
      </c>
      <c r="C29" s="6" t="s">
        <v>441</v>
      </c>
      <c r="D29" s="6" t="s">
        <v>354</v>
      </c>
      <c r="E29" s="10"/>
      <c r="F29" s="10"/>
      <c r="G29" s="10">
        <v>3</v>
      </c>
    </row>
    <row r="30" spans="1:7" x14ac:dyDescent="0.35">
      <c r="A30" s="8"/>
      <c r="B30" s="9" t="s">
        <v>74</v>
      </c>
      <c r="C30" s="9"/>
      <c r="D30" s="9" t="s">
        <v>220</v>
      </c>
      <c r="E30" s="8">
        <v>20</v>
      </c>
      <c r="F30" s="8">
        <v>16</v>
      </c>
      <c r="G30" s="8">
        <v>21</v>
      </c>
    </row>
    <row r="31" spans="1:7" x14ac:dyDescent="0.35">
      <c r="A31" s="10">
        <v>1</v>
      </c>
      <c r="B31" s="6" t="s">
        <v>322</v>
      </c>
      <c r="C31" s="6" t="s">
        <v>323</v>
      </c>
      <c r="D31" s="6" t="s">
        <v>87</v>
      </c>
      <c r="E31" s="10"/>
      <c r="F31" s="10"/>
      <c r="G31" s="10">
        <v>3</v>
      </c>
    </row>
    <row r="32" spans="1:7" x14ac:dyDescent="0.35">
      <c r="A32" s="10">
        <v>2</v>
      </c>
      <c r="B32" s="6" t="s">
        <v>364</v>
      </c>
      <c r="C32" s="6" t="s">
        <v>442</v>
      </c>
      <c r="D32" s="6" t="s">
        <v>179</v>
      </c>
      <c r="E32" s="10"/>
      <c r="F32" s="10"/>
      <c r="G32" s="10">
        <v>3</v>
      </c>
    </row>
    <row r="33" spans="1:7" x14ac:dyDescent="0.35">
      <c r="A33" s="10">
        <v>3</v>
      </c>
      <c r="B33" s="6" t="s">
        <v>315</v>
      </c>
      <c r="C33" s="6"/>
      <c r="D33" s="6" t="s">
        <v>333</v>
      </c>
      <c r="E33" s="10"/>
      <c r="F33" s="10"/>
      <c r="G33" s="10">
        <v>3</v>
      </c>
    </row>
    <row r="34" spans="1:7" x14ac:dyDescent="0.35">
      <c r="A34" s="10">
        <v>4</v>
      </c>
      <c r="B34" s="6" t="s">
        <v>138</v>
      </c>
      <c r="C34" s="6" t="s">
        <v>311</v>
      </c>
      <c r="D34" s="6" t="s">
        <v>257</v>
      </c>
      <c r="E34" s="10"/>
      <c r="F34" s="10"/>
      <c r="G34" s="10">
        <v>1</v>
      </c>
    </row>
    <row r="35" spans="1:7" x14ac:dyDescent="0.35">
      <c r="A35" s="10">
        <v>5</v>
      </c>
      <c r="B35" s="6" t="s">
        <v>205</v>
      </c>
      <c r="C35" s="6" t="s">
        <v>325</v>
      </c>
      <c r="D35" s="6" t="s">
        <v>93</v>
      </c>
      <c r="E35" s="10"/>
      <c r="F35" s="10"/>
      <c r="G35" s="10">
        <v>5</v>
      </c>
    </row>
    <row r="36" spans="1:7" x14ac:dyDescent="0.35">
      <c r="A36" s="10">
        <v>6</v>
      </c>
      <c r="B36" s="6" t="s">
        <v>138</v>
      </c>
      <c r="C36" s="6" t="s">
        <v>312</v>
      </c>
      <c r="D36" s="6" t="s">
        <v>144</v>
      </c>
      <c r="E36" s="10"/>
      <c r="F36" s="10"/>
      <c r="G36" s="10">
        <v>3</v>
      </c>
    </row>
    <row r="37" spans="1:7" x14ac:dyDescent="0.35">
      <c r="A37" s="10">
        <v>7</v>
      </c>
      <c r="B37" s="6" t="s">
        <v>286</v>
      </c>
      <c r="C37" s="6" t="s">
        <v>313</v>
      </c>
      <c r="D37" s="6" t="s">
        <v>188</v>
      </c>
      <c r="E37" s="10"/>
      <c r="F37" s="10"/>
      <c r="G37" s="10">
        <v>3</v>
      </c>
    </row>
    <row r="38" spans="1:7" x14ac:dyDescent="0.35">
      <c r="A38" s="8"/>
      <c r="B38" s="9" t="s">
        <v>74</v>
      </c>
      <c r="C38" s="9"/>
      <c r="D38" s="9" t="s">
        <v>94</v>
      </c>
      <c r="E38" s="8">
        <v>26</v>
      </c>
      <c r="F38" s="8">
        <v>16</v>
      </c>
      <c r="G38" s="8">
        <v>21</v>
      </c>
    </row>
    <row r="39" spans="1:7" x14ac:dyDescent="0.35">
      <c r="A39" s="8"/>
      <c r="B39" s="9" t="s">
        <v>29</v>
      </c>
      <c r="C39" s="9"/>
      <c r="D39" s="9" t="s">
        <v>297</v>
      </c>
      <c r="E39" s="8"/>
      <c r="F39" s="8"/>
      <c r="G39" s="8"/>
    </row>
    <row r="40" spans="1:7" x14ac:dyDescent="0.35">
      <c r="A40" s="11"/>
      <c r="B40" s="12" t="s">
        <v>95</v>
      </c>
      <c r="C40" s="12"/>
      <c r="D40" s="12"/>
      <c r="E40" s="11">
        <v>91</v>
      </c>
      <c r="F40" s="11">
        <v>64</v>
      </c>
      <c r="G40" s="11">
        <v>84</v>
      </c>
    </row>
    <row r="42" spans="1:7" x14ac:dyDescent="0.35">
      <c r="A42" s="74" t="s">
        <v>96</v>
      </c>
      <c r="B42" s="75"/>
      <c r="C42" s="75"/>
      <c r="D42" s="75"/>
      <c r="E42" s="75"/>
      <c r="F42" s="75"/>
      <c r="G42" s="76"/>
    </row>
    <row r="43" spans="1:7" x14ac:dyDescent="0.35">
      <c r="A43" s="7" t="s">
        <v>2</v>
      </c>
      <c r="B43" s="7" t="s">
        <v>24</v>
      </c>
      <c r="C43" s="7" t="s">
        <v>25</v>
      </c>
      <c r="D43" s="7" t="s">
        <v>26</v>
      </c>
      <c r="E43" s="7" t="s">
        <v>27</v>
      </c>
      <c r="F43" s="7" t="s">
        <v>28</v>
      </c>
      <c r="G43" s="7" t="s">
        <v>260</v>
      </c>
    </row>
    <row r="44" spans="1:7" x14ac:dyDescent="0.35">
      <c r="A44" s="8"/>
      <c r="B44" s="9" t="s">
        <v>29</v>
      </c>
      <c r="C44" s="9"/>
      <c r="D44" s="9" t="s">
        <v>32</v>
      </c>
      <c r="E44" s="8"/>
      <c r="F44" s="8"/>
      <c r="G44" s="8"/>
    </row>
    <row r="45" spans="1:7" x14ac:dyDescent="0.35">
      <c r="A45" s="10">
        <v>1</v>
      </c>
      <c r="B45" s="6" t="s">
        <v>138</v>
      </c>
      <c r="C45" s="6" t="s">
        <v>311</v>
      </c>
      <c r="D45" s="6" t="s">
        <v>34</v>
      </c>
      <c r="E45" s="10"/>
      <c r="F45" s="10"/>
      <c r="G45" s="10">
        <v>1</v>
      </c>
    </row>
    <row r="46" spans="1:7" x14ac:dyDescent="0.35">
      <c r="A46" s="10">
        <v>2</v>
      </c>
      <c r="B46" s="6" t="s">
        <v>138</v>
      </c>
      <c r="C46" s="6" t="s">
        <v>312</v>
      </c>
      <c r="D46" s="6" t="s">
        <v>148</v>
      </c>
      <c r="E46" s="10"/>
      <c r="F46" s="10"/>
      <c r="G46" s="10">
        <v>3</v>
      </c>
    </row>
    <row r="47" spans="1:7" x14ac:dyDescent="0.35">
      <c r="A47" s="10">
        <v>3</v>
      </c>
      <c r="B47" s="6" t="s">
        <v>88</v>
      </c>
      <c r="C47" s="6" t="s">
        <v>433</v>
      </c>
      <c r="D47" s="6" t="s">
        <v>38</v>
      </c>
      <c r="E47" s="10"/>
      <c r="F47" s="10"/>
      <c r="G47" s="10">
        <v>1</v>
      </c>
    </row>
    <row r="48" spans="1:7" x14ac:dyDescent="0.35">
      <c r="A48" s="10">
        <v>4</v>
      </c>
      <c r="B48" s="6" t="s">
        <v>286</v>
      </c>
      <c r="C48" s="6" t="s">
        <v>313</v>
      </c>
      <c r="D48" s="6" t="s">
        <v>39</v>
      </c>
      <c r="E48" s="10"/>
      <c r="F48" s="10"/>
      <c r="G48" s="10">
        <v>3</v>
      </c>
    </row>
    <row r="49" spans="1:7" x14ac:dyDescent="0.35">
      <c r="A49" s="10">
        <v>5</v>
      </c>
      <c r="B49" s="6" t="s">
        <v>140</v>
      </c>
      <c r="C49" s="6" t="s">
        <v>314</v>
      </c>
      <c r="D49" s="6" t="s">
        <v>43</v>
      </c>
      <c r="E49" s="10"/>
      <c r="F49" s="10"/>
      <c r="G49" s="10">
        <v>4</v>
      </c>
    </row>
    <row r="50" spans="1:7" x14ac:dyDescent="0.35">
      <c r="A50" s="10">
        <v>6</v>
      </c>
      <c r="B50" s="6" t="s">
        <v>434</v>
      </c>
      <c r="C50" s="6"/>
      <c r="D50" s="6" t="s">
        <v>196</v>
      </c>
      <c r="E50" s="10"/>
      <c r="F50" s="10"/>
      <c r="G50" s="10">
        <v>3</v>
      </c>
    </row>
    <row r="51" spans="1:7" x14ac:dyDescent="0.35">
      <c r="A51" s="10">
        <v>7</v>
      </c>
      <c r="B51" s="6" t="s">
        <v>110</v>
      </c>
      <c r="C51" s="6" t="s">
        <v>441</v>
      </c>
      <c r="D51" s="6" t="s">
        <v>49</v>
      </c>
      <c r="E51" s="10"/>
      <c r="F51" s="10"/>
      <c r="G51" s="10">
        <v>3</v>
      </c>
    </row>
    <row r="52" spans="1:7" x14ac:dyDescent="0.35">
      <c r="A52" s="10">
        <v>8</v>
      </c>
      <c r="B52" s="6" t="s">
        <v>316</v>
      </c>
      <c r="C52" s="6" t="s">
        <v>318</v>
      </c>
      <c r="D52" s="6" t="s">
        <v>53</v>
      </c>
      <c r="E52" s="10"/>
      <c r="F52" s="10"/>
      <c r="G52" s="10">
        <v>1</v>
      </c>
    </row>
    <row r="53" spans="1:7" x14ac:dyDescent="0.35">
      <c r="A53" s="10">
        <v>9</v>
      </c>
      <c r="B53" s="6" t="s">
        <v>316</v>
      </c>
      <c r="C53" s="6" t="s">
        <v>317</v>
      </c>
      <c r="D53" s="6" t="s">
        <v>346</v>
      </c>
      <c r="E53" s="10"/>
      <c r="F53" s="10"/>
      <c r="G53" s="10">
        <v>2</v>
      </c>
    </row>
    <row r="54" spans="1:7" x14ac:dyDescent="0.35">
      <c r="A54" s="8"/>
      <c r="B54" s="9" t="s">
        <v>74</v>
      </c>
      <c r="C54" s="9"/>
      <c r="D54" s="9" t="s">
        <v>408</v>
      </c>
      <c r="E54" s="8">
        <v>32</v>
      </c>
      <c r="F54" s="8">
        <v>16</v>
      </c>
      <c r="G54" s="8">
        <v>21</v>
      </c>
    </row>
    <row r="55" spans="1:7" x14ac:dyDescent="0.35">
      <c r="A55" s="10">
        <v>1</v>
      </c>
      <c r="B55" s="6" t="s">
        <v>187</v>
      </c>
      <c r="C55" s="6" t="s">
        <v>319</v>
      </c>
      <c r="D55" s="6" t="s">
        <v>59</v>
      </c>
      <c r="E55" s="10"/>
      <c r="F55" s="10"/>
      <c r="G55" s="10">
        <v>4</v>
      </c>
    </row>
    <row r="56" spans="1:7" x14ac:dyDescent="0.35">
      <c r="A56" s="10">
        <v>2</v>
      </c>
      <c r="B56" s="6" t="s">
        <v>320</v>
      </c>
      <c r="C56" s="6" t="s">
        <v>321</v>
      </c>
      <c r="D56" s="6" t="s">
        <v>61</v>
      </c>
      <c r="E56" s="10"/>
      <c r="F56" s="10"/>
      <c r="G56" s="10">
        <v>4</v>
      </c>
    </row>
    <row r="57" spans="1:7" x14ac:dyDescent="0.35">
      <c r="A57" s="10">
        <v>3</v>
      </c>
      <c r="B57" s="6" t="s">
        <v>322</v>
      </c>
      <c r="C57" s="6" t="s">
        <v>323</v>
      </c>
      <c r="D57" s="6" t="s">
        <v>204</v>
      </c>
      <c r="E57" s="10"/>
      <c r="F57" s="10"/>
      <c r="G57" s="10">
        <v>3</v>
      </c>
    </row>
    <row r="58" spans="1:7" x14ac:dyDescent="0.35">
      <c r="A58" s="10">
        <v>4</v>
      </c>
      <c r="B58" s="6" t="s">
        <v>435</v>
      </c>
      <c r="C58" s="6" t="s">
        <v>436</v>
      </c>
      <c r="D58" s="6" t="s">
        <v>166</v>
      </c>
      <c r="E58" s="10"/>
      <c r="F58" s="10"/>
      <c r="G58" s="10">
        <v>1</v>
      </c>
    </row>
    <row r="59" spans="1:7" x14ac:dyDescent="0.35">
      <c r="A59" s="10">
        <v>5</v>
      </c>
      <c r="B59" s="6" t="s">
        <v>209</v>
      </c>
      <c r="C59" s="6" t="s">
        <v>443</v>
      </c>
      <c r="D59" s="6" t="s">
        <v>123</v>
      </c>
      <c r="E59" s="10"/>
      <c r="F59" s="10"/>
      <c r="G59" s="10">
        <v>1</v>
      </c>
    </row>
    <row r="60" spans="1:7" x14ac:dyDescent="0.35">
      <c r="A60" s="10">
        <v>6</v>
      </c>
      <c r="B60" s="6" t="s">
        <v>205</v>
      </c>
      <c r="C60" s="6" t="s">
        <v>439</v>
      </c>
      <c r="D60" s="6" t="s">
        <v>168</v>
      </c>
      <c r="E60" s="10"/>
      <c r="F60" s="10"/>
      <c r="G60" s="10">
        <v>5</v>
      </c>
    </row>
    <row r="61" spans="1:7" x14ac:dyDescent="0.35">
      <c r="A61" s="10">
        <v>7</v>
      </c>
      <c r="B61" s="6" t="s">
        <v>205</v>
      </c>
      <c r="C61" s="6" t="s">
        <v>326</v>
      </c>
      <c r="D61" s="6" t="s">
        <v>79</v>
      </c>
      <c r="E61" s="10"/>
      <c r="F61" s="10"/>
      <c r="G61" s="10">
        <v>3</v>
      </c>
    </row>
    <row r="62" spans="1:7" x14ac:dyDescent="0.35">
      <c r="A62" s="8"/>
      <c r="B62" s="9" t="s">
        <v>74</v>
      </c>
      <c r="C62" s="9"/>
      <c r="D62" s="9" t="s">
        <v>174</v>
      </c>
      <c r="E62" s="8">
        <v>28</v>
      </c>
      <c r="F62" s="8">
        <v>16</v>
      </c>
      <c r="G62" s="8">
        <v>21</v>
      </c>
    </row>
    <row r="63" spans="1:7" x14ac:dyDescent="0.35">
      <c r="A63" s="10">
        <v>1</v>
      </c>
      <c r="B63" s="6" t="s">
        <v>178</v>
      </c>
      <c r="C63" s="6" t="s">
        <v>336</v>
      </c>
      <c r="D63" s="6" t="s">
        <v>85</v>
      </c>
      <c r="E63" s="10"/>
      <c r="F63" s="10"/>
      <c r="G63" s="10">
        <v>4</v>
      </c>
    </row>
    <row r="64" spans="1:7" x14ac:dyDescent="0.35">
      <c r="A64" s="10">
        <v>2</v>
      </c>
      <c r="B64" s="6" t="s">
        <v>178</v>
      </c>
      <c r="C64" s="6" t="s">
        <v>334</v>
      </c>
      <c r="D64" s="6" t="s">
        <v>87</v>
      </c>
      <c r="E64" s="10"/>
      <c r="F64" s="10"/>
      <c r="G64" s="10">
        <v>5</v>
      </c>
    </row>
    <row r="65" spans="1:7" x14ac:dyDescent="0.35">
      <c r="A65" s="10">
        <v>3</v>
      </c>
      <c r="B65" s="6" t="s">
        <v>84</v>
      </c>
      <c r="C65" s="6"/>
      <c r="D65" s="6" t="s">
        <v>139</v>
      </c>
      <c r="E65" s="10"/>
      <c r="F65" s="10"/>
      <c r="G65" s="10">
        <v>4</v>
      </c>
    </row>
    <row r="66" spans="1:7" x14ac:dyDescent="0.35">
      <c r="A66" s="10">
        <v>4</v>
      </c>
      <c r="B66" s="6" t="s">
        <v>330</v>
      </c>
      <c r="C66" s="6" t="s">
        <v>331</v>
      </c>
      <c r="D66" s="6" t="s">
        <v>91</v>
      </c>
      <c r="E66" s="10"/>
      <c r="F66" s="10"/>
      <c r="G66" s="10">
        <v>3</v>
      </c>
    </row>
    <row r="67" spans="1:7" x14ac:dyDescent="0.35">
      <c r="A67" s="10">
        <v>5</v>
      </c>
      <c r="B67" s="6" t="s">
        <v>205</v>
      </c>
      <c r="C67" s="6" t="s">
        <v>325</v>
      </c>
      <c r="D67" s="6" t="s">
        <v>141</v>
      </c>
      <c r="E67" s="10"/>
      <c r="F67" s="10"/>
      <c r="G67" s="10">
        <v>5</v>
      </c>
    </row>
    <row r="68" spans="1:7" x14ac:dyDescent="0.35">
      <c r="A68" s="8"/>
      <c r="B68" s="9" t="s">
        <v>74</v>
      </c>
      <c r="C68" s="9"/>
      <c r="D68" s="9" t="s">
        <v>94</v>
      </c>
      <c r="E68" s="8">
        <v>22</v>
      </c>
      <c r="F68" s="8">
        <v>16</v>
      </c>
      <c r="G68" s="8">
        <v>21</v>
      </c>
    </row>
    <row r="69" spans="1:7" x14ac:dyDescent="0.35">
      <c r="A69" s="8"/>
      <c r="B69" s="9" t="s">
        <v>29</v>
      </c>
      <c r="C69" s="9"/>
      <c r="D69" s="9" t="s">
        <v>297</v>
      </c>
      <c r="E69" s="8"/>
      <c r="F69" s="8"/>
      <c r="G69" s="8"/>
    </row>
    <row r="70" spans="1:7" x14ac:dyDescent="0.35">
      <c r="A70" s="11"/>
      <c r="B70" s="12" t="s">
        <v>95</v>
      </c>
      <c r="C70" s="12"/>
      <c r="D70" s="12"/>
      <c r="E70" s="11">
        <v>82</v>
      </c>
      <c r="F70" s="11">
        <v>48</v>
      </c>
      <c r="G70" s="11">
        <v>62</v>
      </c>
    </row>
    <row r="72" spans="1:7" x14ac:dyDescent="0.35">
      <c r="A72" s="74" t="s">
        <v>145</v>
      </c>
      <c r="B72" s="75"/>
      <c r="C72" s="75"/>
      <c r="D72" s="75"/>
      <c r="E72" s="75"/>
      <c r="F72" s="75"/>
      <c r="G72" s="76"/>
    </row>
    <row r="73" spans="1:7" x14ac:dyDescent="0.35">
      <c r="A73" s="7" t="s">
        <v>2</v>
      </c>
      <c r="B73" s="7" t="s">
        <v>24</v>
      </c>
      <c r="C73" s="7" t="s">
        <v>25</v>
      </c>
      <c r="D73" s="7" t="s">
        <v>26</v>
      </c>
      <c r="E73" s="7" t="s">
        <v>27</v>
      </c>
      <c r="F73" s="7" t="s">
        <v>28</v>
      </c>
      <c r="G73" s="7" t="s">
        <v>260</v>
      </c>
    </row>
    <row r="74" spans="1:7" x14ac:dyDescent="0.35">
      <c r="A74" s="8"/>
      <c r="B74" s="9" t="s">
        <v>29</v>
      </c>
      <c r="C74" s="9"/>
      <c r="D74" s="9" t="s">
        <v>32</v>
      </c>
      <c r="E74" s="8"/>
      <c r="F74" s="8"/>
      <c r="G74" s="8"/>
    </row>
    <row r="75" spans="1:7" x14ac:dyDescent="0.35">
      <c r="A75" s="10">
        <v>1</v>
      </c>
      <c r="B75" s="6" t="s">
        <v>138</v>
      </c>
      <c r="C75" s="6" t="s">
        <v>311</v>
      </c>
      <c r="D75" s="6" t="s">
        <v>34</v>
      </c>
      <c r="E75" s="10"/>
      <c r="F75" s="10"/>
      <c r="G75" s="10">
        <v>1</v>
      </c>
    </row>
    <row r="76" spans="1:7" x14ac:dyDescent="0.35">
      <c r="A76" s="10">
        <v>2</v>
      </c>
      <c r="B76" s="6" t="s">
        <v>138</v>
      </c>
      <c r="C76" s="6" t="s">
        <v>312</v>
      </c>
      <c r="D76" s="6" t="s">
        <v>148</v>
      </c>
      <c r="E76" s="10"/>
      <c r="F76" s="10"/>
      <c r="G76" s="10">
        <v>3</v>
      </c>
    </row>
    <row r="77" spans="1:7" x14ac:dyDescent="0.35">
      <c r="A77" s="10">
        <v>3</v>
      </c>
      <c r="B77" s="6" t="s">
        <v>88</v>
      </c>
      <c r="C77" s="6" t="s">
        <v>444</v>
      </c>
      <c r="D77" s="6" t="s">
        <v>38</v>
      </c>
      <c r="E77" s="10"/>
      <c r="F77" s="10"/>
      <c r="G77" s="10">
        <v>3</v>
      </c>
    </row>
    <row r="78" spans="1:7" x14ac:dyDescent="0.35">
      <c r="A78" s="10">
        <v>4</v>
      </c>
      <c r="B78" s="6" t="s">
        <v>286</v>
      </c>
      <c r="C78" s="6" t="s">
        <v>313</v>
      </c>
      <c r="D78" s="6" t="s">
        <v>39</v>
      </c>
      <c r="E78" s="10"/>
      <c r="F78" s="10"/>
      <c r="G78" s="10">
        <v>3</v>
      </c>
    </row>
    <row r="79" spans="1:7" x14ac:dyDescent="0.35">
      <c r="A79" s="10">
        <v>5</v>
      </c>
      <c r="B79" s="6" t="s">
        <v>140</v>
      </c>
      <c r="C79" s="6" t="s">
        <v>314</v>
      </c>
      <c r="D79" s="6" t="s">
        <v>43</v>
      </c>
      <c r="E79" s="10"/>
      <c r="F79" s="10"/>
      <c r="G79" s="10">
        <v>4</v>
      </c>
    </row>
    <row r="80" spans="1:7" x14ac:dyDescent="0.35">
      <c r="A80" s="10">
        <v>6</v>
      </c>
      <c r="B80" s="6" t="s">
        <v>315</v>
      </c>
      <c r="C80" s="6"/>
      <c r="D80" s="6" t="s">
        <v>196</v>
      </c>
      <c r="E80" s="10"/>
      <c r="F80" s="10"/>
      <c r="G80" s="10">
        <v>3</v>
      </c>
    </row>
    <row r="81" spans="1:7" x14ac:dyDescent="0.35">
      <c r="A81" s="10">
        <v>7</v>
      </c>
      <c r="B81" s="6" t="s">
        <v>445</v>
      </c>
      <c r="C81" s="6" t="s">
        <v>436</v>
      </c>
      <c r="D81" s="6" t="s">
        <v>49</v>
      </c>
      <c r="E81" s="10"/>
      <c r="F81" s="10"/>
      <c r="G81" s="10">
        <v>1</v>
      </c>
    </row>
    <row r="82" spans="1:7" x14ac:dyDescent="0.35">
      <c r="A82" s="10">
        <v>8</v>
      </c>
      <c r="B82" s="6" t="s">
        <v>316</v>
      </c>
      <c r="C82" s="6" t="s">
        <v>318</v>
      </c>
      <c r="D82" s="6" t="s">
        <v>51</v>
      </c>
      <c r="E82" s="10"/>
      <c r="F82" s="10"/>
      <c r="G82" s="10">
        <v>1</v>
      </c>
    </row>
    <row r="83" spans="1:7" x14ac:dyDescent="0.35">
      <c r="A83" s="10">
        <v>9</v>
      </c>
      <c r="B83" s="6" t="s">
        <v>316</v>
      </c>
      <c r="C83" s="6" t="s">
        <v>317</v>
      </c>
      <c r="D83" s="6" t="s">
        <v>346</v>
      </c>
      <c r="E83" s="10"/>
      <c r="F83" s="10"/>
      <c r="G83" s="10">
        <v>2</v>
      </c>
    </row>
    <row r="84" spans="1:7" x14ac:dyDescent="0.35">
      <c r="A84" s="8"/>
      <c r="B84" s="9" t="s">
        <v>74</v>
      </c>
      <c r="C84" s="9"/>
      <c r="D84" s="9" t="s">
        <v>346</v>
      </c>
      <c r="E84" s="8">
        <v>25</v>
      </c>
      <c r="F84" s="8">
        <v>16</v>
      </c>
      <c r="G84" s="8">
        <v>21</v>
      </c>
    </row>
    <row r="85" spans="1:7" x14ac:dyDescent="0.35">
      <c r="A85" s="10">
        <v>1</v>
      </c>
      <c r="B85" s="6" t="s">
        <v>205</v>
      </c>
      <c r="C85" s="6" t="s">
        <v>325</v>
      </c>
      <c r="D85" s="6" t="s">
        <v>57</v>
      </c>
      <c r="E85" s="10"/>
      <c r="F85" s="10"/>
      <c r="G85" s="10">
        <v>5</v>
      </c>
    </row>
    <row r="86" spans="1:7" x14ac:dyDescent="0.35">
      <c r="A86" s="10">
        <v>2</v>
      </c>
      <c r="B86" s="6" t="s">
        <v>205</v>
      </c>
      <c r="C86" s="6" t="s">
        <v>439</v>
      </c>
      <c r="D86" s="6" t="s">
        <v>162</v>
      </c>
      <c r="E86" s="10"/>
      <c r="F86" s="10"/>
      <c r="G86" s="10">
        <v>5</v>
      </c>
    </row>
    <row r="87" spans="1:7" x14ac:dyDescent="0.35">
      <c r="A87" s="10">
        <v>3</v>
      </c>
      <c r="B87" s="6" t="s">
        <v>205</v>
      </c>
      <c r="C87" s="6" t="s">
        <v>326</v>
      </c>
      <c r="D87" s="6" t="s">
        <v>238</v>
      </c>
      <c r="E87" s="10"/>
      <c r="F87" s="10"/>
      <c r="G87" s="10">
        <v>3</v>
      </c>
    </row>
    <row r="88" spans="1:7" x14ac:dyDescent="0.35">
      <c r="A88" s="10">
        <v>4</v>
      </c>
      <c r="B88" s="6" t="s">
        <v>187</v>
      </c>
      <c r="C88" s="6" t="s">
        <v>319</v>
      </c>
      <c r="D88" s="6" t="s">
        <v>61</v>
      </c>
      <c r="E88" s="10"/>
      <c r="F88" s="10"/>
      <c r="G88" s="10">
        <v>4</v>
      </c>
    </row>
    <row r="89" spans="1:7" x14ac:dyDescent="0.35">
      <c r="A89" s="10">
        <v>5</v>
      </c>
      <c r="B89" s="6" t="s">
        <v>320</v>
      </c>
      <c r="C89" s="6" t="s">
        <v>321</v>
      </c>
      <c r="D89" s="6" t="s">
        <v>204</v>
      </c>
      <c r="E89" s="10"/>
      <c r="F89" s="10"/>
      <c r="G89" s="10">
        <v>4</v>
      </c>
    </row>
    <row r="90" spans="1:7" x14ac:dyDescent="0.35">
      <c r="A90" s="8"/>
      <c r="B90" s="9" t="s">
        <v>74</v>
      </c>
      <c r="C90" s="9"/>
      <c r="D90" s="9" t="s">
        <v>166</v>
      </c>
      <c r="E90" s="8">
        <v>20</v>
      </c>
      <c r="F90" s="8">
        <v>16</v>
      </c>
      <c r="G90" s="8">
        <v>21</v>
      </c>
    </row>
    <row r="91" spans="1:7" x14ac:dyDescent="0.35">
      <c r="A91" s="10">
        <v>1</v>
      </c>
      <c r="B91" s="6" t="s">
        <v>84</v>
      </c>
      <c r="C91" s="6"/>
      <c r="D91" s="6" t="s">
        <v>212</v>
      </c>
      <c r="E91" s="10"/>
      <c r="F91" s="10"/>
      <c r="G91" s="10">
        <v>3</v>
      </c>
    </row>
    <row r="92" spans="1:7" x14ac:dyDescent="0.35">
      <c r="A92" s="10">
        <v>2</v>
      </c>
      <c r="B92" s="6" t="s">
        <v>178</v>
      </c>
      <c r="C92" s="6" t="s">
        <v>334</v>
      </c>
      <c r="D92" s="6" t="s">
        <v>127</v>
      </c>
      <c r="E92" s="10"/>
      <c r="F92" s="10"/>
      <c r="G92" s="10">
        <v>5</v>
      </c>
    </row>
    <row r="93" spans="1:7" x14ac:dyDescent="0.35">
      <c r="A93" s="10">
        <v>3</v>
      </c>
      <c r="B93" s="6" t="s">
        <v>178</v>
      </c>
      <c r="C93" s="6" t="s">
        <v>336</v>
      </c>
      <c r="D93" s="6" t="s">
        <v>170</v>
      </c>
      <c r="E93" s="10"/>
      <c r="F93" s="10"/>
      <c r="G93" s="10">
        <v>4</v>
      </c>
    </row>
    <row r="94" spans="1:7" x14ac:dyDescent="0.35">
      <c r="A94" s="10">
        <v>4</v>
      </c>
      <c r="B94" s="6" t="s">
        <v>330</v>
      </c>
      <c r="C94" s="6" t="s">
        <v>331</v>
      </c>
      <c r="D94" s="6" t="s">
        <v>79</v>
      </c>
      <c r="E94" s="10"/>
      <c r="F94" s="10"/>
      <c r="G94" s="10">
        <v>3</v>
      </c>
    </row>
    <row r="95" spans="1:7" x14ac:dyDescent="0.35">
      <c r="A95" s="10">
        <v>5</v>
      </c>
      <c r="B95" s="6" t="s">
        <v>322</v>
      </c>
      <c r="C95" s="6" t="s">
        <v>323</v>
      </c>
      <c r="D95" s="6" t="s">
        <v>81</v>
      </c>
      <c r="E95" s="10"/>
      <c r="F95" s="10"/>
      <c r="G95" s="10">
        <v>3</v>
      </c>
    </row>
    <row r="96" spans="1:7" x14ac:dyDescent="0.35">
      <c r="A96" s="10">
        <v>6</v>
      </c>
      <c r="B96" s="6" t="s">
        <v>110</v>
      </c>
      <c r="C96" s="6" t="s">
        <v>441</v>
      </c>
      <c r="D96" s="6" t="s">
        <v>354</v>
      </c>
      <c r="E96" s="10"/>
      <c r="F96" s="10"/>
      <c r="G96" s="10">
        <v>3</v>
      </c>
    </row>
    <row r="97" spans="1:7" x14ac:dyDescent="0.35">
      <c r="A97" s="8"/>
      <c r="B97" s="9" t="s">
        <v>74</v>
      </c>
      <c r="C97" s="9"/>
      <c r="D97" s="9" t="s">
        <v>220</v>
      </c>
      <c r="E97" s="8">
        <v>20</v>
      </c>
      <c r="F97" s="8">
        <v>16</v>
      </c>
      <c r="G97" s="8">
        <v>21</v>
      </c>
    </row>
    <row r="98" spans="1:7" x14ac:dyDescent="0.35">
      <c r="A98" s="10">
        <v>1</v>
      </c>
      <c r="B98" s="6" t="s">
        <v>364</v>
      </c>
      <c r="C98" s="6" t="s">
        <v>442</v>
      </c>
      <c r="D98" s="6" t="s">
        <v>87</v>
      </c>
      <c r="E98" s="10"/>
      <c r="F98" s="10"/>
      <c r="G98" s="10">
        <v>3</v>
      </c>
    </row>
    <row r="99" spans="1:7" x14ac:dyDescent="0.35">
      <c r="A99" s="10">
        <v>2</v>
      </c>
      <c r="B99" s="6" t="s">
        <v>140</v>
      </c>
      <c r="C99" s="6" t="s">
        <v>314</v>
      </c>
      <c r="D99" s="6" t="s">
        <v>179</v>
      </c>
      <c r="E99" s="10"/>
      <c r="F99" s="10"/>
      <c r="G99" s="10">
        <v>4</v>
      </c>
    </row>
    <row r="100" spans="1:7" x14ac:dyDescent="0.35">
      <c r="A100" s="10">
        <v>3</v>
      </c>
      <c r="B100" s="6" t="s">
        <v>315</v>
      </c>
      <c r="C100" s="6"/>
      <c r="D100" s="6" t="s">
        <v>333</v>
      </c>
      <c r="E100" s="10"/>
      <c r="F100" s="10"/>
      <c r="G100" s="10">
        <v>3</v>
      </c>
    </row>
    <row r="101" spans="1:7" x14ac:dyDescent="0.35">
      <c r="A101" s="10">
        <v>4</v>
      </c>
      <c r="B101" s="6" t="s">
        <v>138</v>
      </c>
      <c r="C101" s="6" t="s">
        <v>311</v>
      </c>
      <c r="D101" s="6" t="s">
        <v>257</v>
      </c>
      <c r="E101" s="10"/>
      <c r="F101" s="10"/>
      <c r="G101" s="10">
        <v>1</v>
      </c>
    </row>
    <row r="102" spans="1:7" x14ac:dyDescent="0.35">
      <c r="A102" s="10">
        <v>5</v>
      </c>
      <c r="B102" s="6" t="s">
        <v>205</v>
      </c>
      <c r="C102" s="6" t="s">
        <v>325</v>
      </c>
      <c r="D102" s="6" t="s">
        <v>93</v>
      </c>
      <c r="E102" s="10"/>
      <c r="F102" s="10"/>
      <c r="G102" s="10">
        <v>4</v>
      </c>
    </row>
    <row r="103" spans="1:7" x14ac:dyDescent="0.35">
      <c r="A103" s="10">
        <v>6</v>
      </c>
      <c r="B103" s="6" t="s">
        <v>138</v>
      </c>
      <c r="C103" s="6" t="s">
        <v>312</v>
      </c>
      <c r="D103" s="6" t="s">
        <v>144</v>
      </c>
      <c r="E103" s="10"/>
      <c r="F103" s="10"/>
      <c r="G103" s="10">
        <v>3</v>
      </c>
    </row>
    <row r="104" spans="1:7" x14ac:dyDescent="0.35">
      <c r="A104" s="10">
        <v>7</v>
      </c>
      <c r="B104" s="6" t="s">
        <v>286</v>
      </c>
      <c r="C104" s="6" t="s">
        <v>313</v>
      </c>
      <c r="D104" s="6" t="s">
        <v>188</v>
      </c>
      <c r="E104" s="10"/>
      <c r="F104" s="10"/>
      <c r="G104" s="10">
        <v>3</v>
      </c>
    </row>
    <row r="105" spans="1:7" x14ac:dyDescent="0.35">
      <c r="A105" s="8"/>
      <c r="B105" s="9" t="s">
        <v>74</v>
      </c>
      <c r="C105" s="9"/>
      <c r="D105" s="9" t="s">
        <v>94</v>
      </c>
      <c r="E105" s="8">
        <v>26</v>
      </c>
      <c r="F105" s="8">
        <v>16</v>
      </c>
      <c r="G105" s="8">
        <v>21</v>
      </c>
    </row>
    <row r="106" spans="1:7" x14ac:dyDescent="0.35">
      <c r="A106" s="8"/>
      <c r="B106" s="9" t="s">
        <v>29</v>
      </c>
      <c r="C106" s="9"/>
      <c r="D106" s="9" t="s">
        <v>297</v>
      </c>
      <c r="E106" s="8"/>
      <c r="F106" s="8"/>
      <c r="G106" s="8"/>
    </row>
    <row r="107" spans="1:7" x14ac:dyDescent="0.35">
      <c r="A107" s="11"/>
      <c r="B107" s="12" t="s">
        <v>95</v>
      </c>
      <c r="C107" s="12"/>
      <c r="D107" s="12"/>
      <c r="E107" s="11">
        <v>91</v>
      </c>
      <c r="F107" s="11">
        <v>64</v>
      </c>
      <c r="G107" s="11">
        <v>85</v>
      </c>
    </row>
    <row r="109" spans="1:7" x14ac:dyDescent="0.35">
      <c r="A109" s="74" t="s">
        <v>227</v>
      </c>
      <c r="B109" s="75"/>
      <c r="C109" s="75"/>
      <c r="D109" s="75"/>
      <c r="E109" s="75"/>
      <c r="F109" s="75"/>
      <c r="G109" s="76"/>
    </row>
    <row r="110" spans="1:7" x14ac:dyDescent="0.35">
      <c r="A110" s="7" t="s">
        <v>2</v>
      </c>
      <c r="B110" s="7" t="s">
        <v>24</v>
      </c>
      <c r="C110" s="7" t="s">
        <v>25</v>
      </c>
      <c r="D110" s="7" t="s">
        <v>26</v>
      </c>
      <c r="E110" s="7" t="s">
        <v>27</v>
      </c>
      <c r="F110" s="7" t="s">
        <v>28</v>
      </c>
      <c r="G110" s="7" t="s">
        <v>260</v>
      </c>
    </row>
    <row r="111" spans="1:7" x14ac:dyDescent="0.35">
      <c r="A111" s="8"/>
      <c r="B111" s="9" t="s">
        <v>29</v>
      </c>
      <c r="C111" s="9"/>
      <c r="D111" s="9" t="s">
        <v>32</v>
      </c>
      <c r="E111" s="8"/>
      <c r="F111" s="8"/>
      <c r="G111" s="8"/>
    </row>
    <row r="112" spans="1:7" x14ac:dyDescent="0.35">
      <c r="A112" s="10">
        <v>1</v>
      </c>
      <c r="B112" s="6" t="s">
        <v>211</v>
      </c>
      <c r="C112" s="6" t="s">
        <v>446</v>
      </c>
      <c r="D112" s="6" t="s">
        <v>34</v>
      </c>
      <c r="E112" s="10"/>
      <c r="F112" s="10"/>
      <c r="G112" s="10">
        <v>1</v>
      </c>
    </row>
    <row r="113" spans="1:7" x14ac:dyDescent="0.35">
      <c r="A113" s="10">
        <v>2</v>
      </c>
      <c r="B113" s="6" t="s">
        <v>209</v>
      </c>
      <c r="C113" s="6" t="s">
        <v>440</v>
      </c>
      <c r="D113" s="6" t="s">
        <v>148</v>
      </c>
      <c r="E113" s="10"/>
      <c r="F113" s="10"/>
      <c r="G113" s="10">
        <v>2</v>
      </c>
    </row>
    <row r="114" spans="1:7" x14ac:dyDescent="0.35">
      <c r="A114" s="10">
        <v>3</v>
      </c>
      <c r="B114" s="6" t="s">
        <v>138</v>
      </c>
      <c r="C114" s="6" t="s">
        <v>311</v>
      </c>
      <c r="D114" s="6" t="s">
        <v>150</v>
      </c>
      <c r="E114" s="10"/>
      <c r="F114" s="10"/>
      <c r="G114" s="10">
        <v>1</v>
      </c>
    </row>
    <row r="115" spans="1:7" x14ac:dyDescent="0.35">
      <c r="A115" s="10">
        <v>4</v>
      </c>
      <c r="B115" s="6" t="s">
        <v>138</v>
      </c>
      <c r="C115" s="6" t="s">
        <v>312</v>
      </c>
      <c r="D115" s="6" t="s">
        <v>152</v>
      </c>
      <c r="E115" s="10"/>
      <c r="F115" s="10"/>
      <c r="G115" s="10">
        <v>3</v>
      </c>
    </row>
    <row r="116" spans="1:7" x14ac:dyDescent="0.35">
      <c r="A116" s="10">
        <v>5</v>
      </c>
      <c r="B116" s="6" t="s">
        <v>286</v>
      </c>
      <c r="C116" s="6" t="s">
        <v>313</v>
      </c>
      <c r="D116" s="6" t="s">
        <v>41</v>
      </c>
      <c r="E116" s="10"/>
      <c r="F116" s="10"/>
      <c r="G116" s="10">
        <v>3</v>
      </c>
    </row>
    <row r="117" spans="1:7" x14ac:dyDescent="0.35">
      <c r="A117" s="10">
        <v>6</v>
      </c>
      <c r="B117" s="6" t="s">
        <v>140</v>
      </c>
      <c r="C117" s="6" t="s">
        <v>314</v>
      </c>
      <c r="D117" s="6" t="s">
        <v>194</v>
      </c>
      <c r="E117" s="10"/>
      <c r="F117" s="10"/>
      <c r="G117" s="10">
        <v>4</v>
      </c>
    </row>
    <row r="118" spans="1:7" x14ac:dyDescent="0.35">
      <c r="A118" s="10">
        <v>7</v>
      </c>
      <c r="B118" s="6" t="s">
        <v>315</v>
      </c>
      <c r="C118" s="6"/>
      <c r="D118" s="6" t="s">
        <v>273</v>
      </c>
      <c r="E118" s="10"/>
      <c r="F118" s="10"/>
      <c r="G118" s="10">
        <v>3</v>
      </c>
    </row>
    <row r="119" spans="1:7" x14ac:dyDescent="0.35">
      <c r="A119" s="10">
        <v>8</v>
      </c>
      <c r="B119" s="6" t="s">
        <v>445</v>
      </c>
      <c r="C119" s="6" t="s">
        <v>436</v>
      </c>
      <c r="D119" s="6" t="s">
        <v>196</v>
      </c>
      <c r="E119" s="10"/>
      <c r="F119" s="10"/>
      <c r="G119" s="10">
        <v>1</v>
      </c>
    </row>
    <row r="120" spans="1:7" x14ac:dyDescent="0.35">
      <c r="A120" s="10">
        <v>9</v>
      </c>
      <c r="B120" s="6" t="s">
        <v>316</v>
      </c>
      <c r="C120" s="6" t="s">
        <v>318</v>
      </c>
      <c r="D120" s="6" t="s">
        <v>49</v>
      </c>
      <c r="E120" s="10"/>
      <c r="F120" s="10"/>
      <c r="G120" s="10">
        <v>1</v>
      </c>
    </row>
    <row r="121" spans="1:7" x14ac:dyDescent="0.35">
      <c r="A121" s="10">
        <v>10</v>
      </c>
      <c r="B121" s="6" t="s">
        <v>316</v>
      </c>
      <c r="C121" s="6" t="s">
        <v>317</v>
      </c>
      <c r="D121" s="6" t="s">
        <v>199</v>
      </c>
      <c r="E121" s="10"/>
      <c r="F121" s="10"/>
      <c r="G121" s="10">
        <v>2</v>
      </c>
    </row>
    <row r="122" spans="1:7" x14ac:dyDescent="0.35">
      <c r="A122" s="8"/>
      <c r="B122" s="9" t="s">
        <v>74</v>
      </c>
      <c r="C122" s="9"/>
      <c r="D122" s="9" t="s">
        <v>53</v>
      </c>
      <c r="E122" s="8">
        <v>25</v>
      </c>
      <c r="F122" s="8">
        <v>16</v>
      </c>
      <c r="G122" s="8">
        <v>21</v>
      </c>
    </row>
    <row r="123" spans="1:7" x14ac:dyDescent="0.35">
      <c r="A123" s="10">
        <v>1</v>
      </c>
      <c r="B123" s="6" t="s">
        <v>187</v>
      </c>
      <c r="C123" s="6" t="s">
        <v>319</v>
      </c>
      <c r="D123" s="6" t="s">
        <v>55</v>
      </c>
      <c r="E123" s="10"/>
      <c r="F123" s="10"/>
      <c r="G123" s="10">
        <v>4</v>
      </c>
    </row>
    <row r="124" spans="1:7" x14ac:dyDescent="0.35">
      <c r="A124" s="10">
        <v>2</v>
      </c>
      <c r="B124" s="6" t="s">
        <v>320</v>
      </c>
      <c r="C124" s="6" t="s">
        <v>321</v>
      </c>
      <c r="D124" s="6" t="s">
        <v>57</v>
      </c>
      <c r="E124" s="10"/>
      <c r="F124" s="10"/>
      <c r="G124" s="10">
        <v>4</v>
      </c>
    </row>
    <row r="125" spans="1:7" x14ac:dyDescent="0.35">
      <c r="A125" s="10">
        <v>3</v>
      </c>
      <c r="B125" s="6" t="s">
        <v>322</v>
      </c>
      <c r="C125" s="6" t="s">
        <v>323</v>
      </c>
      <c r="D125" s="6" t="s">
        <v>162</v>
      </c>
      <c r="E125" s="10"/>
      <c r="F125" s="10"/>
      <c r="G125" s="10">
        <v>3</v>
      </c>
    </row>
    <row r="126" spans="1:7" x14ac:dyDescent="0.35">
      <c r="A126" s="10">
        <v>4</v>
      </c>
      <c r="B126" s="6" t="s">
        <v>209</v>
      </c>
      <c r="C126" s="6" t="s">
        <v>447</v>
      </c>
      <c r="D126" s="6" t="s">
        <v>238</v>
      </c>
      <c r="E126" s="10"/>
      <c r="F126" s="10"/>
      <c r="G126" s="10">
        <v>1</v>
      </c>
    </row>
    <row r="127" spans="1:7" x14ac:dyDescent="0.35">
      <c r="A127" s="10">
        <v>5</v>
      </c>
      <c r="B127" s="6" t="s">
        <v>207</v>
      </c>
      <c r="C127" s="6" t="s">
        <v>438</v>
      </c>
      <c r="D127" s="6" t="s">
        <v>61</v>
      </c>
      <c r="E127" s="10"/>
      <c r="F127" s="10"/>
      <c r="G127" s="10">
        <v>1</v>
      </c>
    </row>
    <row r="128" spans="1:7" x14ac:dyDescent="0.35">
      <c r="A128" s="10">
        <v>6</v>
      </c>
      <c r="B128" s="6" t="s">
        <v>205</v>
      </c>
      <c r="C128" s="6" t="s">
        <v>326</v>
      </c>
      <c r="D128" s="6" t="s">
        <v>204</v>
      </c>
      <c r="E128" s="10"/>
      <c r="F128" s="10"/>
      <c r="G128" s="10">
        <v>3</v>
      </c>
    </row>
    <row r="129" spans="1:7" x14ac:dyDescent="0.35">
      <c r="A129" s="10">
        <v>7</v>
      </c>
      <c r="B129" s="6" t="s">
        <v>205</v>
      </c>
      <c r="C129" s="6" t="s">
        <v>439</v>
      </c>
      <c r="D129" s="6" t="s">
        <v>118</v>
      </c>
      <c r="E129" s="10"/>
      <c r="F129" s="10"/>
      <c r="G129" s="10">
        <v>5</v>
      </c>
    </row>
    <row r="130" spans="1:7" x14ac:dyDescent="0.35">
      <c r="A130" s="8"/>
      <c r="B130" s="9" t="s">
        <v>74</v>
      </c>
      <c r="C130" s="9"/>
      <c r="D130" s="9" t="s">
        <v>67</v>
      </c>
      <c r="E130" s="8">
        <v>21</v>
      </c>
      <c r="F130" s="8">
        <v>16</v>
      </c>
      <c r="G130" s="8">
        <v>21</v>
      </c>
    </row>
    <row r="131" spans="1:7" x14ac:dyDescent="0.35">
      <c r="A131" s="10">
        <v>1</v>
      </c>
      <c r="B131" s="6" t="s">
        <v>110</v>
      </c>
      <c r="C131" s="6" t="s">
        <v>441</v>
      </c>
      <c r="D131" s="6" t="s">
        <v>212</v>
      </c>
      <c r="E131" s="10"/>
      <c r="F131" s="10"/>
      <c r="G131" s="10">
        <v>3</v>
      </c>
    </row>
    <row r="132" spans="1:7" x14ac:dyDescent="0.35">
      <c r="A132" s="10">
        <v>2</v>
      </c>
      <c r="B132" s="6" t="s">
        <v>178</v>
      </c>
      <c r="C132" s="6" t="s">
        <v>334</v>
      </c>
      <c r="D132" s="6" t="s">
        <v>127</v>
      </c>
      <c r="E132" s="10"/>
      <c r="F132" s="10"/>
      <c r="G132" s="10">
        <v>5</v>
      </c>
    </row>
    <row r="133" spans="1:7" x14ac:dyDescent="0.35">
      <c r="A133" s="10">
        <v>3</v>
      </c>
      <c r="B133" s="6" t="s">
        <v>84</v>
      </c>
      <c r="C133" s="6"/>
      <c r="D133" s="6" t="s">
        <v>170</v>
      </c>
      <c r="E133" s="10"/>
      <c r="F133" s="10"/>
      <c r="G133" s="10">
        <v>3</v>
      </c>
    </row>
    <row r="134" spans="1:7" x14ac:dyDescent="0.35">
      <c r="A134" s="10">
        <v>4</v>
      </c>
      <c r="B134" s="6" t="s">
        <v>330</v>
      </c>
      <c r="C134" s="6" t="s">
        <v>331</v>
      </c>
      <c r="D134" s="6" t="s">
        <v>79</v>
      </c>
      <c r="E134" s="10"/>
      <c r="F134" s="10"/>
      <c r="G134" s="10">
        <v>3</v>
      </c>
    </row>
    <row r="135" spans="1:7" x14ac:dyDescent="0.35">
      <c r="A135" s="10">
        <v>5</v>
      </c>
      <c r="B135" s="6" t="s">
        <v>205</v>
      </c>
      <c r="C135" s="6" t="s">
        <v>325</v>
      </c>
      <c r="D135" s="6" t="s">
        <v>81</v>
      </c>
      <c r="E135" s="10"/>
      <c r="F135" s="10"/>
      <c r="G135" s="10">
        <v>4</v>
      </c>
    </row>
    <row r="136" spans="1:7" x14ac:dyDescent="0.35">
      <c r="A136" s="10">
        <v>6</v>
      </c>
      <c r="B136" s="6" t="s">
        <v>448</v>
      </c>
      <c r="C136" s="6"/>
      <c r="D136" s="6" t="s">
        <v>354</v>
      </c>
      <c r="E136" s="10"/>
      <c r="F136" s="10"/>
      <c r="G136" s="10">
        <v>3</v>
      </c>
    </row>
    <row r="137" spans="1:7" x14ac:dyDescent="0.35">
      <c r="A137" s="8"/>
      <c r="B137" s="9" t="s">
        <v>74</v>
      </c>
      <c r="C137" s="9"/>
      <c r="D137" s="9" t="s">
        <v>220</v>
      </c>
      <c r="E137" s="8">
        <v>20</v>
      </c>
      <c r="F137" s="8">
        <v>16</v>
      </c>
      <c r="G137" s="8">
        <v>21</v>
      </c>
    </row>
    <row r="138" spans="1:7" x14ac:dyDescent="0.35">
      <c r="A138" s="10">
        <v>1</v>
      </c>
      <c r="B138" s="6" t="s">
        <v>178</v>
      </c>
      <c r="C138" s="6" t="s">
        <v>336</v>
      </c>
      <c r="D138" s="6" t="s">
        <v>87</v>
      </c>
      <c r="E138" s="10"/>
      <c r="F138" s="10"/>
      <c r="G138" s="10">
        <v>4</v>
      </c>
    </row>
    <row r="139" spans="1:7" x14ac:dyDescent="0.35">
      <c r="A139" s="10">
        <v>2</v>
      </c>
      <c r="B139" s="6" t="s">
        <v>140</v>
      </c>
      <c r="C139" s="6" t="s">
        <v>314</v>
      </c>
      <c r="D139" s="6" t="s">
        <v>179</v>
      </c>
      <c r="E139" s="10"/>
      <c r="F139" s="10"/>
      <c r="G139" s="10">
        <v>4</v>
      </c>
    </row>
    <row r="140" spans="1:7" x14ac:dyDescent="0.35">
      <c r="A140" s="10">
        <v>3</v>
      </c>
      <c r="B140" s="6" t="s">
        <v>315</v>
      </c>
      <c r="C140" s="6"/>
      <c r="D140" s="6" t="s">
        <v>333</v>
      </c>
      <c r="E140" s="10"/>
      <c r="F140" s="10"/>
      <c r="G140" s="10">
        <v>3</v>
      </c>
    </row>
    <row r="141" spans="1:7" x14ac:dyDescent="0.35">
      <c r="A141" s="10">
        <v>4</v>
      </c>
      <c r="B141" s="6" t="s">
        <v>138</v>
      </c>
      <c r="C141" s="6" t="s">
        <v>311</v>
      </c>
      <c r="D141" s="6" t="s">
        <v>257</v>
      </c>
      <c r="E141" s="10"/>
      <c r="F141" s="10"/>
      <c r="G141" s="10">
        <v>1</v>
      </c>
    </row>
    <row r="142" spans="1:7" x14ac:dyDescent="0.35">
      <c r="A142" s="10">
        <v>5</v>
      </c>
      <c r="B142" s="6" t="s">
        <v>286</v>
      </c>
      <c r="C142" s="6" t="s">
        <v>313</v>
      </c>
      <c r="D142" s="6" t="s">
        <v>93</v>
      </c>
      <c r="E142" s="10"/>
      <c r="F142" s="10"/>
      <c r="G142" s="10">
        <v>3</v>
      </c>
    </row>
    <row r="143" spans="1:7" x14ac:dyDescent="0.35">
      <c r="A143" s="10">
        <v>6</v>
      </c>
      <c r="B143" s="6" t="s">
        <v>138</v>
      </c>
      <c r="C143" s="6" t="s">
        <v>312</v>
      </c>
      <c r="D143" s="6" t="s">
        <v>144</v>
      </c>
      <c r="E143" s="10"/>
      <c r="F143" s="10"/>
      <c r="G143" s="10">
        <v>3</v>
      </c>
    </row>
    <row r="144" spans="1:7" x14ac:dyDescent="0.35">
      <c r="A144" s="10">
        <v>7</v>
      </c>
      <c r="B144" s="6" t="s">
        <v>205</v>
      </c>
      <c r="C144" s="6" t="s">
        <v>326</v>
      </c>
      <c r="D144" s="6" t="s">
        <v>188</v>
      </c>
      <c r="E144" s="10"/>
      <c r="F144" s="10"/>
      <c r="G144" s="10">
        <v>3</v>
      </c>
    </row>
    <row r="145" spans="1:7" x14ac:dyDescent="0.35">
      <c r="A145" s="8"/>
      <c r="B145" s="9" t="s">
        <v>74</v>
      </c>
      <c r="C145" s="9"/>
      <c r="D145" s="9" t="s">
        <v>94</v>
      </c>
      <c r="E145" s="8">
        <v>25</v>
      </c>
      <c r="F145" s="8">
        <v>16</v>
      </c>
      <c r="G145" s="8">
        <v>21</v>
      </c>
    </row>
    <row r="146" spans="1:7" x14ac:dyDescent="0.35">
      <c r="A146" s="8"/>
      <c r="B146" s="9" t="s">
        <v>29</v>
      </c>
      <c r="C146" s="9"/>
      <c r="D146" s="9" t="s">
        <v>297</v>
      </c>
      <c r="E146" s="8"/>
      <c r="F146" s="8"/>
      <c r="G146" s="8"/>
    </row>
    <row r="147" spans="1:7" x14ac:dyDescent="0.35">
      <c r="A147" s="11"/>
      <c r="B147" s="12" t="s">
        <v>95</v>
      </c>
      <c r="C147" s="12"/>
      <c r="D147" s="12"/>
      <c r="E147" s="11">
        <v>91</v>
      </c>
      <c r="F147" s="11">
        <v>64</v>
      </c>
      <c r="G147" s="11">
        <v>85</v>
      </c>
    </row>
    <row r="149" spans="1:7" x14ac:dyDescent="0.35">
      <c r="A149" s="74" t="s">
        <v>308</v>
      </c>
      <c r="B149" s="75"/>
      <c r="C149" s="75"/>
      <c r="D149" s="75"/>
      <c r="E149" s="75"/>
      <c r="F149" s="75"/>
      <c r="G149" s="76"/>
    </row>
    <row r="150" spans="1:7" x14ac:dyDescent="0.35">
      <c r="A150" s="7" t="s">
        <v>2</v>
      </c>
      <c r="B150" s="7" t="s">
        <v>24</v>
      </c>
      <c r="C150" s="7" t="s">
        <v>25</v>
      </c>
      <c r="D150" s="7" t="s">
        <v>26</v>
      </c>
      <c r="E150" s="7" t="s">
        <v>27</v>
      </c>
      <c r="F150" s="7" t="s">
        <v>28</v>
      </c>
      <c r="G150" s="7" t="s">
        <v>260</v>
      </c>
    </row>
    <row r="151" spans="1:7" x14ac:dyDescent="0.35">
      <c r="A151" s="8"/>
      <c r="B151" s="9" t="s">
        <v>29</v>
      </c>
      <c r="C151" s="9"/>
      <c r="D151" s="9" t="s">
        <v>32</v>
      </c>
      <c r="E151" s="8"/>
      <c r="F151" s="8"/>
      <c r="G151" s="8"/>
    </row>
    <row r="152" spans="1:7" x14ac:dyDescent="0.35">
      <c r="A152" s="10">
        <v>1</v>
      </c>
      <c r="B152" s="6" t="s">
        <v>138</v>
      </c>
      <c r="C152" s="6" t="s">
        <v>311</v>
      </c>
      <c r="D152" s="6" t="s">
        <v>34</v>
      </c>
      <c r="E152" s="10"/>
      <c r="F152" s="10"/>
      <c r="G152" s="10">
        <v>1</v>
      </c>
    </row>
    <row r="153" spans="1:7" x14ac:dyDescent="0.35">
      <c r="A153" s="10">
        <v>2</v>
      </c>
      <c r="B153" s="6" t="s">
        <v>138</v>
      </c>
      <c r="C153" s="6" t="s">
        <v>312</v>
      </c>
      <c r="D153" s="6" t="s">
        <v>148</v>
      </c>
      <c r="E153" s="10"/>
      <c r="F153" s="10"/>
      <c r="G153" s="10">
        <v>3</v>
      </c>
    </row>
    <row r="154" spans="1:7" x14ac:dyDescent="0.35">
      <c r="A154" s="10">
        <v>3</v>
      </c>
      <c r="B154" s="6" t="s">
        <v>286</v>
      </c>
      <c r="C154" s="6" t="s">
        <v>313</v>
      </c>
      <c r="D154" s="6" t="s">
        <v>38</v>
      </c>
      <c r="E154" s="10"/>
      <c r="F154" s="10"/>
      <c r="G154" s="10">
        <v>3</v>
      </c>
    </row>
    <row r="155" spans="1:7" x14ac:dyDescent="0.35">
      <c r="A155" s="10">
        <v>4</v>
      </c>
      <c r="B155" s="6" t="s">
        <v>140</v>
      </c>
      <c r="C155" s="6" t="s">
        <v>314</v>
      </c>
      <c r="D155" s="6" t="s">
        <v>39</v>
      </c>
      <c r="E155" s="10"/>
      <c r="F155" s="10"/>
      <c r="G155" s="10">
        <v>4</v>
      </c>
    </row>
    <row r="156" spans="1:7" x14ac:dyDescent="0.35">
      <c r="A156" s="10">
        <v>5</v>
      </c>
      <c r="B156" s="6" t="s">
        <v>315</v>
      </c>
      <c r="C156" s="6"/>
      <c r="D156" s="6" t="s">
        <v>43</v>
      </c>
      <c r="E156" s="10"/>
      <c r="F156" s="10"/>
      <c r="G156" s="10">
        <v>3</v>
      </c>
    </row>
    <row r="157" spans="1:7" x14ac:dyDescent="0.35">
      <c r="A157" s="10">
        <v>6</v>
      </c>
      <c r="B157" s="6" t="s">
        <v>445</v>
      </c>
      <c r="C157" s="6" t="s">
        <v>436</v>
      </c>
      <c r="D157" s="6" t="s">
        <v>196</v>
      </c>
      <c r="E157" s="10"/>
      <c r="F157" s="10"/>
      <c r="G157" s="10">
        <v>1</v>
      </c>
    </row>
    <row r="158" spans="1:7" x14ac:dyDescent="0.35">
      <c r="A158" s="10">
        <v>7</v>
      </c>
      <c r="B158" s="6" t="s">
        <v>110</v>
      </c>
      <c r="C158" s="6" t="s">
        <v>441</v>
      </c>
      <c r="D158" s="6" t="s">
        <v>49</v>
      </c>
      <c r="E158" s="10"/>
      <c r="F158" s="10"/>
      <c r="G158" s="10">
        <v>3</v>
      </c>
    </row>
    <row r="159" spans="1:7" x14ac:dyDescent="0.35">
      <c r="A159" s="10">
        <v>8</v>
      </c>
      <c r="B159" s="6" t="s">
        <v>316</v>
      </c>
      <c r="C159" s="6" t="s">
        <v>318</v>
      </c>
      <c r="D159" s="6" t="s">
        <v>53</v>
      </c>
      <c r="E159" s="10"/>
      <c r="F159" s="10"/>
      <c r="G159" s="10">
        <v>1</v>
      </c>
    </row>
    <row r="160" spans="1:7" x14ac:dyDescent="0.35">
      <c r="A160" s="10">
        <v>9</v>
      </c>
      <c r="B160" s="6" t="s">
        <v>316</v>
      </c>
      <c r="C160" s="6" t="s">
        <v>317</v>
      </c>
      <c r="D160" s="6" t="s">
        <v>346</v>
      </c>
      <c r="E160" s="10"/>
      <c r="F160" s="10"/>
      <c r="G160" s="10">
        <v>2</v>
      </c>
    </row>
    <row r="161" spans="1:7" x14ac:dyDescent="0.35">
      <c r="A161" s="8"/>
      <c r="B161" s="9" t="s">
        <v>74</v>
      </c>
      <c r="C161" s="9"/>
      <c r="D161" s="9" t="s">
        <v>408</v>
      </c>
      <c r="E161" s="8"/>
      <c r="F161" s="8">
        <v>16</v>
      </c>
      <c r="G161" s="8">
        <v>21</v>
      </c>
    </row>
    <row r="162" spans="1:7" x14ac:dyDescent="0.35">
      <c r="A162" s="10">
        <v>1</v>
      </c>
      <c r="B162" s="6" t="s">
        <v>187</v>
      </c>
      <c r="C162" s="6" t="s">
        <v>319</v>
      </c>
      <c r="D162" s="6" t="s">
        <v>59</v>
      </c>
      <c r="E162" s="10"/>
      <c r="F162" s="10"/>
      <c r="G162" s="10">
        <v>4</v>
      </c>
    </row>
    <row r="163" spans="1:7" x14ac:dyDescent="0.35">
      <c r="A163" s="10">
        <v>2</v>
      </c>
      <c r="B163" s="6" t="s">
        <v>320</v>
      </c>
      <c r="C163" s="6" t="s">
        <v>321</v>
      </c>
      <c r="D163" s="6" t="s">
        <v>61</v>
      </c>
      <c r="E163" s="10"/>
      <c r="F163" s="10"/>
      <c r="G163" s="10">
        <v>4</v>
      </c>
    </row>
    <row r="164" spans="1:7" x14ac:dyDescent="0.35">
      <c r="A164" s="10">
        <v>3</v>
      </c>
      <c r="B164" s="6" t="s">
        <v>322</v>
      </c>
      <c r="C164" s="6" t="s">
        <v>323</v>
      </c>
      <c r="D164" s="6" t="s">
        <v>204</v>
      </c>
      <c r="E164" s="10"/>
      <c r="F164" s="10"/>
      <c r="G164" s="10">
        <v>3</v>
      </c>
    </row>
    <row r="165" spans="1:7" x14ac:dyDescent="0.35">
      <c r="A165" s="10">
        <v>4</v>
      </c>
      <c r="B165" s="6" t="s">
        <v>364</v>
      </c>
      <c r="C165" s="6" t="s">
        <v>442</v>
      </c>
      <c r="D165" s="6" t="s">
        <v>166</v>
      </c>
      <c r="E165" s="10"/>
      <c r="F165" s="10"/>
      <c r="G165" s="10">
        <v>3</v>
      </c>
    </row>
    <row r="166" spans="1:7" x14ac:dyDescent="0.35">
      <c r="A166" s="10">
        <v>5</v>
      </c>
      <c r="B166" s="6" t="s">
        <v>205</v>
      </c>
      <c r="C166" s="6" t="s">
        <v>326</v>
      </c>
      <c r="D166" s="6" t="s">
        <v>123</v>
      </c>
      <c r="E166" s="10"/>
      <c r="F166" s="10"/>
      <c r="G166" s="10">
        <v>3</v>
      </c>
    </row>
    <row r="167" spans="1:7" x14ac:dyDescent="0.35">
      <c r="A167" s="10">
        <v>6</v>
      </c>
      <c r="B167" s="6" t="s">
        <v>205</v>
      </c>
      <c r="C167" s="6" t="s">
        <v>439</v>
      </c>
      <c r="D167" s="6" t="s">
        <v>168</v>
      </c>
      <c r="E167" s="10"/>
      <c r="F167" s="10"/>
      <c r="G167" s="10">
        <v>4</v>
      </c>
    </row>
    <row r="168" spans="1:7" x14ac:dyDescent="0.35">
      <c r="A168" s="8"/>
      <c r="B168" s="9" t="s">
        <v>74</v>
      </c>
      <c r="C168" s="9"/>
      <c r="D168" s="9" t="s">
        <v>174</v>
      </c>
      <c r="E168" s="8"/>
      <c r="F168" s="8">
        <v>16</v>
      </c>
      <c r="G168" s="8">
        <v>21</v>
      </c>
    </row>
    <row r="169" spans="1:7" x14ac:dyDescent="0.35">
      <c r="A169" s="10">
        <v>1</v>
      </c>
      <c r="B169" s="6" t="s">
        <v>84</v>
      </c>
      <c r="C169" s="6"/>
      <c r="D169" s="6" t="s">
        <v>85</v>
      </c>
      <c r="E169" s="10"/>
      <c r="F169" s="10"/>
      <c r="G169" s="10">
        <v>4</v>
      </c>
    </row>
    <row r="170" spans="1:7" x14ac:dyDescent="0.35">
      <c r="A170" s="10">
        <v>2</v>
      </c>
      <c r="B170" s="6" t="s">
        <v>205</v>
      </c>
      <c r="C170" s="6" t="s">
        <v>325</v>
      </c>
      <c r="D170" s="6" t="s">
        <v>87</v>
      </c>
      <c r="E170" s="10"/>
      <c r="F170" s="10"/>
      <c r="G170" s="10">
        <v>5</v>
      </c>
    </row>
    <row r="171" spans="1:7" x14ac:dyDescent="0.35">
      <c r="A171" s="10">
        <v>3</v>
      </c>
      <c r="B171" s="6" t="s">
        <v>178</v>
      </c>
      <c r="C171" s="6" t="s">
        <v>334</v>
      </c>
      <c r="D171" s="6" t="s">
        <v>139</v>
      </c>
      <c r="E171" s="10"/>
      <c r="F171" s="10"/>
      <c r="G171" s="10">
        <v>5</v>
      </c>
    </row>
    <row r="172" spans="1:7" x14ac:dyDescent="0.35">
      <c r="A172" s="10">
        <v>4</v>
      </c>
      <c r="B172" s="6" t="s">
        <v>178</v>
      </c>
      <c r="C172" s="6" t="s">
        <v>336</v>
      </c>
      <c r="D172" s="6" t="s">
        <v>91</v>
      </c>
      <c r="E172" s="10"/>
      <c r="F172" s="10"/>
      <c r="G172" s="10">
        <v>4</v>
      </c>
    </row>
    <row r="173" spans="1:7" x14ac:dyDescent="0.35">
      <c r="A173" s="10">
        <v>5</v>
      </c>
      <c r="B173" s="6" t="s">
        <v>330</v>
      </c>
      <c r="C173" s="6" t="s">
        <v>331</v>
      </c>
      <c r="D173" s="6" t="s">
        <v>141</v>
      </c>
      <c r="E173" s="10"/>
      <c r="F173" s="10"/>
      <c r="G173" s="10">
        <v>3</v>
      </c>
    </row>
    <row r="174" spans="1:7" x14ac:dyDescent="0.35">
      <c r="A174" s="8"/>
      <c r="B174" s="9" t="s">
        <v>74</v>
      </c>
      <c r="C174" s="9"/>
      <c r="D174" s="9" t="s">
        <v>94</v>
      </c>
      <c r="E174" s="8"/>
      <c r="F174" s="8">
        <v>16</v>
      </c>
      <c r="G174" s="8">
        <v>21</v>
      </c>
    </row>
    <row r="175" spans="1:7" x14ac:dyDescent="0.35">
      <c r="A175" s="8"/>
      <c r="B175" s="9" t="s">
        <v>29</v>
      </c>
      <c r="C175" s="9"/>
      <c r="D175" s="9" t="s">
        <v>297</v>
      </c>
      <c r="E175" s="8"/>
      <c r="F175" s="8"/>
      <c r="G175" s="8"/>
    </row>
    <row r="176" spans="1:7" x14ac:dyDescent="0.35">
      <c r="A176" s="11"/>
      <c r="B176" s="12" t="s">
        <v>95</v>
      </c>
      <c r="C176" s="12"/>
      <c r="D176" s="12"/>
      <c r="E176" s="11">
        <v>82</v>
      </c>
      <c r="F176" s="11">
        <v>48</v>
      </c>
      <c r="G176" s="11">
        <v>63</v>
      </c>
    </row>
  </sheetData>
  <mergeCells count="6">
    <mergeCell ref="A1:G1"/>
    <mergeCell ref="A149:G149"/>
    <mergeCell ref="A3:G3"/>
    <mergeCell ref="A109:G109"/>
    <mergeCell ref="A72:G72"/>
    <mergeCell ref="A42:G4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87"/>
  <sheetViews>
    <sheetView showGridLines="0" workbookViewId="0">
      <pane ySplit="3" topLeftCell="A70" activePane="bottomLeft" state="frozen"/>
      <selection activeCell="H25" sqref="H25:H26"/>
      <selection pane="bottomLeft" activeCell="H25" sqref="H25:H26"/>
    </sheetView>
  </sheetViews>
  <sheetFormatPr defaultRowHeight="14.5" x14ac:dyDescent="0.35"/>
  <cols>
    <col min="1" max="1" width="5" customWidth="1"/>
    <col min="2" max="2" width="30" customWidth="1"/>
    <col min="3" max="3" width="24" customWidth="1"/>
    <col min="4" max="4" width="8" customWidth="1"/>
    <col min="5" max="6" width="7" customWidth="1"/>
  </cols>
  <sheetData>
    <row r="1" spans="1:6" ht="20" customHeight="1" x14ac:dyDescent="0.35">
      <c r="A1" s="77" t="s">
        <v>18</v>
      </c>
      <c r="B1" s="72"/>
      <c r="C1" s="72"/>
      <c r="D1" s="72"/>
      <c r="E1" s="72"/>
      <c r="F1" s="72"/>
    </row>
    <row r="2" spans="1:6" ht="26" customHeight="1" x14ac:dyDescent="0.35">
      <c r="A2" s="78" t="s">
        <v>449</v>
      </c>
      <c r="B2" s="72"/>
      <c r="C2" s="72"/>
      <c r="D2" s="72"/>
      <c r="E2" s="72"/>
      <c r="F2" s="72"/>
    </row>
    <row r="4" spans="1:6" x14ac:dyDescent="0.35">
      <c r="A4" s="74" t="s">
        <v>450</v>
      </c>
      <c r="B4" s="75"/>
      <c r="C4" s="75"/>
      <c r="D4" s="75"/>
      <c r="E4" s="75"/>
      <c r="F4" s="76"/>
    </row>
    <row r="5" spans="1:6" x14ac:dyDescent="0.35">
      <c r="A5" s="7" t="s">
        <v>2</v>
      </c>
      <c r="B5" s="7" t="s">
        <v>24</v>
      </c>
      <c r="C5" s="7" t="s">
        <v>25</v>
      </c>
      <c r="D5" s="7" t="s">
        <v>26</v>
      </c>
      <c r="E5" s="7" t="s">
        <v>27</v>
      </c>
      <c r="F5" s="7" t="s">
        <v>28</v>
      </c>
    </row>
    <row r="6" spans="1:6" x14ac:dyDescent="0.35">
      <c r="A6" s="8"/>
      <c r="B6" s="9" t="s">
        <v>29</v>
      </c>
      <c r="C6" s="9"/>
      <c r="D6" s="9" t="s">
        <v>30</v>
      </c>
      <c r="E6" s="8"/>
      <c r="F6" s="8"/>
    </row>
    <row r="7" spans="1:6" x14ac:dyDescent="0.35">
      <c r="A7" s="10">
        <v>1</v>
      </c>
      <c r="B7" s="6" t="s">
        <v>393</v>
      </c>
      <c r="C7" s="6" t="s">
        <v>451</v>
      </c>
      <c r="D7" s="6" t="s">
        <v>32</v>
      </c>
      <c r="E7" s="10"/>
      <c r="F7" s="10"/>
    </row>
    <row r="8" spans="1:6" x14ac:dyDescent="0.35">
      <c r="A8" s="10">
        <v>2</v>
      </c>
      <c r="B8" s="6" t="s">
        <v>452</v>
      </c>
      <c r="C8" s="6" t="s">
        <v>453</v>
      </c>
      <c r="D8" s="6" t="s">
        <v>148</v>
      </c>
      <c r="E8" s="10"/>
      <c r="F8" s="10"/>
    </row>
    <row r="9" spans="1:6" x14ac:dyDescent="0.35">
      <c r="A9" s="10">
        <v>3</v>
      </c>
      <c r="B9" s="6" t="s">
        <v>454</v>
      </c>
      <c r="C9" s="6" t="s">
        <v>455</v>
      </c>
      <c r="D9" s="6" t="s">
        <v>38</v>
      </c>
      <c r="E9" s="10"/>
      <c r="F9" s="10"/>
    </row>
    <row r="10" spans="1:6" x14ac:dyDescent="0.35">
      <c r="A10" s="10">
        <v>4</v>
      </c>
      <c r="B10" s="6" t="s">
        <v>362</v>
      </c>
      <c r="C10" s="6" t="s">
        <v>456</v>
      </c>
      <c r="D10" s="6" t="s">
        <v>154</v>
      </c>
      <c r="E10" s="10"/>
      <c r="F10" s="10"/>
    </row>
    <row r="11" spans="1:6" x14ac:dyDescent="0.35">
      <c r="A11" s="10">
        <v>5</v>
      </c>
      <c r="B11" s="6" t="s">
        <v>457</v>
      </c>
      <c r="C11" s="6" t="s">
        <v>458</v>
      </c>
      <c r="D11" s="6" t="s">
        <v>43</v>
      </c>
      <c r="E11" s="10"/>
      <c r="F11" s="10"/>
    </row>
    <row r="12" spans="1:6" x14ac:dyDescent="0.35">
      <c r="A12" s="10">
        <v>6</v>
      </c>
      <c r="B12" s="6" t="s">
        <v>459</v>
      </c>
      <c r="C12" s="6" t="s">
        <v>460</v>
      </c>
      <c r="D12" s="6" t="s">
        <v>45</v>
      </c>
      <c r="E12" s="10"/>
      <c r="F12" s="10"/>
    </row>
    <row r="13" spans="1:6" x14ac:dyDescent="0.35">
      <c r="A13" s="10">
        <v>7</v>
      </c>
      <c r="B13" s="6" t="s">
        <v>461</v>
      </c>
      <c r="C13" s="6" t="s">
        <v>462</v>
      </c>
      <c r="D13" s="6" t="s">
        <v>47</v>
      </c>
      <c r="E13" s="10"/>
      <c r="F13" s="10"/>
    </row>
    <row r="14" spans="1:6" x14ac:dyDescent="0.35">
      <c r="A14" s="10">
        <v>8</v>
      </c>
      <c r="B14" s="6" t="s">
        <v>463</v>
      </c>
      <c r="C14" s="6" t="s">
        <v>464</v>
      </c>
      <c r="D14" s="6" t="s">
        <v>199</v>
      </c>
      <c r="E14" s="10"/>
      <c r="F14" s="10"/>
    </row>
    <row r="15" spans="1:6" x14ac:dyDescent="0.35">
      <c r="A15" s="10">
        <v>9</v>
      </c>
      <c r="B15" s="6" t="s">
        <v>457</v>
      </c>
      <c r="C15" s="6" t="s">
        <v>458</v>
      </c>
      <c r="D15" s="6" t="s">
        <v>43</v>
      </c>
      <c r="E15" s="10"/>
      <c r="F15" s="10"/>
    </row>
    <row r="16" spans="1:6" x14ac:dyDescent="0.35">
      <c r="A16" s="10">
        <v>10</v>
      </c>
      <c r="B16" s="6" t="s">
        <v>465</v>
      </c>
      <c r="C16" s="6" t="s">
        <v>466</v>
      </c>
      <c r="D16" s="6" t="s">
        <v>158</v>
      </c>
      <c r="E16" s="10"/>
      <c r="F16" s="10"/>
    </row>
    <row r="17" spans="1:6" x14ac:dyDescent="0.35">
      <c r="A17" s="10">
        <v>11</v>
      </c>
      <c r="B17" s="6" t="s">
        <v>467</v>
      </c>
      <c r="C17" s="6" t="s">
        <v>468</v>
      </c>
      <c r="D17" s="6" t="s">
        <v>109</v>
      </c>
      <c r="E17" s="10"/>
      <c r="F17" s="10"/>
    </row>
    <row r="18" spans="1:6" x14ac:dyDescent="0.35">
      <c r="A18" s="8"/>
      <c r="B18" s="9" t="s">
        <v>74</v>
      </c>
      <c r="C18" s="9"/>
      <c r="D18" s="9" t="s">
        <v>57</v>
      </c>
      <c r="E18" s="8">
        <v>24</v>
      </c>
      <c r="F18" s="8">
        <v>18</v>
      </c>
    </row>
    <row r="19" spans="1:6" x14ac:dyDescent="0.35">
      <c r="A19" s="10">
        <v>1</v>
      </c>
      <c r="B19" s="6" t="s">
        <v>461</v>
      </c>
      <c r="C19" s="6" t="s">
        <v>469</v>
      </c>
      <c r="D19" s="6" t="s">
        <v>202</v>
      </c>
      <c r="E19" s="10"/>
      <c r="F19" s="10"/>
    </row>
    <row r="20" spans="1:6" x14ac:dyDescent="0.35">
      <c r="A20" s="10">
        <v>2</v>
      </c>
      <c r="B20" s="6" t="s">
        <v>470</v>
      </c>
      <c r="C20" s="6" t="s">
        <v>471</v>
      </c>
      <c r="D20" s="6" t="s">
        <v>61</v>
      </c>
      <c r="E20" s="10"/>
      <c r="F20" s="10"/>
    </row>
    <row r="21" spans="1:6" x14ac:dyDescent="0.35">
      <c r="A21" s="10">
        <v>3</v>
      </c>
      <c r="B21" s="6" t="s">
        <v>472</v>
      </c>
      <c r="C21" s="6" t="s">
        <v>473</v>
      </c>
      <c r="D21" s="6" t="s">
        <v>116</v>
      </c>
      <c r="E21" s="10"/>
      <c r="F21" s="10"/>
    </row>
    <row r="22" spans="1:6" x14ac:dyDescent="0.35">
      <c r="A22" s="10">
        <v>4</v>
      </c>
      <c r="B22" s="6" t="s">
        <v>474</v>
      </c>
      <c r="C22" s="6" t="s">
        <v>475</v>
      </c>
      <c r="D22" s="6" t="s">
        <v>204</v>
      </c>
      <c r="E22" s="10"/>
      <c r="F22" s="10"/>
    </row>
    <row r="23" spans="1:6" x14ac:dyDescent="0.35">
      <c r="A23" s="10">
        <v>5</v>
      </c>
      <c r="B23" s="6" t="s">
        <v>476</v>
      </c>
      <c r="C23" s="6" t="s">
        <v>477</v>
      </c>
      <c r="D23" s="6" t="s">
        <v>118</v>
      </c>
      <c r="E23" s="10"/>
      <c r="F23" s="10"/>
    </row>
    <row r="24" spans="1:6" x14ac:dyDescent="0.35">
      <c r="A24" s="10">
        <v>6</v>
      </c>
      <c r="B24" s="6" t="s">
        <v>478</v>
      </c>
      <c r="C24" s="6" t="s">
        <v>479</v>
      </c>
      <c r="D24" s="6" t="s">
        <v>67</v>
      </c>
      <c r="E24" s="10"/>
      <c r="F24" s="10"/>
    </row>
    <row r="25" spans="1:6" x14ac:dyDescent="0.35">
      <c r="A25" s="10">
        <v>7</v>
      </c>
      <c r="B25" s="6" t="s">
        <v>480</v>
      </c>
      <c r="C25" s="6" t="s">
        <v>481</v>
      </c>
      <c r="D25" s="6" t="s">
        <v>69</v>
      </c>
      <c r="E25" s="10"/>
      <c r="F25" s="10"/>
    </row>
    <row r="26" spans="1:6" x14ac:dyDescent="0.35">
      <c r="A26" s="10">
        <v>8</v>
      </c>
      <c r="B26" s="6" t="s">
        <v>482</v>
      </c>
      <c r="C26" s="6" t="s">
        <v>483</v>
      </c>
      <c r="D26" s="6" t="s">
        <v>245</v>
      </c>
      <c r="E26" s="10"/>
      <c r="F26" s="10"/>
    </row>
    <row r="27" spans="1:6" x14ac:dyDescent="0.35">
      <c r="A27" s="10">
        <v>9</v>
      </c>
      <c r="B27" s="6" t="s">
        <v>484</v>
      </c>
      <c r="C27" s="6" t="s">
        <v>485</v>
      </c>
      <c r="D27" s="6" t="s">
        <v>246</v>
      </c>
      <c r="E27" s="10"/>
      <c r="F27" s="10"/>
    </row>
    <row r="28" spans="1:6" x14ac:dyDescent="0.35">
      <c r="A28" s="10">
        <v>10</v>
      </c>
      <c r="B28" s="6" t="s">
        <v>486</v>
      </c>
      <c r="C28" s="6" t="s">
        <v>487</v>
      </c>
      <c r="D28" s="6" t="s">
        <v>212</v>
      </c>
      <c r="E28" s="10"/>
      <c r="F28" s="10"/>
    </row>
    <row r="29" spans="1:6" x14ac:dyDescent="0.35">
      <c r="A29" s="10">
        <v>11</v>
      </c>
      <c r="B29" s="6" t="s">
        <v>488</v>
      </c>
      <c r="C29" s="6" t="s">
        <v>489</v>
      </c>
      <c r="D29" s="6" t="s">
        <v>215</v>
      </c>
      <c r="E29" s="10"/>
      <c r="F29" s="10"/>
    </row>
    <row r="30" spans="1:6" x14ac:dyDescent="0.35">
      <c r="A30" s="8"/>
      <c r="B30" s="9" t="s">
        <v>74</v>
      </c>
      <c r="C30" s="9"/>
      <c r="D30" s="9" t="s">
        <v>132</v>
      </c>
      <c r="E30" s="8">
        <v>25</v>
      </c>
      <c r="F30" s="8">
        <v>18</v>
      </c>
    </row>
    <row r="31" spans="1:6" x14ac:dyDescent="0.35">
      <c r="A31" s="10">
        <v>1</v>
      </c>
      <c r="B31" s="6" t="s">
        <v>110</v>
      </c>
      <c r="C31" s="6" t="s">
        <v>490</v>
      </c>
      <c r="D31" s="6" t="s">
        <v>328</v>
      </c>
      <c r="E31" s="10"/>
      <c r="F31" s="10"/>
    </row>
    <row r="32" spans="1:6" x14ac:dyDescent="0.35">
      <c r="A32" s="10">
        <v>2</v>
      </c>
      <c r="B32" s="6" t="s">
        <v>347</v>
      </c>
      <c r="C32" s="6" t="s">
        <v>491</v>
      </c>
      <c r="D32" s="6" t="s">
        <v>329</v>
      </c>
      <c r="E32" s="10"/>
      <c r="F32" s="10"/>
    </row>
    <row r="33" spans="1:6" x14ac:dyDescent="0.35">
      <c r="A33" s="10">
        <v>3</v>
      </c>
      <c r="B33" s="6" t="s">
        <v>492</v>
      </c>
      <c r="C33" s="6" t="s">
        <v>493</v>
      </c>
      <c r="D33" s="6" t="s">
        <v>89</v>
      </c>
      <c r="E33" s="10"/>
      <c r="F33" s="10"/>
    </row>
    <row r="34" spans="1:6" x14ac:dyDescent="0.35">
      <c r="A34" s="10">
        <v>4</v>
      </c>
      <c r="B34" s="6" t="s">
        <v>322</v>
      </c>
      <c r="C34" s="6" t="s">
        <v>494</v>
      </c>
      <c r="D34" s="6" t="s">
        <v>91</v>
      </c>
      <c r="E34" s="10"/>
      <c r="F34" s="10"/>
    </row>
    <row r="35" spans="1:6" x14ac:dyDescent="0.35">
      <c r="A35" s="10">
        <v>5</v>
      </c>
      <c r="B35" s="6" t="s">
        <v>495</v>
      </c>
      <c r="C35" s="6" t="s">
        <v>496</v>
      </c>
      <c r="D35" s="6" t="s">
        <v>141</v>
      </c>
      <c r="E35" s="10"/>
      <c r="F35" s="10"/>
    </row>
    <row r="36" spans="1:6" x14ac:dyDescent="0.35">
      <c r="A36" s="10">
        <v>6</v>
      </c>
      <c r="B36" s="6" t="s">
        <v>497</v>
      </c>
      <c r="C36" s="6" t="s">
        <v>498</v>
      </c>
      <c r="D36" s="6" t="s">
        <v>143</v>
      </c>
      <c r="E36" s="10"/>
      <c r="F36" s="10"/>
    </row>
    <row r="37" spans="1:6" x14ac:dyDescent="0.35">
      <c r="A37" s="10">
        <v>7</v>
      </c>
      <c r="B37" s="6" t="s">
        <v>499</v>
      </c>
      <c r="C37" s="6" t="s">
        <v>500</v>
      </c>
      <c r="D37" s="6" t="s">
        <v>259</v>
      </c>
      <c r="E37" s="10"/>
      <c r="F37" s="10"/>
    </row>
    <row r="38" spans="1:6" x14ac:dyDescent="0.35">
      <c r="A38" s="10">
        <v>8</v>
      </c>
      <c r="B38" s="6" t="s">
        <v>187</v>
      </c>
      <c r="C38" s="6" t="s">
        <v>325</v>
      </c>
      <c r="D38" s="6" t="s">
        <v>189</v>
      </c>
      <c r="E38" s="10"/>
      <c r="F38" s="10"/>
    </row>
    <row r="39" spans="1:6" x14ac:dyDescent="0.35">
      <c r="A39" s="8"/>
      <c r="B39" s="9" t="s">
        <v>74</v>
      </c>
      <c r="C39" s="9"/>
      <c r="D39" s="9" t="s">
        <v>429</v>
      </c>
      <c r="E39" s="8">
        <v>20</v>
      </c>
      <c r="F39" s="8">
        <v>18</v>
      </c>
    </row>
    <row r="40" spans="1:6" x14ac:dyDescent="0.35">
      <c r="A40" s="11"/>
      <c r="B40" s="12" t="s">
        <v>95</v>
      </c>
      <c r="C40" s="12"/>
      <c r="D40" s="12"/>
      <c r="E40" s="11">
        <v>69</v>
      </c>
      <c r="F40" s="11">
        <v>54</v>
      </c>
    </row>
    <row r="42" spans="1:6" x14ac:dyDescent="0.35">
      <c r="A42" s="74" t="s">
        <v>501</v>
      </c>
      <c r="B42" s="75"/>
      <c r="C42" s="75"/>
      <c r="D42" s="75"/>
      <c r="E42" s="75"/>
      <c r="F42" s="76"/>
    </row>
    <row r="43" spans="1:6" x14ac:dyDescent="0.35">
      <c r="A43" s="7" t="s">
        <v>2</v>
      </c>
      <c r="B43" s="7" t="s">
        <v>24</v>
      </c>
      <c r="C43" s="7" t="s">
        <v>25</v>
      </c>
      <c r="D43" s="7" t="s">
        <v>26</v>
      </c>
      <c r="E43" s="7" t="s">
        <v>27</v>
      </c>
      <c r="F43" s="7" t="s">
        <v>28</v>
      </c>
    </row>
    <row r="44" spans="1:6" x14ac:dyDescent="0.35">
      <c r="A44" s="8"/>
      <c r="B44" s="9" t="s">
        <v>29</v>
      </c>
      <c r="C44" s="9"/>
      <c r="D44" s="9" t="s">
        <v>30</v>
      </c>
      <c r="E44" s="8"/>
      <c r="F44" s="8"/>
    </row>
    <row r="45" spans="1:6" x14ac:dyDescent="0.35">
      <c r="A45" s="10">
        <v>1</v>
      </c>
      <c r="B45" s="6" t="s">
        <v>362</v>
      </c>
      <c r="C45" s="6" t="s">
        <v>502</v>
      </c>
      <c r="D45" s="6" t="s">
        <v>32</v>
      </c>
      <c r="E45" s="10"/>
      <c r="F45" s="10"/>
    </row>
    <row r="46" spans="1:6" x14ac:dyDescent="0.35">
      <c r="A46" s="10">
        <v>2</v>
      </c>
      <c r="B46" s="6" t="s">
        <v>393</v>
      </c>
      <c r="C46" s="6" t="s">
        <v>503</v>
      </c>
      <c r="D46" s="6" t="s">
        <v>150</v>
      </c>
      <c r="E46" s="10"/>
      <c r="F46" s="10"/>
    </row>
    <row r="47" spans="1:6" x14ac:dyDescent="0.35">
      <c r="A47" s="10">
        <v>3</v>
      </c>
      <c r="B47" s="6" t="s">
        <v>364</v>
      </c>
      <c r="C47" s="6" t="s">
        <v>504</v>
      </c>
      <c r="D47" s="6" t="s">
        <v>270</v>
      </c>
      <c r="E47" s="10"/>
      <c r="F47" s="10"/>
    </row>
    <row r="48" spans="1:6" x14ac:dyDescent="0.35">
      <c r="A48" s="10">
        <v>4</v>
      </c>
      <c r="B48" s="6" t="s">
        <v>457</v>
      </c>
      <c r="C48" s="6" t="s">
        <v>505</v>
      </c>
      <c r="D48" s="6" t="s">
        <v>273</v>
      </c>
      <c r="E48" s="10"/>
      <c r="F48" s="10"/>
    </row>
    <row r="49" spans="1:6" x14ac:dyDescent="0.35">
      <c r="A49" s="10">
        <v>5</v>
      </c>
      <c r="B49" s="6" t="s">
        <v>506</v>
      </c>
      <c r="C49" s="6" t="s">
        <v>507</v>
      </c>
      <c r="D49" s="6" t="s">
        <v>51</v>
      </c>
      <c r="E49" s="10"/>
      <c r="F49" s="10"/>
    </row>
    <row r="50" spans="1:6" x14ac:dyDescent="0.35">
      <c r="A50" s="10">
        <v>6</v>
      </c>
      <c r="B50" s="6" t="s">
        <v>508</v>
      </c>
      <c r="C50" s="6" t="s">
        <v>509</v>
      </c>
      <c r="D50" s="6" t="s">
        <v>346</v>
      </c>
      <c r="E50" s="10"/>
      <c r="F50" s="10"/>
    </row>
    <row r="51" spans="1:6" x14ac:dyDescent="0.35">
      <c r="A51" s="10">
        <v>7</v>
      </c>
      <c r="B51" s="6" t="s">
        <v>282</v>
      </c>
      <c r="C51" s="6" t="s">
        <v>510</v>
      </c>
      <c r="D51" s="6" t="s">
        <v>109</v>
      </c>
      <c r="E51" s="10"/>
      <c r="F51" s="10"/>
    </row>
    <row r="52" spans="1:6" x14ac:dyDescent="0.35">
      <c r="A52" s="10">
        <v>8</v>
      </c>
      <c r="B52" s="6" t="s">
        <v>214</v>
      </c>
      <c r="C52" s="6" t="s">
        <v>511</v>
      </c>
      <c r="D52" s="6" t="s">
        <v>111</v>
      </c>
      <c r="E52" s="10"/>
      <c r="F52" s="10"/>
    </row>
    <row r="53" spans="1:6" x14ac:dyDescent="0.35">
      <c r="A53" s="10">
        <v>9</v>
      </c>
      <c r="B53" s="6" t="s">
        <v>256</v>
      </c>
      <c r="C53" s="6" t="s">
        <v>512</v>
      </c>
      <c r="D53" s="6" t="s">
        <v>298</v>
      </c>
      <c r="E53" s="10"/>
      <c r="F53" s="10"/>
    </row>
    <row r="54" spans="1:6" x14ac:dyDescent="0.35">
      <c r="A54" s="8"/>
      <c r="B54" s="9" t="s">
        <v>74</v>
      </c>
      <c r="C54" s="9"/>
      <c r="D54" s="9" t="s">
        <v>202</v>
      </c>
      <c r="E54" s="8">
        <v>22</v>
      </c>
      <c r="F54" s="8">
        <v>18</v>
      </c>
    </row>
    <row r="55" spans="1:6" x14ac:dyDescent="0.35">
      <c r="A55" s="10">
        <v>1</v>
      </c>
      <c r="B55" s="6" t="s">
        <v>322</v>
      </c>
      <c r="C55" s="6" t="s">
        <v>513</v>
      </c>
      <c r="D55" s="6" t="s">
        <v>290</v>
      </c>
      <c r="E55" s="10"/>
      <c r="F55" s="10"/>
    </row>
    <row r="56" spans="1:6" x14ac:dyDescent="0.35">
      <c r="A56" s="10">
        <v>2</v>
      </c>
      <c r="B56" s="6" t="s">
        <v>347</v>
      </c>
      <c r="C56" s="6" t="s">
        <v>514</v>
      </c>
      <c r="D56" s="6" t="s">
        <v>164</v>
      </c>
      <c r="E56" s="10"/>
      <c r="F56" s="10"/>
    </row>
    <row r="57" spans="1:6" x14ac:dyDescent="0.35">
      <c r="A57" s="10">
        <v>3</v>
      </c>
      <c r="B57" s="6" t="s">
        <v>515</v>
      </c>
      <c r="C57" s="6" t="s">
        <v>516</v>
      </c>
      <c r="D57" s="6" t="s">
        <v>65</v>
      </c>
      <c r="E57" s="10"/>
      <c r="F57" s="10"/>
    </row>
    <row r="58" spans="1:6" x14ac:dyDescent="0.35">
      <c r="A58" s="10">
        <v>4</v>
      </c>
      <c r="B58" s="6" t="s">
        <v>517</v>
      </c>
      <c r="C58" s="6" t="s">
        <v>518</v>
      </c>
      <c r="D58" s="6" t="s">
        <v>244</v>
      </c>
      <c r="E58" s="10"/>
      <c r="F58" s="10"/>
    </row>
    <row r="59" spans="1:6" x14ac:dyDescent="0.35">
      <c r="A59" s="10">
        <v>5</v>
      </c>
      <c r="B59" s="6" t="s">
        <v>519</v>
      </c>
      <c r="C59" s="6" t="s">
        <v>520</v>
      </c>
      <c r="D59" s="6" t="s">
        <v>71</v>
      </c>
      <c r="E59" s="10"/>
      <c r="F59" s="10"/>
    </row>
    <row r="60" spans="1:6" x14ac:dyDescent="0.35">
      <c r="A60" s="10">
        <v>6</v>
      </c>
      <c r="B60" s="6" t="s">
        <v>400</v>
      </c>
      <c r="C60" s="6" t="s">
        <v>521</v>
      </c>
      <c r="D60" s="6" t="s">
        <v>246</v>
      </c>
      <c r="E60" s="10"/>
      <c r="F60" s="10"/>
    </row>
    <row r="61" spans="1:6" x14ac:dyDescent="0.35">
      <c r="A61" s="10">
        <v>7</v>
      </c>
      <c r="B61" s="6" t="s">
        <v>393</v>
      </c>
      <c r="C61" s="6" t="s">
        <v>522</v>
      </c>
      <c r="D61" s="6" t="s">
        <v>168</v>
      </c>
      <c r="E61" s="10"/>
      <c r="F61" s="10"/>
    </row>
    <row r="62" spans="1:6" x14ac:dyDescent="0.35">
      <c r="A62" s="8"/>
      <c r="B62" s="9" t="s">
        <v>74</v>
      </c>
      <c r="C62" s="9"/>
      <c r="D62" s="9" t="s">
        <v>172</v>
      </c>
      <c r="E62" s="8">
        <v>21</v>
      </c>
      <c r="F62" s="8">
        <v>18</v>
      </c>
    </row>
    <row r="63" spans="1:6" x14ac:dyDescent="0.35">
      <c r="A63" s="10">
        <v>1</v>
      </c>
      <c r="B63" s="6" t="s">
        <v>523</v>
      </c>
      <c r="C63" s="6" t="s">
        <v>524</v>
      </c>
      <c r="D63" s="6" t="s">
        <v>134</v>
      </c>
      <c r="E63" s="10"/>
      <c r="F63" s="10"/>
    </row>
    <row r="64" spans="1:6" x14ac:dyDescent="0.35">
      <c r="A64" s="10">
        <v>2</v>
      </c>
      <c r="B64" s="6" t="s">
        <v>525</v>
      </c>
      <c r="C64" s="6" t="s">
        <v>526</v>
      </c>
      <c r="D64" s="6" t="s">
        <v>85</v>
      </c>
      <c r="E64" s="10"/>
      <c r="F64" s="10"/>
    </row>
    <row r="65" spans="1:6" x14ac:dyDescent="0.35">
      <c r="A65" s="10">
        <v>3</v>
      </c>
      <c r="B65" s="6" t="s">
        <v>527</v>
      </c>
      <c r="C65" s="6" t="s">
        <v>528</v>
      </c>
      <c r="D65" s="6" t="s">
        <v>332</v>
      </c>
      <c r="E65" s="10"/>
      <c r="F65" s="10"/>
    </row>
    <row r="66" spans="1:6" x14ac:dyDescent="0.35">
      <c r="A66" s="10">
        <v>4</v>
      </c>
      <c r="B66" s="6" t="s">
        <v>529</v>
      </c>
      <c r="C66" s="6" t="s">
        <v>530</v>
      </c>
      <c r="D66" s="6" t="s">
        <v>181</v>
      </c>
      <c r="E66" s="10"/>
      <c r="F66" s="10"/>
    </row>
    <row r="67" spans="1:6" x14ac:dyDescent="0.35">
      <c r="A67" s="10">
        <v>5</v>
      </c>
      <c r="B67" s="6" t="s">
        <v>531</v>
      </c>
      <c r="C67" s="6" t="s">
        <v>532</v>
      </c>
      <c r="D67" s="6" t="s">
        <v>93</v>
      </c>
      <c r="E67" s="10"/>
      <c r="F67" s="10"/>
    </row>
    <row r="68" spans="1:6" x14ac:dyDescent="0.35">
      <c r="A68" s="10">
        <v>6</v>
      </c>
      <c r="B68" s="6" t="s">
        <v>533</v>
      </c>
      <c r="C68" s="6" t="s">
        <v>534</v>
      </c>
      <c r="D68" s="6" t="s">
        <v>335</v>
      </c>
      <c r="E68" s="10"/>
      <c r="F68" s="10"/>
    </row>
    <row r="69" spans="1:6" x14ac:dyDescent="0.35">
      <c r="A69" s="10">
        <v>7</v>
      </c>
      <c r="B69" s="6" t="s">
        <v>213</v>
      </c>
      <c r="C69" s="6" t="s">
        <v>535</v>
      </c>
      <c r="D69" s="6" t="s">
        <v>186</v>
      </c>
      <c r="E69" s="10"/>
      <c r="F69" s="10"/>
    </row>
    <row r="70" spans="1:6" x14ac:dyDescent="0.35">
      <c r="A70" s="10">
        <v>8</v>
      </c>
      <c r="B70" s="6" t="s">
        <v>536</v>
      </c>
      <c r="C70" s="6" t="s">
        <v>537</v>
      </c>
      <c r="D70" s="6" t="s">
        <v>188</v>
      </c>
      <c r="E70" s="10"/>
      <c r="F70" s="10"/>
    </row>
    <row r="71" spans="1:6" x14ac:dyDescent="0.35">
      <c r="A71" s="10">
        <v>9</v>
      </c>
      <c r="B71" s="6" t="s">
        <v>538</v>
      </c>
      <c r="C71" s="6" t="s">
        <v>539</v>
      </c>
      <c r="D71" s="6" t="s">
        <v>189</v>
      </c>
      <c r="E71" s="10"/>
      <c r="F71" s="10"/>
    </row>
    <row r="72" spans="1:6" x14ac:dyDescent="0.35">
      <c r="A72" s="8"/>
      <c r="B72" s="9" t="s">
        <v>74</v>
      </c>
      <c r="C72" s="9"/>
      <c r="D72" s="9" t="s">
        <v>297</v>
      </c>
      <c r="E72" s="8">
        <v>18</v>
      </c>
      <c r="F72" s="8">
        <v>18</v>
      </c>
    </row>
    <row r="73" spans="1:6" x14ac:dyDescent="0.35">
      <c r="A73" s="11"/>
      <c r="B73" s="12" t="s">
        <v>95</v>
      </c>
      <c r="C73" s="12"/>
      <c r="D73" s="12"/>
      <c r="E73" s="11">
        <v>61</v>
      </c>
      <c r="F73" s="11">
        <v>54</v>
      </c>
    </row>
    <row r="75" spans="1:6" x14ac:dyDescent="0.35">
      <c r="A75" s="74" t="s">
        <v>540</v>
      </c>
      <c r="B75" s="75"/>
      <c r="C75" s="75"/>
      <c r="D75" s="75"/>
      <c r="E75" s="75"/>
      <c r="F75" s="76"/>
    </row>
    <row r="76" spans="1:6" x14ac:dyDescent="0.35">
      <c r="A76" s="7" t="s">
        <v>2</v>
      </c>
      <c r="B76" s="7" t="s">
        <v>24</v>
      </c>
      <c r="C76" s="7" t="s">
        <v>25</v>
      </c>
      <c r="D76" s="7" t="s">
        <v>26</v>
      </c>
      <c r="E76" s="7" t="s">
        <v>27</v>
      </c>
      <c r="F76" s="7" t="s">
        <v>28</v>
      </c>
    </row>
    <row r="77" spans="1:6" x14ac:dyDescent="0.35">
      <c r="A77" s="8"/>
      <c r="B77" s="9" t="s">
        <v>29</v>
      </c>
      <c r="C77" s="9"/>
      <c r="D77" s="9" t="s">
        <v>30</v>
      </c>
      <c r="E77" s="8"/>
      <c r="F77" s="8"/>
    </row>
    <row r="78" spans="1:6" x14ac:dyDescent="0.35">
      <c r="A78" s="10">
        <v>1</v>
      </c>
      <c r="B78" s="6" t="s">
        <v>362</v>
      </c>
      <c r="C78" s="6" t="s">
        <v>541</v>
      </c>
      <c r="D78" s="6" t="s">
        <v>32</v>
      </c>
      <c r="E78" s="10"/>
      <c r="F78" s="10"/>
    </row>
    <row r="79" spans="1:6" x14ac:dyDescent="0.35">
      <c r="A79" s="10">
        <v>2</v>
      </c>
      <c r="B79" s="6" t="s">
        <v>457</v>
      </c>
      <c r="C79" s="6" t="s">
        <v>542</v>
      </c>
      <c r="D79" s="6" t="s">
        <v>148</v>
      </c>
      <c r="E79" s="10"/>
      <c r="F79" s="10"/>
    </row>
    <row r="80" spans="1:6" x14ac:dyDescent="0.35">
      <c r="A80" s="10">
        <v>3</v>
      </c>
      <c r="B80" s="6" t="s">
        <v>459</v>
      </c>
      <c r="C80" s="6" t="s">
        <v>543</v>
      </c>
      <c r="D80" s="6" t="s">
        <v>38</v>
      </c>
      <c r="E80" s="10"/>
      <c r="F80" s="10"/>
    </row>
    <row r="81" spans="1:6" x14ac:dyDescent="0.35">
      <c r="A81" s="10">
        <v>4</v>
      </c>
      <c r="B81" s="6" t="s">
        <v>461</v>
      </c>
      <c r="C81" s="6" t="s">
        <v>544</v>
      </c>
      <c r="D81" s="6" t="s">
        <v>154</v>
      </c>
      <c r="E81" s="10"/>
      <c r="F81" s="10"/>
    </row>
    <row r="82" spans="1:6" x14ac:dyDescent="0.35">
      <c r="A82" s="10">
        <v>5</v>
      </c>
      <c r="B82" s="6" t="s">
        <v>463</v>
      </c>
      <c r="C82" s="6" t="s">
        <v>545</v>
      </c>
      <c r="D82" s="6" t="s">
        <v>43</v>
      </c>
      <c r="E82" s="10"/>
      <c r="F82" s="10"/>
    </row>
    <row r="83" spans="1:6" x14ac:dyDescent="0.35">
      <c r="A83" s="10">
        <v>6</v>
      </c>
      <c r="B83" s="6" t="s">
        <v>476</v>
      </c>
      <c r="C83" s="6" t="s">
        <v>546</v>
      </c>
      <c r="D83" s="6" t="s">
        <v>45</v>
      </c>
      <c r="E83" s="10"/>
      <c r="F83" s="10"/>
    </row>
    <row r="84" spans="1:6" x14ac:dyDescent="0.35">
      <c r="A84" s="10">
        <v>7</v>
      </c>
      <c r="B84" s="6" t="s">
        <v>536</v>
      </c>
      <c r="C84" s="6" t="s">
        <v>547</v>
      </c>
      <c r="D84" s="6" t="s">
        <v>47</v>
      </c>
      <c r="E84" s="10"/>
      <c r="F84" s="10"/>
    </row>
    <row r="85" spans="1:6" x14ac:dyDescent="0.35">
      <c r="A85" s="10">
        <v>8</v>
      </c>
      <c r="B85" s="6" t="s">
        <v>548</v>
      </c>
      <c r="C85" s="6" t="s">
        <v>549</v>
      </c>
      <c r="D85" s="6" t="s">
        <v>199</v>
      </c>
      <c r="E85" s="10"/>
      <c r="F85" s="10"/>
    </row>
    <row r="86" spans="1:6" x14ac:dyDescent="0.35">
      <c r="A86" s="10">
        <v>9</v>
      </c>
      <c r="B86" s="6" t="s">
        <v>400</v>
      </c>
      <c r="C86" s="6" t="s">
        <v>550</v>
      </c>
      <c r="D86" s="6" t="s">
        <v>158</v>
      </c>
      <c r="E86" s="10"/>
      <c r="F86" s="10"/>
    </row>
    <row r="87" spans="1:6" x14ac:dyDescent="0.35">
      <c r="A87" s="10">
        <v>10</v>
      </c>
      <c r="B87" s="6" t="s">
        <v>551</v>
      </c>
      <c r="C87" s="6" t="s">
        <v>552</v>
      </c>
      <c r="D87" s="6" t="s">
        <v>109</v>
      </c>
      <c r="E87" s="10"/>
      <c r="F87" s="10"/>
    </row>
    <row r="88" spans="1:6" x14ac:dyDescent="0.35">
      <c r="A88" s="8"/>
      <c r="B88" s="9" t="s">
        <v>74</v>
      </c>
      <c r="C88" s="9"/>
      <c r="D88" s="9" t="s">
        <v>298</v>
      </c>
      <c r="E88" s="8">
        <v>19</v>
      </c>
      <c r="F88" s="8">
        <v>18</v>
      </c>
    </row>
    <row r="89" spans="1:6" x14ac:dyDescent="0.35">
      <c r="A89" s="10">
        <v>1</v>
      </c>
      <c r="B89" s="6" t="s">
        <v>553</v>
      </c>
      <c r="C89" s="6" t="s">
        <v>554</v>
      </c>
      <c r="D89" s="6" t="s">
        <v>238</v>
      </c>
      <c r="E89" s="10"/>
      <c r="F89" s="10"/>
    </row>
    <row r="90" spans="1:6" x14ac:dyDescent="0.35">
      <c r="A90" s="10">
        <v>2</v>
      </c>
      <c r="B90" s="6" t="s">
        <v>555</v>
      </c>
      <c r="C90" s="6" t="s">
        <v>556</v>
      </c>
      <c r="D90" s="6" t="s">
        <v>305</v>
      </c>
      <c r="E90" s="10"/>
      <c r="F90" s="10"/>
    </row>
    <row r="91" spans="1:6" x14ac:dyDescent="0.35">
      <c r="A91" s="10">
        <v>3</v>
      </c>
      <c r="B91" s="6" t="s">
        <v>213</v>
      </c>
      <c r="C91" s="6" t="s">
        <v>557</v>
      </c>
      <c r="D91" s="6" t="s">
        <v>63</v>
      </c>
      <c r="E91" s="10"/>
      <c r="F91" s="10"/>
    </row>
    <row r="92" spans="1:6" x14ac:dyDescent="0.35">
      <c r="A92" s="10">
        <v>4</v>
      </c>
      <c r="B92" s="6" t="s">
        <v>558</v>
      </c>
      <c r="C92" s="6" t="s">
        <v>559</v>
      </c>
      <c r="D92" s="6" t="s">
        <v>65</v>
      </c>
      <c r="E92" s="10"/>
      <c r="F92" s="10"/>
    </row>
    <row r="93" spans="1:6" x14ac:dyDescent="0.35">
      <c r="A93" s="10">
        <v>5</v>
      </c>
      <c r="B93" s="6" t="s">
        <v>523</v>
      </c>
      <c r="C93" s="6" t="s">
        <v>560</v>
      </c>
      <c r="D93" s="6" t="s">
        <v>244</v>
      </c>
      <c r="E93" s="10"/>
      <c r="F93" s="10"/>
    </row>
    <row r="94" spans="1:6" x14ac:dyDescent="0.35">
      <c r="A94" s="10">
        <v>6</v>
      </c>
      <c r="B94" s="6" t="s">
        <v>344</v>
      </c>
      <c r="C94" s="6" t="s">
        <v>561</v>
      </c>
      <c r="D94" s="6" t="s">
        <v>206</v>
      </c>
      <c r="E94" s="10"/>
      <c r="F94" s="10"/>
    </row>
    <row r="95" spans="1:6" x14ac:dyDescent="0.35">
      <c r="A95" s="10">
        <v>7</v>
      </c>
      <c r="B95" s="6" t="s">
        <v>347</v>
      </c>
      <c r="C95" s="6" t="s">
        <v>562</v>
      </c>
      <c r="D95" s="6" t="s">
        <v>245</v>
      </c>
      <c r="E95" s="10"/>
      <c r="F95" s="10"/>
    </row>
    <row r="96" spans="1:6" x14ac:dyDescent="0.35">
      <c r="A96" s="10">
        <v>8</v>
      </c>
      <c r="B96" s="6" t="s">
        <v>320</v>
      </c>
      <c r="C96" s="6" t="s">
        <v>563</v>
      </c>
      <c r="D96" s="6" t="s">
        <v>246</v>
      </c>
      <c r="E96" s="10"/>
      <c r="F96" s="10"/>
    </row>
    <row r="97" spans="1:6" x14ac:dyDescent="0.35">
      <c r="A97" s="10">
        <v>9</v>
      </c>
      <c r="B97" s="6" t="s">
        <v>564</v>
      </c>
      <c r="C97" s="6" t="s">
        <v>565</v>
      </c>
      <c r="D97" s="6" t="s">
        <v>212</v>
      </c>
      <c r="E97" s="10"/>
      <c r="F97" s="10"/>
    </row>
    <row r="98" spans="1:6" x14ac:dyDescent="0.35">
      <c r="A98" s="10">
        <v>10</v>
      </c>
      <c r="B98" s="6" t="s">
        <v>566</v>
      </c>
      <c r="C98" s="6" t="s">
        <v>567</v>
      </c>
      <c r="D98" s="6" t="s">
        <v>215</v>
      </c>
      <c r="E98" s="10"/>
      <c r="F98" s="10"/>
    </row>
    <row r="99" spans="1:6" x14ac:dyDescent="0.35">
      <c r="A99" s="8"/>
      <c r="B99" s="9" t="s">
        <v>74</v>
      </c>
      <c r="C99" s="9"/>
      <c r="D99" s="9" t="s">
        <v>172</v>
      </c>
      <c r="E99" s="8">
        <v>19</v>
      </c>
      <c r="F99" s="8">
        <v>18</v>
      </c>
    </row>
    <row r="100" spans="1:6" x14ac:dyDescent="0.35">
      <c r="A100" s="10">
        <v>1</v>
      </c>
      <c r="B100" s="6" t="s">
        <v>568</v>
      </c>
      <c r="C100" s="6" t="s">
        <v>569</v>
      </c>
      <c r="D100" s="6" t="s">
        <v>134</v>
      </c>
      <c r="E100" s="10"/>
      <c r="F100" s="10"/>
    </row>
    <row r="101" spans="1:6" x14ac:dyDescent="0.35">
      <c r="A101" s="10">
        <v>2</v>
      </c>
      <c r="B101" s="6" t="s">
        <v>570</v>
      </c>
      <c r="C101" s="6" t="s">
        <v>571</v>
      </c>
      <c r="D101" s="6" t="s">
        <v>220</v>
      </c>
      <c r="E101" s="10"/>
      <c r="F101" s="10"/>
    </row>
    <row r="102" spans="1:6" x14ac:dyDescent="0.35">
      <c r="A102" s="10">
        <v>3</v>
      </c>
      <c r="B102" s="6" t="s">
        <v>250</v>
      </c>
      <c r="C102" s="6" t="s">
        <v>572</v>
      </c>
      <c r="D102" s="6" t="s">
        <v>87</v>
      </c>
      <c r="E102" s="10"/>
      <c r="F102" s="10"/>
    </row>
    <row r="103" spans="1:6" x14ac:dyDescent="0.35">
      <c r="A103" s="10">
        <v>4</v>
      </c>
      <c r="B103" s="6" t="s">
        <v>250</v>
      </c>
      <c r="C103" s="6" t="s">
        <v>573</v>
      </c>
      <c r="D103" s="6" t="s">
        <v>179</v>
      </c>
      <c r="E103" s="10"/>
      <c r="F103" s="10"/>
    </row>
    <row r="104" spans="1:6" x14ac:dyDescent="0.35">
      <c r="A104" s="10">
        <v>5</v>
      </c>
      <c r="B104" s="6" t="s">
        <v>574</v>
      </c>
      <c r="C104" s="6" t="s">
        <v>575</v>
      </c>
      <c r="D104" s="6" t="s">
        <v>181</v>
      </c>
      <c r="E104" s="10"/>
      <c r="F104" s="10"/>
    </row>
    <row r="105" spans="1:6" x14ac:dyDescent="0.35">
      <c r="A105" s="10">
        <v>6</v>
      </c>
      <c r="B105" s="6" t="s">
        <v>576</v>
      </c>
      <c r="C105" s="6" t="s">
        <v>577</v>
      </c>
      <c r="D105" s="6" t="s">
        <v>183</v>
      </c>
      <c r="E105" s="10"/>
      <c r="F105" s="10"/>
    </row>
    <row r="106" spans="1:6" x14ac:dyDescent="0.35">
      <c r="A106" s="10">
        <v>7</v>
      </c>
      <c r="B106" s="6" t="s">
        <v>578</v>
      </c>
      <c r="C106" s="6" t="s">
        <v>579</v>
      </c>
      <c r="D106" s="6" t="s">
        <v>141</v>
      </c>
      <c r="E106" s="10"/>
      <c r="F106" s="10"/>
    </row>
    <row r="107" spans="1:6" x14ac:dyDescent="0.35">
      <c r="A107" s="10">
        <v>8</v>
      </c>
      <c r="B107" s="6" t="s">
        <v>580</v>
      </c>
      <c r="C107" s="6" t="s">
        <v>581</v>
      </c>
      <c r="D107" s="6" t="s">
        <v>143</v>
      </c>
      <c r="E107" s="10"/>
      <c r="F107" s="10"/>
    </row>
    <row r="108" spans="1:6" x14ac:dyDescent="0.35">
      <c r="A108" s="10">
        <v>7</v>
      </c>
      <c r="B108" s="6" t="s">
        <v>582</v>
      </c>
      <c r="C108" s="6" t="s">
        <v>583</v>
      </c>
      <c r="D108" s="6" t="s">
        <v>226</v>
      </c>
      <c r="E108" s="10"/>
      <c r="F108" s="10"/>
    </row>
    <row r="109" spans="1:6" x14ac:dyDescent="0.35">
      <c r="A109" s="10">
        <v>9</v>
      </c>
      <c r="B109" s="6" t="s">
        <v>584</v>
      </c>
      <c r="C109" s="6" t="s">
        <v>585</v>
      </c>
      <c r="D109" s="6" t="s">
        <v>259</v>
      </c>
      <c r="E109" s="10"/>
      <c r="F109" s="10"/>
    </row>
    <row r="110" spans="1:6" x14ac:dyDescent="0.35">
      <c r="A110" s="8"/>
      <c r="B110" s="9" t="s">
        <v>74</v>
      </c>
      <c r="C110" s="9"/>
      <c r="D110" s="9" t="s">
        <v>359</v>
      </c>
      <c r="E110" s="8">
        <v>19</v>
      </c>
      <c r="F110" s="8">
        <v>18</v>
      </c>
    </row>
    <row r="111" spans="1:6" x14ac:dyDescent="0.35">
      <c r="A111" s="11"/>
      <c r="B111" s="12" t="s">
        <v>95</v>
      </c>
      <c r="C111" s="12"/>
      <c r="D111" s="12"/>
      <c r="E111" s="11">
        <v>57</v>
      </c>
      <c r="F111" s="11">
        <v>54</v>
      </c>
    </row>
    <row r="113" spans="1:6" x14ac:dyDescent="0.35">
      <c r="A113" s="74" t="s">
        <v>586</v>
      </c>
      <c r="B113" s="75"/>
      <c r="C113" s="75"/>
      <c r="D113" s="75"/>
      <c r="E113" s="75"/>
      <c r="F113" s="76"/>
    </row>
    <row r="114" spans="1:6" x14ac:dyDescent="0.35">
      <c r="A114" s="7" t="s">
        <v>2</v>
      </c>
      <c r="B114" s="7" t="s">
        <v>24</v>
      </c>
      <c r="C114" s="7" t="s">
        <v>25</v>
      </c>
      <c r="D114" s="7" t="s">
        <v>26</v>
      </c>
      <c r="E114" s="7" t="s">
        <v>27</v>
      </c>
      <c r="F114" s="7" t="s">
        <v>28</v>
      </c>
    </row>
    <row r="115" spans="1:6" x14ac:dyDescent="0.35">
      <c r="A115" s="8"/>
      <c r="B115" s="9" t="s">
        <v>29</v>
      </c>
      <c r="C115" s="9"/>
      <c r="D115" s="9" t="s">
        <v>30</v>
      </c>
      <c r="E115" s="8"/>
      <c r="F115" s="8"/>
    </row>
    <row r="116" spans="1:6" x14ac:dyDescent="0.35">
      <c r="A116" s="10">
        <v>1</v>
      </c>
      <c r="B116" s="6" t="s">
        <v>209</v>
      </c>
      <c r="C116" s="6" t="s">
        <v>587</v>
      </c>
      <c r="D116" s="6" t="s">
        <v>32</v>
      </c>
      <c r="E116" s="10"/>
      <c r="F116" s="10"/>
    </row>
    <row r="117" spans="1:6" x14ac:dyDescent="0.35">
      <c r="A117" s="10">
        <v>2</v>
      </c>
      <c r="B117" s="6" t="s">
        <v>452</v>
      </c>
      <c r="C117" s="6" t="s">
        <v>588</v>
      </c>
      <c r="D117" s="6" t="s">
        <v>148</v>
      </c>
      <c r="E117" s="10"/>
      <c r="F117" s="10"/>
    </row>
    <row r="118" spans="1:6" x14ac:dyDescent="0.35">
      <c r="A118" s="10">
        <v>3</v>
      </c>
      <c r="B118" s="6" t="s">
        <v>362</v>
      </c>
      <c r="C118" s="6" t="s">
        <v>589</v>
      </c>
      <c r="D118" s="6" t="s">
        <v>38</v>
      </c>
      <c r="E118" s="10"/>
      <c r="F118" s="10"/>
    </row>
    <row r="119" spans="1:6" x14ac:dyDescent="0.35">
      <c r="A119" s="10">
        <v>4</v>
      </c>
      <c r="B119" s="6" t="s">
        <v>457</v>
      </c>
      <c r="C119" s="6" t="s">
        <v>590</v>
      </c>
      <c r="D119" s="6" t="s">
        <v>154</v>
      </c>
      <c r="E119" s="10"/>
      <c r="F119" s="10"/>
    </row>
    <row r="120" spans="1:6" x14ac:dyDescent="0.35">
      <c r="A120" s="10">
        <v>5</v>
      </c>
      <c r="B120" s="6" t="s">
        <v>459</v>
      </c>
      <c r="C120" s="6" t="s">
        <v>591</v>
      </c>
      <c r="D120" s="6" t="s">
        <v>43</v>
      </c>
      <c r="E120" s="10"/>
      <c r="F120" s="10"/>
    </row>
    <row r="121" spans="1:6" x14ac:dyDescent="0.35">
      <c r="A121" s="10">
        <v>6</v>
      </c>
      <c r="B121" s="6" t="s">
        <v>463</v>
      </c>
      <c r="C121" s="6" t="s">
        <v>592</v>
      </c>
      <c r="D121" s="6" t="s">
        <v>45</v>
      </c>
      <c r="E121" s="10"/>
      <c r="F121" s="10"/>
    </row>
    <row r="122" spans="1:6" x14ac:dyDescent="0.35">
      <c r="A122" s="10">
        <v>7</v>
      </c>
      <c r="B122" s="6" t="s">
        <v>478</v>
      </c>
      <c r="C122" s="6" t="s">
        <v>593</v>
      </c>
      <c r="D122" s="6" t="s">
        <v>47</v>
      </c>
      <c r="E122" s="10"/>
      <c r="F122" s="10"/>
    </row>
    <row r="123" spans="1:6" x14ac:dyDescent="0.35">
      <c r="A123" s="10">
        <v>8</v>
      </c>
      <c r="B123" s="6" t="s">
        <v>461</v>
      </c>
      <c r="C123" s="6" t="s">
        <v>594</v>
      </c>
      <c r="D123" s="6" t="s">
        <v>199</v>
      </c>
      <c r="E123" s="10"/>
      <c r="F123" s="10"/>
    </row>
    <row r="124" spans="1:6" x14ac:dyDescent="0.35">
      <c r="A124" s="10">
        <v>9</v>
      </c>
      <c r="B124" s="6" t="s">
        <v>409</v>
      </c>
      <c r="C124" s="6" t="s">
        <v>595</v>
      </c>
      <c r="D124" s="6" t="s">
        <v>158</v>
      </c>
      <c r="E124" s="10"/>
      <c r="F124" s="10"/>
    </row>
    <row r="125" spans="1:6" x14ac:dyDescent="0.35">
      <c r="A125" s="10">
        <v>10</v>
      </c>
      <c r="B125" s="6" t="s">
        <v>596</v>
      </c>
      <c r="C125" s="6" t="s">
        <v>597</v>
      </c>
      <c r="D125" s="6" t="s">
        <v>346</v>
      </c>
      <c r="E125" s="10"/>
      <c r="F125" s="10"/>
    </row>
    <row r="126" spans="1:6" x14ac:dyDescent="0.35">
      <c r="A126" s="10">
        <v>11</v>
      </c>
      <c r="B126" s="6" t="s">
        <v>364</v>
      </c>
      <c r="C126" s="6" t="s">
        <v>598</v>
      </c>
      <c r="D126" s="6" t="s">
        <v>408</v>
      </c>
      <c r="E126" s="10"/>
      <c r="F126" s="10"/>
    </row>
    <row r="127" spans="1:6" x14ac:dyDescent="0.35">
      <c r="A127" s="10">
        <v>12</v>
      </c>
      <c r="B127" s="6" t="s">
        <v>599</v>
      </c>
      <c r="C127" s="6" t="s">
        <v>600</v>
      </c>
      <c r="D127" s="6" t="s">
        <v>111</v>
      </c>
      <c r="E127" s="10"/>
      <c r="F127" s="10"/>
    </row>
    <row r="128" spans="1:6" x14ac:dyDescent="0.35">
      <c r="A128" s="10">
        <v>13</v>
      </c>
      <c r="B128" s="6" t="s">
        <v>601</v>
      </c>
      <c r="C128" s="6" t="s">
        <v>602</v>
      </c>
      <c r="D128" s="6" t="s">
        <v>162</v>
      </c>
      <c r="E128" s="10"/>
      <c r="F128" s="10"/>
    </row>
    <row r="129" spans="1:6" x14ac:dyDescent="0.35">
      <c r="A129" s="10">
        <v>14</v>
      </c>
      <c r="B129" s="6" t="s">
        <v>603</v>
      </c>
      <c r="C129" s="6" t="s">
        <v>604</v>
      </c>
      <c r="D129" s="6" t="s">
        <v>202</v>
      </c>
      <c r="E129" s="10"/>
      <c r="F129" s="10"/>
    </row>
    <row r="130" spans="1:6" x14ac:dyDescent="0.35">
      <c r="A130" s="8"/>
      <c r="B130" s="9" t="s">
        <v>74</v>
      </c>
      <c r="C130" s="9"/>
      <c r="D130" s="9" t="s">
        <v>305</v>
      </c>
      <c r="E130" s="8">
        <v>22</v>
      </c>
      <c r="F130" s="8">
        <v>18</v>
      </c>
    </row>
    <row r="131" spans="1:6" x14ac:dyDescent="0.35">
      <c r="A131" s="10">
        <v>1</v>
      </c>
      <c r="B131" s="6" t="s">
        <v>457</v>
      </c>
      <c r="C131" s="6" t="s">
        <v>605</v>
      </c>
      <c r="D131" s="6" t="s">
        <v>63</v>
      </c>
      <c r="E131" s="10"/>
      <c r="F131" s="10"/>
    </row>
    <row r="132" spans="1:6" x14ac:dyDescent="0.35">
      <c r="A132" s="10">
        <v>2</v>
      </c>
      <c r="B132" s="6" t="s">
        <v>282</v>
      </c>
      <c r="C132" s="6" t="s">
        <v>606</v>
      </c>
      <c r="D132" s="6" t="s">
        <v>118</v>
      </c>
      <c r="E132" s="10"/>
      <c r="F132" s="10"/>
    </row>
    <row r="133" spans="1:6" x14ac:dyDescent="0.35">
      <c r="A133" s="10">
        <v>3</v>
      </c>
      <c r="B133" s="6" t="s">
        <v>92</v>
      </c>
      <c r="C133" s="6"/>
      <c r="D133" s="6" t="s">
        <v>166</v>
      </c>
      <c r="E133" s="10"/>
      <c r="F133" s="10"/>
    </row>
    <row r="134" spans="1:6" x14ac:dyDescent="0.35">
      <c r="A134" s="10">
        <v>4</v>
      </c>
      <c r="B134" s="6" t="s">
        <v>110</v>
      </c>
      <c r="C134" s="6" t="s">
        <v>607</v>
      </c>
      <c r="D134" s="6" t="s">
        <v>75</v>
      </c>
      <c r="E134" s="10"/>
      <c r="F134" s="10"/>
    </row>
    <row r="135" spans="1:6" x14ac:dyDescent="0.35">
      <c r="A135" s="10">
        <v>5</v>
      </c>
      <c r="B135" s="6" t="s">
        <v>284</v>
      </c>
      <c r="C135" s="6" t="s">
        <v>608</v>
      </c>
      <c r="D135" s="6" t="s">
        <v>125</v>
      </c>
      <c r="E135" s="10"/>
      <c r="F135" s="10"/>
    </row>
    <row r="136" spans="1:6" x14ac:dyDescent="0.35">
      <c r="A136" s="10">
        <v>6</v>
      </c>
      <c r="B136" s="6" t="s">
        <v>322</v>
      </c>
      <c r="C136" s="6" t="s">
        <v>609</v>
      </c>
      <c r="D136" s="6" t="s">
        <v>215</v>
      </c>
      <c r="E136" s="10"/>
      <c r="F136" s="10"/>
    </row>
    <row r="137" spans="1:6" x14ac:dyDescent="0.35">
      <c r="A137" s="10">
        <v>7</v>
      </c>
      <c r="B137" s="6" t="s">
        <v>538</v>
      </c>
      <c r="C137" s="6" t="s">
        <v>610</v>
      </c>
      <c r="D137" s="6" t="s">
        <v>79</v>
      </c>
      <c r="E137" s="10"/>
      <c r="F137" s="10"/>
    </row>
    <row r="138" spans="1:6" x14ac:dyDescent="0.35">
      <c r="A138" s="10">
        <v>8</v>
      </c>
      <c r="B138" s="6" t="s">
        <v>611</v>
      </c>
      <c r="C138" s="6" t="s">
        <v>612</v>
      </c>
      <c r="D138" s="6" t="s">
        <v>174</v>
      </c>
      <c r="E138" s="10"/>
      <c r="F138" s="10"/>
    </row>
    <row r="139" spans="1:6" x14ac:dyDescent="0.35">
      <c r="A139" s="8"/>
      <c r="B139" s="9" t="s">
        <v>74</v>
      </c>
      <c r="C139" s="9"/>
      <c r="D139" s="9" t="s">
        <v>328</v>
      </c>
      <c r="E139" s="8">
        <v>24</v>
      </c>
      <c r="F139" s="8">
        <v>18</v>
      </c>
    </row>
    <row r="140" spans="1:6" x14ac:dyDescent="0.35">
      <c r="A140" s="10">
        <v>1</v>
      </c>
      <c r="B140" s="6" t="s">
        <v>613</v>
      </c>
      <c r="C140" s="6" t="s">
        <v>614</v>
      </c>
      <c r="D140" s="6" t="s">
        <v>87</v>
      </c>
      <c r="E140" s="10"/>
      <c r="F140" s="10"/>
    </row>
    <row r="141" spans="1:6" x14ac:dyDescent="0.35">
      <c r="A141" s="10">
        <v>2</v>
      </c>
      <c r="B141" s="6" t="s">
        <v>615</v>
      </c>
      <c r="C141" s="6" t="s">
        <v>616</v>
      </c>
      <c r="D141" s="6" t="s">
        <v>179</v>
      </c>
      <c r="E141" s="10"/>
      <c r="F141" s="10"/>
    </row>
    <row r="142" spans="1:6" x14ac:dyDescent="0.35">
      <c r="A142" s="10">
        <v>3</v>
      </c>
      <c r="B142" s="6" t="s">
        <v>31</v>
      </c>
      <c r="C142" s="6"/>
      <c r="D142" s="6" t="s">
        <v>139</v>
      </c>
      <c r="E142" s="10"/>
      <c r="F142" s="10"/>
    </row>
    <row r="143" spans="1:6" x14ac:dyDescent="0.35">
      <c r="A143" s="10">
        <v>4</v>
      </c>
      <c r="B143" s="6" t="s">
        <v>574</v>
      </c>
      <c r="C143" s="6" t="s">
        <v>617</v>
      </c>
      <c r="D143" s="6" t="s">
        <v>333</v>
      </c>
      <c r="E143" s="10"/>
      <c r="F143" s="10"/>
    </row>
    <row r="144" spans="1:6" x14ac:dyDescent="0.35">
      <c r="A144" s="10">
        <v>6</v>
      </c>
      <c r="B144" s="6" t="s">
        <v>576</v>
      </c>
      <c r="C144" s="6" t="s">
        <v>618</v>
      </c>
      <c r="D144" s="6" t="s">
        <v>257</v>
      </c>
      <c r="E144" s="10"/>
      <c r="F144" s="10"/>
    </row>
    <row r="145" spans="1:6" x14ac:dyDescent="0.35">
      <c r="A145" s="10">
        <v>7</v>
      </c>
      <c r="B145" s="6" t="s">
        <v>619</v>
      </c>
      <c r="C145" s="6" t="s">
        <v>620</v>
      </c>
      <c r="D145" s="6" t="s">
        <v>335</v>
      </c>
      <c r="E145" s="10"/>
      <c r="F145" s="10"/>
    </row>
    <row r="146" spans="1:6" x14ac:dyDescent="0.35">
      <c r="A146" s="10">
        <v>8</v>
      </c>
      <c r="B146" s="6" t="s">
        <v>621</v>
      </c>
      <c r="C146" s="6" t="s">
        <v>622</v>
      </c>
      <c r="D146" s="6" t="s">
        <v>186</v>
      </c>
      <c r="E146" s="10"/>
      <c r="F146" s="10"/>
    </row>
    <row r="147" spans="1:6" x14ac:dyDescent="0.35">
      <c r="A147" s="10">
        <v>7</v>
      </c>
      <c r="B147" s="6" t="s">
        <v>623</v>
      </c>
      <c r="C147" s="6" t="s">
        <v>624</v>
      </c>
      <c r="D147" s="6" t="s">
        <v>188</v>
      </c>
      <c r="E147" s="10"/>
      <c r="F147" s="10"/>
    </row>
    <row r="148" spans="1:6" x14ac:dyDescent="0.35">
      <c r="A148" s="10">
        <v>9</v>
      </c>
      <c r="B148" s="6" t="s">
        <v>625</v>
      </c>
      <c r="C148" s="6" t="s">
        <v>626</v>
      </c>
      <c r="D148" s="6" t="s">
        <v>94</v>
      </c>
      <c r="E148" s="10"/>
      <c r="F148" s="10"/>
    </row>
    <row r="149" spans="1:6" x14ac:dyDescent="0.35">
      <c r="A149" s="8"/>
      <c r="B149" s="9" t="s">
        <v>74</v>
      </c>
      <c r="C149" s="9"/>
      <c r="D149" s="9" t="s">
        <v>359</v>
      </c>
      <c r="E149" s="8">
        <v>20</v>
      </c>
      <c r="F149" s="8">
        <v>18</v>
      </c>
    </row>
    <row r="150" spans="1:6" x14ac:dyDescent="0.35">
      <c r="A150" s="11"/>
      <c r="B150" s="12" t="s">
        <v>95</v>
      </c>
      <c r="C150" s="12"/>
      <c r="D150" s="12"/>
      <c r="E150" s="11">
        <v>66</v>
      </c>
      <c r="F150" s="11">
        <v>54</v>
      </c>
    </row>
    <row r="152" spans="1:6" x14ac:dyDescent="0.35">
      <c r="A152" s="74" t="s">
        <v>627</v>
      </c>
      <c r="B152" s="75"/>
      <c r="C152" s="75"/>
      <c r="D152" s="75"/>
      <c r="E152" s="75"/>
      <c r="F152" s="76"/>
    </row>
    <row r="153" spans="1:6" x14ac:dyDescent="0.35">
      <c r="A153" s="7" t="s">
        <v>2</v>
      </c>
      <c r="B153" s="7" t="s">
        <v>24</v>
      </c>
      <c r="C153" s="7" t="s">
        <v>25</v>
      </c>
      <c r="D153" s="7" t="s">
        <v>26</v>
      </c>
      <c r="E153" s="7" t="s">
        <v>27</v>
      </c>
      <c r="F153" s="7" t="s">
        <v>28</v>
      </c>
    </row>
    <row r="154" spans="1:6" x14ac:dyDescent="0.35">
      <c r="A154" s="8"/>
      <c r="B154" s="9" t="s">
        <v>29</v>
      </c>
      <c r="C154" s="9"/>
      <c r="D154" s="9" t="s">
        <v>30</v>
      </c>
      <c r="E154" s="8"/>
      <c r="F154" s="8"/>
    </row>
    <row r="155" spans="1:6" x14ac:dyDescent="0.35">
      <c r="A155" s="10">
        <v>1</v>
      </c>
      <c r="B155" s="6" t="s">
        <v>628</v>
      </c>
      <c r="C155" s="6"/>
      <c r="D155" s="6" t="s">
        <v>32</v>
      </c>
      <c r="E155" s="10"/>
      <c r="F155" s="10"/>
    </row>
    <row r="156" spans="1:6" x14ac:dyDescent="0.35">
      <c r="A156" s="10">
        <v>2</v>
      </c>
      <c r="B156" s="6" t="s">
        <v>457</v>
      </c>
      <c r="C156" s="6" t="s">
        <v>458</v>
      </c>
      <c r="D156" s="6" t="s">
        <v>148</v>
      </c>
      <c r="E156" s="10"/>
      <c r="F156" s="10"/>
    </row>
    <row r="157" spans="1:6" x14ac:dyDescent="0.35">
      <c r="A157" s="10">
        <v>3</v>
      </c>
      <c r="B157" s="6" t="s">
        <v>459</v>
      </c>
      <c r="C157" s="6" t="s">
        <v>629</v>
      </c>
      <c r="D157" s="6" t="s">
        <v>38</v>
      </c>
      <c r="E157" s="10"/>
      <c r="F157" s="10"/>
    </row>
    <row r="158" spans="1:6" x14ac:dyDescent="0.35">
      <c r="A158" s="10">
        <v>4</v>
      </c>
      <c r="B158" s="6" t="s">
        <v>463</v>
      </c>
      <c r="C158" s="6" t="s">
        <v>630</v>
      </c>
      <c r="D158" s="6" t="s">
        <v>154</v>
      </c>
      <c r="E158" s="10"/>
      <c r="F158" s="10"/>
    </row>
    <row r="159" spans="1:6" x14ac:dyDescent="0.35">
      <c r="A159" s="10">
        <v>5</v>
      </c>
      <c r="B159" s="6" t="s">
        <v>459</v>
      </c>
      <c r="C159" s="6" t="s">
        <v>631</v>
      </c>
      <c r="D159" s="6" t="s">
        <v>43</v>
      </c>
      <c r="E159" s="10"/>
      <c r="F159" s="10"/>
    </row>
    <row r="160" spans="1:6" x14ac:dyDescent="0.35">
      <c r="A160" s="10">
        <v>6</v>
      </c>
      <c r="B160" s="6" t="s">
        <v>461</v>
      </c>
      <c r="C160" s="6" t="s">
        <v>594</v>
      </c>
      <c r="D160" s="6" t="s">
        <v>273</v>
      </c>
      <c r="E160" s="10"/>
      <c r="F160" s="10"/>
    </row>
    <row r="161" spans="1:6" x14ac:dyDescent="0.35">
      <c r="A161" s="10">
        <v>7</v>
      </c>
      <c r="B161" s="6" t="s">
        <v>476</v>
      </c>
      <c r="C161" s="6" t="s">
        <v>632</v>
      </c>
      <c r="D161" s="6" t="s">
        <v>49</v>
      </c>
      <c r="E161" s="10"/>
      <c r="F161" s="10"/>
    </row>
    <row r="162" spans="1:6" x14ac:dyDescent="0.35">
      <c r="A162" s="8"/>
      <c r="B162" s="9" t="s">
        <v>74</v>
      </c>
      <c r="C162" s="9"/>
      <c r="D162" s="9" t="s">
        <v>158</v>
      </c>
      <c r="E162" s="8">
        <v>33</v>
      </c>
      <c r="F162" s="8">
        <v>18</v>
      </c>
    </row>
    <row r="163" spans="1:6" x14ac:dyDescent="0.35">
      <c r="A163" s="10">
        <v>1</v>
      </c>
      <c r="B163" s="6" t="s">
        <v>339</v>
      </c>
      <c r="C163" s="6" t="s">
        <v>633</v>
      </c>
      <c r="D163" s="6" t="s">
        <v>109</v>
      </c>
      <c r="E163" s="10"/>
      <c r="F163" s="10"/>
    </row>
    <row r="164" spans="1:6" x14ac:dyDescent="0.35">
      <c r="A164" s="10">
        <v>2</v>
      </c>
      <c r="B164" s="6" t="s">
        <v>634</v>
      </c>
      <c r="C164" s="6" t="s">
        <v>635</v>
      </c>
      <c r="D164" s="6" t="s">
        <v>57</v>
      </c>
      <c r="E164" s="10"/>
      <c r="F164" s="10"/>
    </row>
    <row r="165" spans="1:6" x14ac:dyDescent="0.35">
      <c r="A165" s="10">
        <v>3</v>
      </c>
      <c r="B165" s="6" t="s">
        <v>191</v>
      </c>
      <c r="C165" s="6" t="s">
        <v>636</v>
      </c>
      <c r="D165" s="6" t="s">
        <v>162</v>
      </c>
      <c r="E165" s="10"/>
      <c r="F165" s="10"/>
    </row>
    <row r="166" spans="1:6" x14ac:dyDescent="0.35">
      <c r="A166" s="10">
        <v>4</v>
      </c>
      <c r="B166" s="6" t="s">
        <v>637</v>
      </c>
      <c r="C166" s="6" t="s">
        <v>638</v>
      </c>
      <c r="D166" s="6" t="s">
        <v>238</v>
      </c>
      <c r="E166" s="10"/>
      <c r="F166" s="10"/>
    </row>
    <row r="167" spans="1:6" x14ac:dyDescent="0.35">
      <c r="A167" s="10">
        <v>5</v>
      </c>
      <c r="B167" s="6" t="s">
        <v>639</v>
      </c>
      <c r="C167" s="6" t="s">
        <v>640</v>
      </c>
      <c r="D167" s="6" t="s">
        <v>305</v>
      </c>
      <c r="E167" s="10"/>
      <c r="F167" s="10"/>
    </row>
    <row r="168" spans="1:6" x14ac:dyDescent="0.35">
      <c r="A168" s="10">
        <v>6</v>
      </c>
      <c r="B168" s="6" t="s">
        <v>320</v>
      </c>
      <c r="C168" s="6" t="s">
        <v>641</v>
      </c>
      <c r="D168" s="6" t="s">
        <v>63</v>
      </c>
      <c r="E168" s="10"/>
      <c r="F168" s="10"/>
    </row>
    <row r="169" spans="1:6" x14ac:dyDescent="0.35">
      <c r="A169" s="10">
        <v>7</v>
      </c>
      <c r="B169" s="6" t="s">
        <v>642</v>
      </c>
      <c r="C169" s="6" t="s">
        <v>643</v>
      </c>
      <c r="D169" s="6" t="s">
        <v>118</v>
      </c>
      <c r="E169" s="10"/>
      <c r="F169" s="10"/>
    </row>
    <row r="170" spans="1:6" x14ac:dyDescent="0.35">
      <c r="A170" s="10">
        <v>8</v>
      </c>
      <c r="B170" s="6" t="s">
        <v>213</v>
      </c>
      <c r="C170" s="6" t="s">
        <v>644</v>
      </c>
      <c r="D170" s="6" t="s">
        <v>67</v>
      </c>
      <c r="E170" s="10"/>
      <c r="F170" s="10"/>
    </row>
    <row r="171" spans="1:6" x14ac:dyDescent="0.35">
      <c r="A171" s="10">
        <v>9</v>
      </c>
      <c r="B171" s="6" t="s">
        <v>645</v>
      </c>
      <c r="C171" s="6" t="s">
        <v>646</v>
      </c>
      <c r="D171" s="6" t="s">
        <v>119</v>
      </c>
      <c r="E171" s="10"/>
      <c r="F171" s="10"/>
    </row>
    <row r="172" spans="1:6" x14ac:dyDescent="0.35">
      <c r="A172" s="8"/>
      <c r="B172" s="9" t="s">
        <v>74</v>
      </c>
      <c r="C172" s="9"/>
      <c r="D172" s="9" t="s">
        <v>71</v>
      </c>
      <c r="E172" s="8">
        <v>34</v>
      </c>
      <c r="F172" s="8">
        <v>18</v>
      </c>
    </row>
    <row r="173" spans="1:6" x14ac:dyDescent="0.35">
      <c r="A173" s="10">
        <v>1</v>
      </c>
      <c r="B173" s="6" t="s">
        <v>538</v>
      </c>
      <c r="C173" s="6" t="s">
        <v>589</v>
      </c>
      <c r="D173" s="6" t="s">
        <v>306</v>
      </c>
      <c r="E173" s="10"/>
      <c r="F173" s="10"/>
    </row>
    <row r="174" spans="1:6" x14ac:dyDescent="0.35">
      <c r="A174" s="10">
        <v>2</v>
      </c>
      <c r="B174" s="6" t="s">
        <v>647</v>
      </c>
      <c r="C174" s="6" t="s">
        <v>648</v>
      </c>
      <c r="D174" s="6" t="s">
        <v>246</v>
      </c>
      <c r="E174" s="10"/>
      <c r="F174" s="10"/>
    </row>
    <row r="175" spans="1:6" x14ac:dyDescent="0.35">
      <c r="A175" s="10">
        <v>3</v>
      </c>
      <c r="B175" s="6" t="s">
        <v>538</v>
      </c>
      <c r="C175" s="6" t="s">
        <v>589</v>
      </c>
      <c r="D175" s="6" t="s">
        <v>212</v>
      </c>
      <c r="E175" s="10"/>
      <c r="F175" s="10"/>
    </row>
    <row r="176" spans="1:6" x14ac:dyDescent="0.35">
      <c r="A176" s="10">
        <v>4</v>
      </c>
      <c r="B176" s="6" t="s">
        <v>558</v>
      </c>
      <c r="C176" s="6"/>
      <c r="D176" s="6" t="s">
        <v>127</v>
      </c>
      <c r="E176" s="10"/>
      <c r="F176" s="10"/>
    </row>
    <row r="177" spans="1:6" x14ac:dyDescent="0.35">
      <c r="A177" s="10">
        <v>5</v>
      </c>
      <c r="B177" s="6" t="s">
        <v>649</v>
      </c>
      <c r="C177" s="6"/>
      <c r="D177" s="6" t="s">
        <v>170</v>
      </c>
      <c r="E177" s="10"/>
      <c r="F177" s="10"/>
    </row>
    <row r="178" spans="1:6" x14ac:dyDescent="0.35">
      <c r="A178" s="10">
        <v>6</v>
      </c>
      <c r="B178" s="6" t="s">
        <v>650</v>
      </c>
      <c r="C178" s="6"/>
      <c r="D178" s="6" t="s">
        <v>172</v>
      </c>
      <c r="E178" s="10"/>
      <c r="F178" s="10"/>
    </row>
    <row r="179" spans="1:6" x14ac:dyDescent="0.35">
      <c r="A179" s="10">
        <v>7</v>
      </c>
      <c r="B179" s="6" t="s">
        <v>651</v>
      </c>
      <c r="C179" s="6"/>
      <c r="D179" s="6" t="s">
        <v>134</v>
      </c>
      <c r="E179" s="10"/>
      <c r="F179" s="10"/>
    </row>
    <row r="180" spans="1:6" x14ac:dyDescent="0.35">
      <c r="A180" s="10">
        <v>8</v>
      </c>
      <c r="B180" s="6" t="s">
        <v>652</v>
      </c>
      <c r="C180" s="6"/>
      <c r="D180" s="6" t="s">
        <v>220</v>
      </c>
      <c r="E180" s="10"/>
      <c r="F180" s="10"/>
    </row>
    <row r="181" spans="1:6" x14ac:dyDescent="0.35">
      <c r="A181" s="10">
        <v>9</v>
      </c>
      <c r="B181" s="6" t="s">
        <v>653</v>
      </c>
      <c r="C181" s="6" t="s">
        <v>654</v>
      </c>
      <c r="D181" s="6" t="s">
        <v>87</v>
      </c>
      <c r="E181" s="10"/>
      <c r="F181" s="10"/>
    </row>
    <row r="182" spans="1:6" x14ac:dyDescent="0.35">
      <c r="A182" s="10">
        <v>10</v>
      </c>
      <c r="B182" s="6" t="s">
        <v>209</v>
      </c>
      <c r="C182" s="6" t="s">
        <v>655</v>
      </c>
      <c r="D182" s="6" t="s">
        <v>181</v>
      </c>
      <c r="E182" s="10"/>
      <c r="F182" s="10"/>
    </row>
    <row r="183" spans="1:6" x14ac:dyDescent="0.35">
      <c r="A183" s="10">
        <v>11</v>
      </c>
      <c r="B183" s="6" t="s">
        <v>656</v>
      </c>
      <c r="C183" s="6"/>
      <c r="D183" s="6" t="s">
        <v>141</v>
      </c>
      <c r="E183" s="10"/>
      <c r="F183" s="10"/>
    </row>
    <row r="184" spans="1:6" x14ac:dyDescent="0.35">
      <c r="A184" s="10">
        <v>12</v>
      </c>
      <c r="B184" s="6" t="s">
        <v>657</v>
      </c>
      <c r="C184" s="6"/>
      <c r="D184" s="6" t="s">
        <v>226</v>
      </c>
      <c r="E184" s="10"/>
      <c r="F184" s="10"/>
    </row>
    <row r="185" spans="1:6" x14ac:dyDescent="0.35">
      <c r="A185" s="8"/>
      <c r="B185" s="9" t="s">
        <v>74</v>
      </c>
      <c r="C185" s="9"/>
      <c r="D185" s="9" t="s">
        <v>94</v>
      </c>
      <c r="E185" s="8">
        <v>32</v>
      </c>
      <c r="F185" s="8">
        <v>18</v>
      </c>
    </row>
    <row r="186" spans="1:6" x14ac:dyDescent="0.35">
      <c r="A186" s="11"/>
      <c r="B186" s="12" t="s">
        <v>95</v>
      </c>
      <c r="C186" s="12"/>
      <c r="D186" s="12"/>
      <c r="E186" s="11">
        <v>99</v>
      </c>
      <c r="F186" s="11">
        <v>54</v>
      </c>
    </row>
    <row r="187" spans="1:6" x14ac:dyDescent="0.35">
      <c r="A187" s="8"/>
      <c r="B187" s="9" t="s">
        <v>29</v>
      </c>
      <c r="C187" s="9"/>
      <c r="D187" s="9" t="s">
        <v>297</v>
      </c>
      <c r="E187" s="8"/>
      <c r="F187" s="8"/>
    </row>
  </sheetData>
  <mergeCells count="7">
    <mergeCell ref="A113:F113"/>
    <mergeCell ref="A2:F2"/>
    <mergeCell ref="A152:F152"/>
    <mergeCell ref="A42:F42"/>
    <mergeCell ref="A1:F1"/>
    <mergeCell ref="A75:F75"/>
    <mergeCell ref="A4:F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71"/>
  <sheetViews>
    <sheetView showGridLines="0" workbookViewId="0">
      <pane ySplit="3" topLeftCell="A4" activePane="bottomLeft" state="frozen"/>
      <selection activeCell="H25" sqref="H25:H26"/>
      <selection pane="bottomLeft" activeCell="H25" sqref="H25:H26"/>
    </sheetView>
  </sheetViews>
  <sheetFormatPr defaultRowHeight="14.5" x14ac:dyDescent="0.35"/>
  <cols>
    <col min="1" max="1" width="5" customWidth="1"/>
    <col min="2" max="2" width="30" customWidth="1"/>
    <col min="3" max="3" width="24" customWidth="1"/>
    <col min="4" max="4" width="8" customWidth="1"/>
    <col min="5" max="6" width="7" customWidth="1"/>
    <col min="7" max="7" width="11" customWidth="1"/>
  </cols>
  <sheetData>
    <row r="1" spans="1:7" ht="20" customHeight="1" x14ac:dyDescent="0.35">
      <c r="A1" s="77" t="s">
        <v>20</v>
      </c>
      <c r="B1" s="72"/>
      <c r="C1" s="72"/>
      <c r="D1" s="72"/>
      <c r="E1" s="72"/>
      <c r="F1" s="72"/>
      <c r="G1" s="72"/>
    </row>
    <row r="2" spans="1:7" ht="26" customHeight="1" x14ac:dyDescent="0.35">
      <c r="A2" s="78" t="s">
        <v>658</v>
      </c>
      <c r="B2" s="72"/>
      <c r="C2" s="72"/>
      <c r="D2" s="72"/>
      <c r="E2" s="72"/>
      <c r="F2" s="72"/>
      <c r="G2" s="72"/>
    </row>
    <row r="4" spans="1:7" x14ac:dyDescent="0.35">
      <c r="A4" s="74" t="s">
        <v>659</v>
      </c>
      <c r="B4" s="75"/>
      <c r="C4" s="75"/>
      <c r="D4" s="75"/>
      <c r="E4" s="75"/>
      <c r="F4" s="75"/>
      <c r="G4" s="76"/>
    </row>
    <row r="5" spans="1:7" x14ac:dyDescent="0.35">
      <c r="A5" s="7" t="s">
        <v>2</v>
      </c>
      <c r="B5" s="7" t="s">
        <v>24</v>
      </c>
      <c r="C5" s="7" t="s">
        <v>25</v>
      </c>
      <c r="D5" s="7" t="s">
        <v>26</v>
      </c>
      <c r="E5" s="7" t="s">
        <v>27</v>
      </c>
      <c r="F5" s="7" t="s">
        <v>28</v>
      </c>
      <c r="G5" s="7" t="s">
        <v>260</v>
      </c>
    </row>
    <row r="6" spans="1:7" x14ac:dyDescent="0.35">
      <c r="A6" s="8"/>
      <c r="B6" s="9" t="s">
        <v>29</v>
      </c>
      <c r="C6" s="9"/>
      <c r="D6" s="9" t="s">
        <v>32</v>
      </c>
      <c r="E6" s="8"/>
      <c r="F6" s="8"/>
      <c r="G6" s="8"/>
    </row>
    <row r="7" spans="1:7" x14ac:dyDescent="0.35">
      <c r="A7" s="10">
        <v>1</v>
      </c>
      <c r="B7" s="6" t="s">
        <v>379</v>
      </c>
      <c r="C7" s="6" t="s">
        <v>303</v>
      </c>
      <c r="D7" s="6" t="s">
        <v>148</v>
      </c>
      <c r="E7" s="10"/>
      <c r="F7" s="10"/>
      <c r="G7" s="10">
        <v>1</v>
      </c>
    </row>
    <row r="8" spans="1:7" x14ac:dyDescent="0.35">
      <c r="A8" s="10">
        <v>2</v>
      </c>
      <c r="B8" s="6" t="s">
        <v>660</v>
      </c>
      <c r="C8" s="6" t="s">
        <v>661</v>
      </c>
      <c r="D8" s="6" t="s">
        <v>152</v>
      </c>
      <c r="E8" s="10"/>
      <c r="F8" s="10"/>
      <c r="G8" s="10">
        <v>3</v>
      </c>
    </row>
    <row r="9" spans="1:7" x14ac:dyDescent="0.35">
      <c r="A9" s="10">
        <v>3</v>
      </c>
      <c r="B9" s="6" t="s">
        <v>660</v>
      </c>
      <c r="C9" s="6" t="s">
        <v>662</v>
      </c>
      <c r="D9" s="6" t="s">
        <v>41</v>
      </c>
      <c r="E9" s="10"/>
      <c r="F9" s="10"/>
      <c r="G9" s="10">
        <v>1</v>
      </c>
    </row>
    <row r="10" spans="1:7" x14ac:dyDescent="0.35">
      <c r="A10" s="10">
        <v>4</v>
      </c>
      <c r="B10" s="6" t="s">
        <v>37</v>
      </c>
      <c r="C10" s="6" t="s">
        <v>663</v>
      </c>
      <c r="D10" s="6" t="s">
        <v>196</v>
      </c>
      <c r="E10" s="10"/>
      <c r="F10" s="10"/>
      <c r="G10" s="10">
        <v>1</v>
      </c>
    </row>
    <row r="11" spans="1:7" x14ac:dyDescent="0.35">
      <c r="A11" s="10">
        <v>5</v>
      </c>
      <c r="B11" s="6" t="s">
        <v>286</v>
      </c>
      <c r="C11" s="6" t="s">
        <v>664</v>
      </c>
      <c r="D11" s="6" t="s">
        <v>49</v>
      </c>
      <c r="E11" s="10"/>
      <c r="F11" s="10"/>
      <c r="G11" s="10">
        <v>1</v>
      </c>
    </row>
    <row r="12" spans="1:7" x14ac:dyDescent="0.35">
      <c r="A12" s="10">
        <v>6</v>
      </c>
      <c r="B12" s="6" t="s">
        <v>88</v>
      </c>
      <c r="C12" s="6" t="s">
        <v>665</v>
      </c>
      <c r="D12" s="6" t="s">
        <v>158</v>
      </c>
      <c r="E12" s="10"/>
      <c r="F12" s="10"/>
      <c r="G12" s="10">
        <v>2</v>
      </c>
    </row>
    <row r="13" spans="1:7" x14ac:dyDescent="0.35">
      <c r="A13" s="10">
        <v>7</v>
      </c>
      <c r="B13" s="6" t="s">
        <v>88</v>
      </c>
      <c r="C13" s="6" t="s">
        <v>666</v>
      </c>
      <c r="D13" s="6" t="s">
        <v>55</v>
      </c>
      <c r="E13" s="10"/>
      <c r="F13" s="10"/>
      <c r="G13" s="10">
        <v>2</v>
      </c>
    </row>
    <row r="14" spans="1:7" x14ac:dyDescent="0.35">
      <c r="A14" s="10">
        <v>8</v>
      </c>
      <c r="B14" s="6" t="s">
        <v>667</v>
      </c>
      <c r="C14" s="6" t="s">
        <v>668</v>
      </c>
      <c r="D14" s="6" t="s">
        <v>298</v>
      </c>
      <c r="E14" s="10"/>
      <c r="F14" s="10"/>
      <c r="G14" s="10">
        <v>1</v>
      </c>
    </row>
    <row r="15" spans="1:7" x14ac:dyDescent="0.35">
      <c r="A15" s="10">
        <v>9</v>
      </c>
      <c r="B15" s="6" t="s">
        <v>278</v>
      </c>
      <c r="C15" s="6" t="s">
        <v>303</v>
      </c>
      <c r="D15" s="6" t="s">
        <v>305</v>
      </c>
      <c r="E15" s="10"/>
      <c r="F15" s="10"/>
      <c r="G15" s="10">
        <v>1</v>
      </c>
    </row>
    <row r="16" spans="1:7" x14ac:dyDescent="0.35">
      <c r="A16" s="10">
        <v>10</v>
      </c>
      <c r="B16" s="6" t="s">
        <v>209</v>
      </c>
      <c r="C16" s="6" t="s">
        <v>669</v>
      </c>
      <c r="D16" s="6" t="s">
        <v>204</v>
      </c>
      <c r="E16" s="10"/>
      <c r="F16" s="10"/>
      <c r="G16" s="10">
        <v>3</v>
      </c>
    </row>
    <row r="17" spans="1:7" x14ac:dyDescent="0.35">
      <c r="A17" s="8"/>
      <c r="B17" s="9" t="s">
        <v>74</v>
      </c>
      <c r="C17" s="9"/>
      <c r="D17" s="9" t="s">
        <v>244</v>
      </c>
      <c r="E17" s="8">
        <v>25</v>
      </c>
      <c r="F17" s="8">
        <v>18</v>
      </c>
      <c r="G17" s="8">
        <v>16</v>
      </c>
    </row>
    <row r="18" spans="1:7" x14ac:dyDescent="0.35">
      <c r="A18" s="10">
        <v>1</v>
      </c>
      <c r="B18" s="6" t="s">
        <v>205</v>
      </c>
      <c r="C18" s="6" t="s">
        <v>303</v>
      </c>
      <c r="D18" s="6" t="s">
        <v>123</v>
      </c>
      <c r="E18" s="10"/>
      <c r="F18" s="10"/>
      <c r="G18" s="10">
        <v>1</v>
      </c>
    </row>
    <row r="19" spans="1:7" x14ac:dyDescent="0.35">
      <c r="A19" s="10">
        <v>2</v>
      </c>
      <c r="B19" s="6" t="s">
        <v>207</v>
      </c>
      <c r="C19" s="6" t="s">
        <v>296</v>
      </c>
      <c r="D19" s="6" t="s">
        <v>125</v>
      </c>
      <c r="E19" s="10"/>
      <c r="F19" s="10"/>
      <c r="G19" s="10">
        <v>1</v>
      </c>
    </row>
    <row r="20" spans="1:7" x14ac:dyDescent="0.35">
      <c r="A20" s="10">
        <v>3</v>
      </c>
      <c r="B20" s="6" t="s">
        <v>286</v>
      </c>
      <c r="C20" s="6" t="s">
        <v>670</v>
      </c>
      <c r="D20" s="6" t="s">
        <v>127</v>
      </c>
      <c r="E20" s="10"/>
      <c r="F20" s="10"/>
      <c r="G20" s="10">
        <v>2</v>
      </c>
    </row>
    <row r="21" spans="1:7" x14ac:dyDescent="0.35">
      <c r="A21" s="10">
        <v>4</v>
      </c>
      <c r="B21" s="6" t="s">
        <v>286</v>
      </c>
      <c r="C21" s="6" t="s">
        <v>671</v>
      </c>
      <c r="D21" s="6" t="s">
        <v>215</v>
      </c>
      <c r="E21" s="10"/>
      <c r="F21" s="10"/>
      <c r="G21" s="10">
        <v>1</v>
      </c>
    </row>
    <row r="22" spans="1:7" x14ac:dyDescent="0.35">
      <c r="A22" s="10">
        <v>5</v>
      </c>
      <c r="B22" s="6" t="s">
        <v>284</v>
      </c>
      <c r="C22" s="6" t="s">
        <v>672</v>
      </c>
      <c r="D22" s="6" t="s">
        <v>170</v>
      </c>
      <c r="E22" s="10"/>
      <c r="F22" s="10"/>
      <c r="G22" s="10">
        <v>1</v>
      </c>
    </row>
    <row r="23" spans="1:7" x14ac:dyDescent="0.35">
      <c r="A23" s="10">
        <v>6</v>
      </c>
      <c r="B23" s="6" t="s">
        <v>209</v>
      </c>
      <c r="C23" s="6" t="s">
        <v>673</v>
      </c>
      <c r="D23" s="6" t="s">
        <v>79</v>
      </c>
      <c r="E23" s="10"/>
      <c r="F23" s="10"/>
      <c r="G23" s="10">
        <v>3</v>
      </c>
    </row>
    <row r="24" spans="1:7" x14ac:dyDescent="0.35">
      <c r="A24" s="10">
        <v>7</v>
      </c>
      <c r="B24" s="6" t="s">
        <v>347</v>
      </c>
      <c r="C24" s="6" t="s">
        <v>587</v>
      </c>
      <c r="D24" s="6" t="s">
        <v>132</v>
      </c>
      <c r="E24" s="10"/>
      <c r="F24" s="10"/>
      <c r="G24" s="10">
        <v>1</v>
      </c>
    </row>
    <row r="25" spans="1:7" x14ac:dyDescent="0.35">
      <c r="A25" s="10">
        <v>8</v>
      </c>
      <c r="B25" s="6" t="s">
        <v>282</v>
      </c>
      <c r="C25" s="6" t="s">
        <v>674</v>
      </c>
      <c r="D25" s="6" t="s">
        <v>134</v>
      </c>
      <c r="E25" s="10"/>
      <c r="F25" s="10"/>
      <c r="G25" s="10">
        <v>1</v>
      </c>
    </row>
    <row r="26" spans="1:7" x14ac:dyDescent="0.35">
      <c r="A26" s="10">
        <v>9</v>
      </c>
      <c r="B26" s="6" t="s">
        <v>209</v>
      </c>
      <c r="C26" s="6" t="s">
        <v>296</v>
      </c>
      <c r="D26" s="6" t="s">
        <v>328</v>
      </c>
      <c r="E26" s="10"/>
      <c r="F26" s="10"/>
      <c r="G26" s="10">
        <v>1</v>
      </c>
    </row>
    <row r="27" spans="1:7" x14ac:dyDescent="0.35">
      <c r="A27" s="10">
        <v>10</v>
      </c>
      <c r="B27" s="6" t="s">
        <v>209</v>
      </c>
      <c r="C27" s="6" t="s">
        <v>675</v>
      </c>
      <c r="D27" s="6" t="s">
        <v>85</v>
      </c>
      <c r="E27" s="10"/>
      <c r="F27" s="10"/>
      <c r="G27" s="10">
        <v>1</v>
      </c>
    </row>
    <row r="28" spans="1:7" x14ac:dyDescent="0.35">
      <c r="A28" s="10">
        <v>11</v>
      </c>
      <c r="B28" s="6" t="s">
        <v>187</v>
      </c>
      <c r="C28" s="6" t="s">
        <v>676</v>
      </c>
      <c r="D28" s="6" t="s">
        <v>329</v>
      </c>
      <c r="E28" s="10"/>
      <c r="F28" s="10"/>
      <c r="G28" s="10">
        <v>1</v>
      </c>
    </row>
    <row r="29" spans="1:7" x14ac:dyDescent="0.35">
      <c r="A29" s="10">
        <v>12</v>
      </c>
      <c r="B29" s="6" t="s">
        <v>209</v>
      </c>
      <c r="C29" s="6" t="s">
        <v>677</v>
      </c>
      <c r="D29" s="6" t="s">
        <v>332</v>
      </c>
      <c r="E29" s="10"/>
      <c r="F29" s="10"/>
      <c r="G29" s="10">
        <v>1</v>
      </c>
    </row>
    <row r="30" spans="1:7" x14ac:dyDescent="0.35">
      <c r="A30" s="10">
        <v>13</v>
      </c>
      <c r="B30" s="6" t="s">
        <v>178</v>
      </c>
      <c r="C30" s="6" t="s">
        <v>678</v>
      </c>
      <c r="D30" s="6" t="s">
        <v>139</v>
      </c>
      <c r="E30" s="10"/>
      <c r="F30" s="10"/>
      <c r="G30" s="10">
        <v>1</v>
      </c>
    </row>
    <row r="31" spans="1:7" x14ac:dyDescent="0.35">
      <c r="A31" s="8"/>
      <c r="B31" s="9" t="s">
        <v>74</v>
      </c>
      <c r="C31" s="9"/>
      <c r="D31" s="9" t="s">
        <v>333</v>
      </c>
      <c r="E31" s="8">
        <v>22</v>
      </c>
      <c r="F31" s="8">
        <v>18</v>
      </c>
      <c r="G31" s="8">
        <v>16</v>
      </c>
    </row>
    <row r="32" spans="1:7" x14ac:dyDescent="0.35">
      <c r="A32" s="10">
        <v>1</v>
      </c>
      <c r="B32" s="6" t="s">
        <v>247</v>
      </c>
      <c r="C32" s="6" t="s">
        <v>679</v>
      </c>
      <c r="D32" s="6" t="s">
        <v>183</v>
      </c>
      <c r="E32" s="10"/>
      <c r="F32" s="10"/>
      <c r="G32" s="10">
        <v>1</v>
      </c>
    </row>
    <row r="33" spans="1:7" x14ac:dyDescent="0.35">
      <c r="A33" s="10">
        <v>2</v>
      </c>
      <c r="B33" s="6" t="s">
        <v>379</v>
      </c>
      <c r="C33" s="6" t="s">
        <v>680</v>
      </c>
      <c r="D33" s="6" t="s">
        <v>93</v>
      </c>
      <c r="E33" s="10"/>
      <c r="F33" s="10"/>
      <c r="G33" s="10">
        <v>1</v>
      </c>
    </row>
    <row r="34" spans="1:7" x14ac:dyDescent="0.35">
      <c r="A34" s="10">
        <v>3</v>
      </c>
      <c r="B34" s="6" t="s">
        <v>379</v>
      </c>
      <c r="C34" s="6" t="s">
        <v>681</v>
      </c>
      <c r="D34" s="6" t="s">
        <v>141</v>
      </c>
      <c r="E34" s="10"/>
      <c r="F34" s="10"/>
      <c r="G34" s="10">
        <v>2</v>
      </c>
    </row>
    <row r="35" spans="1:7" x14ac:dyDescent="0.35">
      <c r="A35" s="10">
        <v>4</v>
      </c>
      <c r="B35" s="6" t="s">
        <v>370</v>
      </c>
      <c r="C35" s="6" t="s">
        <v>682</v>
      </c>
      <c r="D35" s="6" t="s">
        <v>335</v>
      </c>
      <c r="E35" s="10"/>
      <c r="F35" s="10"/>
      <c r="G35" s="10">
        <v>3</v>
      </c>
    </row>
    <row r="36" spans="1:7" x14ac:dyDescent="0.35">
      <c r="A36" s="10">
        <v>5</v>
      </c>
      <c r="B36" s="6" t="s">
        <v>192</v>
      </c>
      <c r="C36" s="6" t="s">
        <v>340</v>
      </c>
      <c r="D36" s="6" t="s">
        <v>144</v>
      </c>
      <c r="E36" s="10"/>
      <c r="F36" s="10"/>
      <c r="G36" s="10">
        <v>2</v>
      </c>
    </row>
    <row r="37" spans="1:7" x14ac:dyDescent="0.35">
      <c r="A37" s="10">
        <v>6</v>
      </c>
      <c r="B37" s="6" t="s">
        <v>192</v>
      </c>
      <c r="C37" s="6" t="s">
        <v>394</v>
      </c>
      <c r="D37" s="6" t="s">
        <v>188</v>
      </c>
      <c r="E37" s="10"/>
      <c r="F37" s="10"/>
      <c r="G37" s="10">
        <v>3</v>
      </c>
    </row>
    <row r="38" spans="1:7" x14ac:dyDescent="0.35">
      <c r="A38" s="10">
        <v>7</v>
      </c>
      <c r="B38" s="6" t="s">
        <v>192</v>
      </c>
      <c r="C38" s="6" t="s">
        <v>683</v>
      </c>
      <c r="D38" s="6" t="s">
        <v>94</v>
      </c>
      <c r="E38" s="10"/>
      <c r="F38" s="10"/>
      <c r="G38" s="10">
        <v>1</v>
      </c>
    </row>
    <row r="39" spans="1:7" x14ac:dyDescent="0.35">
      <c r="A39" s="10">
        <v>8</v>
      </c>
      <c r="B39" s="6" t="s">
        <v>192</v>
      </c>
      <c r="C39" s="6" t="s">
        <v>684</v>
      </c>
      <c r="D39" s="6" t="s">
        <v>359</v>
      </c>
      <c r="E39" s="10"/>
      <c r="F39" s="10"/>
      <c r="G39" s="10">
        <v>2</v>
      </c>
    </row>
    <row r="40" spans="1:7" x14ac:dyDescent="0.35">
      <c r="A40" s="10">
        <v>9</v>
      </c>
      <c r="B40" s="6" t="s">
        <v>192</v>
      </c>
      <c r="C40" s="6" t="s">
        <v>685</v>
      </c>
      <c r="D40" s="6" t="s">
        <v>297</v>
      </c>
      <c r="E40" s="10"/>
      <c r="F40" s="10"/>
      <c r="G40" s="10">
        <v>1</v>
      </c>
    </row>
    <row r="41" spans="1:7" x14ac:dyDescent="0.35">
      <c r="A41" s="8"/>
      <c r="B41" s="9" t="s">
        <v>74</v>
      </c>
      <c r="C41" s="9"/>
      <c r="D41" s="9" t="s">
        <v>422</v>
      </c>
      <c r="E41" s="8">
        <v>20</v>
      </c>
      <c r="F41" s="8">
        <v>18</v>
      </c>
      <c r="G41" s="8">
        <v>16</v>
      </c>
    </row>
    <row r="42" spans="1:7" x14ac:dyDescent="0.35">
      <c r="A42" s="8"/>
      <c r="B42" s="9" t="s">
        <v>29</v>
      </c>
      <c r="C42" s="9"/>
      <c r="D42" s="9" t="s">
        <v>686</v>
      </c>
      <c r="E42" s="8"/>
      <c r="F42" s="8"/>
      <c r="G42" s="8"/>
    </row>
    <row r="43" spans="1:7" x14ac:dyDescent="0.35">
      <c r="A43" s="11"/>
      <c r="B43" s="12" t="s">
        <v>95</v>
      </c>
      <c r="C43" s="12"/>
      <c r="D43" s="12"/>
      <c r="E43" s="11">
        <v>67</v>
      </c>
      <c r="F43" s="11">
        <v>54</v>
      </c>
      <c r="G43" s="11">
        <v>48</v>
      </c>
    </row>
    <row r="45" spans="1:7" x14ac:dyDescent="0.35">
      <c r="A45" s="74" t="s">
        <v>687</v>
      </c>
      <c r="B45" s="75"/>
      <c r="C45" s="75"/>
      <c r="D45" s="75"/>
      <c r="E45" s="75"/>
      <c r="F45" s="75"/>
      <c r="G45" s="76"/>
    </row>
    <row r="46" spans="1:7" x14ac:dyDescent="0.35">
      <c r="A46" s="7" t="s">
        <v>2</v>
      </c>
      <c r="B46" s="7" t="s">
        <v>24</v>
      </c>
      <c r="C46" s="7" t="s">
        <v>25</v>
      </c>
      <c r="D46" s="7" t="s">
        <v>26</v>
      </c>
      <c r="E46" s="7" t="s">
        <v>27</v>
      </c>
      <c r="F46" s="7" t="s">
        <v>28</v>
      </c>
      <c r="G46" s="7" t="s">
        <v>260</v>
      </c>
    </row>
    <row r="47" spans="1:7" x14ac:dyDescent="0.35">
      <c r="A47" s="8"/>
      <c r="B47" s="9" t="s">
        <v>29</v>
      </c>
      <c r="C47" s="9"/>
      <c r="D47" s="9" t="s">
        <v>32</v>
      </c>
      <c r="E47" s="8"/>
      <c r="F47" s="8"/>
      <c r="G47" s="8"/>
    </row>
    <row r="48" spans="1:7" x14ac:dyDescent="0.35">
      <c r="A48" s="10">
        <v>1</v>
      </c>
      <c r="B48" s="6" t="s">
        <v>187</v>
      </c>
      <c r="C48" s="6" t="s">
        <v>399</v>
      </c>
      <c r="D48" s="6" t="s">
        <v>148</v>
      </c>
      <c r="E48" s="10"/>
      <c r="F48" s="10"/>
      <c r="G48" s="10">
        <v>5</v>
      </c>
    </row>
    <row r="49" spans="1:7" x14ac:dyDescent="0.35">
      <c r="A49" s="10">
        <v>2</v>
      </c>
      <c r="B49" s="6" t="s">
        <v>400</v>
      </c>
      <c r="C49" s="6" t="s">
        <v>401</v>
      </c>
      <c r="D49" s="6" t="s">
        <v>39</v>
      </c>
      <c r="E49" s="10"/>
      <c r="F49" s="10"/>
      <c r="G49" s="10">
        <v>3</v>
      </c>
    </row>
    <row r="50" spans="1:7" x14ac:dyDescent="0.35">
      <c r="A50" s="10">
        <v>3</v>
      </c>
      <c r="B50" s="6" t="s">
        <v>284</v>
      </c>
      <c r="C50" s="6" t="s">
        <v>402</v>
      </c>
      <c r="D50" s="6" t="s">
        <v>43</v>
      </c>
      <c r="E50" s="10"/>
      <c r="F50" s="10"/>
      <c r="G50" s="10">
        <v>2</v>
      </c>
    </row>
    <row r="51" spans="1:7" x14ac:dyDescent="0.35">
      <c r="A51" s="10">
        <v>4</v>
      </c>
      <c r="B51" s="6" t="s">
        <v>207</v>
      </c>
      <c r="C51" s="6" t="s">
        <v>404</v>
      </c>
      <c r="D51" s="6" t="s">
        <v>273</v>
      </c>
      <c r="E51" s="10"/>
      <c r="F51" s="10"/>
      <c r="G51" s="10">
        <v>3</v>
      </c>
    </row>
    <row r="52" spans="1:7" x14ac:dyDescent="0.35">
      <c r="A52" s="10">
        <v>5</v>
      </c>
      <c r="B52" s="6" t="s">
        <v>286</v>
      </c>
      <c r="C52" s="6" t="s">
        <v>411</v>
      </c>
      <c r="D52" s="6" t="s">
        <v>49</v>
      </c>
      <c r="E52" s="10"/>
      <c r="F52" s="10"/>
      <c r="G52" s="10">
        <v>3</v>
      </c>
    </row>
    <row r="53" spans="1:7" x14ac:dyDescent="0.35">
      <c r="A53" s="8"/>
      <c r="B53" s="9" t="s">
        <v>74</v>
      </c>
      <c r="C53" s="9"/>
      <c r="D53" s="9" t="s">
        <v>158</v>
      </c>
      <c r="E53" s="8">
        <v>23</v>
      </c>
      <c r="F53" s="8">
        <v>18</v>
      </c>
      <c r="G53" s="8">
        <v>16</v>
      </c>
    </row>
    <row r="54" spans="1:7" x14ac:dyDescent="0.35">
      <c r="A54" s="10">
        <v>1</v>
      </c>
      <c r="B54" s="6" t="s">
        <v>400</v>
      </c>
      <c r="C54" s="6" t="s">
        <v>415</v>
      </c>
      <c r="D54" s="6" t="s">
        <v>408</v>
      </c>
      <c r="E54" s="10"/>
      <c r="F54" s="10"/>
      <c r="G54" s="10">
        <v>5</v>
      </c>
    </row>
    <row r="55" spans="1:7" x14ac:dyDescent="0.35">
      <c r="A55" s="10">
        <v>2</v>
      </c>
      <c r="B55" s="6" t="s">
        <v>406</v>
      </c>
      <c r="C55" s="6" t="s">
        <v>407</v>
      </c>
      <c r="D55" s="6" t="s">
        <v>298</v>
      </c>
      <c r="E55" s="10"/>
      <c r="F55" s="10"/>
      <c r="G55" s="10">
        <v>5</v>
      </c>
    </row>
    <row r="56" spans="1:7" x14ac:dyDescent="0.35">
      <c r="A56" s="10">
        <v>3</v>
      </c>
      <c r="B56" s="6" t="s">
        <v>409</v>
      </c>
      <c r="C56" s="6" t="s">
        <v>410</v>
      </c>
      <c r="D56" s="6" t="s">
        <v>202</v>
      </c>
      <c r="E56" s="10"/>
      <c r="F56" s="10"/>
      <c r="G56" s="10">
        <v>3</v>
      </c>
    </row>
    <row r="57" spans="1:7" x14ac:dyDescent="0.35">
      <c r="A57" s="10">
        <v>4</v>
      </c>
      <c r="B57" s="6" t="s">
        <v>187</v>
      </c>
      <c r="C57" s="6" t="s">
        <v>301</v>
      </c>
      <c r="D57" s="6" t="s">
        <v>290</v>
      </c>
      <c r="E57" s="10"/>
      <c r="F57" s="10"/>
      <c r="G57" s="10">
        <v>3</v>
      </c>
    </row>
    <row r="58" spans="1:7" x14ac:dyDescent="0.35">
      <c r="A58" s="8"/>
      <c r="B58" s="9" t="s">
        <v>74</v>
      </c>
      <c r="C58" s="9"/>
      <c r="D58" s="9" t="s">
        <v>118</v>
      </c>
      <c r="E58" s="8">
        <v>18</v>
      </c>
      <c r="F58" s="8">
        <v>18</v>
      </c>
      <c r="G58" s="8">
        <v>16</v>
      </c>
    </row>
    <row r="59" spans="1:7" x14ac:dyDescent="0.35">
      <c r="A59" s="10">
        <v>1</v>
      </c>
      <c r="B59" s="6" t="s">
        <v>187</v>
      </c>
      <c r="C59" s="6" t="s">
        <v>325</v>
      </c>
      <c r="D59" s="6" t="s">
        <v>212</v>
      </c>
      <c r="E59" s="10"/>
      <c r="F59" s="10"/>
      <c r="G59" s="10">
        <v>6</v>
      </c>
    </row>
    <row r="60" spans="1:7" x14ac:dyDescent="0.35">
      <c r="A60" s="10">
        <v>2</v>
      </c>
      <c r="B60" s="6" t="s">
        <v>344</v>
      </c>
      <c r="C60" s="6" t="s">
        <v>414</v>
      </c>
      <c r="D60" s="6" t="s">
        <v>215</v>
      </c>
      <c r="E60" s="10"/>
      <c r="F60" s="10"/>
      <c r="G60" s="10">
        <v>4</v>
      </c>
    </row>
    <row r="61" spans="1:7" x14ac:dyDescent="0.35">
      <c r="A61" s="10">
        <v>3</v>
      </c>
      <c r="B61" s="6" t="s">
        <v>344</v>
      </c>
      <c r="C61" s="6" t="s">
        <v>413</v>
      </c>
      <c r="D61" s="6" t="s">
        <v>172</v>
      </c>
      <c r="E61" s="10"/>
      <c r="F61" s="10"/>
      <c r="G61" s="10">
        <v>4</v>
      </c>
    </row>
    <row r="62" spans="1:7" x14ac:dyDescent="0.35">
      <c r="A62" s="10">
        <v>4</v>
      </c>
      <c r="B62" s="6" t="s">
        <v>207</v>
      </c>
      <c r="C62" s="6" t="s">
        <v>403</v>
      </c>
      <c r="D62" s="6" t="s">
        <v>174</v>
      </c>
      <c r="E62" s="10"/>
      <c r="F62" s="10"/>
      <c r="G62" s="10">
        <v>2</v>
      </c>
    </row>
    <row r="63" spans="1:7" x14ac:dyDescent="0.35">
      <c r="A63" s="8"/>
      <c r="B63" s="9" t="s">
        <v>74</v>
      </c>
      <c r="C63" s="9"/>
      <c r="D63" s="9" t="s">
        <v>328</v>
      </c>
      <c r="E63" s="8">
        <v>18</v>
      </c>
      <c r="F63" s="8">
        <v>18</v>
      </c>
      <c r="G63" s="8">
        <v>16</v>
      </c>
    </row>
    <row r="64" spans="1:7" x14ac:dyDescent="0.35">
      <c r="A64" s="10">
        <v>1</v>
      </c>
      <c r="B64" s="6" t="s">
        <v>138</v>
      </c>
      <c r="C64" s="6" t="s">
        <v>405</v>
      </c>
      <c r="D64" s="6" t="s">
        <v>87</v>
      </c>
      <c r="E64" s="10"/>
      <c r="F64" s="10"/>
      <c r="G64" s="10">
        <v>1</v>
      </c>
    </row>
    <row r="65" spans="1:7" x14ac:dyDescent="0.35">
      <c r="A65" s="10">
        <v>2</v>
      </c>
      <c r="B65" s="6" t="s">
        <v>284</v>
      </c>
      <c r="C65" s="6" t="s">
        <v>412</v>
      </c>
      <c r="D65" s="6" t="s">
        <v>332</v>
      </c>
      <c r="E65" s="10"/>
      <c r="F65" s="10"/>
      <c r="G65" s="10">
        <v>3</v>
      </c>
    </row>
    <row r="66" spans="1:7" x14ac:dyDescent="0.35">
      <c r="A66" s="10">
        <v>3</v>
      </c>
      <c r="B66" s="6" t="s">
        <v>284</v>
      </c>
      <c r="C66" s="6" t="s">
        <v>402</v>
      </c>
      <c r="D66" s="6" t="s">
        <v>181</v>
      </c>
      <c r="E66" s="10"/>
      <c r="F66" s="10"/>
      <c r="G66" s="10">
        <v>3</v>
      </c>
    </row>
    <row r="67" spans="1:7" x14ac:dyDescent="0.35">
      <c r="A67" s="10">
        <v>4</v>
      </c>
      <c r="B67" s="6" t="s">
        <v>187</v>
      </c>
      <c r="C67" s="6" t="s">
        <v>399</v>
      </c>
      <c r="D67" s="6" t="s">
        <v>257</v>
      </c>
      <c r="E67" s="10"/>
      <c r="F67" s="10"/>
      <c r="G67" s="10">
        <v>5</v>
      </c>
    </row>
    <row r="68" spans="1:7" x14ac:dyDescent="0.35">
      <c r="A68" s="10">
        <v>5</v>
      </c>
      <c r="B68" s="6" t="s">
        <v>207</v>
      </c>
      <c r="C68" s="6" t="s">
        <v>404</v>
      </c>
      <c r="D68" s="6" t="s">
        <v>143</v>
      </c>
      <c r="E68" s="10"/>
      <c r="F68" s="10"/>
      <c r="G68" s="10">
        <v>3</v>
      </c>
    </row>
    <row r="69" spans="1:7" x14ac:dyDescent="0.35">
      <c r="A69" s="10">
        <v>6</v>
      </c>
      <c r="B69" s="6" t="s">
        <v>379</v>
      </c>
      <c r="C69" s="6" t="s">
        <v>688</v>
      </c>
      <c r="D69" s="6" t="s">
        <v>188</v>
      </c>
      <c r="E69" s="10"/>
      <c r="F69" s="10"/>
      <c r="G69" s="10">
        <v>1</v>
      </c>
    </row>
    <row r="70" spans="1:7" x14ac:dyDescent="0.35">
      <c r="A70" s="8"/>
      <c r="B70" s="9" t="s">
        <v>74</v>
      </c>
      <c r="C70" s="9"/>
      <c r="D70" s="9" t="s">
        <v>189</v>
      </c>
      <c r="E70" s="8">
        <v>24</v>
      </c>
      <c r="F70" s="8">
        <v>18</v>
      </c>
      <c r="G70" s="8">
        <v>16</v>
      </c>
    </row>
    <row r="71" spans="1:7" x14ac:dyDescent="0.35">
      <c r="A71" s="8"/>
      <c r="B71" s="9" t="s">
        <v>29</v>
      </c>
      <c r="C71" s="9"/>
      <c r="D71" s="9" t="s">
        <v>297</v>
      </c>
      <c r="E71" s="8"/>
      <c r="F71" s="8"/>
      <c r="G71" s="8"/>
    </row>
    <row r="72" spans="1:7" x14ac:dyDescent="0.35">
      <c r="A72" s="11"/>
      <c r="B72" s="12" t="s">
        <v>95</v>
      </c>
      <c r="C72" s="12"/>
      <c r="D72" s="12"/>
      <c r="E72" s="11">
        <v>83</v>
      </c>
      <c r="F72" s="11">
        <v>72</v>
      </c>
      <c r="G72" s="11">
        <v>64</v>
      </c>
    </row>
    <row r="74" spans="1:7" x14ac:dyDescent="0.35">
      <c r="A74" s="74" t="s">
        <v>689</v>
      </c>
      <c r="B74" s="75"/>
      <c r="C74" s="75"/>
      <c r="D74" s="75"/>
      <c r="E74" s="75"/>
      <c r="F74" s="75"/>
      <c r="G74" s="76"/>
    </row>
    <row r="75" spans="1:7" x14ac:dyDescent="0.35">
      <c r="A75" s="7" t="s">
        <v>2</v>
      </c>
      <c r="B75" s="7" t="s">
        <v>24</v>
      </c>
      <c r="C75" s="7" t="s">
        <v>25</v>
      </c>
      <c r="D75" s="7" t="s">
        <v>26</v>
      </c>
      <c r="E75" s="7" t="s">
        <v>27</v>
      </c>
      <c r="F75" s="7" t="s">
        <v>28</v>
      </c>
      <c r="G75" s="7" t="s">
        <v>260</v>
      </c>
    </row>
    <row r="76" spans="1:7" x14ac:dyDescent="0.35">
      <c r="A76" s="8"/>
      <c r="B76" s="9" t="s">
        <v>29</v>
      </c>
      <c r="C76" s="9"/>
      <c r="D76" s="9" t="s">
        <v>32</v>
      </c>
      <c r="E76" s="8"/>
      <c r="F76" s="8"/>
      <c r="G76" s="8"/>
    </row>
    <row r="77" spans="1:7" x14ac:dyDescent="0.35">
      <c r="A77" s="10">
        <v>1</v>
      </c>
      <c r="B77" s="6" t="s">
        <v>187</v>
      </c>
      <c r="C77" s="6" t="s">
        <v>399</v>
      </c>
      <c r="D77" s="6" t="s">
        <v>148</v>
      </c>
      <c r="E77" s="10"/>
      <c r="F77" s="10"/>
      <c r="G77" s="10">
        <v>5</v>
      </c>
    </row>
    <row r="78" spans="1:7" x14ac:dyDescent="0.35">
      <c r="A78" s="10">
        <v>2</v>
      </c>
      <c r="B78" s="6" t="s">
        <v>400</v>
      </c>
      <c r="C78" s="6" t="s">
        <v>401</v>
      </c>
      <c r="D78" s="6" t="s">
        <v>39</v>
      </c>
      <c r="E78" s="10"/>
      <c r="F78" s="10"/>
      <c r="G78" s="10">
        <v>3</v>
      </c>
    </row>
    <row r="79" spans="1:7" x14ac:dyDescent="0.35">
      <c r="A79" s="10">
        <v>3</v>
      </c>
      <c r="B79" s="6" t="s">
        <v>284</v>
      </c>
      <c r="C79" s="6" t="s">
        <v>402</v>
      </c>
      <c r="D79" s="6" t="s">
        <v>43</v>
      </c>
      <c r="E79" s="10"/>
      <c r="F79" s="10"/>
      <c r="G79" s="10">
        <v>2</v>
      </c>
    </row>
    <row r="80" spans="1:7" x14ac:dyDescent="0.35">
      <c r="A80" s="10">
        <v>4</v>
      </c>
      <c r="B80" s="6" t="s">
        <v>207</v>
      </c>
      <c r="C80" s="6" t="s">
        <v>404</v>
      </c>
      <c r="D80" s="6" t="s">
        <v>273</v>
      </c>
      <c r="E80" s="10"/>
      <c r="F80" s="10"/>
      <c r="G80" s="10">
        <v>3</v>
      </c>
    </row>
    <row r="81" spans="1:7" x14ac:dyDescent="0.35">
      <c r="A81" s="10">
        <v>5</v>
      </c>
      <c r="B81" s="6" t="s">
        <v>286</v>
      </c>
      <c r="C81" s="6" t="s">
        <v>411</v>
      </c>
      <c r="D81" s="6" t="s">
        <v>49</v>
      </c>
      <c r="E81" s="10"/>
      <c r="F81" s="10"/>
      <c r="G81" s="10">
        <v>3</v>
      </c>
    </row>
    <row r="82" spans="1:7" x14ac:dyDescent="0.35">
      <c r="A82" s="8"/>
      <c r="B82" s="9" t="s">
        <v>74</v>
      </c>
      <c r="C82" s="9"/>
      <c r="D82" s="9" t="s">
        <v>158</v>
      </c>
      <c r="E82" s="8">
        <v>23</v>
      </c>
      <c r="F82" s="8">
        <v>18</v>
      </c>
      <c r="G82" s="8">
        <v>16</v>
      </c>
    </row>
    <row r="83" spans="1:7" x14ac:dyDescent="0.35">
      <c r="A83" s="10">
        <v>1</v>
      </c>
      <c r="B83" s="6" t="s">
        <v>400</v>
      </c>
      <c r="C83" s="6" t="s">
        <v>415</v>
      </c>
      <c r="D83" s="6" t="s">
        <v>408</v>
      </c>
      <c r="E83" s="10"/>
      <c r="F83" s="10"/>
      <c r="G83" s="10">
        <v>5</v>
      </c>
    </row>
    <row r="84" spans="1:7" x14ac:dyDescent="0.35">
      <c r="A84" s="10">
        <v>2</v>
      </c>
      <c r="B84" s="6" t="s">
        <v>406</v>
      </c>
      <c r="C84" s="6" t="s">
        <v>407</v>
      </c>
      <c r="D84" s="6" t="s">
        <v>298</v>
      </c>
      <c r="E84" s="10"/>
      <c r="F84" s="10"/>
      <c r="G84" s="10">
        <v>5</v>
      </c>
    </row>
    <row r="85" spans="1:7" x14ac:dyDescent="0.35">
      <c r="A85" s="10">
        <v>3</v>
      </c>
      <c r="B85" s="6" t="s">
        <v>409</v>
      </c>
      <c r="C85" s="6" t="s">
        <v>410</v>
      </c>
      <c r="D85" s="6" t="s">
        <v>202</v>
      </c>
      <c r="E85" s="10"/>
      <c r="F85" s="10"/>
      <c r="G85" s="10">
        <v>3</v>
      </c>
    </row>
    <row r="86" spans="1:7" x14ac:dyDescent="0.35">
      <c r="A86" s="10">
        <v>4</v>
      </c>
      <c r="B86" s="6" t="s">
        <v>187</v>
      </c>
      <c r="C86" s="6" t="s">
        <v>301</v>
      </c>
      <c r="D86" s="6" t="s">
        <v>290</v>
      </c>
      <c r="E86" s="10"/>
      <c r="F86" s="10"/>
      <c r="G86" s="10">
        <v>3</v>
      </c>
    </row>
    <row r="87" spans="1:7" x14ac:dyDescent="0.35">
      <c r="A87" s="8"/>
      <c r="B87" s="9" t="s">
        <v>74</v>
      </c>
      <c r="C87" s="9"/>
      <c r="D87" s="9" t="s">
        <v>118</v>
      </c>
      <c r="E87" s="8">
        <v>18</v>
      </c>
      <c r="F87" s="8">
        <v>18</v>
      </c>
      <c r="G87" s="8">
        <v>16</v>
      </c>
    </row>
    <row r="88" spans="1:7" x14ac:dyDescent="0.35">
      <c r="A88" s="10">
        <v>1</v>
      </c>
      <c r="B88" s="6" t="s">
        <v>187</v>
      </c>
      <c r="C88" s="6" t="s">
        <v>325</v>
      </c>
      <c r="D88" s="6" t="s">
        <v>212</v>
      </c>
      <c r="E88" s="10"/>
      <c r="F88" s="10"/>
      <c r="G88" s="10">
        <v>6</v>
      </c>
    </row>
    <row r="89" spans="1:7" x14ac:dyDescent="0.35">
      <c r="A89" s="10">
        <v>2</v>
      </c>
      <c r="B89" s="6" t="s">
        <v>344</v>
      </c>
      <c r="C89" s="6" t="s">
        <v>414</v>
      </c>
      <c r="D89" s="6" t="s">
        <v>215</v>
      </c>
      <c r="E89" s="10"/>
      <c r="F89" s="10"/>
      <c r="G89" s="10">
        <v>4</v>
      </c>
    </row>
    <row r="90" spans="1:7" x14ac:dyDescent="0.35">
      <c r="A90" s="10">
        <v>3</v>
      </c>
      <c r="B90" s="6" t="s">
        <v>344</v>
      </c>
      <c r="C90" s="6" t="s">
        <v>413</v>
      </c>
      <c r="D90" s="6" t="s">
        <v>172</v>
      </c>
      <c r="E90" s="10"/>
      <c r="F90" s="10"/>
      <c r="G90" s="10">
        <v>4</v>
      </c>
    </row>
    <row r="91" spans="1:7" x14ac:dyDescent="0.35">
      <c r="A91" s="10">
        <v>4</v>
      </c>
      <c r="B91" s="6" t="s">
        <v>207</v>
      </c>
      <c r="C91" s="6" t="s">
        <v>403</v>
      </c>
      <c r="D91" s="6" t="s">
        <v>174</v>
      </c>
      <c r="E91" s="10"/>
      <c r="F91" s="10"/>
      <c r="G91" s="10">
        <v>2</v>
      </c>
    </row>
    <row r="92" spans="1:7" x14ac:dyDescent="0.35">
      <c r="A92" s="8"/>
      <c r="B92" s="9" t="s">
        <v>74</v>
      </c>
      <c r="C92" s="9"/>
      <c r="D92" s="9" t="s">
        <v>328</v>
      </c>
      <c r="E92" s="8">
        <v>18</v>
      </c>
      <c r="F92" s="8">
        <v>18</v>
      </c>
      <c r="G92" s="8">
        <v>16</v>
      </c>
    </row>
    <row r="93" spans="1:7" x14ac:dyDescent="0.35">
      <c r="A93" s="10">
        <v>1</v>
      </c>
      <c r="B93" s="6" t="s">
        <v>138</v>
      </c>
      <c r="C93" s="6" t="s">
        <v>405</v>
      </c>
      <c r="D93" s="6" t="s">
        <v>87</v>
      </c>
      <c r="E93" s="10"/>
      <c r="F93" s="10"/>
      <c r="G93" s="10">
        <v>1</v>
      </c>
    </row>
    <row r="94" spans="1:7" x14ac:dyDescent="0.35">
      <c r="A94" s="10">
        <v>2</v>
      </c>
      <c r="B94" s="6" t="s">
        <v>284</v>
      </c>
      <c r="C94" s="6" t="s">
        <v>412</v>
      </c>
      <c r="D94" s="6" t="s">
        <v>332</v>
      </c>
      <c r="E94" s="10"/>
      <c r="F94" s="10"/>
      <c r="G94" s="10">
        <v>3</v>
      </c>
    </row>
    <row r="95" spans="1:7" x14ac:dyDescent="0.35">
      <c r="A95" s="10">
        <v>3</v>
      </c>
      <c r="B95" s="6" t="s">
        <v>284</v>
      </c>
      <c r="C95" s="6" t="s">
        <v>402</v>
      </c>
      <c r="D95" s="6" t="s">
        <v>181</v>
      </c>
      <c r="E95" s="10"/>
      <c r="F95" s="10"/>
      <c r="G95" s="10">
        <v>3</v>
      </c>
    </row>
    <row r="96" spans="1:7" x14ac:dyDescent="0.35">
      <c r="A96" s="10">
        <v>4</v>
      </c>
      <c r="B96" s="6" t="s">
        <v>187</v>
      </c>
      <c r="C96" s="6" t="s">
        <v>399</v>
      </c>
      <c r="D96" s="6" t="s">
        <v>257</v>
      </c>
      <c r="E96" s="10"/>
      <c r="F96" s="10"/>
      <c r="G96" s="10">
        <v>5</v>
      </c>
    </row>
    <row r="97" spans="1:7" x14ac:dyDescent="0.35">
      <c r="A97" s="10">
        <v>5</v>
      </c>
      <c r="B97" s="6" t="s">
        <v>207</v>
      </c>
      <c r="C97" s="6" t="s">
        <v>404</v>
      </c>
      <c r="D97" s="6" t="s">
        <v>143</v>
      </c>
      <c r="E97" s="10"/>
      <c r="F97" s="10"/>
      <c r="G97" s="10">
        <v>3</v>
      </c>
    </row>
    <row r="98" spans="1:7" x14ac:dyDescent="0.35">
      <c r="A98" s="10">
        <v>6</v>
      </c>
      <c r="B98" s="6" t="s">
        <v>379</v>
      </c>
      <c r="C98" s="6" t="s">
        <v>688</v>
      </c>
      <c r="D98" s="6" t="s">
        <v>188</v>
      </c>
      <c r="E98" s="10"/>
      <c r="F98" s="10"/>
      <c r="G98" s="10">
        <v>1</v>
      </c>
    </row>
    <row r="99" spans="1:7" x14ac:dyDescent="0.35">
      <c r="A99" s="8"/>
      <c r="B99" s="9" t="s">
        <v>74</v>
      </c>
      <c r="C99" s="9"/>
      <c r="D99" s="9" t="s">
        <v>189</v>
      </c>
      <c r="E99" s="8">
        <v>24</v>
      </c>
      <c r="F99" s="8">
        <v>18</v>
      </c>
      <c r="G99" s="8">
        <v>16</v>
      </c>
    </row>
    <row r="100" spans="1:7" x14ac:dyDescent="0.35">
      <c r="A100" s="8"/>
      <c r="B100" s="9" t="s">
        <v>29</v>
      </c>
      <c r="C100" s="9"/>
      <c r="D100" s="9" t="s">
        <v>297</v>
      </c>
      <c r="E100" s="8"/>
      <c r="F100" s="8"/>
      <c r="G100" s="8"/>
    </row>
    <row r="101" spans="1:7" x14ac:dyDescent="0.35">
      <c r="A101" s="11"/>
      <c r="B101" s="12" t="s">
        <v>95</v>
      </c>
      <c r="C101" s="12"/>
      <c r="D101" s="12"/>
      <c r="E101" s="11">
        <v>83</v>
      </c>
      <c r="F101" s="11">
        <v>72</v>
      </c>
      <c r="G101" s="11">
        <v>64</v>
      </c>
    </row>
    <row r="103" spans="1:7" x14ac:dyDescent="0.35">
      <c r="A103" s="74" t="s">
        <v>690</v>
      </c>
      <c r="B103" s="75"/>
      <c r="C103" s="75"/>
      <c r="D103" s="75"/>
      <c r="E103" s="75"/>
      <c r="F103" s="75"/>
      <c r="G103" s="76"/>
    </row>
    <row r="104" spans="1:7" x14ac:dyDescent="0.35">
      <c r="A104" s="7" t="s">
        <v>2</v>
      </c>
      <c r="B104" s="7" t="s">
        <v>24</v>
      </c>
      <c r="C104" s="7" t="s">
        <v>25</v>
      </c>
      <c r="D104" s="7" t="s">
        <v>26</v>
      </c>
      <c r="E104" s="7" t="s">
        <v>27</v>
      </c>
      <c r="F104" s="7" t="s">
        <v>28</v>
      </c>
      <c r="G104" s="7" t="s">
        <v>260</v>
      </c>
    </row>
    <row r="105" spans="1:7" x14ac:dyDescent="0.35">
      <c r="A105" s="8"/>
      <c r="B105" s="9" t="s">
        <v>29</v>
      </c>
      <c r="C105" s="9"/>
      <c r="D105" s="9" t="s">
        <v>32</v>
      </c>
      <c r="E105" s="8"/>
      <c r="F105" s="8"/>
      <c r="G105" s="8"/>
    </row>
    <row r="106" spans="1:7" x14ac:dyDescent="0.35">
      <c r="A106" s="10">
        <v>1</v>
      </c>
      <c r="B106" s="6" t="s">
        <v>209</v>
      </c>
      <c r="C106" s="6" t="s">
        <v>261</v>
      </c>
      <c r="D106" s="6" t="s">
        <v>34</v>
      </c>
      <c r="E106" s="10"/>
      <c r="F106" s="10"/>
      <c r="G106" s="10">
        <v>5</v>
      </c>
    </row>
    <row r="107" spans="1:7" x14ac:dyDescent="0.35">
      <c r="A107" s="10">
        <v>2</v>
      </c>
      <c r="B107" s="6" t="s">
        <v>209</v>
      </c>
      <c r="C107" s="6" t="s">
        <v>263</v>
      </c>
      <c r="D107" s="6" t="s">
        <v>150</v>
      </c>
      <c r="E107" s="10"/>
      <c r="F107" s="10"/>
      <c r="G107" s="10">
        <v>3</v>
      </c>
    </row>
    <row r="108" spans="1:7" x14ac:dyDescent="0.35">
      <c r="A108" s="10">
        <v>3</v>
      </c>
      <c r="B108" s="6" t="s">
        <v>209</v>
      </c>
      <c r="C108" s="6" t="s">
        <v>264</v>
      </c>
      <c r="D108" s="6" t="s">
        <v>152</v>
      </c>
      <c r="E108" s="10"/>
      <c r="F108" s="10"/>
      <c r="G108" s="10">
        <v>2</v>
      </c>
    </row>
    <row r="109" spans="1:7" x14ac:dyDescent="0.35">
      <c r="A109" s="10">
        <v>4</v>
      </c>
      <c r="B109" s="6" t="s">
        <v>286</v>
      </c>
      <c r="C109" s="6" t="s">
        <v>299</v>
      </c>
      <c r="D109" s="6" t="s">
        <v>270</v>
      </c>
      <c r="E109" s="10"/>
      <c r="F109" s="10"/>
      <c r="G109" s="10">
        <v>6</v>
      </c>
    </row>
    <row r="110" spans="1:7" x14ac:dyDescent="0.35">
      <c r="A110" s="8"/>
      <c r="B110" s="9" t="s">
        <v>74</v>
      </c>
      <c r="C110" s="9"/>
      <c r="D110" s="9" t="s">
        <v>196</v>
      </c>
      <c r="E110" s="8">
        <v>18</v>
      </c>
      <c r="F110" s="8">
        <v>18</v>
      </c>
      <c r="G110" s="8">
        <v>16</v>
      </c>
    </row>
    <row r="111" spans="1:7" x14ac:dyDescent="0.35">
      <c r="A111" s="10">
        <v>1</v>
      </c>
      <c r="B111" s="6" t="s">
        <v>178</v>
      </c>
      <c r="C111" s="6" t="s">
        <v>265</v>
      </c>
      <c r="D111" s="6" t="s">
        <v>49</v>
      </c>
      <c r="E111" s="10"/>
      <c r="F111" s="10"/>
      <c r="G111" s="10">
        <v>5</v>
      </c>
    </row>
    <row r="112" spans="1:7" x14ac:dyDescent="0.35">
      <c r="A112" s="10">
        <v>2</v>
      </c>
      <c r="B112" s="6" t="s">
        <v>78</v>
      </c>
      <c r="C112" s="6" t="s">
        <v>266</v>
      </c>
      <c r="D112" s="6" t="s">
        <v>53</v>
      </c>
      <c r="E112" s="10"/>
      <c r="F112" s="10"/>
      <c r="G112" s="10">
        <v>2</v>
      </c>
    </row>
    <row r="113" spans="1:7" x14ac:dyDescent="0.35">
      <c r="A113" s="10">
        <v>3</v>
      </c>
      <c r="B113" s="6" t="s">
        <v>267</v>
      </c>
      <c r="C113" s="6" t="s">
        <v>268</v>
      </c>
      <c r="D113" s="6" t="s">
        <v>346</v>
      </c>
      <c r="E113" s="10"/>
      <c r="F113" s="10"/>
      <c r="G113" s="10">
        <v>2</v>
      </c>
    </row>
    <row r="114" spans="1:7" x14ac:dyDescent="0.35">
      <c r="A114" s="10">
        <v>4</v>
      </c>
      <c r="B114" s="6" t="s">
        <v>209</v>
      </c>
      <c r="C114" s="6" t="s">
        <v>269</v>
      </c>
      <c r="D114" s="6" t="s">
        <v>109</v>
      </c>
      <c r="E114" s="10"/>
      <c r="F114" s="10"/>
      <c r="G114" s="10">
        <v>4</v>
      </c>
    </row>
    <row r="115" spans="1:7" x14ac:dyDescent="0.35">
      <c r="A115" s="10">
        <v>5</v>
      </c>
      <c r="B115" s="6" t="s">
        <v>192</v>
      </c>
      <c r="C115" s="6" t="s">
        <v>280</v>
      </c>
      <c r="D115" s="6" t="s">
        <v>162</v>
      </c>
      <c r="E115" s="10"/>
      <c r="F115" s="10"/>
      <c r="G115" s="10">
        <v>3</v>
      </c>
    </row>
    <row r="116" spans="1:7" x14ac:dyDescent="0.35">
      <c r="A116" s="8"/>
      <c r="B116" s="9" t="s">
        <v>74</v>
      </c>
      <c r="C116" s="9"/>
      <c r="D116" s="9" t="s">
        <v>202</v>
      </c>
      <c r="E116" s="8">
        <v>19</v>
      </c>
      <c r="F116" s="8">
        <v>18</v>
      </c>
      <c r="G116" s="8">
        <v>16</v>
      </c>
    </row>
    <row r="117" spans="1:7" x14ac:dyDescent="0.35">
      <c r="A117" s="10">
        <v>1</v>
      </c>
      <c r="B117" s="6" t="s">
        <v>136</v>
      </c>
      <c r="C117" s="6" t="s">
        <v>275</v>
      </c>
      <c r="D117" s="6" t="s">
        <v>116</v>
      </c>
      <c r="E117" s="10"/>
      <c r="F117" s="10"/>
      <c r="G117" s="10">
        <v>2</v>
      </c>
    </row>
    <row r="118" spans="1:7" x14ac:dyDescent="0.35">
      <c r="A118" s="10">
        <v>2</v>
      </c>
      <c r="B118" s="6" t="s">
        <v>209</v>
      </c>
      <c r="C118" s="6" t="s">
        <v>271</v>
      </c>
      <c r="D118" s="6" t="s">
        <v>204</v>
      </c>
      <c r="E118" s="10"/>
      <c r="F118" s="10"/>
      <c r="G118" s="10">
        <v>3</v>
      </c>
    </row>
    <row r="119" spans="1:7" x14ac:dyDescent="0.35">
      <c r="A119" s="10">
        <v>3</v>
      </c>
      <c r="B119" s="6" t="s">
        <v>209</v>
      </c>
      <c r="C119" s="6" t="s">
        <v>292</v>
      </c>
      <c r="D119" s="6" t="s">
        <v>65</v>
      </c>
      <c r="E119" s="10"/>
      <c r="F119" s="10"/>
      <c r="G119" s="10">
        <v>2</v>
      </c>
    </row>
    <row r="120" spans="1:7" x14ac:dyDescent="0.35">
      <c r="A120" s="10">
        <v>4</v>
      </c>
      <c r="B120" s="6" t="s">
        <v>286</v>
      </c>
      <c r="C120" s="6" t="s">
        <v>287</v>
      </c>
      <c r="D120" s="6" t="s">
        <v>75</v>
      </c>
      <c r="E120" s="10"/>
      <c r="F120" s="10"/>
      <c r="G120" s="10">
        <v>4</v>
      </c>
    </row>
    <row r="121" spans="1:7" x14ac:dyDescent="0.35">
      <c r="A121" s="10">
        <v>5</v>
      </c>
      <c r="B121" s="6" t="s">
        <v>247</v>
      </c>
      <c r="C121" s="6" t="s">
        <v>281</v>
      </c>
      <c r="D121" s="6" t="s">
        <v>168</v>
      </c>
      <c r="E121" s="10"/>
      <c r="F121" s="10"/>
      <c r="G121" s="10">
        <v>5</v>
      </c>
    </row>
    <row r="122" spans="1:7" x14ac:dyDescent="0.35">
      <c r="A122" s="8"/>
      <c r="B122" s="9" t="s">
        <v>74</v>
      </c>
      <c r="C122" s="9"/>
      <c r="D122" s="9" t="s">
        <v>170</v>
      </c>
      <c r="E122" s="8">
        <v>19</v>
      </c>
      <c r="F122" s="8">
        <v>18</v>
      </c>
      <c r="G122" s="8">
        <v>16</v>
      </c>
    </row>
    <row r="123" spans="1:7" x14ac:dyDescent="0.35">
      <c r="A123" s="10">
        <v>1</v>
      </c>
      <c r="B123" s="6" t="s">
        <v>209</v>
      </c>
      <c r="C123" s="6" t="s">
        <v>291</v>
      </c>
      <c r="D123" s="6" t="s">
        <v>132</v>
      </c>
      <c r="E123" s="10"/>
      <c r="F123" s="10"/>
      <c r="G123" s="10">
        <v>1</v>
      </c>
    </row>
    <row r="124" spans="1:7" x14ac:dyDescent="0.35">
      <c r="A124" s="10">
        <v>2</v>
      </c>
      <c r="B124" s="6" t="s">
        <v>209</v>
      </c>
      <c r="C124" s="6" t="s">
        <v>289</v>
      </c>
      <c r="D124" s="6" t="s">
        <v>81</v>
      </c>
      <c r="E124" s="10"/>
      <c r="F124" s="10"/>
      <c r="G124" s="10">
        <v>3</v>
      </c>
    </row>
    <row r="125" spans="1:7" x14ac:dyDescent="0.35">
      <c r="A125" s="10">
        <v>3</v>
      </c>
      <c r="B125" s="6" t="s">
        <v>209</v>
      </c>
      <c r="C125" s="6" t="s">
        <v>288</v>
      </c>
      <c r="D125" s="6" t="s">
        <v>134</v>
      </c>
      <c r="E125" s="10"/>
      <c r="F125" s="10"/>
      <c r="G125" s="10">
        <v>2</v>
      </c>
    </row>
    <row r="126" spans="1:7" x14ac:dyDescent="0.35">
      <c r="A126" s="10">
        <v>4</v>
      </c>
      <c r="B126" s="6" t="s">
        <v>209</v>
      </c>
      <c r="C126" s="6" t="s">
        <v>274</v>
      </c>
      <c r="D126" s="6" t="s">
        <v>85</v>
      </c>
      <c r="E126" s="10"/>
      <c r="F126" s="10"/>
      <c r="G126" s="10">
        <v>3</v>
      </c>
    </row>
    <row r="127" spans="1:7" x14ac:dyDescent="0.35">
      <c r="A127" s="10">
        <v>5</v>
      </c>
      <c r="B127" s="6" t="s">
        <v>276</v>
      </c>
      <c r="C127" s="6" t="s">
        <v>277</v>
      </c>
      <c r="D127" s="6" t="s">
        <v>87</v>
      </c>
      <c r="E127" s="10"/>
      <c r="F127" s="10"/>
      <c r="G127" s="10">
        <v>2</v>
      </c>
    </row>
    <row r="128" spans="1:7" x14ac:dyDescent="0.35">
      <c r="A128" s="10">
        <v>6</v>
      </c>
      <c r="B128" s="6" t="s">
        <v>278</v>
      </c>
      <c r="C128" s="6" t="s">
        <v>279</v>
      </c>
      <c r="D128" s="6" t="s">
        <v>332</v>
      </c>
      <c r="E128" s="10"/>
      <c r="F128" s="10"/>
      <c r="G128" s="10">
        <v>1</v>
      </c>
    </row>
    <row r="129" spans="1:7" x14ac:dyDescent="0.35">
      <c r="A129" s="10">
        <v>7</v>
      </c>
      <c r="B129" s="6" t="s">
        <v>286</v>
      </c>
      <c r="C129" s="6" t="s">
        <v>691</v>
      </c>
      <c r="D129" s="6" t="s">
        <v>181</v>
      </c>
      <c r="E129" s="10"/>
      <c r="F129" s="10"/>
      <c r="G129" s="10">
        <v>4</v>
      </c>
    </row>
    <row r="130" spans="1:7" x14ac:dyDescent="0.35">
      <c r="A130" s="8"/>
      <c r="B130" s="9" t="s">
        <v>74</v>
      </c>
      <c r="C130" s="9"/>
      <c r="D130" s="9" t="s">
        <v>257</v>
      </c>
      <c r="E130" s="8">
        <v>21</v>
      </c>
      <c r="F130" s="8">
        <v>18</v>
      </c>
      <c r="G130" s="8">
        <v>16</v>
      </c>
    </row>
    <row r="131" spans="1:7" x14ac:dyDescent="0.35">
      <c r="A131" s="10">
        <v>1</v>
      </c>
      <c r="B131" s="6" t="s">
        <v>294</v>
      </c>
      <c r="C131" s="6" t="s">
        <v>295</v>
      </c>
      <c r="D131" s="6" t="s">
        <v>335</v>
      </c>
      <c r="E131" s="10"/>
      <c r="F131" s="10"/>
      <c r="G131" s="10">
        <v>6</v>
      </c>
    </row>
    <row r="132" spans="1:7" x14ac:dyDescent="0.35">
      <c r="A132" s="10">
        <v>2</v>
      </c>
      <c r="B132" s="6" t="s">
        <v>667</v>
      </c>
      <c r="C132" s="6"/>
      <c r="D132" s="6" t="s">
        <v>144</v>
      </c>
      <c r="E132" s="10"/>
      <c r="F132" s="10"/>
      <c r="G132" s="10">
        <v>9</v>
      </c>
    </row>
    <row r="133" spans="1:7" x14ac:dyDescent="0.35">
      <c r="A133" s="10">
        <v>3</v>
      </c>
      <c r="B133" s="6" t="s">
        <v>282</v>
      </c>
      <c r="C133" s="6" t="s">
        <v>692</v>
      </c>
      <c r="D133" s="6" t="s">
        <v>189</v>
      </c>
      <c r="E133" s="10"/>
      <c r="F133" s="10"/>
      <c r="G133" s="10">
        <v>1</v>
      </c>
    </row>
    <row r="134" spans="1:7" x14ac:dyDescent="0.35">
      <c r="A134" s="8"/>
      <c r="B134" s="9" t="s">
        <v>74</v>
      </c>
      <c r="C134" s="9"/>
      <c r="D134" s="9" t="s">
        <v>297</v>
      </c>
      <c r="E134" s="8">
        <v>22</v>
      </c>
      <c r="F134" s="8">
        <v>18</v>
      </c>
      <c r="G134" s="8">
        <v>16</v>
      </c>
    </row>
    <row r="135" spans="1:7" x14ac:dyDescent="0.35">
      <c r="A135" s="8"/>
      <c r="B135" s="9" t="s">
        <v>29</v>
      </c>
      <c r="C135" s="9"/>
      <c r="D135" s="9" t="s">
        <v>337</v>
      </c>
      <c r="E135" s="8"/>
      <c r="F135" s="8"/>
      <c r="G135" s="8"/>
    </row>
    <row r="136" spans="1:7" x14ac:dyDescent="0.35">
      <c r="A136" s="11"/>
      <c r="B136" s="12" t="s">
        <v>95</v>
      </c>
      <c r="C136" s="12"/>
      <c r="D136" s="12"/>
      <c r="E136" s="11">
        <v>99</v>
      </c>
      <c r="F136" s="11">
        <v>90</v>
      </c>
      <c r="G136" s="11">
        <v>80</v>
      </c>
    </row>
    <row r="138" spans="1:7" x14ac:dyDescent="0.35">
      <c r="A138" s="74" t="s">
        <v>693</v>
      </c>
      <c r="B138" s="75"/>
      <c r="C138" s="75"/>
      <c r="D138" s="75"/>
      <c r="E138" s="75"/>
      <c r="F138" s="75"/>
      <c r="G138" s="76"/>
    </row>
    <row r="139" spans="1:7" x14ac:dyDescent="0.35">
      <c r="A139" s="7" t="s">
        <v>2</v>
      </c>
      <c r="B139" s="7" t="s">
        <v>24</v>
      </c>
      <c r="C139" s="7" t="s">
        <v>25</v>
      </c>
      <c r="D139" s="7" t="s">
        <v>26</v>
      </c>
      <c r="E139" s="7" t="s">
        <v>27</v>
      </c>
      <c r="F139" s="7" t="s">
        <v>28</v>
      </c>
      <c r="G139" s="7" t="s">
        <v>260</v>
      </c>
    </row>
    <row r="140" spans="1:7" x14ac:dyDescent="0.35">
      <c r="A140" s="8"/>
      <c r="B140" s="9" t="s">
        <v>29</v>
      </c>
      <c r="C140" s="9"/>
      <c r="D140" s="9" t="s">
        <v>32</v>
      </c>
      <c r="E140" s="8"/>
      <c r="F140" s="8"/>
      <c r="G140" s="8"/>
    </row>
    <row r="141" spans="1:7" x14ac:dyDescent="0.35">
      <c r="A141" s="10">
        <v>1</v>
      </c>
      <c r="B141" s="6" t="s">
        <v>209</v>
      </c>
      <c r="C141" s="6" t="s">
        <v>261</v>
      </c>
      <c r="D141" s="6" t="s">
        <v>34</v>
      </c>
      <c r="E141" s="10"/>
      <c r="F141" s="10"/>
      <c r="G141" s="10">
        <v>5</v>
      </c>
    </row>
    <row r="142" spans="1:7" x14ac:dyDescent="0.35">
      <c r="A142" s="10">
        <v>2</v>
      </c>
      <c r="B142" s="6" t="s">
        <v>209</v>
      </c>
      <c r="C142" s="6" t="s">
        <v>263</v>
      </c>
      <c r="D142" s="6" t="s">
        <v>150</v>
      </c>
      <c r="E142" s="10"/>
      <c r="F142" s="10"/>
      <c r="G142" s="10">
        <v>3</v>
      </c>
    </row>
    <row r="143" spans="1:7" x14ac:dyDescent="0.35">
      <c r="A143" s="10">
        <v>3</v>
      </c>
      <c r="B143" s="6" t="s">
        <v>209</v>
      </c>
      <c r="C143" s="6" t="s">
        <v>264</v>
      </c>
      <c r="D143" s="6" t="s">
        <v>152</v>
      </c>
      <c r="E143" s="10"/>
      <c r="F143" s="10"/>
      <c r="G143" s="10">
        <v>2</v>
      </c>
    </row>
    <row r="144" spans="1:7" x14ac:dyDescent="0.35">
      <c r="A144" s="10">
        <v>4</v>
      </c>
      <c r="B144" s="6" t="s">
        <v>286</v>
      </c>
      <c r="C144" s="6" t="s">
        <v>299</v>
      </c>
      <c r="D144" s="6" t="s">
        <v>270</v>
      </c>
      <c r="E144" s="10"/>
      <c r="F144" s="10"/>
      <c r="G144" s="10">
        <v>6</v>
      </c>
    </row>
    <row r="145" spans="1:7" x14ac:dyDescent="0.35">
      <c r="A145" s="8"/>
      <c r="B145" s="9" t="s">
        <v>74</v>
      </c>
      <c r="C145" s="9"/>
      <c r="D145" s="9" t="s">
        <v>196</v>
      </c>
      <c r="E145" s="8">
        <v>18</v>
      </c>
      <c r="F145" s="8">
        <v>18</v>
      </c>
      <c r="G145" s="8">
        <v>16</v>
      </c>
    </row>
    <row r="146" spans="1:7" x14ac:dyDescent="0.35">
      <c r="A146" s="10">
        <v>1</v>
      </c>
      <c r="B146" s="6" t="s">
        <v>178</v>
      </c>
      <c r="C146" s="6" t="s">
        <v>265</v>
      </c>
      <c r="D146" s="6" t="s">
        <v>49</v>
      </c>
      <c r="E146" s="10"/>
      <c r="F146" s="10"/>
      <c r="G146" s="10">
        <v>5</v>
      </c>
    </row>
    <row r="147" spans="1:7" x14ac:dyDescent="0.35">
      <c r="A147" s="10">
        <v>2</v>
      </c>
      <c r="B147" s="6" t="s">
        <v>78</v>
      </c>
      <c r="C147" s="6" t="s">
        <v>266</v>
      </c>
      <c r="D147" s="6" t="s">
        <v>53</v>
      </c>
      <c r="E147" s="10"/>
      <c r="F147" s="10"/>
      <c r="G147" s="10">
        <v>3</v>
      </c>
    </row>
    <row r="148" spans="1:7" x14ac:dyDescent="0.35">
      <c r="A148" s="10">
        <v>3</v>
      </c>
      <c r="B148" s="6" t="s">
        <v>267</v>
      </c>
      <c r="C148" s="6" t="s">
        <v>268</v>
      </c>
      <c r="D148" s="6" t="s">
        <v>346</v>
      </c>
      <c r="E148" s="10"/>
      <c r="F148" s="10"/>
      <c r="G148" s="10">
        <v>2</v>
      </c>
    </row>
    <row r="149" spans="1:7" x14ac:dyDescent="0.35">
      <c r="A149" s="10">
        <v>4</v>
      </c>
      <c r="B149" s="6" t="s">
        <v>209</v>
      </c>
      <c r="C149" s="6" t="s">
        <v>269</v>
      </c>
      <c r="D149" s="6" t="s">
        <v>109</v>
      </c>
      <c r="E149" s="10"/>
      <c r="F149" s="10"/>
      <c r="G149" s="10">
        <v>3</v>
      </c>
    </row>
    <row r="150" spans="1:7" x14ac:dyDescent="0.35">
      <c r="A150" s="10">
        <v>5</v>
      </c>
      <c r="B150" s="6" t="s">
        <v>192</v>
      </c>
      <c r="C150" s="6" t="s">
        <v>280</v>
      </c>
      <c r="D150" s="6" t="s">
        <v>162</v>
      </c>
      <c r="E150" s="10"/>
      <c r="F150" s="10"/>
      <c r="G150" s="10">
        <v>3</v>
      </c>
    </row>
    <row r="151" spans="1:7" x14ac:dyDescent="0.35">
      <c r="A151" s="8"/>
      <c r="B151" s="9" t="s">
        <v>74</v>
      </c>
      <c r="C151" s="9"/>
      <c r="D151" s="9" t="s">
        <v>202</v>
      </c>
      <c r="E151" s="8">
        <v>19</v>
      </c>
      <c r="F151" s="8">
        <v>18</v>
      </c>
      <c r="G151" s="8">
        <v>16</v>
      </c>
    </row>
    <row r="152" spans="1:7" x14ac:dyDescent="0.35">
      <c r="A152" s="10">
        <v>1</v>
      </c>
      <c r="B152" s="6" t="s">
        <v>136</v>
      </c>
      <c r="C152" s="6" t="s">
        <v>275</v>
      </c>
      <c r="D152" s="6" t="s">
        <v>116</v>
      </c>
      <c r="E152" s="10"/>
      <c r="F152" s="10"/>
      <c r="G152" s="10">
        <v>2</v>
      </c>
    </row>
    <row r="153" spans="1:7" x14ac:dyDescent="0.35">
      <c r="A153" s="10">
        <v>2</v>
      </c>
      <c r="B153" s="6" t="s">
        <v>286</v>
      </c>
      <c r="C153" s="6" t="s">
        <v>287</v>
      </c>
      <c r="D153" s="6" t="s">
        <v>204</v>
      </c>
      <c r="E153" s="10"/>
      <c r="F153" s="10"/>
      <c r="G153" s="10">
        <v>4</v>
      </c>
    </row>
    <row r="154" spans="1:7" x14ac:dyDescent="0.35">
      <c r="A154" s="10">
        <v>3</v>
      </c>
      <c r="B154" s="6" t="s">
        <v>209</v>
      </c>
      <c r="C154" s="6" t="s">
        <v>271</v>
      </c>
      <c r="D154" s="6" t="s">
        <v>65</v>
      </c>
      <c r="E154" s="10"/>
      <c r="F154" s="10"/>
      <c r="G154" s="10">
        <v>3</v>
      </c>
    </row>
    <row r="155" spans="1:7" x14ac:dyDescent="0.35">
      <c r="A155" s="10">
        <v>4</v>
      </c>
      <c r="B155" s="6" t="s">
        <v>209</v>
      </c>
      <c r="C155" s="6" t="s">
        <v>292</v>
      </c>
      <c r="D155" s="6" t="s">
        <v>75</v>
      </c>
      <c r="E155" s="10"/>
      <c r="F155" s="10"/>
      <c r="G155" s="10">
        <v>2</v>
      </c>
    </row>
    <row r="156" spans="1:7" x14ac:dyDescent="0.35">
      <c r="A156" s="10">
        <v>5</v>
      </c>
      <c r="B156" s="6" t="s">
        <v>247</v>
      </c>
      <c r="C156" s="6" t="s">
        <v>281</v>
      </c>
      <c r="D156" s="6" t="s">
        <v>168</v>
      </c>
      <c r="E156" s="10"/>
      <c r="F156" s="10"/>
      <c r="G156" s="10">
        <v>5</v>
      </c>
    </row>
    <row r="157" spans="1:7" x14ac:dyDescent="0.35">
      <c r="A157" s="8"/>
      <c r="B157" s="9" t="s">
        <v>74</v>
      </c>
      <c r="C157" s="9"/>
      <c r="D157" s="9" t="s">
        <v>170</v>
      </c>
      <c r="E157" s="8">
        <v>19</v>
      </c>
      <c r="F157" s="8">
        <v>18</v>
      </c>
      <c r="G157" s="8">
        <v>16</v>
      </c>
    </row>
    <row r="158" spans="1:7" x14ac:dyDescent="0.35">
      <c r="A158" s="10">
        <v>1</v>
      </c>
      <c r="B158" s="6" t="s">
        <v>209</v>
      </c>
      <c r="C158" s="6" t="s">
        <v>291</v>
      </c>
      <c r="D158" s="6" t="s">
        <v>132</v>
      </c>
      <c r="E158" s="10"/>
      <c r="F158" s="10"/>
      <c r="G158" s="10">
        <v>1</v>
      </c>
    </row>
    <row r="159" spans="1:7" x14ac:dyDescent="0.35">
      <c r="A159" s="10">
        <v>2</v>
      </c>
      <c r="B159" s="6" t="s">
        <v>209</v>
      </c>
      <c r="C159" s="6" t="s">
        <v>289</v>
      </c>
      <c r="D159" s="6" t="s">
        <v>81</v>
      </c>
      <c r="E159" s="10"/>
      <c r="F159" s="10"/>
      <c r="G159" s="10">
        <v>3</v>
      </c>
    </row>
    <row r="160" spans="1:7" x14ac:dyDescent="0.35">
      <c r="A160" s="10">
        <v>3</v>
      </c>
      <c r="B160" s="6" t="s">
        <v>209</v>
      </c>
      <c r="C160" s="6" t="s">
        <v>288</v>
      </c>
      <c r="D160" s="6" t="s">
        <v>134</v>
      </c>
      <c r="E160" s="10"/>
      <c r="F160" s="10"/>
      <c r="G160" s="10">
        <v>2</v>
      </c>
    </row>
    <row r="161" spans="1:7" x14ac:dyDescent="0.35">
      <c r="A161" s="10">
        <v>4</v>
      </c>
      <c r="B161" s="6" t="s">
        <v>209</v>
      </c>
      <c r="C161" s="6" t="s">
        <v>274</v>
      </c>
      <c r="D161" s="6" t="s">
        <v>85</v>
      </c>
      <c r="E161" s="10"/>
      <c r="F161" s="10"/>
      <c r="G161" s="10">
        <v>3</v>
      </c>
    </row>
    <row r="162" spans="1:7" x14ac:dyDescent="0.35">
      <c r="A162" s="10">
        <v>5</v>
      </c>
      <c r="B162" s="6" t="s">
        <v>276</v>
      </c>
      <c r="C162" s="6" t="s">
        <v>277</v>
      </c>
      <c r="D162" s="6" t="s">
        <v>87</v>
      </c>
      <c r="E162" s="10"/>
      <c r="F162" s="10"/>
      <c r="G162" s="10">
        <v>2</v>
      </c>
    </row>
    <row r="163" spans="1:7" x14ac:dyDescent="0.35">
      <c r="A163" s="10">
        <v>6</v>
      </c>
      <c r="B163" s="6" t="s">
        <v>278</v>
      </c>
      <c r="C163" s="6" t="s">
        <v>279</v>
      </c>
      <c r="D163" s="6" t="s">
        <v>332</v>
      </c>
      <c r="E163" s="10"/>
      <c r="F163" s="10"/>
      <c r="G163" s="10">
        <v>1</v>
      </c>
    </row>
    <row r="164" spans="1:7" x14ac:dyDescent="0.35">
      <c r="A164" s="10">
        <v>7</v>
      </c>
      <c r="B164" s="6" t="s">
        <v>286</v>
      </c>
      <c r="C164" s="6" t="s">
        <v>691</v>
      </c>
      <c r="D164" s="6" t="s">
        <v>181</v>
      </c>
      <c r="E164" s="10"/>
      <c r="F164" s="10"/>
      <c r="G164" s="10">
        <v>4</v>
      </c>
    </row>
    <row r="165" spans="1:7" x14ac:dyDescent="0.35">
      <c r="A165" s="8"/>
      <c r="B165" s="9" t="s">
        <v>74</v>
      </c>
      <c r="C165" s="9"/>
      <c r="D165" s="9" t="s">
        <v>257</v>
      </c>
      <c r="E165" s="8">
        <v>21</v>
      </c>
      <c r="F165" s="8">
        <v>18</v>
      </c>
      <c r="G165" s="8">
        <v>16</v>
      </c>
    </row>
    <row r="166" spans="1:7" x14ac:dyDescent="0.35">
      <c r="A166" s="10">
        <v>1</v>
      </c>
      <c r="B166" s="6" t="s">
        <v>294</v>
      </c>
      <c r="C166" s="6" t="s">
        <v>295</v>
      </c>
      <c r="D166" s="6" t="s">
        <v>335</v>
      </c>
      <c r="E166" s="10"/>
      <c r="F166" s="10"/>
      <c r="G166" s="10">
        <v>6</v>
      </c>
    </row>
    <row r="167" spans="1:7" x14ac:dyDescent="0.35">
      <c r="A167" s="10">
        <v>2</v>
      </c>
      <c r="B167" s="6" t="s">
        <v>667</v>
      </c>
      <c r="C167" s="6"/>
      <c r="D167" s="6" t="s">
        <v>144</v>
      </c>
      <c r="E167" s="10"/>
      <c r="F167" s="10"/>
      <c r="G167" s="10">
        <v>8</v>
      </c>
    </row>
    <row r="168" spans="1:7" x14ac:dyDescent="0.35">
      <c r="A168" s="10">
        <v>3</v>
      </c>
      <c r="B168" s="6" t="s">
        <v>209</v>
      </c>
      <c r="C168" s="6" t="s">
        <v>264</v>
      </c>
      <c r="D168" s="6" t="s">
        <v>189</v>
      </c>
      <c r="E168" s="10"/>
      <c r="F168" s="10"/>
      <c r="G168" s="10">
        <v>2</v>
      </c>
    </row>
    <row r="169" spans="1:7" x14ac:dyDescent="0.35">
      <c r="A169" s="8"/>
      <c r="B169" s="9" t="s">
        <v>74</v>
      </c>
      <c r="C169" s="9"/>
      <c r="D169" s="9" t="s">
        <v>297</v>
      </c>
      <c r="E169" s="8">
        <v>21</v>
      </c>
      <c r="F169" s="8">
        <v>18</v>
      </c>
      <c r="G169" s="8">
        <v>16</v>
      </c>
    </row>
    <row r="170" spans="1:7" x14ac:dyDescent="0.35">
      <c r="A170" s="8"/>
      <c r="B170" s="9" t="s">
        <v>29</v>
      </c>
      <c r="C170" s="9"/>
      <c r="D170" s="9" t="s">
        <v>337</v>
      </c>
      <c r="E170" s="8"/>
      <c r="F170" s="8"/>
      <c r="G170" s="8"/>
    </row>
    <row r="171" spans="1:7" x14ac:dyDescent="0.35">
      <c r="A171" s="11"/>
      <c r="B171" s="12" t="s">
        <v>95</v>
      </c>
      <c r="C171" s="12"/>
      <c r="D171" s="12"/>
      <c r="E171" s="11">
        <v>98</v>
      </c>
      <c r="F171" s="11">
        <v>90</v>
      </c>
      <c r="G171" s="11">
        <v>80</v>
      </c>
    </row>
  </sheetData>
  <mergeCells count="7">
    <mergeCell ref="A138:G138"/>
    <mergeCell ref="A45:G45"/>
    <mergeCell ref="A74:G74"/>
    <mergeCell ref="A1:G1"/>
    <mergeCell ref="A4:G4"/>
    <mergeCell ref="A2:G2"/>
    <mergeCell ref="A103:G10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64"/>
  <sheetViews>
    <sheetView showGridLines="0" workbookViewId="0">
      <pane ySplit="3" topLeftCell="A34" activePane="bottomLeft" state="frozen"/>
      <selection activeCell="H25" sqref="H25:H26"/>
      <selection pane="bottomLeft" activeCell="H25" sqref="H25:H26"/>
    </sheetView>
  </sheetViews>
  <sheetFormatPr defaultRowHeight="14.5" x14ac:dyDescent="0.35"/>
  <cols>
    <col min="1" max="1" width="5" customWidth="1"/>
    <col min="2" max="2" width="30" customWidth="1"/>
    <col min="3" max="3" width="24" customWidth="1"/>
    <col min="4" max="4" width="8" customWidth="1"/>
    <col min="5" max="6" width="7" customWidth="1"/>
    <col min="7" max="7" width="11" customWidth="1"/>
  </cols>
  <sheetData>
    <row r="1" spans="1:7" ht="20" customHeight="1" x14ac:dyDescent="0.35">
      <c r="A1" s="77" t="s">
        <v>22</v>
      </c>
      <c r="B1" s="72"/>
      <c r="C1" s="72"/>
      <c r="D1" s="72"/>
      <c r="E1" s="72"/>
      <c r="F1" s="72"/>
      <c r="G1" s="72"/>
    </row>
    <row r="3" spans="1:7" x14ac:dyDescent="0.35">
      <c r="A3" s="74" t="s">
        <v>23</v>
      </c>
      <c r="B3" s="75"/>
      <c r="C3" s="75"/>
      <c r="D3" s="75"/>
      <c r="E3" s="75"/>
      <c r="F3" s="75"/>
      <c r="G3" s="76"/>
    </row>
    <row r="4" spans="1:7" x14ac:dyDescent="0.35">
      <c r="A4" s="7" t="s">
        <v>2</v>
      </c>
      <c r="B4" s="7" t="s">
        <v>24</v>
      </c>
      <c r="C4" s="7" t="s">
        <v>25</v>
      </c>
      <c r="D4" s="7" t="s">
        <v>26</v>
      </c>
      <c r="E4" s="7" t="s">
        <v>27</v>
      </c>
      <c r="F4" s="7" t="s">
        <v>28</v>
      </c>
      <c r="G4" s="7" t="s">
        <v>260</v>
      </c>
    </row>
    <row r="5" spans="1:7" x14ac:dyDescent="0.35">
      <c r="A5" s="8"/>
      <c r="B5" s="9" t="s">
        <v>29</v>
      </c>
      <c r="C5" s="9"/>
      <c r="D5" s="9" t="s">
        <v>32</v>
      </c>
      <c r="E5" s="8"/>
      <c r="F5" s="8"/>
      <c r="G5" s="8"/>
    </row>
    <row r="6" spans="1:7" x14ac:dyDescent="0.35">
      <c r="A6" s="10">
        <v>1</v>
      </c>
      <c r="B6" s="6" t="s">
        <v>694</v>
      </c>
      <c r="C6" s="6" t="s">
        <v>340</v>
      </c>
      <c r="D6" s="6" t="s">
        <v>36</v>
      </c>
      <c r="E6" s="10"/>
      <c r="F6" s="10"/>
      <c r="G6" s="10">
        <v>4</v>
      </c>
    </row>
    <row r="7" spans="1:7" x14ac:dyDescent="0.35">
      <c r="A7" s="10">
        <v>2</v>
      </c>
      <c r="B7" s="6" t="s">
        <v>207</v>
      </c>
      <c r="C7" s="6" t="s">
        <v>355</v>
      </c>
      <c r="D7" s="6" t="s">
        <v>154</v>
      </c>
      <c r="E7" s="10"/>
      <c r="F7" s="10"/>
      <c r="G7" s="10">
        <v>2</v>
      </c>
    </row>
    <row r="8" spans="1:7" x14ac:dyDescent="0.35">
      <c r="A8" s="10">
        <v>3</v>
      </c>
      <c r="B8" s="6" t="s">
        <v>207</v>
      </c>
      <c r="C8" s="6" t="s">
        <v>695</v>
      </c>
      <c r="D8" s="6" t="s">
        <v>43</v>
      </c>
      <c r="E8" s="10"/>
      <c r="F8" s="10"/>
      <c r="G8" s="10">
        <v>3</v>
      </c>
    </row>
    <row r="9" spans="1:7" x14ac:dyDescent="0.35">
      <c r="A9" s="10">
        <v>4</v>
      </c>
      <c r="B9" s="6" t="s">
        <v>207</v>
      </c>
      <c r="C9" s="6" t="s">
        <v>313</v>
      </c>
      <c r="D9" s="6" t="s">
        <v>45</v>
      </c>
      <c r="E9" s="10"/>
      <c r="F9" s="10"/>
      <c r="G9" s="10">
        <v>3</v>
      </c>
    </row>
    <row r="10" spans="1:7" x14ac:dyDescent="0.35">
      <c r="A10" s="10">
        <v>5</v>
      </c>
      <c r="B10" s="6" t="s">
        <v>209</v>
      </c>
      <c r="C10" s="6" t="s">
        <v>696</v>
      </c>
      <c r="D10" s="6" t="s">
        <v>196</v>
      </c>
      <c r="E10" s="10"/>
      <c r="F10" s="10"/>
      <c r="G10" s="10">
        <v>1</v>
      </c>
    </row>
    <row r="11" spans="1:7" x14ac:dyDescent="0.35">
      <c r="A11" s="10">
        <v>6</v>
      </c>
      <c r="B11" s="6" t="s">
        <v>347</v>
      </c>
      <c r="C11" s="6" t="s">
        <v>348</v>
      </c>
      <c r="D11" s="6" t="s">
        <v>49</v>
      </c>
      <c r="E11" s="10"/>
      <c r="F11" s="10"/>
      <c r="G11" s="10">
        <v>4</v>
      </c>
    </row>
    <row r="12" spans="1:7" x14ac:dyDescent="0.35">
      <c r="A12" s="10">
        <v>7</v>
      </c>
      <c r="B12" s="6" t="s">
        <v>187</v>
      </c>
      <c r="C12" s="6" t="s">
        <v>697</v>
      </c>
      <c r="D12" s="6" t="s">
        <v>346</v>
      </c>
      <c r="E12" s="10"/>
      <c r="F12" s="10"/>
      <c r="G12" s="10">
        <v>4</v>
      </c>
    </row>
    <row r="13" spans="1:7" x14ac:dyDescent="0.35">
      <c r="A13" s="10">
        <v>8</v>
      </c>
      <c r="B13" s="6" t="s">
        <v>400</v>
      </c>
      <c r="C13" s="6" t="s">
        <v>698</v>
      </c>
      <c r="D13" s="6" t="s">
        <v>408</v>
      </c>
      <c r="E13" s="10"/>
      <c r="F13" s="10"/>
      <c r="G13" s="10">
        <v>1</v>
      </c>
    </row>
    <row r="14" spans="1:7" x14ac:dyDescent="0.35">
      <c r="A14" s="10">
        <v>9</v>
      </c>
      <c r="B14" s="6" t="s">
        <v>209</v>
      </c>
      <c r="C14" s="6" t="s">
        <v>699</v>
      </c>
      <c r="D14" s="6" t="s">
        <v>111</v>
      </c>
      <c r="E14" s="10"/>
      <c r="F14" s="10"/>
      <c r="G14" s="10">
        <v>3</v>
      </c>
    </row>
    <row r="15" spans="1:7" x14ac:dyDescent="0.35">
      <c r="A15" s="10">
        <v>10</v>
      </c>
      <c r="B15" s="6" t="s">
        <v>84</v>
      </c>
      <c r="C15" s="6" t="s">
        <v>700</v>
      </c>
      <c r="D15" s="6" t="s">
        <v>202</v>
      </c>
      <c r="E15" s="10"/>
      <c r="F15" s="10"/>
      <c r="G15" s="10">
        <v>2</v>
      </c>
    </row>
    <row r="16" spans="1:7" x14ac:dyDescent="0.35">
      <c r="A16" s="10">
        <v>11</v>
      </c>
      <c r="B16" s="6" t="s">
        <v>247</v>
      </c>
      <c r="C16" s="6" t="s">
        <v>334</v>
      </c>
      <c r="D16" s="6" t="s">
        <v>290</v>
      </c>
      <c r="E16" s="10"/>
      <c r="F16" s="10"/>
      <c r="G16" s="10">
        <v>4</v>
      </c>
    </row>
    <row r="17" spans="1:7" x14ac:dyDescent="0.35">
      <c r="A17" s="10">
        <v>12</v>
      </c>
      <c r="B17" s="6" t="s">
        <v>192</v>
      </c>
      <c r="C17" s="6" t="s">
        <v>701</v>
      </c>
      <c r="D17" s="6" t="s">
        <v>164</v>
      </c>
      <c r="E17" s="10"/>
      <c r="F17" s="10"/>
      <c r="G17" s="10">
        <v>1</v>
      </c>
    </row>
    <row r="18" spans="1:7" x14ac:dyDescent="0.35">
      <c r="A18" s="10">
        <v>13</v>
      </c>
      <c r="B18" s="6" t="s">
        <v>192</v>
      </c>
      <c r="C18" s="6" t="s">
        <v>702</v>
      </c>
      <c r="D18" s="6" t="s">
        <v>166</v>
      </c>
      <c r="E18" s="10"/>
      <c r="F18" s="10"/>
      <c r="G18" s="10">
        <v>2</v>
      </c>
    </row>
    <row r="19" spans="1:7" x14ac:dyDescent="0.35">
      <c r="A19" s="8"/>
      <c r="B19" s="9" t="s">
        <v>74</v>
      </c>
      <c r="C19" s="9"/>
      <c r="D19" s="9" t="s">
        <v>119</v>
      </c>
      <c r="E19" s="8">
        <v>40</v>
      </c>
      <c r="F19" s="8" t="s">
        <v>703</v>
      </c>
      <c r="G19" s="8">
        <v>34</v>
      </c>
    </row>
    <row r="20" spans="1:7" x14ac:dyDescent="0.35">
      <c r="A20" s="10">
        <v>1</v>
      </c>
      <c r="B20" s="6" t="s">
        <v>278</v>
      </c>
      <c r="C20" s="6" t="s">
        <v>349</v>
      </c>
      <c r="D20" s="6" t="s">
        <v>130</v>
      </c>
      <c r="E20" s="10"/>
      <c r="F20" s="10"/>
      <c r="G20" s="10">
        <v>4</v>
      </c>
    </row>
    <row r="21" spans="1:7" x14ac:dyDescent="0.35">
      <c r="A21" s="10">
        <v>2</v>
      </c>
      <c r="B21" s="6" t="s">
        <v>350</v>
      </c>
      <c r="C21" s="6" t="s">
        <v>351</v>
      </c>
      <c r="D21" s="6" t="s">
        <v>81</v>
      </c>
      <c r="E21" s="10"/>
      <c r="F21" s="10"/>
      <c r="G21" s="10">
        <v>2</v>
      </c>
    </row>
    <row r="22" spans="1:7" x14ac:dyDescent="0.35">
      <c r="A22" s="10">
        <v>3</v>
      </c>
      <c r="B22" s="6" t="s">
        <v>231</v>
      </c>
      <c r="C22" s="6" t="s">
        <v>704</v>
      </c>
      <c r="D22" s="6" t="s">
        <v>354</v>
      </c>
      <c r="E22" s="10"/>
      <c r="F22" s="10"/>
      <c r="G22" s="10">
        <v>3</v>
      </c>
    </row>
    <row r="23" spans="1:7" x14ac:dyDescent="0.35">
      <c r="A23" s="10">
        <v>4</v>
      </c>
      <c r="B23" s="6" t="s">
        <v>209</v>
      </c>
      <c r="C23" s="6" t="s">
        <v>274</v>
      </c>
      <c r="D23" s="6" t="s">
        <v>220</v>
      </c>
      <c r="E23" s="10"/>
      <c r="F23" s="10"/>
      <c r="G23" s="10">
        <v>4</v>
      </c>
    </row>
    <row r="24" spans="1:7" x14ac:dyDescent="0.35">
      <c r="A24" s="10">
        <v>5</v>
      </c>
      <c r="B24" s="6" t="s">
        <v>209</v>
      </c>
      <c r="C24" s="6" t="s">
        <v>353</v>
      </c>
      <c r="D24" s="6" t="s">
        <v>329</v>
      </c>
      <c r="E24" s="10"/>
      <c r="F24" s="10"/>
      <c r="G24" s="10">
        <v>2</v>
      </c>
    </row>
    <row r="25" spans="1:7" x14ac:dyDescent="0.35">
      <c r="A25" s="10">
        <v>6</v>
      </c>
      <c r="B25" s="6" t="s">
        <v>198</v>
      </c>
      <c r="C25" s="6" t="s">
        <v>277</v>
      </c>
      <c r="D25" s="6" t="s">
        <v>179</v>
      </c>
      <c r="E25" s="10"/>
      <c r="F25" s="10"/>
      <c r="G25" s="10">
        <v>3</v>
      </c>
    </row>
    <row r="26" spans="1:7" x14ac:dyDescent="0.35">
      <c r="A26" s="10">
        <v>7</v>
      </c>
      <c r="B26" s="6" t="s">
        <v>357</v>
      </c>
      <c r="C26" s="6"/>
      <c r="D26" s="6" t="s">
        <v>91</v>
      </c>
      <c r="E26" s="10"/>
      <c r="F26" s="10"/>
      <c r="G26" s="10">
        <v>4</v>
      </c>
    </row>
    <row r="27" spans="1:7" x14ac:dyDescent="0.35">
      <c r="A27" s="10">
        <v>8</v>
      </c>
      <c r="B27" s="6" t="s">
        <v>344</v>
      </c>
      <c r="C27" s="6" t="s">
        <v>345</v>
      </c>
      <c r="D27" s="6" t="s">
        <v>141</v>
      </c>
      <c r="E27" s="10"/>
      <c r="F27" s="10"/>
      <c r="G27" s="10">
        <v>1</v>
      </c>
    </row>
    <row r="28" spans="1:7" x14ac:dyDescent="0.35">
      <c r="A28" s="10">
        <v>9</v>
      </c>
      <c r="B28" s="6" t="s">
        <v>209</v>
      </c>
      <c r="C28" s="6" t="s">
        <v>705</v>
      </c>
      <c r="D28" s="6" t="s">
        <v>335</v>
      </c>
      <c r="E28" s="10"/>
      <c r="F28" s="10"/>
      <c r="G28" s="10">
        <v>2</v>
      </c>
    </row>
    <row r="29" spans="1:7" x14ac:dyDescent="0.35">
      <c r="A29" s="10">
        <v>10</v>
      </c>
      <c r="B29" s="6" t="s">
        <v>207</v>
      </c>
      <c r="C29" s="6" t="s">
        <v>313</v>
      </c>
      <c r="D29" s="6" t="s">
        <v>144</v>
      </c>
      <c r="E29" s="10"/>
      <c r="F29" s="10"/>
      <c r="G29" s="10">
        <v>3</v>
      </c>
    </row>
    <row r="30" spans="1:7" x14ac:dyDescent="0.35">
      <c r="A30" s="10">
        <v>11</v>
      </c>
      <c r="B30" s="6" t="s">
        <v>207</v>
      </c>
      <c r="C30" s="6" t="s">
        <v>706</v>
      </c>
      <c r="D30" s="6" t="s">
        <v>226</v>
      </c>
      <c r="E30" s="10"/>
      <c r="F30" s="10"/>
      <c r="G30" s="10">
        <v>3</v>
      </c>
    </row>
    <row r="31" spans="1:7" x14ac:dyDescent="0.35">
      <c r="A31" s="10">
        <v>12</v>
      </c>
      <c r="B31" s="6" t="s">
        <v>207</v>
      </c>
      <c r="C31" s="6" t="s">
        <v>695</v>
      </c>
      <c r="D31" s="6" t="s">
        <v>259</v>
      </c>
      <c r="E31" s="10"/>
      <c r="F31" s="10"/>
      <c r="G31" s="10">
        <v>3</v>
      </c>
    </row>
    <row r="32" spans="1:7" x14ac:dyDescent="0.35">
      <c r="A32" s="8"/>
      <c r="B32" s="9" t="s">
        <v>74</v>
      </c>
      <c r="C32" s="9"/>
      <c r="D32" s="9" t="s">
        <v>189</v>
      </c>
      <c r="E32" s="8">
        <v>38</v>
      </c>
      <c r="F32" s="8" t="s">
        <v>703</v>
      </c>
      <c r="G32" s="8">
        <v>34</v>
      </c>
    </row>
    <row r="33" spans="1:7" x14ac:dyDescent="0.35">
      <c r="A33" s="8"/>
      <c r="B33" s="9" t="s">
        <v>29</v>
      </c>
      <c r="C33" s="9"/>
      <c r="D33" s="9" t="s">
        <v>297</v>
      </c>
      <c r="E33" s="8"/>
      <c r="F33" s="8"/>
      <c r="G33" s="8"/>
    </row>
    <row r="34" spans="1:7" x14ac:dyDescent="0.35">
      <c r="A34" s="11"/>
      <c r="B34" s="12" t="s">
        <v>95</v>
      </c>
      <c r="C34" s="12"/>
      <c r="D34" s="12"/>
      <c r="E34" s="11">
        <v>78</v>
      </c>
      <c r="F34" s="11">
        <v>51</v>
      </c>
      <c r="G34" s="11">
        <v>68</v>
      </c>
    </row>
    <row r="36" spans="1:7" x14ac:dyDescent="0.35">
      <c r="A36" s="74" t="s">
        <v>96</v>
      </c>
      <c r="B36" s="75"/>
      <c r="C36" s="75"/>
      <c r="D36" s="75"/>
      <c r="E36" s="75"/>
      <c r="F36" s="75"/>
      <c r="G36" s="76"/>
    </row>
    <row r="37" spans="1:7" x14ac:dyDescent="0.35">
      <c r="A37" s="7" t="s">
        <v>2</v>
      </c>
      <c r="B37" s="7" t="s">
        <v>24</v>
      </c>
      <c r="C37" s="7" t="s">
        <v>25</v>
      </c>
      <c r="D37" s="7" t="s">
        <v>26</v>
      </c>
      <c r="E37" s="7" t="s">
        <v>27</v>
      </c>
      <c r="F37" s="7" t="s">
        <v>28</v>
      </c>
      <c r="G37" s="7" t="s">
        <v>260</v>
      </c>
    </row>
    <row r="38" spans="1:7" x14ac:dyDescent="0.35">
      <c r="A38" s="8"/>
      <c r="B38" s="9" t="s">
        <v>29</v>
      </c>
      <c r="C38" s="9"/>
      <c r="D38" s="9" t="s">
        <v>32</v>
      </c>
      <c r="E38" s="8"/>
      <c r="F38" s="8"/>
      <c r="G38" s="8"/>
    </row>
    <row r="39" spans="1:7" x14ac:dyDescent="0.35">
      <c r="A39" s="10">
        <v>1</v>
      </c>
      <c r="B39" s="6" t="s">
        <v>192</v>
      </c>
      <c r="C39" s="6" t="s">
        <v>707</v>
      </c>
      <c r="D39" s="6" t="s">
        <v>36</v>
      </c>
      <c r="E39" s="10"/>
      <c r="F39" s="10"/>
      <c r="G39" s="10">
        <v>2</v>
      </c>
    </row>
    <row r="40" spans="1:7" x14ac:dyDescent="0.35">
      <c r="A40" s="10">
        <v>2</v>
      </c>
      <c r="B40" s="6" t="s">
        <v>694</v>
      </c>
      <c r="C40" s="6" t="s">
        <v>340</v>
      </c>
      <c r="D40" s="6" t="s">
        <v>154</v>
      </c>
      <c r="E40" s="10"/>
      <c r="F40" s="10"/>
      <c r="G40" s="10">
        <v>5</v>
      </c>
    </row>
    <row r="41" spans="1:7" x14ac:dyDescent="0.35">
      <c r="A41" s="10">
        <v>3</v>
      </c>
      <c r="B41" s="6" t="s">
        <v>207</v>
      </c>
      <c r="C41" s="6" t="s">
        <v>355</v>
      </c>
      <c r="D41" s="6" t="s">
        <v>43</v>
      </c>
      <c r="E41" s="10"/>
      <c r="F41" s="10"/>
      <c r="G41" s="10">
        <v>2</v>
      </c>
    </row>
    <row r="42" spans="1:7" x14ac:dyDescent="0.35">
      <c r="A42" s="10">
        <v>4</v>
      </c>
      <c r="B42" s="6" t="s">
        <v>207</v>
      </c>
      <c r="C42" s="6" t="s">
        <v>695</v>
      </c>
      <c r="D42" s="6" t="s">
        <v>45</v>
      </c>
      <c r="E42" s="10"/>
      <c r="F42" s="10"/>
      <c r="G42" s="10">
        <v>3</v>
      </c>
    </row>
    <row r="43" spans="1:7" x14ac:dyDescent="0.35">
      <c r="A43" s="10">
        <v>5</v>
      </c>
      <c r="B43" s="6" t="s">
        <v>207</v>
      </c>
      <c r="C43" s="6" t="s">
        <v>313</v>
      </c>
      <c r="D43" s="6" t="s">
        <v>196</v>
      </c>
      <c r="E43" s="10"/>
      <c r="F43" s="10"/>
      <c r="G43" s="10">
        <v>3</v>
      </c>
    </row>
    <row r="44" spans="1:7" x14ac:dyDescent="0.35">
      <c r="A44" s="10">
        <v>6</v>
      </c>
      <c r="B44" s="6" t="s">
        <v>209</v>
      </c>
      <c r="C44" s="6" t="s">
        <v>699</v>
      </c>
      <c r="D44" s="6" t="s">
        <v>49</v>
      </c>
      <c r="E44" s="10"/>
      <c r="F44" s="10"/>
      <c r="G44" s="10">
        <v>3</v>
      </c>
    </row>
    <row r="45" spans="1:7" x14ac:dyDescent="0.35">
      <c r="A45" s="10">
        <v>7</v>
      </c>
      <c r="B45" s="6" t="s">
        <v>209</v>
      </c>
      <c r="C45" s="6" t="s">
        <v>598</v>
      </c>
      <c r="D45" s="6" t="s">
        <v>346</v>
      </c>
      <c r="E45" s="10"/>
      <c r="F45" s="10"/>
      <c r="G45" s="10">
        <v>3</v>
      </c>
    </row>
    <row r="46" spans="1:7" x14ac:dyDescent="0.35">
      <c r="A46" s="10">
        <v>8</v>
      </c>
      <c r="B46" s="6" t="s">
        <v>400</v>
      </c>
      <c r="C46" s="6" t="s">
        <v>698</v>
      </c>
      <c r="D46" s="6" t="s">
        <v>408</v>
      </c>
      <c r="E46" s="10"/>
      <c r="F46" s="10"/>
      <c r="G46" s="10">
        <v>1</v>
      </c>
    </row>
    <row r="47" spans="1:7" x14ac:dyDescent="0.35">
      <c r="A47" s="10">
        <v>9</v>
      </c>
      <c r="B47" s="6" t="s">
        <v>187</v>
      </c>
      <c r="C47" s="6" t="s">
        <v>697</v>
      </c>
      <c r="D47" s="6" t="s">
        <v>111</v>
      </c>
      <c r="E47" s="10"/>
      <c r="F47" s="10"/>
      <c r="G47" s="10">
        <v>4</v>
      </c>
    </row>
    <row r="48" spans="1:7" x14ac:dyDescent="0.35">
      <c r="A48" s="10">
        <v>10</v>
      </c>
      <c r="B48" s="6" t="s">
        <v>347</v>
      </c>
      <c r="C48" s="6" t="s">
        <v>348</v>
      </c>
      <c r="D48" s="6" t="s">
        <v>202</v>
      </c>
      <c r="E48" s="10"/>
      <c r="F48" s="10"/>
      <c r="G48" s="10">
        <v>4</v>
      </c>
    </row>
    <row r="49" spans="1:7" x14ac:dyDescent="0.35">
      <c r="A49" s="10">
        <v>11</v>
      </c>
      <c r="B49" s="6" t="s">
        <v>247</v>
      </c>
      <c r="C49" s="6" t="s">
        <v>334</v>
      </c>
      <c r="D49" s="6" t="s">
        <v>290</v>
      </c>
      <c r="E49" s="10"/>
      <c r="F49" s="10"/>
      <c r="G49" s="10">
        <v>4</v>
      </c>
    </row>
    <row r="50" spans="1:7" x14ac:dyDescent="0.35">
      <c r="A50" s="8"/>
      <c r="B50" s="9" t="s">
        <v>74</v>
      </c>
      <c r="C50" s="9"/>
      <c r="D50" s="9" t="s">
        <v>164</v>
      </c>
      <c r="E50" s="8">
        <v>38</v>
      </c>
      <c r="F50" s="8" t="s">
        <v>703</v>
      </c>
      <c r="G50" s="8">
        <v>34</v>
      </c>
    </row>
    <row r="51" spans="1:7" x14ac:dyDescent="0.35">
      <c r="A51" s="10">
        <v>1</v>
      </c>
      <c r="B51" s="6" t="s">
        <v>278</v>
      </c>
      <c r="C51" s="6" t="s">
        <v>349</v>
      </c>
      <c r="D51" s="6" t="s">
        <v>212</v>
      </c>
      <c r="E51" s="10"/>
      <c r="F51" s="10"/>
      <c r="G51" s="10">
        <v>4</v>
      </c>
    </row>
    <row r="52" spans="1:7" x14ac:dyDescent="0.35">
      <c r="A52" s="10">
        <v>2</v>
      </c>
      <c r="B52" s="6" t="s">
        <v>350</v>
      </c>
      <c r="C52" s="6" t="s">
        <v>351</v>
      </c>
      <c r="D52" s="6" t="s">
        <v>130</v>
      </c>
      <c r="E52" s="10"/>
      <c r="F52" s="10"/>
      <c r="G52" s="10">
        <v>2</v>
      </c>
    </row>
    <row r="53" spans="1:7" x14ac:dyDescent="0.35">
      <c r="A53" s="10">
        <v>3</v>
      </c>
      <c r="B53" s="6" t="s">
        <v>231</v>
      </c>
      <c r="C53" s="6" t="s">
        <v>704</v>
      </c>
      <c r="D53" s="6" t="s">
        <v>81</v>
      </c>
      <c r="E53" s="10"/>
      <c r="F53" s="10"/>
      <c r="G53" s="10">
        <v>3</v>
      </c>
    </row>
    <row r="54" spans="1:7" x14ac:dyDescent="0.35">
      <c r="A54" s="10">
        <v>4</v>
      </c>
      <c r="B54" s="6" t="s">
        <v>209</v>
      </c>
      <c r="C54" s="6" t="s">
        <v>274</v>
      </c>
      <c r="D54" s="6" t="s">
        <v>354</v>
      </c>
      <c r="E54" s="10"/>
      <c r="F54" s="10"/>
      <c r="G54" s="10">
        <v>4</v>
      </c>
    </row>
    <row r="55" spans="1:7" x14ac:dyDescent="0.35">
      <c r="A55" s="10">
        <v>5</v>
      </c>
      <c r="B55" s="6" t="s">
        <v>209</v>
      </c>
      <c r="C55" s="6" t="s">
        <v>353</v>
      </c>
      <c r="D55" s="6" t="s">
        <v>220</v>
      </c>
      <c r="E55" s="10"/>
      <c r="F55" s="10"/>
      <c r="G55" s="10">
        <v>2</v>
      </c>
    </row>
    <row r="56" spans="1:7" x14ac:dyDescent="0.35">
      <c r="A56" s="10">
        <v>6</v>
      </c>
      <c r="B56" s="6" t="s">
        <v>198</v>
      </c>
      <c r="C56" s="6" t="s">
        <v>277</v>
      </c>
      <c r="D56" s="6" t="s">
        <v>329</v>
      </c>
      <c r="E56" s="10"/>
      <c r="F56" s="10"/>
      <c r="G56" s="10">
        <v>3</v>
      </c>
    </row>
    <row r="57" spans="1:7" x14ac:dyDescent="0.35">
      <c r="A57" s="10">
        <v>7</v>
      </c>
      <c r="B57" s="6" t="s">
        <v>198</v>
      </c>
      <c r="C57" s="6" t="s">
        <v>708</v>
      </c>
      <c r="D57" s="6" t="s">
        <v>179</v>
      </c>
      <c r="E57" s="10"/>
      <c r="F57" s="10"/>
      <c r="G57" s="10">
        <v>1</v>
      </c>
    </row>
    <row r="58" spans="1:7" x14ac:dyDescent="0.35">
      <c r="A58" s="10">
        <v>8</v>
      </c>
      <c r="B58" s="6" t="s">
        <v>709</v>
      </c>
      <c r="C58" s="6" t="s">
        <v>710</v>
      </c>
      <c r="D58" s="6" t="s">
        <v>91</v>
      </c>
      <c r="E58" s="10"/>
      <c r="F58" s="10"/>
      <c r="G58" s="10">
        <v>2</v>
      </c>
    </row>
    <row r="59" spans="1:7" x14ac:dyDescent="0.35">
      <c r="A59" s="10">
        <v>9</v>
      </c>
      <c r="B59" s="6" t="s">
        <v>357</v>
      </c>
      <c r="C59" s="6"/>
      <c r="D59" s="6" t="s">
        <v>141</v>
      </c>
      <c r="E59" s="10"/>
      <c r="F59" s="10"/>
      <c r="G59" s="10">
        <v>4</v>
      </c>
    </row>
    <row r="60" spans="1:7" x14ac:dyDescent="0.35">
      <c r="A60" s="10">
        <v>10</v>
      </c>
      <c r="B60" s="6" t="s">
        <v>207</v>
      </c>
      <c r="C60" s="6" t="s">
        <v>695</v>
      </c>
      <c r="D60" s="6" t="s">
        <v>335</v>
      </c>
      <c r="E60" s="10"/>
      <c r="F60" s="10"/>
      <c r="G60" s="10">
        <v>3</v>
      </c>
    </row>
    <row r="61" spans="1:7" x14ac:dyDescent="0.35">
      <c r="A61" s="10">
        <v>11</v>
      </c>
      <c r="B61" s="6" t="s">
        <v>207</v>
      </c>
      <c r="C61" s="6" t="s">
        <v>313</v>
      </c>
      <c r="D61" s="6" t="s">
        <v>144</v>
      </c>
      <c r="E61" s="10"/>
      <c r="F61" s="10"/>
      <c r="G61" s="10">
        <v>3</v>
      </c>
    </row>
    <row r="62" spans="1:7" x14ac:dyDescent="0.35">
      <c r="A62" s="10">
        <v>12</v>
      </c>
      <c r="B62" s="6" t="s">
        <v>344</v>
      </c>
      <c r="C62" s="6" t="s">
        <v>345</v>
      </c>
      <c r="D62" s="6" t="s">
        <v>226</v>
      </c>
      <c r="E62" s="10"/>
      <c r="F62" s="10"/>
      <c r="G62" s="10">
        <v>1</v>
      </c>
    </row>
    <row r="63" spans="1:7" x14ac:dyDescent="0.35">
      <c r="A63" s="10">
        <v>13</v>
      </c>
      <c r="B63" s="6" t="s">
        <v>209</v>
      </c>
      <c r="C63" s="6" t="s">
        <v>705</v>
      </c>
      <c r="D63" s="6" t="s">
        <v>259</v>
      </c>
      <c r="E63" s="10"/>
      <c r="F63" s="10"/>
      <c r="G63" s="10">
        <v>2</v>
      </c>
    </row>
    <row r="64" spans="1:7" x14ac:dyDescent="0.35">
      <c r="A64" s="8"/>
      <c r="B64" s="9" t="s">
        <v>74</v>
      </c>
      <c r="C64" s="9"/>
      <c r="D64" s="9" t="s">
        <v>189</v>
      </c>
      <c r="E64" s="8">
        <v>40</v>
      </c>
      <c r="F64" s="8" t="s">
        <v>703</v>
      </c>
      <c r="G64" s="8">
        <v>34</v>
      </c>
    </row>
    <row r="65" spans="1:7" x14ac:dyDescent="0.35">
      <c r="A65" s="8"/>
      <c r="B65" s="9" t="s">
        <v>29</v>
      </c>
      <c r="C65" s="9"/>
      <c r="D65" s="9" t="s">
        <v>297</v>
      </c>
      <c r="E65" s="8"/>
      <c r="F65" s="8"/>
      <c r="G65" s="8"/>
    </row>
    <row r="66" spans="1:7" x14ac:dyDescent="0.35">
      <c r="A66" s="11"/>
      <c r="B66" s="12" t="s">
        <v>95</v>
      </c>
      <c r="C66" s="12"/>
      <c r="D66" s="12"/>
      <c r="E66" s="11">
        <v>78</v>
      </c>
      <c r="F66" s="11">
        <v>51</v>
      </c>
      <c r="G66" s="11">
        <v>68</v>
      </c>
    </row>
    <row r="68" spans="1:7" x14ac:dyDescent="0.35">
      <c r="A68" s="74" t="s">
        <v>190</v>
      </c>
      <c r="B68" s="75"/>
      <c r="C68" s="75"/>
      <c r="D68" s="75"/>
      <c r="E68" s="75"/>
      <c r="F68" s="75"/>
      <c r="G68" s="76"/>
    </row>
    <row r="69" spans="1:7" x14ac:dyDescent="0.35">
      <c r="A69" s="7" t="s">
        <v>2</v>
      </c>
      <c r="B69" s="7" t="s">
        <v>24</v>
      </c>
      <c r="C69" s="7" t="s">
        <v>25</v>
      </c>
      <c r="D69" s="7" t="s">
        <v>26</v>
      </c>
      <c r="E69" s="7" t="s">
        <v>27</v>
      </c>
      <c r="F69" s="7" t="s">
        <v>28</v>
      </c>
      <c r="G69" s="7" t="s">
        <v>260</v>
      </c>
    </row>
    <row r="70" spans="1:7" x14ac:dyDescent="0.35">
      <c r="A70" s="8"/>
      <c r="B70" s="9" t="s">
        <v>29</v>
      </c>
      <c r="C70" s="9"/>
      <c r="D70" s="9" t="s">
        <v>32</v>
      </c>
      <c r="E70" s="8"/>
      <c r="F70" s="8"/>
      <c r="G70" s="8"/>
    </row>
    <row r="71" spans="1:7" x14ac:dyDescent="0.35">
      <c r="A71" s="10">
        <v>1</v>
      </c>
      <c r="B71" s="6" t="s">
        <v>694</v>
      </c>
      <c r="C71" s="6" t="s">
        <v>340</v>
      </c>
      <c r="D71" s="6" t="s">
        <v>36</v>
      </c>
      <c r="E71" s="10"/>
      <c r="F71" s="10"/>
      <c r="G71" s="10">
        <v>4</v>
      </c>
    </row>
    <row r="72" spans="1:7" x14ac:dyDescent="0.35">
      <c r="A72" s="10">
        <v>2</v>
      </c>
      <c r="B72" s="6" t="s">
        <v>207</v>
      </c>
      <c r="C72" s="6" t="s">
        <v>355</v>
      </c>
      <c r="D72" s="6" t="s">
        <v>154</v>
      </c>
      <c r="E72" s="10"/>
      <c r="F72" s="10"/>
      <c r="G72" s="10">
        <v>2</v>
      </c>
    </row>
    <row r="73" spans="1:7" x14ac:dyDescent="0.35">
      <c r="A73" s="10">
        <v>3</v>
      </c>
      <c r="B73" s="6" t="s">
        <v>207</v>
      </c>
      <c r="C73" s="6" t="s">
        <v>711</v>
      </c>
      <c r="D73" s="6" t="s">
        <v>43</v>
      </c>
      <c r="E73" s="10"/>
      <c r="F73" s="10"/>
      <c r="G73" s="10">
        <v>3</v>
      </c>
    </row>
    <row r="74" spans="1:7" x14ac:dyDescent="0.35">
      <c r="A74" s="10">
        <v>4</v>
      </c>
      <c r="B74" s="6" t="s">
        <v>207</v>
      </c>
      <c r="C74" s="6" t="s">
        <v>313</v>
      </c>
      <c r="D74" s="6" t="s">
        <v>45</v>
      </c>
      <c r="E74" s="10"/>
      <c r="F74" s="10"/>
      <c r="G74" s="10">
        <v>3</v>
      </c>
    </row>
    <row r="75" spans="1:7" x14ac:dyDescent="0.35">
      <c r="A75" s="10">
        <v>5</v>
      </c>
      <c r="B75" s="6" t="s">
        <v>347</v>
      </c>
      <c r="C75" s="6" t="s">
        <v>348</v>
      </c>
      <c r="D75" s="6" t="s">
        <v>196</v>
      </c>
      <c r="E75" s="10"/>
      <c r="F75" s="10"/>
      <c r="G75" s="10">
        <v>4</v>
      </c>
    </row>
    <row r="76" spans="1:7" x14ac:dyDescent="0.35">
      <c r="A76" s="10">
        <v>6</v>
      </c>
      <c r="B76" s="6" t="s">
        <v>187</v>
      </c>
      <c r="C76" s="6" t="s">
        <v>697</v>
      </c>
      <c r="D76" s="6" t="s">
        <v>49</v>
      </c>
      <c r="E76" s="10"/>
      <c r="F76" s="10"/>
      <c r="G76" s="10">
        <v>4</v>
      </c>
    </row>
    <row r="77" spans="1:7" x14ac:dyDescent="0.35">
      <c r="A77" s="10">
        <v>7</v>
      </c>
      <c r="B77" s="6" t="s">
        <v>400</v>
      </c>
      <c r="C77" s="6" t="s">
        <v>698</v>
      </c>
      <c r="D77" s="6" t="s">
        <v>346</v>
      </c>
      <c r="E77" s="10"/>
      <c r="F77" s="10"/>
      <c r="G77" s="10">
        <v>1</v>
      </c>
    </row>
    <row r="78" spans="1:7" x14ac:dyDescent="0.35">
      <c r="A78" s="10">
        <v>8</v>
      </c>
      <c r="B78" s="6" t="s">
        <v>209</v>
      </c>
      <c r="C78" s="6" t="s">
        <v>699</v>
      </c>
      <c r="D78" s="6" t="s">
        <v>408</v>
      </c>
      <c r="E78" s="10"/>
      <c r="F78" s="10"/>
      <c r="G78" s="10">
        <v>3</v>
      </c>
    </row>
    <row r="79" spans="1:7" x14ac:dyDescent="0.35">
      <c r="A79" s="10">
        <v>9</v>
      </c>
      <c r="B79" s="6" t="s">
        <v>192</v>
      </c>
      <c r="C79" s="6" t="s">
        <v>707</v>
      </c>
      <c r="D79" s="6" t="s">
        <v>111</v>
      </c>
      <c r="E79" s="10"/>
      <c r="F79" s="10"/>
      <c r="G79" s="10">
        <v>2</v>
      </c>
    </row>
    <row r="80" spans="1:7" x14ac:dyDescent="0.35">
      <c r="A80" s="10">
        <v>10</v>
      </c>
      <c r="B80" s="6" t="s">
        <v>110</v>
      </c>
      <c r="C80" s="6" t="s">
        <v>712</v>
      </c>
      <c r="D80" s="6" t="s">
        <v>202</v>
      </c>
      <c r="E80" s="10"/>
      <c r="F80" s="10"/>
      <c r="G80" s="10">
        <v>3</v>
      </c>
    </row>
    <row r="81" spans="1:7" x14ac:dyDescent="0.35">
      <c r="A81" s="10">
        <v>11</v>
      </c>
      <c r="B81" s="6" t="s">
        <v>247</v>
      </c>
      <c r="C81" s="6" t="s">
        <v>334</v>
      </c>
      <c r="D81" s="6" t="s">
        <v>290</v>
      </c>
      <c r="E81" s="10"/>
      <c r="F81" s="10"/>
      <c r="G81" s="10">
        <v>4</v>
      </c>
    </row>
    <row r="82" spans="1:7" x14ac:dyDescent="0.35">
      <c r="A82" s="10">
        <v>12</v>
      </c>
      <c r="B82" s="6" t="s">
        <v>387</v>
      </c>
      <c r="C82" s="6" t="s">
        <v>713</v>
      </c>
      <c r="D82" s="6" t="s">
        <v>118</v>
      </c>
      <c r="E82" s="10"/>
      <c r="F82" s="10"/>
      <c r="G82" s="10">
        <v>1</v>
      </c>
    </row>
    <row r="83" spans="1:7" x14ac:dyDescent="0.35">
      <c r="A83" s="8"/>
      <c r="B83" s="9" t="s">
        <v>74</v>
      </c>
      <c r="C83" s="9"/>
      <c r="D83" s="9" t="s">
        <v>166</v>
      </c>
      <c r="E83" s="8">
        <v>38</v>
      </c>
      <c r="F83" s="8" t="s">
        <v>703</v>
      </c>
      <c r="G83" s="8">
        <v>34</v>
      </c>
    </row>
    <row r="84" spans="1:7" x14ac:dyDescent="0.35">
      <c r="A84" s="10">
        <v>1</v>
      </c>
      <c r="B84" s="6" t="s">
        <v>278</v>
      </c>
      <c r="C84" s="6" t="s">
        <v>349</v>
      </c>
      <c r="D84" s="6" t="s">
        <v>215</v>
      </c>
      <c r="E84" s="10"/>
      <c r="F84" s="10"/>
      <c r="G84" s="10">
        <v>4</v>
      </c>
    </row>
    <row r="85" spans="1:7" x14ac:dyDescent="0.35">
      <c r="A85" s="10">
        <v>2</v>
      </c>
      <c r="B85" s="6" t="s">
        <v>350</v>
      </c>
      <c r="C85" s="6" t="s">
        <v>351</v>
      </c>
      <c r="D85" s="6" t="s">
        <v>130</v>
      </c>
      <c r="E85" s="10"/>
      <c r="F85" s="10"/>
      <c r="G85" s="10">
        <v>2</v>
      </c>
    </row>
    <row r="86" spans="1:7" x14ac:dyDescent="0.35">
      <c r="A86" s="10">
        <v>3</v>
      </c>
      <c r="B86" s="6" t="s">
        <v>231</v>
      </c>
      <c r="C86" s="6" t="s">
        <v>704</v>
      </c>
      <c r="D86" s="6" t="s">
        <v>81</v>
      </c>
      <c r="E86" s="10"/>
      <c r="F86" s="10"/>
      <c r="G86" s="10">
        <v>3</v>
      </c>
    </row>
    <row r="87" spans="1:7" x14ac:dyDescent="0.35">
      <c r="A87" s="10">
        <v>4</v>
      </c>
      <c r="B87" s="6" t="s">
        <v>209</v>
      </c>
      <c r="C87" s="6" t="s">
        <v>274</v>
      </c>
      <c r="D87" s="6" t="s">
        <v>354</v>
      </c>
      <c r="E87" s="10"/>
      <c r="F87" s="10"/>
      <c r="G87" s="10">
        <v>4</v>
      </c>
    </row>
    <row r="88" spans="1:7" x14ac:dyDescent="0.35">
      <c r="A88" s="10">
        <v>5</v>
      </c>
      <c r="B88" s="6" t="s">
        <v>209</v>
      </c>
      <c r="C88" s="6" t="s">
        <v>353</v>
      </c>
      <c r="D88" s="6" t="s">
        <v>220</v>
      </c>
      <c r="E88" s="10"/>
      <c r="F88" s="10"/>
      <c r="G88" s="10">
        <v>2</v>
      </c>
    </row>
    <row r="89" spans="1:7" x14ac:dyDescent="0.35">
      <c r="A89" s="10">
        <v>6</v>
      </c>
      <c r="B89" s="6" t="s">
        <v>198</v>
      </c>
      <c r="C89" s="6" t="s">
        <v>277</v>
      </c>
      <c r="D89" s="6" t="s">
        <v>329</v>
      </c>
      <c r="E89" s="10"/>
      <c r="F89" s="10"/>
      <c r="G89" s="10">
        <v>3</v>
      </c>
    </row>
    <row r="90" spans="1:7" x14ac:dyDescent="0.35">
      <c r="A90" s="10">
        <v>7</v>
      </c>
      <c r="B90" s="6" t="s">
        <v>198</v>
      </c>
      <c r="C90" s="6" t="s">
        <v>708</v>
      </c>
      <c r="D90" s="6" t="s">
        <v>179</v>
      </c>
      <c r="E90" s="10"/>
      <c r="F90" s="10"/>
      <c r="G90" s="10">
        <v>1</v>
      </c>
    </row>
    <row r="91" spans="1:7" x14ac:dyDescent="0.35">
      <c r="A91" s="10">
        <v>8</v>
      </c>
      <c r="B91" s="6" t="s">
        <v>709</v>
      </c>
      <c r="C91" s="6" t="s">
        <v>710</v>
      </c>
      <c r="D91" s="6" t="s">
        <v>139</v>
      </c>
      <c r="E91" s="10"/>
      <c r="F91" s="10"/>
      <c r="G91" s="10">
        <v>1</v>
      </c>
    </row>
    <row r="92" spans="1:7" x14ac:dyDescent="0.35">
      <c r="A92" s="10">
        <v>9</v>
      </c>
      <c r="B92" s="6" t="s">
        <v>357</v>
      </c>
      <c r="C92" s="6"/>
      <c r="D92" s="6" t="s">
        <v>91</v>
      </c>
      <c r="E92" s="10"/>
      <c r="F92" s="10"/>
      <c r="G92" s="10">
        <v>4</v>
      </c>
    </row>
    <row r="93" spans="1:7" x14ac:dyDescent="0.35">
      <c r="A93" s="10">
        <v>10</v>
      </c>
      <c r="B93" s="6" t="s">
        <v>344</v>
      </c>
      <c r="C93" s="6" t="s">
        <v>345</v>
      </c>
      <c r="D93" s="6" t="s">
        <v>141</v>
      </c>
      <c r="E93" s="10"/>
      <c r="F93" s="10"/>
      <c r="G93" s="10">
        <v>1</v>
      </c>
    </row>
    <row r="94" spans="1:7" x14ac:dyDescent="0.35">
      <c r="A94" s="10">
        <v>11</v>
      </c>
      <c r="B94" s="6" t="s">
        <v>209</v>
      </c>
      <c r="C94" s="6" t="s">
        <v>705</v>
      </c>
      <c r="D94" s="6" t="s">
        <v>335</v>
      </c>
      <c r="E94" s="10"/>
      <c r="F94" s="10"/>
      <c r="G94" s="10">
        <v>2</v>
      </c>
    </row>
    <row r="95" spans="1:7" x14ac:dyDescent="0.35">
      <c r="A95" s="10">
        <v>12</v>
      </c>
      <c r="B95" s="6" t="s">
        <v>207</v>
      </c>
      <c r="C95" s="6" t="s">
        <v>313</v>
      </c>
      <c r="D95" s="6" t="s">
        <v>144</v>
      </c>
      <c r="E95" s="10"/>
      <c r="F95" s="10"/>
      <c r="G95" s="10">
        <v>2</v>
      </c>
    </row>
    <row r="96" spans="1:7" x14ac:dyDescent="0.35">
      <c r="A96" s="10">
        <v>13</v>
      </c>
      <c r="B96" s="6" t="s">
        <v>207</v>
      </c>
      <c r="C96" s="6" t="s">
        <v>711</v>
      </c>
      <c r="D96" s="6" t="s">
        <v>226</v>
      </c>
      <c r="E96" s="10"/>
      <c r="F96" s="10"/>
      <c r="G96" s="10">
        <v>3</v>
      </c>
    </row>
    <row r="97" spans="1:7" x14ac:dyDescent="0.35">
      <c r="A97" s="10">
        <v>14</v>
      </c>
      <c r="B97" s="6" t="s">
        <v>548</v>
      </c>
      <c r="C97" s="6" t="s">
        <v>714</v>
      </c>
      <c r="D97" s="6" t="s">
        <v>259</v>
      </c>
      <c r="E97" s="10"/>
      <c r="F97" s="10"/>
      <c r="G97" s="10">
        <v>2</v>
      </c>
    </row>
    <row r="98" spans="1:7" x14ac:dyDescent="0.35">
      <c r="A98" s="8"/>
      <c r="B98" s="9" t="s">
        <v>74</v>
      </c>
      <c r="C98" s="9"/>
      <c r="D98" s="9" t="s">
        <v>189</v>
      </c>
      <c r="E98" s="8">
        <v>40</v>
      </c>
      <c r="F98" s="8" t="s">
        <v>703</v>
      </c>
      <c r="G98" s="8">
        <v>34</v>
      </c>
    </row>
    <row r="99" spans="1:7" x14ac:dyDescent="0.35">
      <c r="A99" s="8"/>
      <c r="B99" s="9" t="s">
        <v>29</v>
      </c>
      <c r="C99" s="9"/>
      <c r="D99" s="9" t="s">
        <v>297</v>
      </c>
      <c r="E99" s="8"/>
      <c r="F99" s="8"/>
      <c r="G99" s="8"/>
    </row>
    <row r="100" spans="1:7" x14ac:dyDescent="0.35">
      <c r="A100" s="11"/>
      <c r="B100" s="12" t="s">
        <v>95</v>
      </c>
      <c r="C100" s="12"/>
      <c r="D100" s="12"/>
      <c r="E100" s="11">
        <v>78</v>
      </c>
      <c r="F100" s="11">
        <v>51</v>
      </c>
      <c r="G100" s="11">
        <v>68</v>
      </c>
    </row>
    <row r="102" spans="1:7" x14ac:dyDescent="0.35">
      <c r="A102" s="74" t="s">
        <v>227</v>
      </c>
      <c r="B102" s="75"/>
      <c r="C102" s="75"/>
      <c r="D102" s="75"/>
      <c r="E102" s="75"/>
      <c r="F102" s="75"/>
      <c r="G102" s="76"/>
    </row>
    <row r="103" spans="1:7" x14ac:dyDescent="0.35">
      <c r="A103" s="7" t="s">
        <v>2</v>
      </c>
      <c r="B103" s="7" t="s">
        <v>24</v>
      </c>
      <c r="C103" s="7" t="s">
        <v>25</v>
      </c>
      <c r="D103" s="7" t="s">
        <v>26</v>
      </c>
      <c r="E103" s="7" t="s">
        <v>27</v>
      </c>
      <c r="F103" s="7" t="s">
        <v>28</v>
      </c>
      <c r="G103" s="7" t="s">
        <v>260</v>
      </c>
    </row>
    <row r="104" spans="1:7" x14ac:dyDescent="0.35">
      <c r="A104" s="8"/>
      <c r="B104" s="9" t="s">
        <v>29</v>
      </c>
      <c r="C104" s="9"/>
      <c r="D104" s="9" t="s">
        <v>32</v>
      </c>
      <c r="E104" s="8"/>
      <c r="F104" s="8"/>
      <c r="G104" s="8"/>
    </row>
    <row r="105" spans="1:7" x14ac:dyDescent="0.35">
      <c r="A105" s="10">
        <v>1</v>
      </c>
      <c r="B105" s="6" t="s">
        <v>694</v>
      </c>
      <c r="C105" s="6" t="s">
        <v>340</v>
      </c>
      <c r="D105" s="6" t="s">
        <v>36</v>
      </c>
      <c r="E105" s="10"/>
      <c r="F105" s="10"/>
      <c r="G105" s="10">
        <v>4</v>
      </c>
    </row>
    <row r="106" spans="1:7" x14ac:dyDescent="0.35">
      <c r="A106" s="10">
        <v>2</v>
      </c>
      <c r="B106" s="6" t="s">
        <v>207</v>
      </c>
      <c r="C106" s="6" t="s">
        <v>355</v>
      </c>
      <c r="D106" s="6" t="s">
        <v>154</v>
      </c>
      <c r="E106" s="10"/>
      <c r="F106" s="10"/>
      <c r="G106" s="10">
        <v>2</v>
      </c>
    </row>
    <row r="107" spans="1:7" x14ac:dyDescent="0.35">
      <c r="A107" s="10">
        <v>3</v>
      </c>
      <c r="B107" s="6" t="s">
        <v>207</v>
      </c>
      <c r="C107" s="6" t="s">
        <v>711</v>
      </c>
      <c r="D107" s="6" t="s">
        <v>43</v>
      </c>
      <c r="E107" s="10"/>
      <c r="F107" s="10"/>
      <c r="G107" s="10">
        <v>3</v>
      </c>
    </row>
    <row r="108" spans="1:7" x14ac:dyDescent="0.35">
      <c r="A108" s="10">
        <v>4</v>
      </c>
      <c r="B108" s="6" t="s">
        <v>207</v>
      </c>
      <c r="C108" s="6" t="s">
        <v>313</v>
      </c>
      <c r="D108" s="6" t="s">
        <v>45</v>
      </c>
      <c r="E108" s="10"/>
      <c r="F108" s="10"/>
      <c r="G108" s="10">
        <v>3</v>
      </c>
    </row>
    <row r="109" spans="1:7" x14ac:dyDescent="0.35">
      <c r="A109" s="10">
        <v>5</v>
      </c>
      <c r="B109" s="6" t="s">
        <v>209</v>
      </c>
      <c r="C109" s="6" t="s">
        <v>696</v>
      </c>
      <c r="D109" s="6" t="s">
        <v>196</v>
      </c>
      <c r="E109" s="10"/>
      <c r="F109" s="10"/>
      <c r="G109" s="10">
        <v>1</v>
      </c>
    </row>
    <row r="110" spans="1:7" x14ac:dyDescent="0.35">
      <c r="A110" s="10">
        <v>6</v>
      </c>
      <c r="B110" s="6" t="s">
        <v>347</v>
      </c>
      <c r="C110" s="6" t="s">
        <v>348</v>
      </c>
      <c r="D110" s="6" t="s">
        <v>49</v>
      </c>
      <c r="E110" s="10"/>
      <c r="F110" s="10"/>
      <c r="G110" s="10">
        <v>4</v>
      </c>
    </row>
    <row r="111" spans="1:7" x14ac:dyDescent="0.35">
      <c r="A111" s="10">
        <v>7</v>
      </c>
      <c r="B111" s="6" t="s">
        <v>187</v>
      </c>
      <c r="C111" s="6" t="s">
        <v>697</v>
      </c>
      <c r="D111" s="6" t="s">
        <v>346</v>
      </c>
      <c r="E111" s="10"/>
      <c r="F111" s="10"/>
      <c r="G111" s="10">
        <v>4</v>
      </c>
    </row>
    <row r="112" spans="1:7" x14ac:dyDescent="0.35">
      <c r="A112" s="10">
        <v>8</v>
      </c>
      <c r="B112" s="6" t="s">
        <v>400</v>
      </c>
      <c r="C112" s="6" t="s">
        <v>698</v>
      </c>
      <c r="D112" s="6" t="s">
        <v>408</v>
      </c>
      <c r="E112" s="10"/>
      <c r="F112" s="10"/>
      <c r="G112" s="10">
        <v>2</v>
      </c>
    </row>
    <row r="113" spans="1:7" x14ac:dyDescent="0.35">
      <c r="A113" s="10">
        <v>9</v>
      </c>
      <c r="B113" s="6" t="s">
        <v>209</v>
      </c>
      <c r="C113" s="6" t="s">
        <v>699</v>
      </c>
      <c r="D113" s="6" t="s">
        <v>111</v>
      </c>
      <c r="E113" s="10"/>
      <c r="F113" s="10"/>
      <c r="G113" s="10">
        <v>2</v>
      </c>
    </row>
    <row r="114" spans="1:7" x14ac:dyDescent="0.35">
      <c r="A114" s="10">
        <v>10</v>
      </c>
      <c r="B114" s="6" t="s">
        <v>715</v>
      </c>
      <c r="C114" s="6" t="s">
        <v>700</v>
      </c>
      <c r="D114" s="6" t="s">
        <v>202</v>
      </c>
      <c r="E114" s="10"/>
      <c r="F114" s="10"/>
      <c r="G114" s="10">
        <v>2</v>
      </c>
    </row>
    <row r="115" spans="1:7" x14ac:dyDescent="0.35">
      <c r="A115" s="10">
        <v>11</v>
      </c>
      <c r="B115" s="6" t="s">
        <v>192</v>
      </c>
      <c r="C115" s="6" t="s">
        <v>701</v>
      </c>
      <c r="D115" s="6" t="s">
        <v>290</v>
      </c>
      <c r="E115" s="10"/>
      <c r="F115" s="10"/>
      <c r="G115" s="10">
        <v>1</v>
      </c>
    </row>
    <row r="116" spans="1:7" x14ac:dyDescent="0.35">
      <c r="A116" s="10">
        <v>12</v>
      </c>
      <c r="B116" s="6" t="s">
        <v>247</v>
      </c>
      <c r="C116" s="6" t="s">
        <v>334</v>
      </c>
      <c r="D116" s="6" t="s">
        <v>164</v>
      </c>
      <c r="E116" s="10"/>
      <c r="F116" s="10"/>
      <c r="G116" s="10">
        <v>4</v>
      </c>
    </row>
    <row r="117" spans="1:7" x14ac:dyDescent="0.35">
      <c r="A117" s="10">
        <v>13</v>
      </c>
      <c r="B117" s="6" t="s">
        <v>192</v>
      </c>
      <c r="C117" s="6" t="s">
        <v>702</v>
      </c>
      <c r="D117" s="6" t="s">
        <v>166</v>
      </c>
      <c r="E117" s="10"/>
      <c r="F117" s="10"/>
      <c r="G117" s="10">
        <v>2</v>
      </c>
    </row>
    <row r="118" spans="1:7" x14ac:dyDescent="0.35">
      <c r="A118" s="8"/>
      <c r="B118" s="9" t="s">
        <v>74</v>
      </c>
      <c r="C118" s="9"/>
      <c r="D118" s="9" t="s">
        <v>119</v>
      </c>
      <c r="E118" s="8">
        <v>38</v>
      </c>
      <c r="F118" s="8" t="s">
        <v>703</v>
      </c>
      <c r="G118" s="8">
        <v>34</v>
      </c>
    </row>
    <row r="119" spans="1:7" x14ac:dyDescent="0.35">
      <c r="A119" s="10">
        <v>1</v>
      </c>
      <c r="B119" s="6" t="s">
        <v>278</v>
      </c>
      <c r="C119" s="6" t="s">
        <v>349</v>
      </c>
      <c r="D119" s="6" t="s">
        <v>130</v>
      </c>
      <c r="E119" s="10"/>
      <c r="F119" s="10"/>
      <c r="G119" s="10">
        <v>4</v>
      </c>
    </row>
    <row r="120" spans="1:7" x14ac:dyDescent="0.35">
      <c r="A120" s="10">
        <v>2</v>
      </c>
      <c r="B120" s="6" t="s">
        <v>350</v>
      </c>
      <c r="C120" s="6" t="s">
        <v>351</v>
      </c>
      <c r="D120" s="6" t="s">
        <v>81</v>
      </c>
      <c r="E120" s="10"/>
      <c r="F120" s="10"/>
      <c r="G120" s="10">
        <v>2</v>
      </c>
    </row>
    <row r="121" spans="1:7" x14ac:dyDescent="0.35">
      <c r="A121" s="10">
        <v>3</v>
      </c>
      <c r="B121" s="6" t="s">
        <v>231</v>
      </c>
      <c r="C121" s="6" t="s">
        <v>704</v>
      </c>
      <c r="D121" s="6" t="s">
        <v>354</v>
      </c>
      <c r="E121" s="10"/>
      <c r="F121" s="10"/>
      <c r="G121" s="10">
        <v>3</v>
      </c>
    </row>
    <row r="122" spans="1:7" x14ac:dyDescent="0.35">
      <c r="A122" s="10">
        <v>4</v>
      </c>
      <c r="B122" s="6" t="s">
        <v>209</v>
      </c>
      <c r="C122" s="6" t="s">
        <v>274</v>
      </c>
      <c r="D122" s="6" t="s">
        <v>220</v>
      </c>
      <c r="E122" s="10"/>
      <c r="F122" s="10"/>
      <c r="G122" s="10">
        <v>4</v>
      </c>
    </row>
    <row r="123" spans="1:7" x14ac:dyDescent="0.35">
      <c r="A123" s="10">
        <v>5</v>
      </c>
      <c r="B123" s="6" t="s">
        <v>209</v>
      </c>
      <c r="C123" s="6" t="s">
        <v>353</v>
      </c>
      <c r="D123" s="6" t="s">
        <v>329</v>
      </c>
      <c r="E123" s="10"/>
      <c r="F123" s="10"/>
      <c r="G123" s="10">
        <v>2</v>
      </c>
    </row>
    <row r="124" spans="1:7" x14ac:dyDescent="0.35">
      <c r="A124" s="10">
        <v>6</v>
      </c>
      <c r="B124" s="6" t="s">
        <v>198</v>
      </c>
      <c r="C124" s="6" t="s">
        <v>277</v>
      </c>
      <c r="D124" s="6" t="s">
        <v>179</v>
      </c>
      <c r="E124" s="10"/>
      <c r="F124" s="10"/>
      <c r="G124" s="10">
        <v>3</v>
      </c>
    </row>
    <row r="125" spans="1:7" x14ac:dyDescent="0.35">
      <c r="A125" s="10">
        <v>7</v>
      </c>
      <c r="B125" s="6" t="s">
        <v>357</v>
      </c>
      <c r="C125" s="6"/>
      <c r="D125" s="6" t="s">
        <v>91</v>
      </c>
      <c r="E125" s="10"/>
      <c r="F125" s="10"/>
      <c r="G125" s="10">
        <v>4</v>
      </c>
    </row>
    <row r="126" spans="1:7" x14ac:dyDescent="0.35">
      <c r="A126" s="10">
        <v>8</v>
      </c>
      <c r="B126" s="6" t="s">
        <v>207</v>
      </c>
      <c r="C126" s="6" t="s">
        <v>711</v>
      </c>
      <c r="D126" s="6" t="s">
        <v>141</v>
      </c>
      <c r="E126" s="10"/>
      <c r="F126" s="10"/>
      <c r="G126" s="10">
        <v>3</v>
      </c>
    </row>
    <row r="127" spans="1:7" x14ac:dyDescent="0.35">
      <c r="A127" s="10">
        <v>9</v>
      </c>
      <c r="B127" s="6" t="s">
        <v>207</v>
      </c>
      <c r="C127" s="6" t="s">
        <v>313</v>
      </c>
      <c r="D127" s="6" t="s">
        <v>418</v>
      </c>
      <c r="E127" s="10"/>
      <c r="F127" s="10"/>
      <c r="G127" s="10">
        <v>2</v>
      </c>
    </row>
    <row r="128" spans="1:7" x14ac:dyDescent="0.35">
      <c r="A128" s="10">
        <v>10</v>
      </c>
      <c r="B128" s="6" t="s">
        <v>344</v>
      </c>
      <c r="C128" s="6" t="s">
        <v>345</v>
      </c>
      <c r="D128" s="6" t="s">
        <v>186</v>
      </c>
      <c r="E128" s="10"/>
      <c r="F128" s="10"/>
      <c r="G128" s="10">
        <v>1</v>
      </c>
    </row>
    <row r="129" spans="1:7" x14ac:dyDescent="0.35">
      <c r="A129" s="10">
        <v>11</v>
      </c>
      <c r="B129" s="6" t="s">
        <v>209</v>
      </c>
      <c r="C129" s="6" t="s">
        <v>705</v>
      </c>
      <c r="D129" s="6" t="s">
        <v>226</v>
      </c>
      <c r="E129" s="10"/>
      <c r="F129" s="10"/>
      <c r="G129" s="10">
        <v>2</v>
      </c>
    </row>
    <row r="130" spans="1:7" x14ac:dyDescent="0.35">
      <c r="A130" s="10">
        <v>12</v>
      </c>
      <c r="B130" s="6" t="s">
        <v>187</v>
      </c>
      <c r="C130" s="6" t="s">
        <v>716</v>
      </c>
      <c r="D130" s="6" t="s">
        <v>259</v>
      </c>
      <c r="E130" s="10"/>
      <c r="F130" s="10"/>
      <c r="G130" s="10">
        <v>2</v>
      </c>
    </row>
    <row r="131" spans="1:7" x14ac:dyDescent="0.35">
      <c r="A131" s="10">
        <v>13</v>
      </c>
      <c r="B131" s="6" t="s">
        <v>209</v>
      </c>
      <c r="C131" s="6" t="s">
        <v>717</v>
      </c>
      <c r="D131" s="6" t="s">
        <v>189</v>
      </c>
      <c r="E131" s="10"/>
      <c r="F131" s="10"/>
      <c r="G131" s="10">
        <v>2</v>
      </c>
    </row>
    <row r="132" spans="1:7" x14ac:dyDescent="0.35">
      <c r="A132" s="8"/>
      <c r="B132" s="9" t="s">
        <v>74</v>
      </c>
      <c r="C132" s="9"/>
      <c r="D132" s="9" t="s">
        <v>297</v>
      </c>
      <c r="E132" s="8">
        <v>42</v>
      </c>
      <c r="F132" s="8" t="s">
        <v>703</v>
      </c>
      <c r="G132" s="8">
        <v>34</v>
      </c>
    </row>
    <row r="133" spans="1:7" x14ac:dyDescent="0.35">
      <c r="A133" s="8"/>
      <c r="B133" s="9" t="s">
        <v>29</v>
      </c>
      <c r="C133" s="9"/>
      <c r="D133" s="9" t="s">
        <v>337</v>
      </c>
      <c r="E133" s="8"/>
      <c r="F133" s="8"/>
      <c r="G133" s="8"/>
    </row>
    <row r="134" spans="1:7" x14ac:dyDescent="0.35">
      <c r="A134" s="11"/>
      <c r="B134" s="12" t="s">
        <v>95</v>
      </c>
      <c r="C134" s="12"/>
      <c r="D134" s="12"/>
      <c r="E134" s="11">
        <v>80</v>
      </c>
      <c r="F134" s="11">
        <v>51</v>
      </c>
      <c r="G134" s="11">
        <v>68</v>
      </c>
    </row>
    <row r="136" spans="1:7" x14ac:dyDescent="0.35">
      <c r="A136" s="74" t="s">
        <v>432</v>
      </c>
      <c r="B136" s="75"/>
      <c r="C136" s="75"/>
      <c r="D136" s="75"/>
      <c r="E136" s="75"/>
      <c r="F136" s="75"/>
      <c r="G136" s="76"/>
    </row>
    <row r="137" spans="1:7" x14ac:dyDescent="0.35">
      <c r="A137" s="7" t="s">
        <v>2</v>
      </c>
      <c r="B137" s="7" t="s">
        <v>24</v>
      </c>
      <c r="C137" s="7" t="s">
        <v>25</v>
      </c>
      <c r="D137" s="7" t="s">
        <v>26</v>
      </c>
      <c r="E137" s="7" t="s">
        <v>27</v>
      </c>
      <c r="F137" s="7" t="s">
        <v>28</v>
      </c>
      <c r="G137" s="7" t="s">
        <v>260</v>
      </c>
    </row>
    <row r="138" spans="1:7" x14ac:dyDescent="0.35">
      <c r="A138" s="8"/>
      <c r="B138" s="9" t="s">
        <v>29</v>
      </c>
      <c r="C138" s="9"/>
      <c r="D138" s="9" t="s">
        <v>32</v>
      </c>
      <c r="E138" s="8"/>
      <c r="F138" s="8"/>
      <c r="G138" s="8"/>
    </row>
    <row r="139" spans="1:7" x14ac:dyDescent="0.35">
      <c r="A139" s="10">
        <v>1</v>
      </c>
      <c r="B139" s="6" t="s">
        <v>357</v>
      </c>
      <c r="C139" s="6"/>
      <c r="D139" s="6" t="s">
        <v>36</v>
      </c>
      <c r="E139" s="10"/>
      <c r="F139" s="10"/>
      <c r="G139" s="10">
        <v>4</v>
      </c>
    </row>
    <row r="140" spans="1:7" x14ac:dyDescent="0.35">
      <c r="A140" s="10">
        <v>2</v>
      </c>
      <c r="B140" s="6" t="s">
        <v>694</v>
      </c>
      <c r="C140" s="6" t="s">
        <v>340</v>
      </c>
      <c r="D140" s="6" t="s">
        <v>154</v>
      </c>
      <c r="E140" s="10"/>
      <c r="F140" s="10"/>
      <c r="G140" s="10">
        <v>4</v>
      </c>
    </row>
    <row r="141" spans="1:7" x14ac:dyDescent="0.35">
      <c r="A141" s="10">
        <v>3</v>
      </c>
      <c r="B141" s="6" t="s">
        <v>207</v>
      </c>
      <c r="C141" s="6" t="s">
        <v>355</v>
      </c>
      <c r="D141" s="6" t="s">
        <v>43</v>
      </c>
      <c r="E141" s="10"/>
      <c r="F141" s="10"/>
      <c r="G141" s="10">
        <v>2</v>
      </c>
    </row>
    <row r="142" spans="1:7" x14ac:dyDescent="0.35">
      <c r="A142" s="10">
        <v>4</v>
      </c>
      <c r="B142" s="6" t="s">
        <v>207</v>
      </c>
      <c r="C142" s="6" t="s">
        <v>711</v>
      </c>
      <c r="D142" s="6" t="s">
        <v>45</v>
      </c>
      <c r="E142" s="10"/>
      <c r="F142" s="10"/>
      <c r="G142" s="10">
        <v>3</v>
      </c>
    </row>
    <row r="143" spans="1:7" x14ac:dyDescent="0.35">
      <c r="A143" s="10">
        <v>5</v>
      </c>
      <c r="B143" s="6" t="s">
        <v>207</v>
      </c>
      <c r="C143" s="6" t="s">
        <v>313</v>
      </c>
      <c r="D143" s="6" t="s">
        <v>196</v>
      </c>
      <c r="E143" s="10"/>
      <c r="F143" s="10"/>
      <c r="G143" s="10">
        <v>3</v>
      </c>
    </row>
    <row r="144" spans="1:7" x14ac:dyDescent="0.35">
      <c r="A144" s="10">
        <v>6</v>
      </c>
      <c r="B144" s="6" t="s">
        <v>209</v>
      </c>
      <c r="C144" s="6" t="s">
        <v>696</v>
      </c>
      <c r="D144" s="6" t="s">
        <v>49</v>
      </c>
      <c r="E144" s="10"/>
      <c r="F144" s="10"/>
      <c r="G144" s="10">
        <v>1</v>
      </c>
    </row>
    <row r="145" spans="1:7" x14ac:dyDescent="0.35">
      <c r="A145" s="10">
        <v>7</v>
      </c>
      <c r="B145" s="6" t="s">
        <v>347</v>
      </c>
      <c r="C145" s="6" t="s">
        <v>348</v>
      </c>
      <c r="D145" s="6" t="s">
        <v>346</v>
      </c>
      <c r="E145" s="10"/>
      <c r="F145" s="10"/>
      <c r="G145" s="10">
        <v>4</v>
      </c>
    </row>
    <row r="146" spans="1:7" x14ac:dyDescent="0.35">
      <c r="A146" s="10">
        <v>8</v>
      </c>
      <c r="B146" s="6" t="s">
        <v>187</v>
      </c>
      <c r="C146" s="6" t="s">
        <v>697</v>
      </c>
      <c r="D146" s="6" t="s">
        <v>408</v>
      </c>
      <c r="E146" s="10"/>
      <c r="F146" s="10"/>
      <c r="G146" s="10">
        <v>4</v>
      </c>
    </row>
    <row r="147" spans="1:7" x14ac:dyDescent="0.35">
      <c r="A147" s="10">
        <v>9</v>
      </c>
      <c r="B147" s="6" t="s">
        <v>209</v>
      </c>
      <c r="C147" s="6" t="s">
        <v>699</v>
      </c>
      <c r="D147" s="6" t="s">
        <v>111</v>
      </c>
      <c r="E147" s="10"/>
      <c r="F147" s="10"/>
      <c r="G147" s="10">
        <v>3</v>
      </c>
    </row>
    <row r="148" spans="1:7" x14ac:dyDescent="0.35">
      <c r="A148" s="10">
        <v>10</v>
      </c>
      <c r="B148" s="6" t="s">
        <v>192</v>
      </c>
      <c r="C148" s="6" t="s">
        <v>707</v>
      </c>
      <c r="D148" s="6" t="s">
        <v>202</v>
      </c>
      <c r="E148" s="10"/>
      <c r="F148" s="10"/>
      <c r="G148" s="10">
        <v>2</v>
      </c>
    </row>
    <row r="149" spans="1:7" x14ac:dyDescent="0.35">
      <c r="A149" s="10">
        <v>11</v>
      </c>
      <c r="B149" s="6" t="s">
        <v>247</v>
      </c>
      <c r="C149" s="6" t="s">
        <v>334</v>
      </c>
      <c r="D149" s="6" t="s">
        <v>290</v>
      </c>
      <c r="E149" s="10"/>
      <c r="F149" s="10"/>
      <c r="G149" s="10">
        <v>4</v>
      </c>
    </row>
    <row r="150" spans="1:7" x14ac:dyDescent="0.35">
      <c r="A150" s="8"/>
      <c r="B150" s="9" t="s">
        <v>74</v>
      </c>
      <c r="C150" s="9"/>
      <c r="D150" s="9" t="s">
        <v>164</v>
      </c>
      <c r="E150" s="8">
        <v>38</v>
      </c>
      <c r="F150" s="8" t="s">
        <v>703</v>
      </c>
      <c r="G150" s="8">
        <v>34</v>
      </c>
    </row>
    <row r="151" spans="1:7" x14ac:dyDescent="0.35">
      <c r="A151" s="10">
        <v>1</v>
      </c>
      <c r="B151" s="6" t="s">
        <v>718</v>
      </c>
      <c r="C151" s="6" t="s">
        <v>719</v>
      </c>
      <c r="D151" s="6" t="s">
        <v>212</v>
      </c>
      <c r="E151" s="10"/>
      <c r="F151" s="10"/>
      <c r="G151" s="10">
        <v>6</v>
      </c>
    </row>
    <row r="152" spans="1:7" x14ac:dyDescent="0.35">
      <c r="A152" s="10">
        <v>2</v>
      </c>
      <c r="B152" s="6" t="s">
        <v>278</v>
      </c>
      <c r="C152" s="6" t="s">
        <v>349</v>
      </c>
      <c r="D152" s="6" t="s">
        <v>81</v>
      </c>
      <c r="E152" s="10"/>
      <c r="F152" s="10"/>
      <c r="G152" s="10">
        <v>4</v>
      </c>
    </row>
    <row r="153" spans="1:7" x14ac:dyDescent="0.35">
      <c r="A153" s="10">
        <v>3</v>
      </c>
      <c r="B153" s="6" t="s">
        <v>350</v>
      </c>
      <c r="C153" s="6" t="s">
        <v>351</v>
      </c>
      <c r="D153" s="6" t="s">
        <v>328</v>
      </c>
      <c r="E153" s="10"/>
      <c r="F153" s="10"/>
      <c r="G153" s="10">
        <v>2</v>
      </c>
    </row>
    <row r="154" spans="1:7" x14ac:dyDescent="0.35">
      <c r="A154" s="10">
        <v>4</v>
      </c>
      <c r="B154" s="6" t="s">
        <v>231</v>
      </c>
      <c r="C154" s="6" t="s">
        <v>704</v>
      </c>
      <c r="D154" s="6" t="s">
        <v>85</v>
      </c>
      <c r="E154" s="10"/>
      <c r="F154" s="10"/>
      <c r="G154" s="10">
        <v>3</v>
      </c>
    </row>
    <row r="155" spans="1:7" x14ac:dyDescent="0.35">
      <c r="A155" s="10">
        <v>5</v>
      </c>
      <c r="B155" s="6" t="s">
        <v>209</v>
      </c>
      <c r="C155" s="6" t="s">
        <v>274</v>
      </c>
      <c r="D155" s="6" t="s">
        <v>329</v>
      </c>
      <c r="E155" s="10"/>
      <c r="F155" s="10"/>
      <c r="G155" s="10">
        <v>4</v>
      </c>
    </row>
    <row r="156" spans="1:7" x14ac:dyDescent="0.35">
      <c r="A156" s="10">
        <v>6</v>
      </c>
      <c r="B156" s="6" t="s">
        <v>209</v>
      </c>
      <c r="C156" s="6" t="s">
        <v>353</v>
      </c>
      <c r="D156" s="6" t="s">
        <v>179</v>
      </c>
      <c r="E156" s="10"/>
      <c r="F156" s="10"/>
      <c r="G156" s="10">
        <v>2</v>
      </c>
    </row>
    <row r="157" spans="1:7" x14ac:dyDescent="0.35">
      <c r="A157" s="10">
        <v>7</v>
      </c>
      <c r="B157" s="6" t="s">
        <v>198</v>
      </c>
      <c r="C157" s="6" t="s">
        <v>277</v>
      </c>
      <c r="D157" s="6" t="s">
        <v>91</v>
      </c>
      <c r="E157" s="10"/>
      <c r="F157" s="10"/>
      <c r="G157" s="10">
        <v>3</v>
      </c>
    </row>
    <row r="158" spans="1:7" x14ac:dyDescent="0.35">
      <c r="A158" s="10">
        <v>8</v>
      </c>
      <c r="B158" s="6" t="s">
        <v>344</v>
      </c>
      <c r="C158" s="6" t="s">
        <v>345</v>
      </c>
      <c r="D158" s="6" t="s">
        <v>141</v>
      </c>
      <c r="E158" s="10"/>
      <c r="F158" s="10"/>
      <c r="G158" s="10">
        <v>1</v>
      </c>
    </row>
    <row r="159" spans="1:7" x14ac:dyDescent="0.35">
      <c r="A159" s="10">
        <v>9</v>
      </c>
      <c r="B159" s="6" t="s">
        <v>209</v>
      </c>
      <c r="C159" s="6" t="s">
        <v>705</v>
      </c>
      <c r="D159" s="6" t="s">
        <v>335</v>
      </c>
      <c r="E159" s="10"/>
      <c r="F159" s="10"/>
      <c r="G159" s="10">
        <v>3</v>
      </c>
    </row>
    <row r="160" spans="1:7" x14ac:dyDescent="0.35">
      <c r="A160" s="10">
        <v>10</v>
      </c>
      <c r="B160" s="6" t="s">
        <v>207</v>
      </c>
      <c r="C160" s="6" t="s">
        <v>313</v>
      </c>
      <c r="D160" s="6" t="s">
        <v>144</v>
      </c>
      <c r="E160" s="10"/>
      <c r="F160" s="10"/>
      <c r="G160" s="10">
        <v>3</v>
      </c>
    </row>
    <row r="161" spans="1:7" x14ac:dyDescent="0.35">
      <c r="A161" s="10">
        <v>11</v>
      </c>
      <c r="B161" s="6" t="s">
        <v>207</v>
      </c>
      <c r="C161" s="6" t="s">
        <v>695</v>
      </c>
      <c r="D161" s="6" t="s">
        <v>226</v>
      </c>
      <c r="E161" s="10"/>
      <c r="F161" s="10"/>
      <c r="G161" s="10">
        <v>3</v>
      </c>
    </row>
    <row r="162" spans="1:7" x14ac:dyDescent="0.35">
      <c r="A162" s="8"/>
      <c r="B162" s="9" t="s">
        <v>74</v>
      </c>
      <c r="C162" s="9"/>
      <c r="D162" s="9" t="s">
        <v>189</v>
      </c>
      <c r="E162" s="8">
        <v>54</v>
      </c>
      <c r="F162" s="8" t="s">
        <v>703</v>
      </c>
      <c r="G162" s="8">
        <v>34</v>
      </c>
    </row>
    <row r="163" spans="1:7" x14ac:dyDescent="0.35">
      <c r="A163" s="8"/>
      <c r="B163" s="9" t="s">
        <v>29</v>
      </c>
      <c r="C163" s="9"/>
      <c r="D163" s="9" t="s">
        <v>297</v>
      </c>
      <c r="E163" s="8"/>
      <c r="F163" s="8"/>
      <c r="G163" s="8"/>
    </row>
    <row r="164" spans="1:7" x14ac:dyDescent="0.35">
      <c r="A164" s="11"/>
      <c r="B164" s="12" t="s">
        <v>95</v>
      </c>
      <c r="C164" s="12"/>
      <c r="D164" s="12"/>
      <c r="E164" s="11">
        <v>92</v>
      </c>
      <c r="F164" s="11">
        <v>51</v>
      </c>
      <c r="G164" s="11">
        <v>68</v>
      </c>
    </row>
  </sheetData>
  <mergeCells count="6">
    <mergeCell ref="A36:G36"/>
    <mergeCell ref="A102:G102"/>
    <mergeCell ref="A1:G1"/>
    <mergeCell ref="A3:G3"/>
    <mergeCell ref="A136:G136"/>
    <mergeCell ref="A68:G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16</vt:i4>
      </vt:variant>
    </vt:vector>
  </HeadingPairs>
  <TitlesOfParts>
    <vt:vector size="16" baseType="lpstr">
      <vt:lpstr>Інструкція</vt:lpstr>
      <vt:lpstr>Зміст</vt:lpstr>
      <vt:lpstr>Дані_зв'язок</vt:lpstr>
      <vt:lpstr>Зведена_по_адресах</vt:lpstr>
      <vt:lpstr>Геокодування</vt:lpstr>
      <vt:lpstr>Координати майданчиків</vt:lpstr>
      <vt:lpstr>Зведена_детальна</vt:lpstr>
      <vt:lpstr>М5_МАЗ4381_0592</vt:lpstr>
      <vt:lpstr>М1_КАМАЗ55111_0591</vt:lpstr>
      <vt:lpstr>М3-4_ГАЗ3309_0590</vt:lpstr>
      <vt:lpstr>М2_ВГВ_РеноЛендер_0589</vt:lpstr>
      <vt:lpstr>М2_АТ4021-1120_0588</vt:lpstr>
      <vt:lpstr>М3_МАЗ4371_0587</vt:lpstr>
      <vt:lpstr>М6_АТ4021_0586</vt:lpstr>
      <vt:lpstr>М1-2_АТ4021-1120_0585</vt:lpstr>
      <vt:lpstr>М4_АТ4042ROD_0584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Олександр  Терещенко</cp:lastModifiedBy>
  <dcterms:created xsi:type="dcterms:W3CDTF">2026-08-24T09:53:30Z</dcterms:created>
  <dcterms:modified xsi:type="dcterms:W3CDTF">2026-08-26T09:19:22Z</dcterms:modified>
</cp:coreProperties>
</file>